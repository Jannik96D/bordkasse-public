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ingabe" sheetId="1" state="visible" r:id="rId1"/>
    <sheet name="Gutschrift" sheetId="2" state="visible" r:id="rId2"/>
    <sheet name="Besatzung" sheetId="3" state="visible" r:id="rId3"/>
    <sheet name="Kategorien" sheetId="4" state="visible" r:id="rId4"/>
    <sheet name="Transaktionen" sheetId="5" state="visible" r:id="rId5"/>
    <sheet name="Bilanz" sheetId="6" state="visible" r:id="rId6"/>
    <sheet name="Schulden" sheetId="7" state="visible" r:id="rId7"/>
    <sheet name="Auswertu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\.mm\.yyyy"/>
    <numFmt numFmtId="165" formatCode="#,##0.00&quot; €&quot;"/>
    <numFmt numFmtId="166" formatCode="DD.MM.YYYY"/>
    <numFmt numFmtId="167" formatCode="#,##0.00 &quot;€&quot;"/>
    <numFmt numFmtId="168" formatCode="0&quot; Tage&quot;"/>
    <numFmt numFmtId="169" formatCode="0.0%"/>
  </numFmts>
  <fonts count="48">
    <font>
      <name val="Calibri"/>
      <color theme="1"/>
      <sz val="11"/>
      <scheme val="minor"/>
    </font>
    <font>
      <name val="Arial"/>
      <b val="1"/>
      <color rgb="FFFFFFFF"/>
      <sz val="24"/>
    </font>
    <font/>
    <font>
      <name val="Calibri"/>
      <color theme="1"/>
      <sz val="11"/>
    </font>
    <font>
      <name val="Arial"/>
      <i val="1"/>
      <color rgb="FFFFFFFF"/>
      <sz val="13"/>
    </font>
    <font>
      <name val="Arial"/>
      <b val="1"/>
      <color rgb="FFFFFFFF"/>
      <sz val="13"/>
    </font>
    <font>
      <name val="Arial"/>
      <b val="1"/>
      <color rgb="FF114884"/>
      <sz val="12"/>
    </font>
    <font>
      <name val="Arial"/>
      <b val="1"/>
      <color rgb="FF114884"/>
      <sz val="14"/>
    </font>
    <font>
      <name val="Arial"/>
      <color rgb="FF114884"/>
      <sz val="14"/>
    </font>
    <font>
      <name val="Arial"/>
      <b val="1"/>
      <color rgb="FF114884"/>
      <sz val="22"/>
    </font>
    <font>
      <name val="Arial"/>
      <i val="1"/>
      <color rgb="FF808284"/>
      <sz val="12"/>
    </font>
    <font>
      <name val="Arial"/>
      <color rgb="FF114884"/>
      <sz val="13"/>
    </font>
    <font>
      <name val="Arial"/>
      <i val="1"/>
      <color rgb="FF808284"/>
      <sz val="10"/>
    </font>
    <font>
      <name val="Arial"/>
      <b val="1"/>
      <color rgb="FF114884"/>
      <sz val="11"/>
    </font>
    <font>
      <name val="Arial"/>
      <b val="1"/>
      <color rgb="FF114884"/>
      <sz val="13"/>
    </font>
    <font>
      <name val="Arial"/>
      <b val="1"/>
      <color rgb="FF114884"/>
      <sz val="18"/>
    </font>
    <font>
      <name val="Arial"/>
      <b val="1"/>
      <color rgb="FFFFFFFF"/>
      <sz val="20"/>
    </font>
    <font>
      <name val="Calibri"/>
      <color theme="1"/>
      <scheme val="minor"/>
    </font>
    <font>
      <name val="Arial"/>
      <b val="1"/>
      <color rgb="FFFFFFFF"/>
      <sz val="11"/>
    </font>
    <font>
      <name val="Arial"/>
      <i val="1"/>
      <color rgb="FF114884"/>
      <sz val="11"/>
    </font>
    <font>
      <name val="Campton"/>
      <b val="1"/>
      <color rgb="FFFFFFFF"/>
      <sz val="20"/>
    </font>
    <font>
      <name val="Arial"/>
      <b val="1"/>
      <color rgb="FFFFFFFF"/>
      <sz val="12"/>
    </font>
    <font>
      <name val="Arial"/>
      <i val="1"/>
      <color rgb="FF808284"/>
      <sz val="9"/>
    </font>
    <font>
      <name val="Arial"/>
      <b val="1"/>
      <color rgb="FFFFFFFF"/>
      <sz val="10"/>
    </font>
    <font>
      <name val="Arial"/>
      <b val="1"/>
      <color rgb="FF808284"/>
      <sz val="9"/>
    </font>
    <font>
      <name val="Arial"/>
      <color rgb="FF114884"/>
      <sz val="10"/>
    </font>
    <font>
      <name val="Arial"/>
      <b val="1"/>
      <color rgb="FF587EA8"/>
      <sz val="10"/>
    </font>
    <font>
      <name val="Arial"/>
      <b val="1"/>
      <color rgb="FF1D4281"/>
      <sz val="10"/>
    </font>
    <font>
      <name val="Arial"/>
      <i val="1"/>
      <color rgb="FFCCCCCC"/>
      <sz val="8"/>
    </font>
    <font>
      <name val="Arial"/>
      <i val="1"/>
      <color rgb="FF114884"/>
      <sz val="10"/>
    </font>
    <font>
      <name val="Arial"/>
      <color rgb="FF808284"/>
      <sz val="10"/>
    </font>
    <font>
      <name val="Arial"/>
      <i val="1"/>
      <color rgb="FF808284"/>
      <sz val="11"/>
    </font>
    <font>
      <name val="Campton"/>
      <b val="1"/>
      <color rgb="FFFFFFFF"/>
      <sz val="14"/>
    </font>
    <font>
      <name val="Arial"/>
      <b val="1"/>
      <color rgb="FFFFFFFF"/>
      <sz val="8"/>
    </font>
    <font>
      <name val="Arial"/>
      <i val="1"/>
      <color rgb="FF808284"/>
      <sz val="8"/>
    </font>
    <font>
      <name val="Arial"/>
      <color rgb="FF808284"/>
      <sz val="9"/>
    </font>
    <font>
      <name val="Arial"/>
      <b val="1"/>
      <color rgb="FF1D4281"/>
      <sz val="9"/>
    </font>
    <font>
      <name val="Arial"/>
      <b val="1"/>
      <color rgb="FF114884"/>
      <sz val="10"/>
    </font>
    <font>
      <name val="Arial"/>
      <color rgb="FF587EA8"/>
      <sz val="10"/>
    </font>
    <font>
      <name val="Arial"/>
      <color rgb="FF808284"/>
      <sz val="8"/>
    </font>
    <font>
      <name val="Campton"/>
      <b val="1"/>
      <color rgb="FFFFFFFF"/>
      <sz val="18"/>
    </font>
    <font>
      <name val="Arial"/>
      <b val="1"/>
      <color rgb="FF1E8449"/>
      <sz val="11"/>
    </font>
    <font>
      <name val="Arial"/>
      <color rgb="FFA93226"/>
      <sz val="11"/>
    </font>
    <font>
      <name val="Arial"/>
      <color rgb="FF808284"/>
      <sz val="11"/>
    </font>
    <font>
      <name val="Arial"/>
      <i val="1"/>
      <color rgb="FFAAAAAA"/>
      <sz val="9"/>
    </font>
    <font>
      <name val="Arial"/>
      <b val="1"/>
      <color rgb="FFA93226"/>
      <sz val="11"/>
    </font>
    <font>
      <name val="Arial"/>
      <color rgb="FF114884"/>
      <sz val="12"/>
    </font>
    <font>
      <name val="Arial"/>
      <i val="1"/>
      <color rgb="FFBBBBBB"/>
      <sz val="9"/>
    </font>
  </fonts>
  <fills count="18">
    <fill>
      <patternFill/>
    </fill>
    <fill>
      <patternFill patternType="lightGray"/>
    </fill>
    <fill>
      <patternFill patternType="solid">
        <fgColor rgb="FF114884"/>
        <bgColor rgb="FF114884"/>
      </patternFill>
    </fill>
    <fill>
      <patternFill patternType="solid">
        <fgColor rgb="FFFFFFFF"/>
        <bgColor rgb="FFFFFFFF"/>
      </patternFill>
    </fill>
    <fill>
      <patternFill patternType="solid">
        <fgColor rgb="FFD6E1EE"/>
        <bgColor rgb="FFD6E1EE"/>
      </patternFill>
    </fill>
    <fill>
      <patternFill patternType="solid">
        <fgColor rgb="FFFDF6DC"/>
        <bgColor rgb="FFFDF6DC"/>
      </patternFill>
    </fill>
    <fill>
      <patternFill patternType="solid">
        <fgColor rgb="FF587EA8"/>
        <bgColor rgb="FF587EA8"/>
      </patternFill>
    </fill>
    <fill>
      <patternFill patternType="solid">
        <fgColor rgb="FFF4F6F8"/>
        <bgColor rgb="FFF4F6F8"/>
      </patternFill>
    </fill>
    <fill>
      <patternFill patternType="solid">
        <fgColor rgb="FF1E8449"/>
        <bgColor rgb="FF1E8449"/>
      </patternFill>
    </fill>
    <fill>
      <patternFill patternType="solid">
        <fgColor rgb="FF0F2942"/>
        <bgColor rgb="FF0F2942"/>
      </patternFill>
    </fill>
    <fill>
      <patternFill patternType="solid">
        <fgColor rgb="FFE8EBF0"/>
        <bgColor rgb="FFE8EBF0"/>
      </patternFill>
    </fill>
    <fill>
      <patternFill patternType="solid">
        <fgColor rgb="FFC8D5E6"/>
        <bgColor rgb="FFC8D5E6"/>
      </patternFill>
    </fill>
    <fill>
      <patternFill patternType="solid">
        <fgColor rgb="FF1D4281"/>
        <bgColor rgb="FF1D4281"/>
      </patternFill>
    </fill>
    <fill>
      <patternFill patternType="solid">
        <fgColor rgb="FFE8F3EC"/>
        <bgColor rgb="FFE8F3EC"/>
      </patternFill>
    </fill>
    <fill>
      <patternFill patternType="solid">
        <fgColor rgb="FFF5E4E0"/>
        <bgColor rgb="FFF5E4E0"/>
      </patternFill>
    </fill>
    <fill>
      <patternFill patternType="solid">
        <fgColor rgb="FFD9EEDE"/>
        <bgColor rgb="FFD9EEDE"/>
      </patternFill>
    </fill>
    <fill>
      <patternFill patternType="solid">
        <fgColor rgb="FFEBD0CC"/>
        <bgColor rgb="FFEBD0CC"/>
      </patternFill>
    </fill>
    <fill>
      <patternFill patternType="solid">
        <fgColor rgb="FFDEE1E6"/>
        <bgColor rgb="FFDEE1E6"/>
      </patternFill>
    </fill>
  </fills>
  <borders count="65">
    <border/>
    <border>
      <left/>
      <top/>
      <bottom/>
    </border>
    <border>
      <top/>
      <bottom/>
    </border>
    <border>
      <right/>
      <top/>
      <bottom/>
    </border>
    <border>
      <left style="medium">
        <color rgb="FF114884"/>
      </left>
      <right style="medium">
        <color rgb="FF114884"/>
      </right>
      <top style="medium">
        <color rgb="FF114884"/>
      </top>
      <bottom style="medium">
        <color rgb="FF114884"/>
      </bottom>
    </border>
    <border>
      <left style="thin">
        <color rgb="FF114884"/>
      </left>
      <right style="thin">
        <color rgb="FF114884"/>
      </right>
      <top style="thin">
        <color rgb="FF114884"/>
      </top>
      <bottom style="thin">
        <color rgb="FF114884"/>
      </bottom>
    </border>
    <border>
      <left/>
      <top style="thin">
        <color rgb="FF587EA8"/>
      </top>
      <bottom style="thin">
        <color rgb="FF587EA8"/>
      </bottom>
    </border>
    <border>
      <top style="thin">
        <color rgb="FF587EA8"/>
      </top>
      <bottom style="thin">
        <color rgb="FF587EA8"/>
      </bottom>
    </border>
    <border>
      <right/>
      <top style="thin">
        <color rgb="FF587EA8"/>
      </top>
      <bottom style="thin">
        <color rgb="FF587EA8"/>
      </bottom>
    </border>
    <border>
      <left style="thin">
        <color rgb="FF587EA8"/>
      </left>
      <right/>
      <top style="thin">
        <color rgb="FF587EA8"/>
      </top>
      <bottom style="thin">
        <color rgb="FF587EA8"/>
      </bottom>
    </border>
    <border>
      <left/>
      <right/>
      <top style="thin">
        <color rgb="FF587EA8"/>
      </top>
      <bottom style="thin">
        <color rgb="FF587EA8"/>
      </bottom>
    </border>
    <border>
      <left style="medium">
        <color rgb="FF1E8449"/>
      </left>
      <top style="medium">
        <color rgb="FF1E8449"/>
      </top>
      <bottom style="medium">
        <color rgb="FF1E8449"/>
      </bottom>
    </border>
    <border>
      <top style="medium">
        <color rgb="FF1E8449"/>
      </top>
      <bottom style="medium">
        <color rgb="FF1E8449"/>
      </bottom>
    </border>
    <border>
      <right/>
      <top style="medium">
        <color rgb="FF1E8449"/>
      </top>
      <bottom style="medium">
        <color rgb="FF1E8449"/>
      </bottom>
    </border>
    <border>
      <left style="thin">
        <color rgb="FF587EA8"/>
      </left>
      <top style="thin">
        <color rgb="FF587EA8"/>
      </top>
      <bottom style="thin">
        <color rgb="FF587EA8"/>
      </bottom>
    </border>
    <border>
      <left style="thin">
        <color rgb="FF0F2942"/>
      </left>
      <top style="thin">
        <color rgb="FF0F2942"/>
      </top>
      <bottom style="thin">
        <color rgb="FF0F2942"/>
      </bottom>
    </border>
    <border>
      <top style="thin">
        <color rgb="FF0F2942"/>
      </top>
      <bottom style="thin">
        <color rgb="FF0F2942"/>
      </bottom>
    </border>
    <border>
      <right/>
      <top style="thin">
        <color rgb="FF0F2942"/>
      </top>
      <bottom style="thin">
        <color rgb="FF0F2942"/>
      </bottom>
    </border>
    <border>
      <left style="thin">
        <color rgb="FF1A7F8E"/>
      </left>
      <top style="thin">
        <color rgb="FF1A7F8E"/>
      </top>
      <bottom style="thin">
        <color rgb="FF1A7F8E"/>
      </bottom>
    </border>
    <border>
      <top style="thin">
        <color rgb="FF1A7F8E"/>
      </top>
      <bottom style="thin">
        <color rgb="FF1A7F8E"/>
      </bottom>
    </border>
    <border>
      <right/>
      <top style="thin">
        <color rgb="FF1A7F8E"/>
      </top>
      <bottom style="thin">
        <color rgb="FF1A7F8E"/>
      </bottom>
    </border>
    <border>
      <left style="thin">
        <color rgb="FF114884"/>
      </left>
      <right/>
      <top/>
      <bottom style="thin">
        <color rgb="FF587EA8"/>
      </bottom>
    </border>
    <border>
      <left style="thin">
        <color rgb="FF114884"/>
      </left>
      <top style="thin">
        <color rgb="FF114884"/>
      </top>
      <bottom style="thin">
        <color rgb="FF114884"/>
      </bottom>
    </border>
    <border>
      <top style="thin">
        <color rgb="FF114884"/>
      </top>
      <bottom style="thin">
        <color rgb="FF114884"/>
      </bottom>
    </border>
    <border>
      <right style="thin">
        <color rgb="FF114884"/>
      </right>
      <top style="thin">
        <color rgb="FF114884"/>
      </top>
      <bottom style="thin">
        <color rgb="FF114884"/>
      </bottom>
    </border>
    <border>
      <left style="thin">
        <color rgb="FF0F2942"/>
      </left>
      <right style="thin">
        <color rgb="FF0F2942"/>
      </right>
      <top style="thin">
        <color rgb="FF0F2942"/>
      </top>
      <bottom style="thin">
        <color rgb="FF0F2942"/>
      </bottom>
    </border>
    <border>
      <left style="thin">
        <color rgb="FF114884"/>
      </left>
      <right style="thin">
        <color rgb="FF587EA8"/>
      </right>
      <top style="thin">
        <color rgb="FF587EA8"/>
      </top>
      <bottom style="thin">
        <color rgb="FF587EA8"/>
      </bottom>
    </border>
    <border>
      <left style="thin">
        <color rgb="FF587EA8"/>
      </left>
      <right style="thin">
        <color rgb="FF587EA8"/>
      </right>
      <top style="thin">
        <color rgb="FF587EA8"/>
      </top>
      <bottom style="thin">
        <color rgb="FF587EA8"/>
      </bottom>
    </border>
    <border>
      <left style="thin">
        <color rgb="FF587EA8"/>
      </left>
      <right style="thin">
        <color rgb="FF114884"/>
      </right>
      <top style="thin">
        <color rgb="FF587EA8"/>
      </top>
      <bottom style="thin">
        <color rgb="FF587EA8"/>
      </bottom>
    </border>
    <border>
      <left style="thin">
        <color rgb="FF114884"/>
      </left>
      <right style="thin">
        <color rgb="FF587EA8"/>
      </right>
      <top style="thin">
        <color rgb="FF587EA8"/>
      </top>
      <bottom style="thin">
        <color rgb="FF114884"/>
      </bottom>
    </border>
    <border>
      <left style="thin">
        <color rgb="FF587EA8"/>
      </left>
      <right style="thin">
        <color rgb="FF587EA8"/>
      </right>
      <top style="thin">
        <color rgb="FF587EA8"/>
      </top>
      <bottom style="thin">
        <color rgb="FF114884"/>
      </bottom>
    </border>
    <border>
      <left style="thin">
        <color rgb="FF587EA8"/>
      </left>
      <right style="thin">
        <color rgb="FF114884"/>
      </right>
      <top style="thin">
        <color rgb="FF587EA8"/>
      </top>
      <bottom style="thin">
        <color rgb="FF114884"/>
      </bottom>
    </border>
    <border>
      <left style="thin">
        <color rgb="FFC8A51E"/>
      </left>
      <top style="thin">
        <color rgb="FFC8A51E"/>
      </top>
    </border>
    <border>
      <top style="thin">
        <color rgb="FFC8A51E"/>
      </top>
    </border>
    <border>
      <right style="thin">
        <color rgb="FFC8A51E"/>
      </right>
      <top style="thin">
        <color rgb="FFC8A51E"/>
      </top>
    </border>
    <border>
      <left style="thin">
        <color rgb="FFC8A51E"/>
      </left>
      <right style="thin">
        <color rgb="FFC8A51E"/>
      </right>
      <top style="thin">
        <color rgb="FFC8A51E"/>
      </top>
      <bottom style="thin">
        <color rgb="FFC8A51E"/>
      </bottom>
    </border>
    <border>
      <left style="thin">
        <color rgb="FFC8A51E"/>
      </left>
    </border>
    <border>
      <right style="thin">
        <color rgb="FFC8A51E"/>
      </right>
    </border>
    <border>
      <right style="thin">
        <color rgb="FFC8A51E"/>
      </right>
      <bottom style="thin">
        <color rgb="FFC8A51E"/>
      </bottom>
    </border>
    <border>
      <left style="thin">
        <color rgb="FFC8A51E"/>
      </left>
      <bottom style="thin">
        <color rgb="FFC8A51E"/>
      </bottom>
    </border>
    <border>
      <bottom style="thin">
        <color rgb="FFC8A51E"/>
      </bottom>
    </border>
    <border>
      <left/>
      <top/>
      <bottom style="thin">
        <color rgb="FF114884"/>
      </bottom>
    </border>
    <border>
      <top/>
      <bottom style="thin">
        <color rgb="FF114884"/>
      </bottom>
    </border>
    <border>
      <right/>
      <top/>
      <bottom style="thin">
        <color rgb="FF114884"/>
      </bottom>
    </border>
    <border>
      <left style="thin">
        <color rgb="FF1D4281"/>
      </left>
      <right style="thin">
        <color rgb="FF1D4281"/>
      </right>
      <top style="thin">
        <color rgb="FF114884"/>
      </top>
      <bottom style="thin">
        <color rgb="FF114884"/>
      </bottom>
    </border>
    <border>
      <left/>
      <right/>
      <top style="thin">
        <color rgb="FF114884"/>
      </top>
      <bottom style="thin">
        <color rgb="FF114884"/>
      </bottom>
    </border>
    <border>
      <left/>
      <right/>
      <top/>
      <bottom/>
    </border>
    <border>
      <left/>
      <right/>
      <top/>
      <bottom style="thin">
        <color rgb="FF114884"/>
      </bottom>
    </border>
    <border>
      <left style="thin">
        <color rgb="FF114884"/>
      </left>
      <right style="thin">
        <color rgb="FF114884"/>
      </right>
      <top style="thin">
        <color rgb="FF587EA8"/>
      </top>
      <bottom style="thin">
        <color rgb="FF587EA8"/>
      </bottom>
    </border>
    <border>
      <left style="medium">
        <color rgb="FF114884"/>
      </left>
      <top style="medium">
        <color rgb="FF114884"/>
      </top>
      <bottom style="medium">
        <color rgb="FF114884"/>
      </bottom>
    </border>
    <border>
      <right style="medium">
        <color rgb="FF114884"/>
      </right>
      <top style="medium">
        <color rgb="FF114884"/>
      </top>
      <bottom style="medium">
        <color rgb="FF114884"/>
      </bottom>
    </border>
    <border>
      <right style="thin">
        <color rgb="FF587EA8"/>
      </right>
      <top style="thin">
        <color rgb="FF587EA8"/>
      </top>
      <bottom style="thin">
        <color rgb="FF587EA8"/>
      </bottom>
    </border>
    <border>
      <top style="thin">
        <color rgb="FF587EA8"/>
      </top>
    </border>
    <border>
      <left style="medium">
        <color rgb="FF1E8449"/>
      </left>
      <right/>
      <top style="medium">
        <color rgb="FF1E8449"/>
      </top>
      <bottom style="medium">
        <color rgb="FF1E8449"/>
      </bottom>
    </border>
    <border>
      <top style="medium">
        <color rgb="FF1E8449"/>
      </top>
    </border>
    <border>
      <top style="thin">
        <color rgb="FF114884"/>
      </top>
    </border>
    <border>
      <right style="thin">
        <color rgb="FF114884"/>
      </right>
      <top style="thin">
        <color rgb="FF114884"/>
      </top>
    </border>
    <border>
      <left style="thin">
        <color rgb="FF1A7F8E"/>
      </left>
      <right/>
      <top style="thin">
        <color rgb="FF1A7F8E"/>
      </top>
      <bottom style="thin">
        <color rgb="FF1A7F8E"/>
      </bottom>
    </border>
    <border>
      <top style="thin">
        <color rgb="FF1A7F8E"/>
      </top>
    </border>
    <border>
      <left style="thin">
        <color rgb="FF0F2942"/>
      </left>
      <right/>
      <top style="thin">
        <color rgb="FF0F2942"/>
      </top>
      <bottom style="thin">
        <color rgb="FF0F2942"/>
      </bottom>
    </border>
    <border>
      <top style="thin">
        <color rgb="FF0F2942"/>
      </top>
    </border>
    <border>
      <bottom style="thin">
        <color rgb="FF114884"/>
      </bottom>
    </border>
    <border>
      <top style="medium">
        <color rgb="FF114884"/>
      </top>
    </border>
    <border>
      <right style="medium">
        <color rgb="FF114884"/>
      </right>
      <top style="medium">
        <color rgb="FF114884"/>
      </top>
    </border>
    <border>
      <right style="thin">
        <color rgb="FF587EA8"/>
      </right>
      <top style="thin">
        <color rgb="FF587EA8"/>
      </top>
    </border>
  </borders>
  <cellStyleXfs count="1">
    <xf numFmtId="0" fontId="0" fillId="0" borderId="0"/>
  </cellStyleXfs>
  <cellXfs count="22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bottom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left" vertical="center"/>
    </xf>
    <xf numFmtId="0" fontId="7" fillId="4" borderId="4" applyAlignment="1" pivotButton="0" quotePrefix="0" xfId="0">
      <alignment horizontal="center" vertical="center"/>
    </xf>
    <xf numFmtId="165" fontId="9" fillId="5" borderId="4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165" fontId="11" fillId="3" borderId="5" applyAlignment="1" pivotButton="0" quotePrefix="0" xfId="0">
      <alignment horizontal="right" vertical="center"/>
    </xf>
    <xf numFmtId="0" fontId="7" fillId="4" borderId="4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7" borderId="6" applyAlignment="1" pivotButton="0" quotePrefix="0" xfId="0">
      <alignment horizontal="left" vertical="center"/>
    </xf>
    <xf numFmtId="0" fontId="2" fillId="0" borderId="7" pivotButton="0" quotePrefix="0" xfId="0"/>
    <xf numFmtId="0" fontId="2" fillId="0" borderId="8" pivotButton="0" quotePrefix="0" xfId="0"/>
    <xf numFmtId="0" fontId="14" fillId="3" borderId="9" applyAlignment="1" pivotButton="0" quotePrefix="0" xfId="0">
      <alignment horizontal="left" vertical="center"/>
    </xf>
    <xf numFmtId="0" fontId="3" fillId="3" borderId="10" applyAlignment="1" pivotButton="0" quotePrefix="0" xfId="0">
      <alignment vertical="bottom"/>
    </xf>
    <xf numFmtId="0" fontId="15" fillId="3" borderId="4" applyAlignment="1" pivotButton="0" quotePrefix="0" xfId="0">
      <alignment horizontal="center" vertical="center"/>
    </xf>
    <xf numFmtId="0" fontId="14" fillId="7" borderId="9" applyAlignment="1" pivotButton="0" quotePrefix="0" xfId="0">
      <alignment horizontal="left" vertical="center"/>
    </xf>
    <xf numFmtId="0" fontId="3" fillId="7" borderId="10" applyAlignment="1" pivotButton="0" quotePrefix="0" xfId="0">
      <alignment vertical="bottom"/>
    </xf>
    <xf numFmtId="0" fontId="16" fillId="8" borderId="11" applyAlignment="1" pivotButton="0" quotePrefix="0" xfId="0">
      <alignment horizontal="center" vertical="center"/>
    </xf>
    <xf numFmtId="0" fontId="2" fillId="0" borderId="12" pivotButton="0" quotePrefix="0" xfId="0"/>
    <xf numFmtId="0" fontId="2" fillId="0" borderId="13" pivotButton="0" quotePrefix="0" xfId="0"/>
    <xf numFmtId="0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 wrapText="1"/>
    </xf>
    <xf numFmtId="0" fontId="17" fillId="0" borderId="0" applyAlignment="1" pivotButton="0" quotePrefix="0" xfId="0">
      <alignment wrapText="1"/>
    </xf>
    <xf numFmtId="0" fontId="18" fillId="6" borderId="1" applyAlignment="1" pivotButton="0" quotePrefix="0" xfId="0">
      <alignment horizontal="left" vertical="center"/>
    </xf>
    <xf numFmtId="0" fontId="19" fillId="4" borderId="14" applyAlignment="1" pivotButton="0" quotePrefix="0" xfId="0">
      <alignment horizontal="center" vertical="center"/>
    </xf>
    <xf numFmtId="0" fontId="3" fillId="0" borderId="0" pivotButton="0" quotePrefix="0" xfId="0"/>
    <xf numFmtId="166" fontId="7" fillId="3" borderId="4" applyAlignment="1" pivotButton="0" quotePrefix="0" xfId="0">
      <alignment horizontal="center" vertical="center"/>
    </xf>
    <xf numFmtId="167" fontId="7" fillId="3" borderId="4" applyAlignment="1" pivotButton="0" quotePrefix="0" xfId="0">
      <alignment horizontal="center" vertical="center"/>
    </xf>
    <xf numFmtId="0" fontId="17" fillId="0" borderId="0" pivotButton="0" quotePrefix="0" xfId="0"/>
    <xf numFmtId="0" fontId="20" fillId="2" borderId="15" applyAlignment="1" pivotButton="0" quotePrefix="0" xfId="0">
      <alignment horizontal="center" vertical="center"/>
    </xf>
    <xf numFmtId="0" fontId="2" fillId="0" borderId="16" pivotButton="0" quotePrefix="0" xfId="0"/>
    <xf numFmtId="0" fontId="2" fillId="0" borderId="17" pivotButton="0" quotePrefix="0" xfId="0"/>
    <xf numFmtId="0" fontId="21" fillId="2" borderId="18" applyAlignment="1" pivotButton="0" quotePrefix="0" xfId="0">
      <alignment horizontal="left" vertical="center"/>
    </xf>
    <xf numFmtId="0" fontId="2" fillId="0" borderId="19" pivotButton="0" quotePrefix="0" xfId="0"/>
    <xf numFmtId="0" fontId="2" fillId="0" borderId="20" pivotButton="0" quotePrefix="0" xfId="0"/>
    <xf numFmtId="0" fontId="13" fillId="7" borderId="21" applyAlignment="1" pivotButton="0" quotePrefix="0" xfId="0">
      <alignment horizontal="right" vertical="center"/>
    </xf>
    <xf numFmtId="0" fontId="13" fillId="3" borderId="22" applyAlignment="1" pivotButton="0" quotePrefix="0" xfId="0">
      <alignment horizontal="left" vertical="center"/>
    </xf>
    <xf numFmtId="0" fontId="2" fillId="0" borderId="23" pivotButton="0" quotePrefix="0" xfId="0"/>
    <xf numFmtId="0" fontId="2" fillId="0" borderId="24" pivotButton="0" quotePrefix="0" xfId="0"/>
    <xf numFmtId="0" fontId="22" fillId="3" borderId="1" applyAlignment="1" pivotButton="0" quotePrefix="0" xfId="0">
      <alignment horizontal="left" vertical="center"/>
    </xf>
    <xf numFmtId="164" fontId="13" fillId="3" borderId="22" applyAlignment="1" pivotButton="0" quotePrefix="0" xfId="0">
      <alignment horizontal="left" vertical="center"/>
    </xf>
    <xf numFmtId="168" fontId="13" fillId="3" borderId="22" applyAlignment="1" pivotButton="0" quotePrefix="0" xfId="0">
      <alignment horizontal="left" vertical="center"/>
    </xf>
    <xf numFmtId="0" fontId="18" fillId="2" borderId="5" applyAlignment="1" pivotButton="0" quotePrefix="0" xfId="0">
      <alignment horizontal="center" vertical="center"/>
    </xf>
    <xf numFmtId="0" fontId="18" fillId="2" borderId="5" applyAlignment="1" pivotButton="0" quotePrefix="0" xfId="0">
      <alignment horizontal="left" vertical="center"/>
    </xf>
    <xf numFmtId="0" fontId="23" fillId="9" borderId="25" applyAlignment="1" pivotButton="0" quotePrefix="0" xfId="0">
      <alignment horizontal="left" vertical="center"/>
    </xf>
    <xf numFmtId="0" fontId="24" fillId="10" borderId="26" applyAlignment="1" pivotButton="0" quotePrefix="0" xfId="0">
      <alignment horizontal="center" vertical="center"/>
    </xf>
    <xf numFmtId="0" fontId="13" fillId="3" borderId="27" applyAlignment="1" pivotButton="0" quotePrefix="0" xfId="0">
      <alignment horizontal="left" vertical="center"/>
    </xf>
    <xf numFmtId="164" fontId="25" fillId="3" borderId="27" applyAlignment="1" pivotButton="0" quotePrefix="0" xfId="0">
      <alignment horizontal="center" vertical="center"/>
    </xf>
    <xf numFmtId="0" fontId="26" fillId="4" borderId="27" applyAlignment="1" pivotButton="0" quotePrefix="0" xfId="0">
      <alignment horizontal="center" vertical="center"/>
    </xf>
    <xf numFmtId="0" fontId="6" fillId="3" borderId="27" applyAlignment="1" pivotButton="0" quotePrefix="0" xfId="0">
      <alignment horizontal="center" vertical="center"/>
    </xf>
    <xf numFmtId="169" fontId="27" fillId="4" borderId="27" applyAlignment="1" pivotButton="0" quotePrefix="0" xfId="0">
      <alignment horizontal="center" vertical="center"/>
    </xf>
    <xf numFmtId="0" fontId="22" fillId="3" borderId="28" applyAlignment="1" pivotButton="0" quotePrefix="0" xfId="0">
      <alignment horizontal="left" vertical="center"/>
    </xf>
    <xf numFmtId="0" fontId="28" fillId="0" borderId="0" applyAlignment="1" pivotButton="0" quotePrefix="0" xfId="0">
      <alignment vertical="bottom"/>
    </xf>
    <xf numFmtId="0" fontId="13" fillId="7" borderId="27" applyAlignment="1" pivotButton="0" quotePrefix="0" xfId="0">
      <alignment horizontal="left" vertical="center"/>
    </xf>
    <xf numFmtId="164" fontId="25" fillId="7" borderId="27" applyAlignment="1" pivotButton="0" quotePrefix="0" xfId="0">
      <alignment horizontal="center" vertical="center"/>
    </xf>
    <xf numFmtId="0" fontId="26" fillId="11" borderId="27" applyAlignment="1" pivotButton="0" quotePrefix="0" xfId="0">
      <alignment horizontal="center" vertical="center"/>
    </xf>
    <xf numFmtId="0" fontId="6" fillId="7" borderId="27" applyAlignment="1" pivotButton="0" quotePrefix="0" xfId="0">
      <alignment horizontal="center" vertical="center"/>
    </xf>
    <xf numFmtId="169" fontId="27" fillId="11" borderId="27" applyAlignment="1" pivotButton="0" quotePrefix="0" xfId="0">
      <alignment horizontal="center" vertical="center"/>
    </xf>
    <xf numFmtId="0" fontId="22" fillId="7" borderId="28" applyAlignment="1" pivotButton="0" quotePrefix="0" xfId="0">
      <alignment horizontal="left" vertical="center"/>
    </xf>
    <xf numFmtId="0" fontId="24" fillId="10" borderId="29" applyAlignment="1" pivotButton="0" quotePrefix="0" xfId="0">
      <alignment horizontal="center" vertical="center"/>
    </xf>
    <xf numFmtId="0" fontId="13" fillId="7" borderId="30" applyAlignment="1" pivotButton="0" quotePrefix="0" xfId="0">
      <alignment horizontal="left" vertical="center"/>
    </xf>
    <xf numFmtId="164" fontId="25" fillId="7" borderId="30" applyAlignment="1" pivotButton="0" quotePrefix="0" xfId="0">
      <alignment horizontal="center" vertical="center"/>
    </xf>
    <xf numFmtId="0" fontId="26" fillId="11" borderId="30" applyAlignment="1" pivotButton="0" quotePrefix="0" xfId="0">
      <alignment horizontal="center" vertical="center"/>
    </xf>
    <xf numFmtId="0" fontId="6" fillId="7" borderId="30" applyAlignment="1" pivotButton="0" quotePrefix="0" xfId="0">
      <alignment horizontal="center" vertical="center"/>
    </xf>
    <xf numFmtId="169" fontId="27" fillId="11" borderId="30" applyAlignment="1" pivotButton="0" quotePrefix="0" xfId="0">
      <alignment horizontal="center" vertical="center"/>
    </xf>
    <xf numFmtId="0" fontId="22" fillId="7" borderId="31" applyAlignment="1" pivotButton="0" quotePrefix="0" xfId="0">
      <alignment horizontal="left" vertical="center"/>
    </xf>
    <xf numFmtId="0" fontId="25" fillId="5" borderId="32" applyAlignment="1" pivotButton="0" quotePrefix="0" xfId="0">
      <alignment horizontal="left" vertical="top" wrapText="1"/>
    </xf>
    <xf numFmtId="0" fontId="2" fillId="0" borderId="33" pivotButton="0" quotePrefix="0" xfId="0"/>
    <xf numFmtId="0" fontId="2" fillId="0" borderId="34" pivotButton="0" quotePrefix="0" xfId="0"/>
    <xf numFmtId="0" fontId="25" fillId="5" borderId="35" applyAlignment="1" pivotButton="0" quotePrefix="0" xfId="0">
      <alignment horizontal="left" vertical="top" wrapText="1"/>
    </xf>
    <xf numFmtId="0" fontId="2" fillId="0" borderId="36" pivotButton="0" quotePrefix="0" xfId="0"/>
    <xf numFmtId="0" fontId="2" fillId="0" borderId="37" pivotButton="0" quotePrefix="0" xfId="0"/>
    <xf numFmtId="0" fontId="3" fillId="0" borderId="38" applyAlignment="1" pivotButton="0" quotePrefix="0" xfId="0">
      <alignment vertical="bottom"/>
    </xf>
    <xf numFmtId="0" fontId="2" fillId="0" borderId="39" pivotButton="0" quotePrefix="0" xfId="0"/>
    <xf numFmtId="0" fontId="2" fillId="0" borderId="40" pivotButton="0" quotePrefix="0" xfId="0"/>
    <xf numFmtId="0" fontId="2" fillId="0" borderId="38" pivotButton="0" quotePrefix="0" xfId="0"/>
    <xf numFmtId="0" fontId="29" fillId="3" borderId="41" applyAlignment="1" pivotButton="0" quotePrefix="0" xfId="0">
      <alignment horizontal="center" vertical="center"/>
    </xf>
    <xf numFmtId="0" fontId="2" fillId="0" borderId="42" pivotButton="0" quotePrefix="0" xfId="0"/>
    <xf numFmtId="0" fontId="2" fillId="0" borderId="43" pivotButton="0" quotePrefix="0" xfId="0"/>
    <xf numFmtId="0" fontId="30" fillId="10" borderId="26" applyAlignment="1" pivotButton="0" quotePrefix="0" xfId="0">
      <alignment horizontal="center" vertical="center"/>
    </xf>
    <xf numFmtId="0" fontId="31" fillId="7" borderId="27" applyAlignment="1" pivotButton="0" quotePrefix="0" xfId="0">
      <alignment horizontal="left" vertical="center"/>
    </xf>
    <xf numFmtId="0" fontId="31" fillId="3" borderId="27" applyAlignment="1" pivotButton="0" quotePrefix="0" xfId="0">
      <alignment horizontal="left" vertical="center"/>
    </xf>
    <xf numFmtId="0" fontId="30" fillId="10" borderId="29" applyAlignment="1" pivotButton="0" quotePrefix="0" xfId="0">
      <alignment horizontal="center" vertical="center"/>
    </xf>
    <xf numFmtId="0" fontId="31" fillId="7" borderId="30" applyAlignment="1" pivotButton="0" quotePrefix="0" xfId="0">
      <alignment horizontal="left" vertical="center"/>
    </xf>
    <xf numFmtId="0" fontId="32" fillId="2" borderId="1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33" fillId="12" borderId="44" applyAlignment="1" pivotButton="0" quotePrefix="0" xfId="0">
      <alignment horizontal="center" vertical="center"/>
    </xf>
    <xf numFmtId="0" fontId="34" fillId="10" borderId="45" applyAlignment="1" pivotButton="0" quotePrefix="0" xfId="0">
      <alignment horizontal="center" vertical="center"/>
    </xf>
    <xf numFmtId="0" fontId="35" fillId="10" borderId="26" applyAlignment="1" pivotButton="0" quotePrefix="0" xfId="0">
      <alignment horizontal="center" vertical="center"/>
    </xf>
    <xf numFmtId="0" fontId="36" fillId="4" borderId="27" applyAlignment="1" pivotButton="0" quotePrefix="0" xfId="0">
      <alignment horizontal="center" vertical="center"/>
    </xf>
    <xf numFmtId="0" fontId="25" fillId="3" borderId="27" applyAlignment="1" pivotButton="0" quotePrefix="0" xfId="0">
      <alignment horizontal="left" vertical="center"/>
    </xf>
    <xf numFmtId="0" fontId="37" fillId="3" borderId="27" applyAlignment="1" pivotButton="0" quotePrefix="0" xfId="0">
      <alignment horizontal="left" vertical="center"/>
    </xf>
    <xf numFmtId="0" fontId="27" fillId="4" borderId="27" applyAlignment="1" pivotButton="0" quotePrefix="0" xfId="0">
      <alignment horizontal="left" vertical="center"/>
    </xf>
    <xf numFmtId="165" fontId="37" fillId="3" borderId="27" applyAlignment="1" pivotButton="0" quotePrefix="0" xfId="0">
      <alignment horizontal="right" vertical="center"/>
    </xf>
    <xf numFmtId="165" fontId="38" fillId="3" borderId="27" applyAlignment="1" pivotButton="0" quotePrefix="0" xfId="0">
      <alignment horizontal="right" vertical="center"/>
    </xf>
    <xf numFmtId="0" fontId="36" fillId="4" borderId="28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165" fontId="39" fillId="10" borderId="46" applyAlignment="1" pivotButton="0" quotePrefix="0" xfId="0">
      <alignment horizontal="right" vertical="center"/>
    </xf>
    <xf numFmtId="0" fontId="35" fillId="10" borderId="46" applyAlignment="1" pivotButton="0" quotePrefix="0" xfId="0">
      <alignment horizontal="center" vertical="center"/>
    </xf>
    <xf numFmtId="0" fontId="36" fillId="11" borderId="27" applyAlignment="1" pivotButton="0" quotePrefix="0" xfId="0">
      <alignment horizontal="center" vertical="center"/>
    </xf>
    <xf numFmtId="0" fontId="25" fillId="7" borderId="27" applyAlignment="1" pivotButton="0" quotePrefix="0" xfId="0">
      <alignment horizontal="left" vertical="center"/>
    </xf>
    <xf numFmtId="0" fontId="37" fillId="7" borderId="27" applyAlignment="1" pivotButton="0" quotePrefix="0" xfId="0">
      <alignment horizontal="left" vertical="center"/>
    </xf>
    <xf numFmtId="0" fontId="27" fillId="11" borderId="27" applyAlignment="1" pivotButton="0" quotePrefix="0" xfId="0">
      <alignment horizontal="left" vertical="center"/>
    </xf>
    <xf numFmtId="165" fontId="37" fillId="7" borderId="27" applyAlignment="1" pivotButton="0" quotePrefix="0" xfId="0">
      <alignment horizontal="right" vertical="center"/>
    </xf>
    <xf numFmtId="165" fontId="38" fillId="7" borderId="27" applyAlignment="1" pivotButton="0" quotePrefix="0" xfId="0">
      <alignment horizontal="right" vertical="center"/>
    </xf>
    <xf numFmtId="0" fontId="36" fillId="11" borderId="28" applyAlignment="1" pivotButton="0" quotePrefix="0" xfId="0">
      <alignment horizontal="center" vertical="center"/>
    </xf>
    <xf numFmtId="0" fontId="13" fillId="11" borderId="27" applyAlignment="1" pivotButton="0" quotePrefix="0" xfId="0">
      <alignment horizontal="center" vertical="center"/>
    </xf>
    <xf numFmtId="0" fontId="35" fillId="10" borderId="29" applyAlignment="1" pivotButton="0" quotePrefix="0" xfId="0">
      <alignment horizontal="center" vertical="center"/>
    </xf>
    <xf numFmtId="0" fontId="36" fillId="11" borderId="30" applyAlignment="1" pivotButton="0" quotePrefix="0" xfId="0">
      <alignment horizontal="center" vertical="center"/>
    </xf>
    <xf numFmtId="0" fontId="25" fillId="7" borderId="30" applyAlignment="1" pivotButton="0" quotePrefix="0" xfId="0">
      <alignment horizontal="left" vertical="center"/>
    </xf>
    <xf numFmtId="0" fontId="37" fillId="7" borderId="30" applyAlignment="1" pivotButton="0" quotePrefix="0" xfId="0">
      <alignment horizontal="left" vertical="center"/>
    </xf>
    <xf numFmtId="0" fontId="27" fillId="11" borderId="30" applyAlignment="1" pivotButton="0" quotePrefix="0" xfId="0">
      <alignment horizontal="left" vertical="center"/>
    </xf>
    <xf numFmtId="165" fontId="37" fillId="7" borderId="30" applyAlignment="1" pivotButton="0" quotePrefix="0" xfId="0">
      <alignment horizontal="right" vertical="center"/>
    </xf>
    <xf numFmtId="165" fontId="38" fillId="7" borderId="30" applyAlignment="1" pivotButton="0" quotePrefix="0" xfId="0">
      <alignment horizontal="right" vertical="center"/>
    </xf>
    <xf numFmtId="0" fontId="36" fillId="11" borderId="31" applyAlignment="1" pivotButton="0" quotePrefix="0" xfId="0">
      <alignment horizontal="center" vertical="center"/>
    </xf>
    <xf numFmtId="0" fontId="13" fillId="11" borderId="30" applyAlignment="1" pivotButton="0" quotePrefix="0" xfId="0">
      <alignment horizontal="center" vertical="center"/>
    </xf>
    <xf numFmtId="165" fontId="39" fillId="10" borderId="47" applyAlignment="1" pivotButton="0" quotePrefix="0" xfId="0">
      <alignment horizontal="right" vertical="center"/>
    </xf>
    <xf numFmtId="0" fontId="35" fillId="10" borderId="47" applyAlignment="1" pivotButton="0" quotePrefix="0" xfId="0">
      <alignment horizontal="center" vertical="center"/>
    </xf>
    <xf numFmtId="0" fontId="40" fillId="2" borderId="15" applyAlignment="1" pivotButton="0" quotePrefix="0" xfId="0">
      <alignment horizontal="center" vertical="center"/>
    </xf>
    <xf numFmtId="164" fontId="13" fillId="3" borderId="26" applyAlignment="1" pivotButton="0" quotePrefix="0" xfId="0">
      <alignment horizontal="left" vertical="center"/>
    </xf>
    <xf numFmtId="165" fontId="41" fillId="13" borderId="27" applyAlignment="1" pivotButton="0" quotePrefix="0" xfId="0">
      <alignment horizontal="right" vertical="center"/>
    </xf>
    <xf numFmtId="165" fontId="42" fillId="14" borderId="27" applyAlignment="1" pivotButton="0" quotePrefix="0" xfId="0">
      <alignment horizontal="right" vertical="center"/>
    </xf>
    <xf numFmtId="165" fontId="43" fillId="10" borderId="27" applyAlignment="1" pivotButton="0" quotePrefix="0" xfId="0">
      <alignment horizontal="right" vertical="center"/>
    </xf>
    <xf numFmtId="165" fontId="6" fillId="4" borderId="48" applyAlignment="1" pivotButton="0" quotePrefix="0" xfId="0">
      <alignment horizontal="right" vertical="center"/>
    </xf>
    <xf numFmtId="168" fontId="26" fillId="3" borderId="28" applyAlignment="1" pivotButton="0" quotePrefix="0" xfId="0">
      <alignment horizontal="center" vertical="center"/>
    </xf>
    <xf numFmtId="164" fontId="13" fillId="7" borderId="26" applyAlignment="1" pivotButton="0" quotePrefix="0" xfId="0">
      <alignment horizontal="left" vertical="center"/>
    </xf>
    <xf numFmtId="165" fontId="41" fillId="15" borderId="27" applyAlignment="1" pivotButton="0" quotePrefix="0" xfId="0">
      <alignment horizontal="right" vertical="center"/>
    </xf>
    <xf numFmtId="165" fontId="42" fillId="16" borderId="27" applyAlignment="1" pivotButton="0" quotePrefix="0" xfId="0">
      <alignment horizontal="right" vertical="center"/>
    </xf>
    <xf numFmtId="165" fontId="43" fillId="17" borderId="27" applyAlignment="1" pivotButton="0" quotePrefix="0" xfId="0">
      <alignment horizontal="right" vertical="center"/>
    </xf>
    <xf numFmtId="165" fontId="6" fillId="11" borderId="48" applyAlignment="1" pivotButton="0" quotePrefix="0" xfId="0">
      <alignment horizontal="right" vertical="center"/>
    </xf>
    <xf numFmtId="168" fontId="26" fillId="7" borderId="28" applyAlignment="1" pivotButton="0" quotePrefix="0" xfId="0">
      <alignment horizontal="center" vertical="center"/>
    </xf>
    <xf numFmtId="0" fontId="18" fillId="2" borderId="4" applyAlignment="1" pivotButton="0" quotePrefix="0" xfId="0">
      <alignment horizontal="center" vertical="center"/>
    </xf>
    <xf numFmtId="165" fontId="18" fillId="2" borderId="4" applyAlignment="1" pivotButton="0" quotePrefix="0" xfId="0">
      <alignment horizontal="right" vertical="center"/>
    </xf>
    <xf numFmtId="0" fontId="18" fillId="9" borderId="25" applyAlignment="1" pivotButton="0" quotePrefix="0" xfId="0">
      <alignment horizontal="center" vertical="center"/>
    </xf>
    <xf numFmtId="165" fontId="18" fillId="9" borderId="25" applyAlignment="1" pivotButton="0" quotePrefix="0" xfId="0">
      <alignment horizontal="right" vertical="center"/>
    </xf>
    <xf numFmtId="0" fontId="44" fillId="9" borderId="1" applyAlignment="1" pivotButton="0" quotePrefix="0" xfId="0">
      <alignment horizontal="center" vertical="center"/>
    </xf>
    <xf numFmtId="0" fontId="40" fillId="2" borderId="1" applyAlignment="1" pivotButton="0" quotePrefix="0" xfId="0">
      <alignment horizontal="center" vertical="center"/>
    </xf>
    <xf numFmtId="0" fontId="25" fillId="5" borderId="32" applyAlignment="1" pivotButton="0" quotePrefix="0" xfId="0">
      <alignment horizontal="left" vertical="center" wrapText="1"/>
    </xf>
    <xf numFmtId="0" fontId="45" fillId="14" borderId="26" applyAlignment="1" pivotButton="0" quotePrefix="0" xfId="0">
      <alignment horizontal="left" vertical="center"/>
    </xf>
    <xf numFmtId="0" fontId="41" fillId="13" borderId="27" applyAlignment="1" pivotButton="0" quotePrefix="0" xfId="0">
      <alignment horizontal="left" vertical="center"/>
    </xf>
    <xf numFmtId="165" fontId="13" fillId="4" borderId="27" applyAlignment="1" pivotButton="0" quotePrefix="0" xfId="0">
      <alignment horizontal="right" vertical="center"/>
    </xf>
    <xf numFmtId="0" fontId="46" fillId="3" borderId="27" applyAlignment="1" pivotButton="0" quotePrefix="0" xfId="0">
      <alignment horizontal="center" vertical="center"/>
    </xf>
    <xf numFmtId="0" fontId="12" fillId="3" borderId="28" applyAlignment="1" pivotButton="0" quotePrefix="0" xfId="0">
      <alignment horizontal="left" vertical="center"/>
    </xf>
    <xf numFmtId="0" fontId="45" fillId="16" borderId="26" applyAlignment="1" pivotButton="0" quotePrefix="0" xfId="0">
      <alignment horizontal="left" vertical="center"/>
    </xf>
    <xf numFmtId="0" fontId="41" fillId="15" borderId="27" applyAlignment="1" pivotButton="0" quotePrefix="0" xfId="0">
      <alignment horizontal="left" vertical="center"/>
    </xf>
    <xf numFmtId="165" fontId="13" fillId="11" borderId="27" applyAlignment="1" pivotButton="0" quotePrefix="0" xfId="0">
      <alignment horizontal="right" vertical="center"/>
    </xf>
    <xf numFmtId="0" fontId="46" fillId="7" borderId="27" applyAlignment="1" pivotButton="0" quotePrefix="0" xfId="0">
      <alignment horizontal="center" vertical="center"/>
    </xf>
    <xf numFmtId="0" fontId="12" fillId="7" borderId="28" applyAlignment="1" pivotButton="0" quotePrefix="0" xfId="0">
      <alignment horizontal="left" vertical="center"/>
    </xf>
    <xf numFmtId="0" fontId="45" fillId="16" borderId="29" applyAlignment="1" pivotButton="0" quotePrefix="0" xfId="0">
      <alignment horizontal="left" vertical="center"/>
    </xf>
    <xf numFmtId="0" fontId="41" fillId="15" borderId="30" applyAlignment="1" pivotButton="0" quotePrefix="0" xfId="0">
      <alignment horizontal="left" vertical="center"/>
    </xf>
    <xf numFmtId="165" fontId="13" fillId="11" borderId="30" applyAlignment="1" pivotButton="0" quotePrefix="0" xfId="0">
      <alignment horizontal="right" vertical="center"/>
    </xf>
    <xf numFmtId="0" fontId="46" fillId="7" borderId="30" applyAlignment="1" pivotButton="0" quotePrefix="0" xfId="0">
      <alignment horizontal="center" vertical="center"/>
    </xf>
    <xf numFmtId="0" fontId="12" fillId="7" borderId="31" applyAlignment="1" pivotButton="0" quotePrefix="0" xfId="0">
      <alignment horizontal="left" vertical="center"/>
    </xf>
    <xf numFmtId="0" fontId="18" fillId="2" borderId="49" applyAlignment="1" pivotButton="0" quotePrefix="0" xfId="0">
      <alignment horizontal="center" vertical="center"/>
    </xf>
    <xf numFmtId="0" fontId="2" fillId="0" borderId="50" pivotButton="0" quotePrefix="0" xfId="0"/>
    <xf numFmtId="0" fontId="47" fillId="2" borderId="49" applyAlignment="1" pivotButton="0" quotePrefix="0" xfId="0">
      <alignment horizontal="center" vertical="center"/>
    </xf>
    <xf numFmtId="0" fontId="22" fillId="7" borderId="14" applyAlignment="1" pivotButton="0" quotePrefix="0" xfId="0">
      <alignment horizontal="left" vertical="center"/>
    </xf>
    <xf numFmtId="0" fontId="2" fillId="0" borderId="51" pivotButton="0" quotePrefix="0" xfId="0"/>
    <xf numFmtId="0" fontId="37" fillId="4" borderId="14" applyAlignment="1" pivotButton="0" quotePrefix="0" xfId="0">
      <alignment horizontal="left" vertical="center"/>
    </xf>
    <xf numFmtId="0" fontId="23" fillId="12" borderId="5" applyAlignment="1" pivotButton="0" quotePrefix="0" xfId="0">
      <alignment horizontal="center" vertical="center"/>
    </xf>
    <xf numFmtId="0" fontId="13" fillId="3" borderId="26" applyAlignment="1" pivotButton="0" quotePrefix="0" xfId="0">
      <alignment horizontal="left" vertical="center"/>
    </xf>
    <xf numFmtId="169" fontId="38" fillId="3" borderId="27" applyAlignment="1" pivotButton="0" quotePrefix="0" xfId="0">
      <alignment horizontal="right" vertical="center"/>
    </xf>
    <xf numFmtId="165" fontId="25" fillId="3" borderId="27" applyAlignment="1" pivotButton="0" quotePrefix="0" xfId="0">
      <alignment horizontal="right" vertical="center"/>
    </xf>
    <xf numFmtId="165" fontId="25" fillId="3" borderId="28" applyAlignment="1" pivotButton="0" quotePrefix="0" xfId="0">
      <alignment horizontal="right" vertical="center"/>
    </xf>
    <xf numFmtId="0" fontId="13" fillId="7" borderId="26" applyAlignment="1" pivotButton="0" quotePrefix="0" xfId="0">
      <alignment horizontal="left" vertical="center"/>
    </xf>
    <xf numFmtId="169" fontId="38" fillId="7" borderId="27" applyAlignment="1" pivotButton="0" quotePrefix="0" xfId="0">
      <alignment horizontal="right" vertical="center"/>
    </xf>
    <xf numFmtId="165" fontId="25" fillId="7" borderId="27" applyAlignment="1" pivotButton="0" quotePrefix="0" xfId="0">
      <alignment horizontal="right" vertical="center"/>
    </xf>
    <xf numFmtId="165" fontId="25" fillId="7" borderId="28" applyAlignment="1" pivotButton="0" quotePrefix="0" xfId="0">
      <alignment horizontal="right" vertical="center"/>
    </xf>
    <xf numFmtId="0" fontId="13" fillId="7" borderId="29" applyAlignment="1" pivotButton="0" quotePrefix="0" xfId="0">
      <alignment horizontal="left" vertical="center"/>
    </xf>
    <xf numFmtId="169" fontId="38" fillId="7" borderId="30" applyAlignment="1" pivotButton="0" quotePrefix="0" xfId="0">
      <alignment horizontal="right" vertical="center"/>
    </xf>
    <xf numFmtId="165" fontId="25" fillId="7" borderId="30" applyAlignment="1" pivotButton="0" quotePrefix="0" xfId="0">
      <alignment horizontal="right" vertical="center"/>
    </xf>
    <xf numFmtId="165" fontId="25" fillId="7" borderId="31" applyAlignment="1" pivotButton="0" quotePrefix="0" xfId="0">
      <alignment horizontal="right" vertical="center"/>
    </xf>
    <xf numFmtId="9" fontId="18" fillId="2" borderId="4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46" applyAlignment="1" pivotButton="0" quotePrefix="0" xfId="0">
      <alignment horizontal="center" vertical="center"/>
    </xf>
    <xf numFmtId="0" fontId="4" fillId="2" borderId="46" applyAlignment="1" pivotButton="0" quotePrefix="0" xfId="0">
      <alignment horizontal="center" vertical="center"/>
    </xf>
    <xf numFmtId="0" fontId="5" fillId="2" borderId="46" applyAlignment="1" pivotButton="0" quotePrefix="0" xfId="0">
      <alignment horizontal="left" vertical="center"/>
    </xf>
    <xf numFmtId="0" fontId="5" fillId="6" borderId="46" applyAlignment="1" pivotButton="0" quotePrefix="0" xfId="0">
      <alignment horizontal="left" vertical="center"/>
    </xf>
    <xf numFmtId="0" fontId="13" fillId="7" borderId="10" applyAlignment="1" pivotButton="0" quotePrefix="0" xfId="0">
      <alignment horizontal="left" vertical="center"/>
    </xf>
    <xf numFmtId="0" fontId="0" fillId="0" borderId="7" pivotButton="0" quotePrefix="0" xfId="0"/>
    <xf numFmtId="0" fontId="16" fillId="8" borderId="53" applyAlignment="1" pivotButton="0" quotePrefix="0" xfId="0">
      <alignment horizontal="center" vertical="center"/>
    </xf>
    <xf numFmtId="0" fontId="0" fillId="0" borderId="12" pivotButton="0" quotePrefix="0" xfId="0"/>
    <xf numFmtId="0" fontId="18" fillId="6" borderId="46" applyAlignment="1" pivotButton="0" quotePrefix="0" xfId="0">
      <alignment horizontal="left" vertical="center"/>
    </xf>
    <xf numFmtId="0" fontId="19" fillId="4" borderId="9" applyAlignment="1" pivotButton="0" quotePrefix="0" xfId="0">
      <alignment horizontal="center" vertical="center"/>
    </xf>
    <xf numFmtId="0" fontId="20" fillId="2" borderId="59" applyAlignment="1" pivotButton="0" quotePrefix="0" xfId="0">
      <alignment horizontal="center" vertical="center"/>
    </xf>
    <xf numFmtId="0" fontId="0" fillId="0" borderId="16" pivotButton="0" quotePrefix="0" xfId="0"/>
    <xf numFmtId="0" fontId="21" fillId="2" borderId="57" applyAlignment="1" pivotButton="0" quotePrefix="0" xfId="0">
      <alignment horizontal="left" vertical="center"/>
    </xf>
    <xf numFmtId="0" fontId="0" fillId="0" borderId="19" pivotButton="0" quotePrefix="0" xfId="0"/>
    <xf numFmtId="0" fontId="13" fillId="3" borderId="5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4" pivotButton="0" quotePrefix="0" xfId="0"/>
    <xf numFmtId="0" fontId="22" fillId="3" borderId="46" applyAlignment="1" pivotButton="0" quotePrefix="0" xfId="0">
      <alignment horizontal="left" vertical="center"/>
    </xf>
    <xf numFmtId="164" fontId="13" fillId="3" borderId="5" applyAlignment="1" pivotButton="0" quotePrefix="0" xfId="0">
      <alignment horizontal="left" vertical="center"/>
    </xf>
    <xf numFmtId="168" fontId="13" fillId="3" borderId="5" applyAlignment="1" pivotButton="0" quotePrefix="0" xfId="0">
      <alignment horizontal="left" vertical="center"/>
    </xf>
    <xf numFmtId="0" fontId="0" fillId="0" borderId="33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8" pivotButton="0" quotePrefix="0" xfId="0"/>
    <xf numFmtId="0" fontId="29" fillId="3" borderId="47" applyAlignment="1" pivotButton="0" quotePrefix="0" xfId="0">
      <alignment horizontal="center" vertical="center"/>
    </xf>
    <xf numFmtId="0" fontId="0" fillId="0" borderId="61" pivotButton="0" quotePrefix="0" xfId="0"/>
    <xf numFmtId="0" fontId="32" fillId="2" borderId="46" applyAlignment="1" pivotButton="0" quotePrefix="0" xfId="0">
      <alignment horizontal="center" vertical="center"/>
    </xf>
    <xf numFmtId="0" fontId="40" fillId="2" borderId="59" applyAlignment="1" pivotButton="0" quotePrefix="0" xfId="0">
      <alignment horizontal="center" vertical="center"/>
    </xf>
    <xf numFmtId="0" fontId="44" fillId="9" borderId="46" applyAlignment="1" pivotButton="0" quotePrefix="0" xfId="0">
      <alignment horizontal="center" vertical="center"/>
    </xf>
    <xf numFmtId="0" fontId="40" fillId="2" borderId="46" applyAlignment="1" pivotButton="0" quotePrefix="0" xfId="0">
      <alignment horizontal="center" vertical="center"/>
    </xf>
    <xf numFmtId="0" fontId="25" fillId="5" borderId="35" applyAlignment="1" pivotButton="0" quotePrefix="0" xfId="0">
      <alignment horizontal="left" vertical="center" wrapText="1"/>
    </xf>
    <xf numFmtId="0" fontId="0" fillId="0" borderId="50" pivotButton="0" quotePrefix="0" xfId="0"/>
    <xf numFmtId="0" fontId="47" fillId="2" borderId="4" applyAlignment="1" pivotButton="0" quotePrefix="0" xfId="0">
      <alignment horizontal="center" vertical="center"/>
    </xf>
    <xf numFmtId="0" fontId="22" fillId="7" borderId="27" applyAlignment="1" pivotButton="0" quotePrefix="0" xfId="0">
      <alignment horizontal="left" vertical="center"/>
    </xf>
    <xf numFmtId="0" fontId="0" fillId="0" borderId="51" pivotButton="0" quotePrefix="0" xfId="0"/>
    <xf numFmtId="0" fontId="37" fillId="4" borderId="27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14884"/>
    <outlinePr summaryBelow="1" summaryRight="1"/>
    <pageSetUpPr/>
  </sheetPr>
  <dimension ref="A1:Z999"/>
  <sheetViews>
    <sheetView showGridLines="0" workbookViewId="0">
      <selection activeCell="A1" sqref="A1"/>
    </sheetView>
  </sheetViews>
  <sheetFormatPr baseColWidth="8" defaultColWidth="14.43" defaultRowHeight="15" customHeight="1"/>
  <cols>
    <col width="4.86" customWidth="1" style="182" min="1" max="1"/>
    <col width="39.43" customWidth="1" style="182" min="2" max="2"/>
    <col width="7.57" customWidth="1" style="182" min="3" max="3"/>
    <col width="2" customWidth="1" style="182" min="4" max="6"/>
  </cols>
  <sheetData>
    <row r="1" ht="55.5" customHeight="1" s="182">
      <c r="A1" s="183" t="inlineStr">
        <is>
          <t>⚓  Bordkasse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 ht="24" customHeight="1" s="182">
      <c r="A2" s="184" t="inlineStr">
        <is>
          <t>Ausgabe erfassen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12" customHeight="1" s="182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33.75" customHeight="1" s="182">
      <c r="A4" s="185" t="inlineStr">
        <is>
          <t xml:space="preserve">  1.  Details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7" t="inlineStr">
        <is>
          <t>Datum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8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7" t="inlineStr">
        <is>
          <t>Beschreibung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9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7" t="inlineStr">
        <is>
          <t>Kategorie  (antippen für Auswahl)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1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7" t="inlineStr">
        <is>
          <t>Bezahlt von  (antippen für Auswahl)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1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7" t="inlineStr">
        <is>
          <t>Betrag  (€)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11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12" t="inlineStr">
        <is>
          <t>Alkohol-Anteil (€)    · optional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13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185" t="inlineStr">
        <is>
          <t xml:space="preserve">  2.  Aufteilung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7" t="inlineStr">
        <is>
          <t>Wie aufteilen?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4" t="n"/>
      <c r="B25" s="14" t="inlineStr">
        <is>
          <t>Individuell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4" t="n"/>
      <c r="B26" s="15" t="inlineStr">
        <is>
          <t>►  Gleichmäßig — alle zahlen gleich viel
►  An Bord — nur wer an dem Tag da war
►  Zeitanteilig — nach Anwesenheitstagen
►  Individuell — nur unten markierte Personen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186" t="inlineStr">
        <is>
          <t xml:space="preserve">  Nur bei 'Individuell':  Wer ist dabei?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17" t="inlineStr">
        <is>
          <t>Pro Person auf das Feld tippen und 'x' eingeben (oder leer lassen)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n"/>
      <c r="B30" s="187" t="inlineStr">
        <is>
          <t xml:space="preserve">    Person                                                              x = dabei</t>
        </is>
      </c>
      <c r="C30" s="188" t="n"/>
      <c r="D30" s="188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4" t="n"/>
      <c r="B31" s="21">
        <f>IFERROR(IF(Besatzung!B11="","P1  (leer)",Besatzung!B11),"P1")</f>
        <v/>
      </c>
      <c r="C31" s="23" t="n"/>
      <c r="D31" s="23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 ht="33.75" customHeight="1" s="182">
      <c r="A32" s="4" t="n"/>
      <c r="B32" s="24">
        <f>IFERROR(IF(Besatzung!B12="","P2  (leer)",Besatzung!B12),"P2")</f>
        <v/>
      </c>
      <c r="C32" s="23" t="n"/>
      <c r="D32" s="23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 ht="21.75" customHeight="1" s="182">
      <c r="A33" s="4" t="n"/>
      <c r="B33" s="21">
        <f>IFERROR(IF(Besatzung!B13="","P3  (leer)",Besatzung!B13),"P3")</f>
        <v/>
      </c>
      <c r="C33" s="23" t="n"/>
      <c r="D33" s="23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 ht="21.75" customHeight="1" s="182">
      <c r="A34" s="4" t="n"/>
      <c r="B34" s="24">
        <f>IFERROR(IF(Besatzung!B14="","P4  (leer)",Besatzung!B14),"P4")</f>
        <v/>
      </c>
      <c r="C34" s="23" t="n"/>
      <c r="D34" s="23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 ht="33.75" customHeight="1" s="182">
      <c r="A35" s="4" t="n"/>
      <c r="B35" s="21">
        <f>IFERROR(IF(Besatzung!B15="","P5  (leer)",Besatzung!B15),"P5")</f>
        <v/>
      </c>
      <c r="C35" s="23" t="n"/>
      <c r="D35" s="23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 ht="33.75" customHeight="1" s="182">
      <c r="A36" s="4" t="n"/>
      <c r="B36" s="24">
        <f>IFERROR(IF(Besatzung!B16="","P6  (leer)",Besatzung!B16),"P6")</f>
        <v/>
      </c>
      <c r="C36" s="23" t="n"/>
      <c r="D36" s="23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33.75" customHeight="1" s="182">
      <c r="A37" s="4" t="n"/>
      <c r="B37" s="21">
        <f>IFERROR(IF(Besatzung!B17="","P7  (leer)",Besatzung!B17),"P7")</f>
        <v/>
      </c>
      <c r="C37" s="23" t="n"/>
      <c r="D37" s="23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33.75" customHeight="1" s="182">
      <c r="A38" s="4" t="n"/>
      <c r="B38" s="24">
        <f>IFERROR(IF(Besatzung!B18="","P8  (leer)",Besatzung!B18),"P8")</f>
        <v/>
      </c>
      <c r="C38" s="23" t="n"/>
      <c r="D38" s="23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 ht="33.75" customHeight="1" s="182">
      <c r="A39" s="4" t="n"/>
      <c r="B39" s="21">
        <f>IFERROR(IF(Besatzung!B19="","P9  (leer)",Besatzung!B19),"P9")</f>
        <v/>
      </c>
      <c r="C39" s="23" t="n"/>
      <c r="D39" s="23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 ht="33.75" customHeight="1" s="182">
      <c r="A40" s="4" t="n"/>
      <c r="B40" s="24">
        <f>IFERROR(IF(Besatzung!B20="","P10  (leer)",Besatzung!B20),"P10")</f>
        <v/>
      </c>
      <c r="C40" s="23" t="n"/>
      <c r="D40" s="23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 ht="33.75" customHeight="1" s="182">
      <c r="A41" s="4" t="n"/>
      <c r="B41" s="21">
        <f>IFERROR(IF(Besatzung!B21="","P11  (leer)",Besatzung!B21),"P11")</f>
        <v/>
      </c>
      <c r="C41" s="23" t="n"/>
      <c r="D41" s="23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33.75" customHeight="1" s="182">
      <c r="A42" s="4" t="n"/>
      <c r="B42" s="24">
        <f>IFERROR(IF(Besatzung!B22="","P12  (leer)",Besatzung!B22),"P12")</f>
        <v/>
      </c>
      <c r="C42" s="23" t="n"/>
      <c r="D42" s="23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 ht="33.75" customHeight="1" s="182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 ht="33.75" customHeight="1" s="182">
      <c r="A44" s="189" t="inlineStr">
        <is>
          <t>▶   SPEICHERN</t>
        </is>
      </c>
      <c r="B44" s="190" t="n"/>
      <c r="C44" s="190" t="n"/>
      <c r="D44" s="190" t="n"/>
      <c r="E44" s="190" t="n"/>
      <c r="F44" s="4" t="n"/>
      <c r="G44" s="4" t="n"/>
      <c r="H44" s="4" t="n"/>
      <c r="I44" s="4" t="n"/>
      <c r="J44" s="4" t="n"/>
      <c r="K44" s="4" t="n"/>
      <c r="L44" s="4" t="n"/>
    </row>
    <row r="45" ht="30" customHeight="1" s="182">
      <c r="A45" s="29" t="inlineStr">
        <is>
          <t>Tippe hier (Desktop) oder nutze Menü: ⚓ Bordkasse → 💾 Speichern (Mobile)</t>
        </is>
      </c>
      <c r="F45" s="30" t="n"/>
      <c r="G45" s="30" t="n"/>
      <c r="H45" s="30" t="n"/>
      <c r="I45" s="30" t="n"/>
      <c r="J45" s="30" t="n"/>
      <c r="K45" s="30" t="n"/>
      <c r="L45" s="30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</row>
    <row r="46" ht="13.5" customHeight="1" s="182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 ht="33.75" customHeight="1" s="182">
      <c r="A47" s="191" t="inlineStr">
        <is>
          <t xml:space="preserve">  Zuletzt erfasst</t>
        </is>
      </c>
      <c r="F47" s="4" t="n"/>
      <c r="G47" s="4" t="n"/>
      <c r="H47" s="4" t="n"/>
      <c r="I47" s="4" t="n"/>
      <c r="J47" s="4" t="n"/>
      <c r="K47" s="4" t="n"/>
      <c r="L47" s="4" t="n"/>
    </row>
    <row r="48" ht="21.75" customHeight="1" s="182">
      <c r="A48" s="4" t="n"/>
      <c r="B48" s="192">
        <f>IFERROR("Letzte: "&amp;TEXT(Transaktionen!B203,"TT.MM.JJJJ")&amp;" · "&amp;Transaktionen!D203&amp;" · "&amp;TEXT(Transaktionen!G203,"#,##0.00 €"),"(noch keine Transaktionen erfasst)")</f>
        <v/>
      </c>
      <c r="C48" s="188" t="n"/>
      <c r="D48" s="188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43.5" customHeight="1" s="182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7.5" customHeight="1" s="182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 ht="21.75" customHeight="1" s="182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 ht="43.5" customHeight="1" s="18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 ht="21.75" customHeight="1" s="182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 ht="19.5" customHeight="1" s="182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 ht="60" customHeight="1" s="182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 ht="21.75" customHeight="1" s="182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 ht="9.75" customHeight="1" s="182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 ht="24" customHeight="1" s="182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 ht="27.75" customHeight="1" s="182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 ht="15.75" customHeight="1" s="182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 ht="15.75" customHeight="1" s="182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15.75" customHeight="1" s="18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 ht="15.75" customHeight="1" s="182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 ht="15.75" customHeight="1" s="182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 ht="15.75" customHeight="1" s="182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 ht="15.75" customHeight="1" s="182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 ht="15.75" customHeight="1" s="18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5.75" customHeight="1" s="182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 ht="15.75" customHeight="1" s="182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 ht="15.75" customHeight="1" s="182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 ht="15.75" customHeight="1" s="182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 ht="15.75" customHeight="1" s="18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 ht="15.75" customHeight="1" s="182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 ht="15.75" customHeight="1" s="182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 ht="15.75" customHeight="1" s="182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 ht="15.75" customHeight="1" s="182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 ht="15.75" customHeight="1" s="182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 ht="15.75" customHeight="1" s="182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 ht="15.75" customHeight="1" s="182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 ht="15.75" customHeight="1" s="182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 ht="15.75" customHeight="1" s="182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 ht="15.75" customHeight="1" s="1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 ht="15.75" customHeight="1" s="182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 ht="15.75" customHeight="1" s="182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 ht="15.75" customHeight="1" s="182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 ht="15.75" customHeight="1" s="182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 ht="15.75" customHeight="1" s="182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 ht="15.75" customHeight="1" s="182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 ht="15.75" customHeight="1" s="182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 ht="15.75" customHeight="1" s="182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 ht="15.75" customHeight="1" s="182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 ht="15.75" customHeight="1" s="18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 ht="15.75" customHeight="1" s="182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 ht="15.75" customHeight="1" s="182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 ht="15.75" customHeight="1" s="182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 ht="15.75" customHeight="1" s="182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 ht="15.75" customHeight="1" s="182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 ht="15.75" customHeight="1" s="182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 ht="15.75" customHeight="1" s="182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 ht="15.75" customHeight="1" s="182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 ht="15.75" customHeight="1" s="182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 ht="15.75" customHeight="1" s="18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 ht="15.75" customHeight="1" s="182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 ht="15.75" customHeight="1" s="182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 ht="15.75" customHeight="1" s="182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 ht="15.75" customHeight="1" s="182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 ht="15.75" customHeight="1" s="182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</row>
    <row r="108" ht="15.75" customHeight="1" s="182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</row>
    <row r="109" ht="15.75" customHeight="1" s="182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 ht="15.75" customHeight="1" s="182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</row>
    <row r="111" ht="15.75" customHeight="1" s="182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</row>
    <row r="112" ht="15.75" customHeight="1" s="18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</row>
    <row r="113" ht="15.75" customHeight="1" s="182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 ht="15.75" customHeight="1" s="182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 ht="15.75" customHeight="1" s="182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 ht="15.75" customHeight="1" s="182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 ht="15.75" customHeight="1" s="182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 ht="15.75" customHeight="1" s="182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 ht="15.75" customHeight="1" s="182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 ht="15.75" customHeight="1" s="182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 ht="15.75" customHeight="1" s="182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 ht="15.75" customHeight="1" s="18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 ht="15.75" customHeight="1" s="182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 ht="15.75" customHeight="1" s="182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</row>
    <row r="125" ht="15.75" customHeight="1" s="182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</row>
    <row r="126" ht="15.75" customHeight="1" s="182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</row>
    <row r="127" ht="15.75" customHeight="1" s="182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</row>
    <row r="128" ht="15.75" customHeight="1" s="182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 ht="15.75" customHeight="1" s="182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</row>
    <row r="130" ht="15.75" customHeight="1" s="182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</row>
    <row r="131" ht="15.75" customHeight="1" s="182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 ht="15.75" customHeight="1" s="18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 ht="15.75" customHeight="1" s="182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 ht="15.75" customHeight="1" s="182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 ht="15.75" customHeight="1" s="182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 ht="15.75" customHeight="1" s="182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 ht="15.75" customHeight="1" s="182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 ht="15.75" customHeight="1" s="182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 ht="15.75" customHeight="1" s="182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 ht="15.75" customHeight="1" s="182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 ht="15.75" customHeight="1" s="182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 ht="15.75" customHeight="1" s="18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 ht="15.75" customHeight="1" s="182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 ht="15.75" customHeight="1" s="182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</row>
    <row r="145" ht="15.75" customHeight="1" s="182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</row>
    <row r="146" ht="15.75" customHeight="1" s="182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</row>
    <row r="147" ht="15.75" customHeight="1" s="182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</row>
    <row r="148" ht="15.75" customHeight="1" s="182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</row>
    <row r="149" ht="15.75" customHeight="1" s="182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 ht="15.75" customHeight="1" s="182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 ht="15.75" customHeight="1" s="182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 ht="15.75" customHeight="1" s="18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 ht="15.75" customHeight="1" s="182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 ht="15.75" customHeight="1" s="182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 ht="15.75" customHeight="1" s="182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 ht="15.75" customHeight="1" s="182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 ht="15.75" customHeight="1" s="182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 ht="15.75" customHeight="1" s="182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 ht="15.75" customHeight="1" s="182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 ht="15.75" customHeight="1" s="182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</row>
    <row r="161" ht="15.75" customHeight="1" s="182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</row>
    <row r="162" ht="15.75" customHeight="1" s="18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</row>
    <row r="163" ht="15.75" customHeight="1" s="182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</row>
    <row r="164" ht="15.75" customHeight="1" s="182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</row>
    <row r="165" ht="15.75" customHeight="1" s="182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</row>
    <row r="166" ht="15.75" customHeight="1" s="182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</row>
    <row r="167" ht="15.75" customHeight="1" s="182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 ht="15.75" customHeight="1" s="182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 ht="15.75" customHeight="1" s="182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 ht="15.75" customHeight="1" s="182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 ht="15.75" customHeight="1" s="182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 ht="15.75" customHeight="1" s="18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 ht="15.75" customHeight="1" s="182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 ht="15.75" customHeight="1" s="182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 ht="15.75" customHeight="1" s="182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 ht="15.75" customHeight="1" s="182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 ht="15.75" customHeight="1" s="182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 ht="15.75" customHeight="1" s="182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 ht="15.75" customHeight="1" s="182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</row>
    <row r="180" ht="15.75" customHeight="1" s="182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</row>
    <row r="181" ht="15.75" customHeight="1" s="182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</row>
    <row r="182" ht="15.75" customHeight="1" s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</row>
    <row r="183" ht="15.75" customHeight="1" s="182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</row>
    <row r="184" ht="15.75" customHeight="1" s="182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</row>
    <row r="185" ht="15.75" customHeight="1" s="182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 ht="15.75" customHeight="1" s="182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 ht="15.75" customHeight="1" s="182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 ht="15.75" customHeight="1" s="182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 ht="15.75" customHeight="1" s="182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 ht="15.75" customHeight="1" s="182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 ht="15.75" customHeight="1" s="182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 ht="15.75" customHeight="1" s="18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 ht="15.75" customHeight="1" s="182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 ht="15.75" customHeight="1" s="182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 ht="15.75" customHeight="1" s="182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 ht="15.75" customHeight="1" s="182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 ht="15.75" customHeight="1" s="182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</row>
    <row r="198" ht="15.75" customHeight="1" s="182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</row>
    <row r="199" ht="15.75" customHeight="1" s="182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</row>
    <row r="200" ht="15.75" customHeight="1" s="182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</row>
    <row r="201" ht="15.75" customHeight="1" s="182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</row>
    <row r="202" ht="15.75" customHeight="1" s="18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</row>
    <row r="203" ht="15.75" customHeight="1" s="182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 ht="15.75" customHeight="1" s="18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</row>
    <row r="205" ht="15.75" customHeight="1" s="18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</row>
    <row r="206" ht="15.75" customHeight="1" s="18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</row>
    <row r="207" ht="15.75" customHeight="1" s="18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</row>
    <row r="208" ht="15.75" customHeight="1" s="18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</row>
    <row r="209" ht="15.75" customHeight="1" s="18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</row>
    <row r="210" ht="15.75" customHeight="1" s="18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</row>
    <row r="211" ht="15.75" customHeight="1" s="18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</row>
    <row r="212" ht="15.75" customHeight="1" s="18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</row>
    <row r="213" ht="15.75" customHeight="1" s="18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</row>
    <row r="214" ht="15.75" customHeight="1" s="18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</row>
    <row r="215" ht="15.75" customHeight="1" s="18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</row>
    <row r="216" ht="15.75" customHeight="1" s="18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</row>
    <row r="217" ht="15.75" customHeight="1" s="18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</row>
    <row r="218" ht="15.75" customHeight="1" s="18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 ht="15.75" customHeight="1" s="18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</row>
    <row r="220" ht="15.75" customHeight="1" s="18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</row>
    <row r="221" ht="15.75" customHeight="1" s="182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</row>
    <row r="222" ht="15.75" customHeight="1" s="18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</row>
    <row r="223" ht="15.75" customHeight="1" s="182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</row>
    <row r="224" ht="15.75" customHeight="1" s="182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</row>
    <row r="225" ht="15.75" customHeight="1" s="182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</row>
    <row r="226" ht="15.75" customHeight="1" s="182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</row>
    <row r="227" ht="15.75" customHeight="1" s="182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</row>
    <row r="228" ht="15.75" customHeight="1" s="182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</row>
    <row r="229" ht="15.75" customHeight="1" s="182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</row>
    <row r="230" ht="15.75" customHeight="1" s="182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</row>
    <row r="231" ht="15.75" customHeight="1" s="182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</row>
    <row r="232" ht="15.75" customHeight="1" s="18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</row>
    <row r="233" ht="15.75" customHeight="1" s="182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 ht="15.75" customHeight="1" s="182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</row>
    <row r="235" ht="15.75" customHeight="1" s="182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</row>
    <row r="236" ht="15.75" customHeight="1" s="182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</row>
    <row r="237" ht="15.75" customHeight="1" s="182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</row>
    <row r="238" ht="15.75" customHeight="1" s="182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</row>
    <row r="239" ht="15.75" customHeight="1" s="182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</row>
    <row r="240" ht="15.75" customHeight="1" s="182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</row>
    <row r="241" ht="15.75" customHeight="1" s="182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</row>
    <row r="242" ht="15.75" customHeight="1" s="18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</row>
    <row r="243" ht="15.75" customHeight="1" s="182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</row>
    <row r="244" ht="15.75" customHeight="1" s="182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</row>
    <row r="245" ht="15.75" customHeight="1" s="182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</row>
    <row r="246" ht="15.75" customHeight="1" s="182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</row>
    <row r="247" ht="15.75" customHeight="1" s="182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</row>
    <row r="248" ht="15.75" customHeight="1" s="182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 ht="15.75" customHeight="1" s="182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</row>
    <row r="250" ht="15.75" customHeight="1" s="182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</row>
    <row r="251" ht="15.75" customHeight="1" s="182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</row>
    <row r="252" ht="15.75" customHeight="1" s="18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</row>
    <row r="253" ht="15.75" customHeight="1" s="182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</row>
    <row r="254" ht="15.75" customHeight="1" s="182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</row>
    <row r="255" ht="15.75" customHeight="1" s="182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</row>
    <row r="256" ht="15.75" customHeight="1" s="182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</row>
    <row r="257" ht="15.75" customHeight="1" s="182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</row>
    <row r="258" ht="15.75" customHeight="1" s="182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</row>
    <row r="259" ht="15.75" customHeight="1" s="182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</row>
    <row r="260" ht="15.75" customHeight="1" s="182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</row>
    <row r="261" ht="15.75" customHeight="1" s="182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</row>
    <row r="262" ht="15.75" customHeight="1" s="18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 ht="15.75" customHeight="1" s="182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</row>
    <row r="264" ht="15.75" customHeight="1" s="182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</row>
    <row r="265" ht="15.75" customHeight="1" s="182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</row>
    <row r="266" ht="15.75" customHeight="1" s="182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</row>
    <row r="267" ht="15.75" customHeight="1" s="182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</row>
    <row r="268" ht="15.75" customHeight="1" s="182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</row>
    <row r="269" ht="15.75" customHeight="1" s="182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</row>
    <row r="270" ht="15.75" customHeight="1" s="182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</row>
    <row r="271" ht="15.75" customHeight="1" s="182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</row>
    <row r="272" ht="15.75" customHeight="1" s="18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</row>
    <row r="273" ht="15.75" customHeight="1" s="182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</row>
    <row r="274" ht="15.75" customHeight="1" s="182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</row>
    <row r="275" ht="15.75" customHeight="1" s="182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</row>
    <row r="276" ht="15.75" customHeight="1" s="182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</row>
    <row r="277" ht="15.75" customHeight="1" s="182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 ht="15.75" customHeight="1" s="182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</row>
    <row r="279" ht="15.75" customHeight="1" s="182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</row>
    <row r="280" ht="15.75" customHeight="1" s="182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</row>
    <row r="281" ht="15.75" customHeight="1" s="182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</row>
    <row r="282" ht="15.75" customHeight="1" s="1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</row>
    <row r="283" ht="15.75" customHeight="1" s="182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</row>
    <row r="284" ht="15.75" customHeight="1" s="182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</row>
    <row r="285" ht="15.75" customHeight="1" s="182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</row>
    <row r="286" ht="15.75" customHeight="1" s="182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</row>
    <row r="287" ht="15.75" customHeight="1" s="182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</row>
    <row r="288" ht="15.75" customHeight="1" s="182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 ht="15.75" customHeight="1" s="182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</row>
    <row r="290" ht="15.75" customHeight="1" s="182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</row>
    <row r="291" ht="15.75" customHeight="1" s="182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</row>
    <row r="292" ht="15.75" customHeight="1" s="18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</row>
    <row r="293" ht="15.75" customHeight="1" s="182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</row>
    <row r="294" ht="15.75" customHeight="1" s="182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</row>
    <row r="295" ht="15.75" customHeight="1" s="182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</row>
    <row r="296" ht="15.75" customHeight="1" s="182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</row>
    <row r="297" ht="15.75" customHeight="1" s="182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</row>
    <row r="298" ht="15.75" customHeight="1" s="182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</row>
    <row r="299" ht="15.75" customHeight="1" s="182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</row>
    <row r="300" ht="15.75" customHeight="1" s="182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</row>
    <row r="301" ht="15.75" customHeight="1" s="182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</row>
    <row r="302" ht="15.75" customHeight="1" s="18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 ht="15.75" customHeight="1" s="182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</row>
    <row r="304" ht="15.75" customHeight="1" s="182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</row>
    <row r="305" ht="15.75" customHeight="1" s="182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</row>
    <row r="306" ht="15.75" customHeight="1" s="182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</row>
    <row r="307" ht="15.75" customHeight="1" s="182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</row>
    <row r="308" ht="15.75" customHeight="1" s="182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</row>
    <row r="309" ht="15.75" customHeight="1" s="182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</row>
    <row r="310" ht="15.75" customHeight="1" s="182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</row>
    <row r="311" ht="15.75" customHeight="1" s="182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</row>
    <row r="312" ht="15.75" customHeight="1" s="18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</row>
    <row r="313" ht="15.75" customHeight="1" s="182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</row>
    <row r="314" ht="15.75" customHeight="1" s="182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</row>
    <row r="315" ht="15.75" customHeight="1" s="182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</row>
    <row r="316" ht="15.75" customHeight="1" s="182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</row>
    <row r="317" ht="15.75" customHeight="1" s="182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 ht="15.75" customHeight="1" s="182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</row>
    <row r="319" ht="15.75" customHeight="1" s="182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</row>
    <row r="320" ht="15.75" customHeight="1" s="182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</row>
    <row r="321" ht="15.75" customHeight="1" s="182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</row>
    <row r="322" ht="15.75" customHeight="1" s="18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</row>
    <row r="323" ht="15.75" customHeight="1" s="182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</row>
    <row r="324" ht="15.75" customHeight="1" s="182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</row>
    <row r="325" ht="15.75" customHeight="1" s="182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</row>
    <row r="326" ht="15.75" customHeight="1" s="182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</row>
    <row r="327" ht="15.75" customHeight="1" s="182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</row>
    <row r="328" ht="15.75" customHeight="1" s="182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</row>
    <row r="329" ht="15.75" customHeight="1" s="182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</row>
    <row r="330" ht="15.75" customHeight="1" s="182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</row>
    <row r="331" ht="15.75" customHeight="1" s="182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</row>
    <row r="332" ht="15.75" customHeight="1" s="18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 ht="15.75" customHeight="1" s="182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</row>
    <row r="334" ht="15.75" customHeight="1" s="182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</row>
    <row r="335" ht="15.75" customHeight="1" s="182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</row>
    <row r="336" ht="15.75" customHeight="1" s="182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</row>
    <row r="337" ht="15.75" customHeight="1" s="182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</row>
    <row r="338" ht="15.75" customHeight="1" s="182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</row>
    <row r="339" ht="15.75" customHeight="1" s="182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</row>
    <row r="340" ht="15.75" customHeight="1" s="182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</row>
    <row r="341" ht="15.75" customHeight="1" s="182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</row>
    <row r="342" ht="15.75" customHeight="1" s="18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</row>
    <row r="343" ht="15.75" customHeight="1" s="182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</row>
    <row r="344" ht="15.75" customHeight="1" s="182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</row>
    <row r="345" ht="15.75" customHeight="1" s="182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</row>
    <row r="346" ht="15.75" customHeight="1" s="182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</row>
    <row r="347" ht="15.75" customHeight="1" s="182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 ht="15.75" customHeight="1" s="182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</row>
    <row r="349" ht="15.75" customHeight="1" s="182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</row>
    <row r="350" ht="15.75" customHeight="1" s="182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</row>
    <row r="351" ht="15.75" customHeight="1" s="182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</row>
    <row r="352" ht="15.75" customHeight="1" s="18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</row>
    <row r="353" ht="15.75" customHeight="1" s="182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</row>
    <row r="354" ht="15.75" customHeight="1" s="182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</row>
    <row r="355" ht="15.75" customHeight="1" s="182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</row>
    <row r="356" ht="15.75" customHeight="1" s="182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</row>
    <row r="357" ht="15.75" customHeight="1" s="182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</row>
    <row r="358" ht="15.75" customHeight="1" s="182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</row>
    <row r="359" ht="15.75" customHeight="1" s="182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</row>
    <row r="360" ht="15.75" customHeight="1" s="182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</row>
    <row r="361" ht="15.75" customHeight="1" s="182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</row>
    <row r="362" ht="15.75" customHeight="1" s="18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 ht="15.75" customHeight="1" s="182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</row>
    <row r="364" ht="15.75" customHeight="1" s="182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</row>
    <row r="365" ht="15.75" customHeight="1" s="182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</row>
    <row r="366" ht="15.75" customHeight="1" s="182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</row>
    <row r="367" ht="15.75" customHeight="1" s="182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</row>
    <row r="368" ht="15.75" customHeight="1" s="182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</row>
    <row r="369" ht="15.75" customHeight="1" s="182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</row>
    <row r="370" ht="15.75" customHeight="1" s="182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</row>
    <row r="371" ht="15.75" customHeight="1" s="182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</row>
    <row r="372" ht="15.75" customHeight="1" s="18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</row>
    <row r="373" ht="15.75" customHeight="1" s="182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</row>
    <row r="374" ht="15.75" customHeight="1" s="182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</row>
    <row r="375" ht="15.75" customHeight="1" s="182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</row>
    <row r="376" ht="15.75" customHeight="1" s="182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 ht="15.75" customHeight="1" s="182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</row>
    <row r="378" ht="15.75" customHeight="1" s="182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</row>
    <row r="379" ht="15.75" customHeight="1" s="182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</row>
    <row r="380" ht="15.75" customHeight="1" s="182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</row>
    <row r="381" ht="15.75" customHeight="1" s="182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</row>
    <row r="382" ht="15.75" customHeight="1" s="1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</row>
    <row r="383" ht="15.75" customHeight="1" s="182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</row>
    <row r="384" ht="15.75" customHeight="1" s="182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</row>
    <row r="385" ht="15.75" customHeight="1" s="182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</row>
    <row r="386" ht="15.75" customHeight="1" s="182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</row>
    <row r="387" ht="15.75" customHeight="1" s="182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</row>
    <row r="388" ht="15.75" customHeight="1" s="182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</row>
    <row r="389" ht="15.75" customHeight="1" s="182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</row>
    <row r="390" ht="15.75" customHeight="1" s="182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</row>
    <row r="391" ht="15.75" customHeight="1" s="182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 ht="15.75" customHeight="1" s="18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</row>
    <row r="393" ht="15.75" customHeight="1" s="182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</row>
    <row r="394" ht="15.75" customHeight="1" s="182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</row>
    <row r="395" ht="15.75" customHeight="1" s="182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</row>
    <row r="396" ht="15.75" customHeight="1" s="182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</row>
    <row r="397" ht="15.75" customHeight="1" s="182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</row>
    <row r="398" ht="15.75" customHeight="1" s="182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</row>
    <row r="399" ht="15.75" customHeight="1" s="182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</row>
    <row r="400" ht="15.75" customHeight="1" s="182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</row>
    <row r="401" ht="15.75" customHeight="1" s="182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</row>
    <row r="402" ht="15.75" customHeight="1" s="18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</row>
    <row r="403" ht="15.75" customHeight="1" s="182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</row>
    <row r="404" ht="15.75" customHeight="1" s="182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</row>
    <row r="405" ht="15.75" customHeight="1" s="182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</row>
    <row r="406" ht="15.75" customHeight="1" s="182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 ht="15.75" customHeight="1" s="182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</row>
    <row r="408" ht="15.75" customHeight="1" s="182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</row>
    <row r="409" ht="15.75" customHeight="1" s="182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</row>
    <row r="410" ht="15.75" customHeight="1" s="182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</row>
    <row r="411" ht="15.75" customHeight="1" s="182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</row>
    <row r="412" ht="15.75" customHeight="1" s="18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</row>
    <row r="413" ht="15.75" customHeight="1" s="182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</row>
    <row r="414" ht="15.75" customHeight="1" s="182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</row>
    <row r="415" ht="15.75" customHeight="1" s="182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</row>
    <row r="416" ht="15.75" customHeight="1" s="182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</row>
    <row r="417" ht="15.75" customHeight="1" s="182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</row>
    <row r="418" ht="15.75" customHeight="1" s="182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</row>
    <row r="419" ht="15.75" customHeight="1" s="182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</row>
    <row r="420" ht="15.75" customHeight="1" s="182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</row>
    <row r="421" ht="15.75" customHeight="1" s="182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 ht="15.75" customHeight="1" s="18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</row>
    <row r="423" ht="15.75" customHeight="1" s="182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</row>
    <row r="424" ht="15.75" customHeight="1" s="182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</row>
    <row r="425" ht="15.75" customHeight="1" s="182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</row>
    <row r="426" ht="15.75" customHeight="1" s="182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</row>
    <row r="427" ht="15.75" customHeight="1" s="182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</row>
    <row r="428" ht="15.75" customHeight="1" s="182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</row>
    <row r="429" ht="15.75" customHeight="1" s="182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</row>
    <row r="430" ht="15.75" customHeight="1" s="182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</row>
    <row r="431" ht="15.75" customHeight="1" s="182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</row>
    <row r="432" ht="15.75" customHeight="1" s="18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</row>
    <row r="433" ht="15.75" customHeight="1" s="182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</row>
    <row r="434" ht="15.75" customHeight="1" s="182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</row>
    <row r="435" ht="15.75" customHeight="1" s="182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</row>
    <row r="436" ht="15.75" customHeight="1" s="182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 ht="15.75" customHeight="1" s="182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</row>
    <row r="438" ht="15.75" customHeight="1" s="182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</row>
    <row r="439" ht="15.75" customHeight="1" s="182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</row>
    <row r="440" ht="15.75" customHeight="1" s="182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</row>
    <row r="441" ht="15.75" customHeight="1" s="182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</row>
    <row r="442" ht="15.75" customHeight="1" s="18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</row>
    <row r="443" ht="15.75" customHeight="1" s="182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</row>
    <row r="444" ht="15.75" customHeight="1" s="182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</row>
    <row r="445" ht="15.75" customHeight="1" s="182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</row>
    <row r="446" ht="15.75" customHeight="1" s="182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</row>
    <row r="447" ht="15.75" customHeight="1" s="182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</row>
    <row r="448" ht="15.75" customHeight="1" s="182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</row>
    <row r="449" ht="15.75" customHeight="1" s="182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</row>
    <row r="450" ht="15.75" customHeight="1" s="182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</row>
    <row r="451" ht="15.75" customHeight="1" s="182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 ht="15.75" customHeight="1" s="18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</row>
    <row r="453" ht="15.75" customHeight="1" s="182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</row>
    <row r="454" ht="15.75" customHeight="1" s="182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</row>
    <row r="455" ht="15.75" customHeight="1" s="182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</row>
    <row r="456" ht="15.75" customHeight="1" s="182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</row>
    <row r="457" ht="15.75" customHeight="1" s="182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</row>
    <row r="458" ht="15.75" customHeight="1" s="182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</row>
    <row r="459" ht="15.75" customHeight="1" s="182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</row>
    <row r="460" ht="15.75" customHeight="1" s="182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</row>
    <row r="461" ht="15.75" customHeight="1" s="182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</row>
    <row r="462" ht="15.75" customHeight="1" s="18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</row>
    <row r="463" ht="15.75" customHeight="1" s="182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</row>
    <row r="464" ht="15.75" customHeight="1" s="182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</row>
    <row r="465" ht="15.75" customHeight="1" s="182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</row>
    <row r="466" ht="15.75" customHeight="1" s="182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 ht="15.75" customHeight="1" s="182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</row>
    <row r="468" ht="15.75" customHeight="1" s="182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</row>
    <row r="469" ht="15.75" customHeight="1" s="182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</row>
    <row r="470" ht="15.75" customHeight="1" s="182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</row>
    <row r="471" ht="15.75" customHeight="1" s="182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</row>
    <row r="472" ht="15.75" customHeight="1" s="18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</row>
    <row r="473" ht="15.75" customHeight="1" s="182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</row>
    <row r="474" ht="15.75" customHeight="1" s="182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</row>
    <row r="475" ht="15.75" customHeight="1" s="182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</row>
    <row r="476" ht="15.75" customHeight="1" s="182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</row>
    <row r="477" ht="15.75" customHeight="1" s="182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</row>
    <row r="478" ht="15.75" customHeight="1" s="182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</row>
    <row r="479" ht="15.75" customHeight="1" s="182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</row>
    <row r="480" ht="15.75" customHeight="1" s="182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</row>
    <row r="481" ht="15.75" customHeight="1" s="182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 ht="15.75" customHeight="1" s="1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</row>
    <row r="483" ht="15.75" customHeight="1" s="182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</row>
    <row r="484" ht="15.75" customHeight="1" s="182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</row>
    <row r="485" ht="15.75" customHeight="1" s="182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</row>
    <row r="486" ht="15.75" customHeight="1" s="182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</row>
    <row r="487" ht="15.75" customHeight="1" s="182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</row>
    <row r="488" ht="15.75" customHeight="1" s="182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</row>
    <row r="489" ht="15.75" customHeight="1" s="182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</row>
    <row r="490" ht="15.75" customHeight="1" s="182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</row>
    <row r="491" ht="15.75" customHeight="1" s="182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</row>
    <row r="492" ht="15.75" customHeight="1" s="18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</row>
    <row r="493" ht="15.75" customHeight="1" s="182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</row>
    <row r="494" ht="15.75" customHeight="1" s="182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</row>
    <row r="495" ht="15.75" customHeight="1" s="182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</row>
    <row r="496" ht="15.75" customHeight="1" s="182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 ht="15.75" customHeight="1" s="182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</row>
    <row r="498" ht="15.75" customHeight="1" s="182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</row>
    <row r="499" ht="15.75" customHeight="1" s="182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</row>
    <row r="500" ht="15.75" customHeight="1" s="182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</row>
    <row r="501" ht="15.75" customHeight="1" s="182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</row>
    <row r="502" ht="15.75" customHeight="1" s="18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</row>
    <row r="503" ht="15.75" customHeight="1" s="182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</row>
    <row r="504" ht="15.75" customHeight="1" s="182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</row>
    <row r="505" ht="15.75" customHeight="1" s="182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</row>
    <row r="506" ht="15.75" customHeight="1" s="182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</row>
    <row r="507" ht="15.75" customHeight="1" s="182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</row>
    <row r="508" ht="15.75" customHeight="1" s="182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</row>
    <row r="509" ht="15.75" customHeight="1" s="182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</row>
    <row r="510" ht="15.75" customHeight="1" s="182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</row>
    <row r="511" ht="15.75" customHeight="1" s="182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</row>
    <row r="512" ht="15.75" customHeight="1" s="18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</row>
    <row r="513" ht="15.75" customHeight="1" s="182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</row>
    <row r="514" ht="15.75" customHeight="1" s="182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</row>
    <row r="515" ht="15.75" customHeight="1" s="182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</row>
    <row r="516" ht="15.75" customHeight="1" s="182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</row>
    <row r="517" ht="15.75" customHeight="1" s="182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</row>
    <row r="518" ht="15.75" customHeight="1" s="182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</row>
    <row r="519" ht="15.75" customHeight="1" s="182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</row>
    <row r="520" ht="15.75" customHeight="1" s="182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</row>
    <row r="521" ht="15.75" customHeight="1" s="182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</row>
    <row r="522" ht="15.75" customHeight="1" s="18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</row>
    <row r="523" ht="15.75" customHeight="1" s="182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</row>
    <row r="524" ht="15.75" customHeight="1" s="182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</row>
    <row r="525" ht="15.75" customHeight="1" s="182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</row>
    <row r="526" ht="15.75" customHeight="1" s="182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</row>
    <row r="527" ht="15.75" customHeight="1" s="182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</row>
    <row r="528" ht="15.75" customHeight="1" s="182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</row>
    <row r="529" ht="15.75" customHeight="1" s="182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</row>
    <row r="530" ht="15.75" customHeight="1" s="182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</row>
    <row r="531" ht="15.75" customHeight="1" s="182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</row>
    <row r="532" ht="15.75" customHeight="1" s="18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</row>
    <row r="533" ht="15.75" customHeight="1" s="182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</row>
    <row r="534" ht="15.75" customHeight="1" s="182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</row>
    <row r="535" ht="15.75" customHeight="1" s="182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</row>
    <row r="536" ht="15.75" customHeight="1" s="182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</row>
    <row r="537" ht="15.75" customHeight="1" s="182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</row>
    <row r="538" ht="15.75" customHeight="1" s="182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</row>
    <row r="539" ht="15.75" customHeight="1" s="182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</row>
    <row r="540" ht="15.75" customHeight="1" s="182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</row>
    <row r="541" ht="15.75" customHeight="1" s="182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</row>
    <row r="542" ht="15.75" customHeight="1" s="18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</row>
    <row r="543" ht="15.75" customHeight="1" s="182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</row>
    <row r="544" ht="15.75" customHeight="1" s="182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</row>
    <row r="545" ht="15.75" customHeight="1" s="182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</row>
    <row r="546" ht="15.75" customHeight="1" s="182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</row>
    <row r="547" ht="15.75" customHeight="1" s="182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</row>
    <row r="548" ht="15.75" customHeight="1" s="182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</row>
    <row r="549" ht="15.75" customHeight="1" s="182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</row>
    <row r="550" ht="15.75" customHeight="1" s="182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</row>
    <row r="551" ht="15.75" customHeight="1" s="182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</row>
    <row r="552" ht="15.75" customHeight="1" s="18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</row>
    <row r="553" ht="15.75" customHeight="1" s="182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</row>
    <row r="554" ht="15.75" customHeight="1" s="182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</row>
    <row r="555" ht="15.75" customHeight="1" s="182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</row>
    <row r="556" ht="15.75" customHeight="1" s="182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</row>
    <row r="557" ht="15.75" customHeight="1" s="182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</row>
    <row r="558" ht="15.75" customHeight="1" s="182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</row>
    <row r="559" ht="15.75" customHeight="1" s="182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</row>
    <row r="560" ht="15.75" customHeight="1" s="182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</row>
    <row r="561" ht="15.75" customHeight="1" s="182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</row>
    <row r="562" ht="15.75" customHeight="1" s="18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</row>
    <row r="563" ht="15.75" customHeight="1" s="182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</row>
    <row r="564" ht="15.75" customHeight="1" s="182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</row>
    <row r="565" ht="15.75" customHeight="1" s="182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</row>
    <row r="566" ht="15.75" customHeight="1" s="182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</row>
    <row r="567" ht="15.75" customHeight="1" s="182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</row>
    <row r="568" ht="15.75" customHeight="1" s="182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</row>
    <row r="569" ht="15.75" customHeight="1" s="182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</row>
    <row r="570" ht="15.75" customHeight="1" s="182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</row>
    <row r="571" ht="15.75" customHeight="1" s="182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</row>
    <row r="572" ht="15.75" customHeight="1" s="18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</row>
    <row r="573" ht="15.75" customHeight="1" s="182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</row>
    <row r="574" ht="15.75" customHeight="1" s="182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</row>
    <row r="575" ht="15.75" customHeight="1" s="182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</row>
    <row r="576" ht="15.75" customHeight="1" s="182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</row>
    <row r="577" ht="15.75" customHeight="1" s="182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</row>
    <row r="578" ht="15.75" customHeight="1" s="182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</row>
    <row r="579" ht="15.75" customHeight="1" s="182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</row>
    <row r="580" ht="15.75" customHeight="1" s="182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</row>
    <row r="581" ht="15.75" customHeight="1" s="182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</row>
    <row r="582" ht="15.75" customHeight="1" s="1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</row>
    <row r="583" ht="15.75" customHeight="1" s="182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</row>
    <row r="584" ht="15.75" customHeight="1" s="182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</row>
    <row r="585" ht="15.75" customHeight="1" s="182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</row>
    <row r="586" ht="15.75" customHeight="1" s="182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</row>
    <row r="587" ht="15.75" customHeight="1" s="182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</row>
    <row r="588" ht="15.75" customHeight="1" s="182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</row>
    <row r="589" ht="15.75" customHeight="1" s="182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</row>
    <row r="590" ht="15.75" customHeight="1" s="182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</row>
    <row r="591" ht="15.75" customHeight="1" s="182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</row>
    <row r="592" ht="15.75" customHeight="1" s="18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</row>
    <row r="593" ht="15.75" customHeight="1" s="182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</row>
    <row r="594" ht="15.75" customHeight="1" s="182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</row>
    <row r="595" ht="15.75" customHeight="1" s="182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</row>
    <row r="596" ht="15.75" customHeight="1" s="182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</row>
    <row r="597" ht="15.75" customHeight="1" s="182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</row>
    <row r="598" ht="15.75" customHeight="1" s="182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</row>
    <row r="599" ht="15.75" customHeight="1" s="182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</row>
    <row r="600" ht="15.75" customHeight="1" s="182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</row>
    <row r="601" ht="15.75" customHeight="1" s="182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</row>
    <row r="602" ht="15.75" customHeight="1" s="18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</row>
    <row r="603" ht="15.75" customHeight="1" s="182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</row>
    <row r="604" ht="15.75" customHeight="1" s="182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</row>
    <row r="605" ht="15.75" customHeight="1" s="182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</row>
    <row r="606" ht="15.75" customHeight="1" s="182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</row>
    <row r="607" ht="15.75" customHeight="1" s="182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</row>
    <row r="608" ht="15.75" customHeight="1" s="182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</row>
    <row r="609" ht="15.75" customHeight="1" s="182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</row>
    <row r="610" ht="15.75" customHeight="1" s="182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</row>
    <row r="611" ht="15.75" customHeight="1" s="182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</row>
    <row r="612" ht="15.75" customHeight="1" s="18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</row>
    <row r="613" ht="15.75" customHeight="1" s="182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</row>
    <row r="614" ht="15.75" customHeight="1" s="182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</row>
    <row r="615" ht="15.75" customHeight="1" s="182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</row>
    <row r="616" ht="15.75" customHeight="1" s="182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</row>
    <row r="617" ht="15.75" customHeight="1" s="182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</row>
    <row r="618" ht="15.75" customHeight="1" s="182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</row>
    <row r="619" ht="15.75" customHeight="1" s="182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</row>
    <row r="620" ht="15.75" customHeight="1" s="182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</row>
    <row r="621" ht="15.75" customHeight="1" s="182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</row>
    <row r="622" ht="15.75" customHeight="1" s="18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</row>
    <row r="623" ht="15.75" customHeight="1" s="182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</row>
    <row r="624" ht="15.75" customHeight="1" s="182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</row>
    <row r="625" ht="15.75" customHeight="1" s="182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</row>
    <row r="626" ht="15.75" customHeight="1" s="182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</row>
    <row r="627" ht="15.75" customHeight="1" s="182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</row>
    <row r="628" ht="15.75" customHeight="1" s="182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</row>
    <row r="629" ht="15.75" customHeight="1" s="182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</row>
    <row r="630" ht="15.75" customHeight="1" s="182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</row>
    <row r="631" ht="15.75" customHeight="1" s="182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</row>
    <row r="632" ht="15.75" customHeight="1" s="18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</row>
    <row r="633" ht="15.75" customHeight="1" s="182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</row>
    <row r="634" ht="15.75" customHeight="1" s="182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</row>
    <row r="635" ht="15.75" customHeight="1" s="182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</row>
    <row r="636" ht="15.75" customHeight="1" s="182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</row>
    <row r="637" ht="15.75" customHeight="1" s="182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</row>
    <row r="638" ht="15.75" customHeight="1" s="182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</row>
    <row r="639" ht="15.75" customHeight="1" s="182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</row>
    <row r="640" ht="15.75" customHeight="1" s="182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</row>
    <row r="641" ht="15.75" customHeight="1" s="182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</row>
    <row r="642" ht="15.75" customHeight="1" s="18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</row>
    <row r="643" ht="15.75" customHeight="1" s="182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</row>
    <row r="644" ht="15.75" customHeight="1" s="182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</row>
    <row r="645" ht="15.75" customHeight="1" s="182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</row>
    <row r="646" ht="15.75" customHeight="1" s="182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</row>
    <row r="647" ht="15.75" customHeight="1" s="182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</row>
    <row r="648" ht="15.75" customHeight="1" s="182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</row>
    <row r="649" ht="15.75" customHeight="1" s="182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</row>
    <row r="650" ht="15.75" customHeight="1" s="182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</row>
    <row r="651" ht="15.75" customHeight="1" s="182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</row>
    <row r="652" ht="15.75" customHeight="1" s="18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</row>
    <row r="653" ht="15.75" customHeight="1" s="182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</row>
    <row r="654" ht="15.75" customHeight="1" s="182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</row>
    <row r="655" ht="15.75" customHeight="1" s="182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</row>
    <row r="656" ht="15.75" customHeight="1" s="182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</row>
    <row r="657" ht="15.75" customHeight="1" s="182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</row>
    <row r="658" ht="15.75" customHeight="1" s="182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</row>
    <row r="659" ht="15.75" customHeight="1" s="182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</row>
    <row r="660" ht="15.75" customHeight="1" s="182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</row>
    <row r="661" ht="15.75" customHeight="1" s="182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</row>
    <row r="662" ht="15.75" customHeight="1" s="18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</row>
    <row r="663" ht="15.75" customHeight="1" s="182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</row>
    <row r="664" ht="15.75" customHeight="1" s="182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</row>
    <row r="665" ht="15.75" customHeight="1" s="182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</row>
    <row r="666" ht="15.75" customHeight="1" s="182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</row>
    <row r="667" ht="15.75" customHeight="1" s="182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</row>
    <row r="668" ht="15.75" customHeight="1" s="182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</row>
    <row r="669" ht="15.75" customHeight="1" s="182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</row>
    <row r="670" ht="15.75" customHeight="1" s="182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</row>
    <row r="671" ht="15.75" customHeight="1" s="182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</row>
    <row r="672" ht="15.75" customHeight="1" s="18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</row>
    <row r="673" ht="15.75" customHeight="1" s="182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</row>
    <row r="674" ht="15.75" customHeight="1" s="182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</row>
    <row r="675" ht="15.75" customHeight="1" s="182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</row>
    <row r="676" ht="15.75" customHeight="1" s="182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</row>
    <row r="677" ht="15.75" customHeight="1" s="182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</row>
    <row r="678" ht="15.75" customHeight="1" s="182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</row>
    <row r="679" ht="15.75" customHeight="1" s="182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</row>
    <row r="680" ht="15.75" customHeight="1" s="182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</row>
    <row r="681" ht="15.75" customHeight="1" s="182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</row>
    <row r="682" ht="15.75" customHeight="1" s="1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</row>
    <row r="683" ht="15.75" customHeight="1" s="182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</row>
    <row r="684" ht="15.75" customHeight="1" s="182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</row>
    <row r="685" ht="15.75" customHeight="1" s="182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</row>
    <row r="686" ht="15.75" customHeight="1" s="182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</row>
    <row r="687" ht="15.75" customHeight="1" s="182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</row>
    <row r="688" ht="15.75" customHeight="1" s="182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</row>
    <row r="689" ht="15.75" customHeight="1" s="182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</row>
    <row r="690" ht="15.75" customHeight="1" s="182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</row>
    <row r="691" ht="15.75" customHeight="1" s="182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</row>
    <row r="692" ht="15.75" customHeight="1" s="18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</row>
    <row r="693" ht="15.75" customHeight="1" s="182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</row>
    <row r="694" ht="15.75" customHeight="1" s="182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</row>
    <row r="695" ht="15.75" customHeight="1" s="182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</row>
    <row r="696" ht="15.75" customHeight="1" s="182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</row>
    <row r="697" ht="15.75" customHeight="1" s="182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</row>
    <row r="698" ht="15.75" customHeight="1" s="182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</row>
    <row r="699" ht="15.75" customHeight="1" s="182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</row>
    <row r="700" ht="15.75" customHeight="1" s="182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</row>
    <row r="701" ht="15.75" customHeight="1" s="182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</row>
    <row r="702" ht="15.75" customHeight="1" s="18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</row>
    <row r="703" ht="15.75" customHeight="1" s="182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</row>
    <row r="704" ht="15.75" customHeight="1" s="182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</row>
    <row r="705" ht="15.75" customHeight="1" s="182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</row>
    <row r="706" ht="15.75" customHeight="1" s="182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</row>
    <row r="707" ht="15.75" customHeight="1" s="182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</row>
    <row r="708" ht="15.75" customHeight="1" s="182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</row>
    <row r="709" ht="15.75" customHeight="1" s="182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</row>
    <row r="710" ht="15.75" customHeight="1" s="182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</row>
    <row r="711" ht="15.75" customHeight="1" s="182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</row>
    <row r="712" ht="15.75" customHeight="1" s="18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</row>
    <row r="713" ht="15.75" customHeight="1" s="182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</row>
    <row r="714" ht="15.75" customHeight="1" s="182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</row>
    <row r="715" ht="15.75" customHeight="1" s="182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</row>
    <row r="716" ht="15.75" customHeight="1" s="182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</row>
    <row r="717" ht="15.75" customHeight="1" s="182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</row>
    <row r="718" ht="15.75" customHeight="1" s="182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</row>
    <row r="719" ht="15.75" customHeight="1" s="182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</row>
    <row r="720" ht="15.75" customHeight="1" s="182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</row>
    <row r="721" ht="15.75" customHeight="1" s="182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</row>
    <row r="722" ht="15.75" customHeight="1" s="18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</row>
    <row r="723" ht="15.75" customHeight="1" s="182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</row>
    <row r="724" ht="15.75" customHeight="1" s="182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</row>
    <row r="725" ht="15.75" customHeight="1" s="182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</row>
    <row r="726" ht="15.75" customHeight="1" s="182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</row>
    <row r="727" ht="15.75" customHeight="1" s="182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</row>
    <row r="728" ht="15.75" customHeight="1" s="182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</row>
    <row r="729" ht="15.75" customHeight="1" s="182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</row>
    <row r="730" ht="15.75" customHeight="1" s="182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</row>
    <row r="731" ht="15.75" customHeight="1" s="182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</row>
    <row r="732" ht="15.75" customHeight="1" s="18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</row>
    <row r="733" ht="15.75" customHeight="1" s="182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</row>
    <row r="734" ht="15.75" customHeight="1" s="182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</row>
    <row r="735" ht="15.75" customHeight="1" s="182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</row>
    <row r="736" ht="15.75" customHeight="1" s="182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</row>
    <row r="737" ht="15.75" customHeight="1" s="182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</row>
    <row r="738" ht="15.75" customHeight="1" s="182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</row>
    <row r="739" ht="15.75" customHeight="1" s="182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</row>
    <row r="740" ht="15.75" customHeight="1" s="182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</row>
    <row r="741" ht="15.75" customHeight="1" s="182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</row>
    <row r="742" ht="15.75" customHeight="1" s="18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</row>
    <row r="743" ht="15.75" customHeight="1" s="182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</row>
    <row r="744" ht="15.75" customHeight="1" s="182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</row>
    <row r="745" ht="15.75" customHeight="1" s="182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</row>
    <row r="746" ht="15.75" customHeight="1" s="182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</row>
    <row r="747" ht="15.75" customHeight="1" s="182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</row>
    <row r="748" ht="15.75" customHeight="1" s="182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</row>
    <row r="749" ht="15.75" customHeight="1" s="182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</row>
    <row r="750" ht="15.75" customHeight="1" s="182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</row>
    <row r="751" ht="15.75" customHeight="1" s="182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</row>
    <row r="752" ht="15.75" customHeight="1" s="18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</row>
    <row r="753" ht="15.75" customHeight="1" s="182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</row>
    <row r="754" ht="15.75" customHeight="1" s="182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</row>
    <row r="755" ht="15.75" customHeight="1" s="182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</row>
    <row r="756" ht="15.75" customHeight="1" s="182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</row>
    <row r="757" ht="15.75" customHeight="1" s="182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</row>
    <row r="758" ht="15.75" customHeight="1" s="182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</row>
    <row r="759" ht="15.75" customHeight="1" s="182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</row>
    <row r="760" ht="15.75" customHeight="1" s="182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</row>
    <row r="761" ht="15.75" customHeight="1" s="182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</row>
    <row r="762" ht="15.75" customHeight="1" s="18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</row>
    <row r="763" ht="15.75" customHeight="1" s="182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</row>
    <row r="764" ht="15.75" customHeight="1" s="182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</row>
    <row r="765" ht="15.75" customHeight="1" s="182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</row>
    <row r="766" ht="15.75" customHeight="1" s="182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</row>
    <row r="767" ht="15.75" customHeight="1" s="182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</row>
    <row r="768" ht="15.75" customHeight="1" s="182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</row>
    <row r="769" ht="15.75" customHeight="1" s="182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</row>
    <row r="770" ht="15.75" customHeight="1" s="182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</row>
    <row r="771" ht="15.75" customHeight="1" s="182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</row>
    <row r="772" ht="15.75" customHeight="1" s="18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</row>
    <row r="773" ht="15.75" customHeight="1" s="182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</row>
    <row r="774" ht="15.75" customHeight="1" s="182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</row>
    <row r="775" ht="15.75" customHeight="1" s="182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</row>
    <row r="776" ht="15.75" customHeight="1" s="182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</row>
    <row r="777" ht="15.75" customHeight="1" s="182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</row>
    <row r="778" ht="15.75" customHeight="1" s="182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</row>
    <row r="779" ht="15.75" customHeight="1" s="182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</row>
    <row r="780" ht="15.75" customHeight="1" s="182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</row>
    <row r="781" ht="15.75" customHeight="1" s="182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</row>
    <row r="782" ht="15.75" customHeight="1" s="1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</row>
    <row r="783" ht="15.75" customHeight="1" s="182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</row>
    <row r="784" ht="15.75" customHeight="1" s="182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</row>
    <row r="785" ht="15.75" customHeight="1" s="182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</row>
    <row r="786" ht="15.75" customHeight="1" s="182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</row>
    <row r="787" ht="15.75" customHeight="1" s="182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</row>
    <row r="788" ht="15.75" customHeight="1" s="182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</row>
    <row r="789" ht="15.75" customHeight="1" s="182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</row>
    <row r="790" ht="15.75" customHeight="1" s="182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</row>
    <row r="791" ht="15.75" customHeight="1" s="182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</row>
    <row r="792" ht="15.75" customHeight="1" s="18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</row>
    <row r="793" ht="15.75" customHeight="1" s="182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</row>
    <row r="794" ht="15.75" customHeight="1" s="182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</row>
    <row r="795" ht="15.75" customHeight="1" s="182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</row>
    <row r="796" ht="15.75" customHeight="1" s="182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</row>
    <row r="797" ht="15.75" customHeight="1" s="182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</row>
    <row r="798" ht="15.75" customHeight="1" s="182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</row>
    <row r="799" ht="15.75" customHeight="1" s="182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</row>
    <row r="800" ht="15.75" customHeight="1" s="182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</row>
    <row r="801" ht="15.75" customHeight="1" s="182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</row>
    <row r="802" ht="15.75" customHeight="1" s="18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</row>
    <row r="803" ht="15.75" customHeight="1" s="182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</row>
    <row r="804" ht="15.75" customHeight="1" s="182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</row>
    <row r="805" ht="15.75" customHeight="1" s="182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</row>
    <row r="806" ht="15.75" customHeight="1" s="182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</row>
    <row r="807" ht="15.75" customHeight="1" s="182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</row>
    <row r="808" ht="15.75" customHeight="1" s="182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</row>
    <row r="809" ht="15.75" customHeight="1" s="182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</row>
    <row r="810" ht="15.75" customHeight="1" s="182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</row>
    <row r="811" ht="15.75" customHeight="1" s="182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</row>
    <row r="812" ht="15.75" customHeight="1" s="18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</row>
    <row r="813" ht="15.75" customHeight="1" s="182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</row>
    <row r="814" ht="15.75" customHeight="1" s="182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</row>
    <row r="815" ht="15.75" customHeight="1" s="182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</row>
    <row r="816" ht="15.75" customHeight="1" s="182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</row>
    <row r="817" ht="15.75" customHeight="1" s="182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</row>
    <row r="818" ht="15.75" customHeight="1" s="182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</row>
    <row r="819" ht="15.75" customHeight="1" s="182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</row>
    <row r="820" ht="15.75" customHeight="1" s="182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</row>
    <row r="821" ht="15.75" customHeight="1" s="182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</row>
    <row r="822" ht="15.75" customHeight="1" s="18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</row>
    <row r="823" ht="15.75" customHeight="1" s="182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</row>
    <row r="824" ht="15.75" customHeight="1" s="182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</row>
    <row r="825" ht="15.75" customHeight="1" s="182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</row>
    <row r="826" ht="15.75" customHeight="1" s="182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</row>
    <row r="827" ht="15.75" customHeight="1" s="182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</row>
    <row r="828" ht="15.75" customHeight="1" s="182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</row>
    <row r="829" ht="15.75" customHeight="1" s="182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</row>
    <row r="830" ht="15.75" customHeight="1" s="182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</row>
    <row r="831" ht="15.75" customHeight="1" s="182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</row>
    <row r="832" ht="15.75" customHeight="1" s="18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</row>
    <row r="833" ht="15.75" customHeight="1" s="182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</row>
    <row r="834" ht="15.75" customHeight="1" s="182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</row>
    <row r="835" ht="15.75" customHeight="1" s="182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</row>
    <row r="836" ht="15.75" customHeight="1" s="182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</row>
    <row r="837" ht="15.75" customHeight="1" s="182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</row>
    <row r="838" ht="15.75" customHeight="1" s="182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</row>
    <row r="839" ht="15.75" customHeight="1" s="182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</row>
    <row r="840" ht="15.75" customHeight="1" s="182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</row>
    <row r="841" ht="15.75" customHeight="1" s="182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</row>
    <row r="842" ht="15.75" customHeight="1" s="18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</row>
    <row r="843" ht="15.75" customHeight="1" s="182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</row>
    <row r="844" ht="15.75" customHeight="1" s="182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</row>
    <row r="845" ht="15.75" customHeight="1" s="182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</row>
    <row r="846" ht="15.75" customHeight="1" s="182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</row>
    <row r="847" ht="15.75" customHeight="1" s="182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</row>
    <row r="848" ht="15.75" customHeight="1" s="182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</row>
    <row r="849" ht="15.75" customHeight="1" s="182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</row>
    <row r="850" ht="15.75" customHeight="1" s="182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</row>
    <row r="851" ht="15.75" customHeight="1" s="182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</row>
    <row r="852" ht="15.75" customHeight="1" s="18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</row>
    <row r="853" ht="15.75" customHeight="1" s="182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</row>
    <row r="854" ht="15.75" customHeight="1" s="182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</row>
    <row r="855" ht="15.75" customHeight="1" s="182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</row>
    <row r="856" ht="15.75" customHeight="1" s="182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</row>
    <row r="857" ht="15.75" customHeight="1" s="182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</row>
    <row r="858" ht="15.75" customHeight="1" s="182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</row>
    <row r="859" ht="15.75" customHeight="1" s="182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</row>
    <row r="860" ht="15.75" customHeight="1" s="182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</row>
    <row r="861" ht="15.75" customHeight="1" s="182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</row>
    <row r="862" ht="15.75" customHeight="1" s="18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</row>
    <row r="863" ht="15.75" customHeight="1" s="182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</row>
    <row r="864" ht="15.75" customHeight="1" s="182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</row>
    <row r="865" ht="15.75" customHeight="1" s="182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</row>
    <row r="866" ht="15.75" customHeight="1" s="182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</row>
    <row r="867" ht="15.75" customHeight="1" s="182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</row>
    <row r="868" ht="15.75" customHeight="1" s="182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</row>
    <row r="869" ht="15.75" customHeight="1" s="182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</row>
    <row r="870" ht="15.75" customHeight="1" s="182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</row>
    <row r="871" ht="15.75" customHeight="1" s="182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</row>
    <row r="872" ht="15.75" customHeight="1" s="18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</row>
    <row r="873" ht="15.75" customHeight="1" s="182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</row>
    <row r="874" ht="15.75" customHeight="1" s="182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</row>
    <row r="875" ht="15.75" customHeight="1" s="182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</row>
    <row r="876" ht="15.75" customHeight="1" s="182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</row>
    <row r="877" ht="15.75" customHeight="1" s="182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</row>
    <row r="878" ht="15.75" customHeight="1" s="182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</row>
    <row r="879" ht="15.75" customHeight="1" s="182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</row>
    <row r="880" ht="15.75" customHeight="1" s="182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</row>
    <row r="881" ht="15.75" customHeight="1" s="182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</row>
    <row r="882" ht="15.75" customHeight="1" s="1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</row>
    <row r="883" ht="15.75" customHeight="1" s="182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</row>
    <row r="884" ht="15.75" customHeight="1" s="182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</row>
    <row r="885" ht="15.75" customHeight="1" s="182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</row>
    <row r="886" ht="15.75" customHeight="1" s="182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</row>
    <row r="887" ht="15.75" customHeight="1" s="182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</row>
    <row r="888" ht="15.75" customHeight="1" s="182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</row>
    <row r="889" ht="15.75" customHeight="1" s="182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</row>
    <row r="890" ht="15.75" customHeight="1" s="182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</row>
    <row r="891" ht="15.75" customHeight="1" s="182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</row>
    <row r="892" ht="15.75" customHeight="1" s="18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</row>
    <row r="893" ht="15.75" customHeight="1" s="182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</row>
    <row r="894" ht="15.75" customHeight="1" s="182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</row>
    <row r="895" ht="15.75" customHeight="1" s="182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</row>
    <row r="896" ht="15.75" customHeight="1" s="182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</row>
    <row r="897" ht="15.75" customHeight="1" s="182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</row>
    <row r="898" ht="15.75" customHeight="1" s="182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</row>
    <row r="899" ht="15.75" customHeight="1" s="182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</row>
    <row r="900" ht="15.75" customHeight="1" s="182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</row>
    <row r="901" ht="15.75" customHeight="1" s="182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</row>
    <row r="902" ht="15.75" customHeight="1" s="18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</row>
    <row r="903" ht="15.75" customHeight="1" s="182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</row>
    <row r="904" ht="15.75" customHeight="1" s="182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</row>
    <row r="905" ht="15.75" customHeight="1" s="182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</row>
    <row r="906" ht="15.75" customHeight="1" s="182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</row>
    <row r="907" ht="15.75" customHeight="1" s="182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</row>
    <row r="908" ht="15.75" customHeight="1" s="182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</row>
    <row r="909" ht="15.75" customHeight="1" s="182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</row>
    <row r="910" ht="15.75" customHeight="1" s="182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</row>
    <row r="911" ht="15.75" customHeight="1" s="182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</row>
    <row r="912" ht="15.75" customHeight="1" s="18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</row>
    <row r="913" ht="15.75" customHeight="1" s="182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</row>
    <row r="914" ht="15.75" customHeight="1" s="182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</row>
    <row r="915" ht="15.75" customHeight="1" s="182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</row>
    <row r="916" ht="15.75" customHeight="1" s="182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</row>
    <row r="917" ht="15.75" customHeight="1" s="182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</row>
    <row r="918" ht="15.75" customHeight="1" s="182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</row>
    <row r="919" ht="15.75" customHeight="1" s="182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</row>
    <row r="920" ht="15.75" customHeight="1" s="182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</row>
    <row r="921" ht="15.75" customHeight="1" s="182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</row>
    <row r="922" ht="15.75" customHeight="1" s="18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</row>
    <row r="923" ht="15.75" customHeight="1" s="182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</row>
    <row r="924" ht="15.75" customHeight="1" s="182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</row>
    <row r="925" ht="15.75" customHeight="1" s="182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</row>
    <row r="926" ht="15.75" customHeight="1" s="182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</row>
    <row r="927" ht="15.75" customHeight="1" s="182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</row>
    <row r="928" ht="15.75" customHeight="1" s="182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</row>
    <row r="929" ht="15.75" customHeight="1" s="182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</row>
    <row r="930" ht="15.75" customHeight="1" s="182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</row>
    <row r="931" ht="15.75" customHeight="1" s="182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</row>
    <row r="932" ht="15.75" customHeight="1" s="18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</row>
    <row r="933" ht="15.75" customHeight="1" s="182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</row>
    <row r="934" ht="15.75" customHeight="1" s="182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</row>
    <row r="935" ht="15.75" customHeight="1" s="182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</row>
    <row r="936" ht="15.75" customHeight="1" s="182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</row>
    <row r="937" ht="15.75" customHeight="1" s="182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</row>
    <row r="938" ht="15.75" customHeight="1" s="182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</row>
    <row r="939" ht="15.75" customHeight="1" s="182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</row>
    <row r="940" ht="15.75" customHeight="1" s="182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</row>
    <row r="941" ht="15.75" customHeight="1" s="182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</row>
    <row r="942" ht="15.75" customHeight="1" s="18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</row>
    <row r="943" ht="15.75" customHeight="1" s="182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</row>
    <row r="944" ht="15.75" customHeight="1" s="182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</row>
    <row r="945" ht="15.75" customHeight="1" s="182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</row>
    <row r="946" ht="15.75" customHeight="1" s="182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</row>
    <row r="947" ht="15.75" customHeight="1" s="182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</row>
    <row r="948" ht="15.75" customHeight="1" s="182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</row>
    <row r="949" ht="15.75" customHeight="1" s="182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</row>
    <row r="950" ht="15.75" customHeight="1" s="182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</row>
    <row r="951" ht="15.75" customHeight="1" s="182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</row>
    <row r="952" ht="15.75" customHeight="1" s="18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</row>
    <row r="953" ht="15.75" customHeight="1" s="182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</row>
    <row r="954" ht="15.75" customHeight="1" s="182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</row>
    <row r="955" ht="15.75" customHeight="1" s="182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</row>
    <row r="956" ht="15.75" customHeight="1" s="182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</row>
    <row r="957" ht="15.75" customHeight="1" s="182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</row>
    <row r="958" ht="15.75" customHeight="1" s="182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</row>
    <row r="959" ht="15.75" customHeight="1" s="182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</row>
    <row r="960" ht="15.75" customHeight="1" s="182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</row>
    <row r="961" ht="15.75" customHeight="1" s="182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</row>
    <row r="962" ht="15.75" customHeight="1" s="18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</row>
    <row r="963" ht="15.75" customHeight="1" s="182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</row>
    <row r="964" ht="15.75" customHeight="1" s="182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</row>
    <row r="965" ht="15.75" customHeight="1" s="182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</row>
    <row r="966" ht="15.75" customHeight="1" s="182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</row>
    <row r="967" ht="15.75" customHeight="1" s="182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</row>
    <row r="968" ht="15.75" customHeight="1" s="182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</row>
    <row r="969" ht="15.75" customHeight="1" s="182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</row>
    <row r="970" ht="15.75" customHeight="1" s="182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</row>
    <row r="971" ht="15.75" customHeight="1" s="182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</row>
    <row r="972" ht="15.75" customHeight="1" s="18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</row>
    <row r="973" ht="15.75" customHeight="1" s="182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</row>
    <row r="974" ht="15.75" customHeight="1" s="182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</row>
    <row r="975" ht="15.75" customHeight="1" s="182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</row>
    <row r="976" ht="15.75" customHeight="1" s="182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</row>
    <row r="977" ht="15.75" customHeight="1" s="182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</row>
    <row r="978" ht="15.75" customHeight="1" s="182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</row>
    <row r="979" ht="15.75" customHeight="1" s="182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</row>
    <row r="980" ht="15.75" customHeight="1" s="182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</row>
    <row r="981" ht="15.75" customHeight="1" s="182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</row>
    <row r="982" ht="15.75" customHeight="1" s="1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</row>
    <row r="983" ht="15.75" customHeight="1" s="182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</row>
    <row r="984" ht="15.75" customHeight="1" s="182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</row>
    <row r="985" ht="15.75" customHeight="1" s="182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</row>
    <row r="986" ht="15.75" customHeight="1" s="182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</row>
    <row r="987" ht="15.75" customHeight="1" s="182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</row>
    <row r="988" ht="15.75" customHeight="1" s="182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</row>
    <row r="989" ht="15.75" customHeight="1" s="182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</row>
    <row r="990" ht="15.75" customHeight="1" s="182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</row>
    <row r="991" ht="15.75" customHeight="1" s="182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</row>
    <row r="992" ht="15.75" customHeight="1" s="18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</row>
    <row r="993" ht="15.75" customHeight="1" s="182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</row>
    <row r="994" ht="15.75" customHeight="1" s="182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</row>
    <row r="995" ht="15.75" customHeight="1" s="182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</row>
    <row r="996" ht="15.75" customHeight="1" s="182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</row>
    <row r="997" ht="15.75" customHeight="1" s="182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</row>
    <row r="998" ht="15.75" customHeight="1" s="182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</row>
    <row r="999" ht="15.75" customHeight="1" s="182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</row>
  </sheetData>
  <mergeCells count="10">
    <mergeCell ref="A28:C28"/>
    <mergeCell ref="A1:C1"/>
    <mergeCell ref="A23:C23"/>
    <mergeCell ref="B48:D48"/>
    <mergeCell ref="A47:E47"/>
    <mergeCell ref="A45:E45"/>
    <mergeCell ref="B30:D30"/>
    <mergeCell ref="A44:E44"/>
    <mergeCell ref="A4:C4"/>
    <mergeCell ref="A2:C2"/>
  </mergeCells>
  <dataValidations count="4">
    <dataValidation sqref="B15" showDropDown="0" showInputMessage="0" showErrorMessage="0" allowBlank="1" type="list">
      <formula1>Besatzung!$B$11:$B$22</formula1>
    </dataValidation>
    <dataValidation sqref="B25" showDropDown="0" showInputMessage="0" showErrorMessage="0" allowBlank="1" type="list">
      <formula1>"Gleichmäßig,An Bord,Zeitanteilig,Individuell"</formula1>
    </dataValidation>
    <dataValidation sqref="B12" showDropDown="0" showInputMessage="0" showErrorMessage="0" allowBlank="1" type="list">
      <formula1>Kategorien!$B$4:$B$23</formula1>
    </dataValidation>
    <dataValidation sqref="C31:C42" showDropDown="0" showInputMessage="0" showErrorMessage="0" allowBlank="1" type="list">
      <formula1>"x"</formula1>
    </dataValidation>
  </dataValidation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ColWidth="14.43" defaultRowHeight="15" customHeight="1"/>
  <cols>
    <col width="4.86" customWidth="1" style="182" min="1" max="1"/>
    <col width="36.57" customWidth="1" style="182" min="2" max="2"/>
    <col width="4.86" customWidth="1" style="182" min="3" max="3"/>
    <col width="8.710000000000001" customWidth="1" style="182" min="4" max="26"/>
  </cols>
  <sheetData>
    <row r="1">
      <c r="A1" s="183" t="inlineStr">
        <is>
          <t>⚓  Bordkasse</t>
        </is>
      </c>
      <c r="I1" s="34" t="n"/>
      <c r="J1" s="34" t="n"/>
      <c r="K1" s="34" t="n"/>
      <c r="L1" s="34" t="n"/>
    </row>
    <row r="2">
      <c r="A2" s="184" t="inlineStr">
        <is>
          <t>Gutschrift erfassen</t>
        </is>
      </c>
      <c r="I2" s="34" t="n"/>
      <c r="J2" s="34" t="n"/>
      <c r="K2" s="34" t="n"/>
      <c r="L2" s="34" t="n"/>
    </row>
    <row r="3">
      <c r="A3" s="34" t="n"/>
      <c r="I3" s="34" t="n"/>
      <c r="J3" s="34" t="n"/>
      <c r="K3" s="34" t="n"/>
      <c r="L3" s="34" t="n"/>
    </row>
    <row r="4">
      <c r="A4" s="185" t="inlineStr">
        <is>
          <t xml:space="preserve">  1.  Details</t>
        </is>
      </c>
      <c r="I4" s="34" t="n"/>
      <c r="J4" s="34" t="n"/>
      <c r="K4" s="34" t="n"/>
      <c r="L4" s="34" t="n"/>
    </row>
    <row r="5">
      <c r="A5" s="34" t="n"/>
      <c r="B5" s="7" t="inlineStr">
        <is>
          <t>Datum</t>
        </is>
      </c>
      <c r="I5" s="34" t="n"/>
      <c r="J5" s="34" t="n"/>
      <c r="K5" s="34" t="n"/>
      <c r="L5" s="34" t="n"/>
    </row>
    <row r="6">
      <c r="A6" s="34" t="n"/>
      <c r="B6" s="35" t="n"/>
      <c r="I6" s="34" t="n"/>
      <c r="J6" s="34" t="n"/>
      <c r="K6" s="34" t="n"/>
      <c r="L6" s="34" t="n"/>
    </row>
    <row r="7">
      <c r="A7" s="34" t="n"/>
      <c r="I7" s="34" t="n"/>
      <c r="J7" s="34" t="n"/>
      <c r="K7" s="34" t="n"/>
      <c r="L7" s="34" t="n"/>
    </row>
    <row r="8">
      <c r="A8" s="34" t="n"/>
      <c r="B8" s="7" t="inlineStr">
        <is>
          <t>Beschreibung  (optional)</t>
        </is>
      </c>
      <c r="I8" s="34" t="n"/>
      <c r="J8" s="34" t="n"/>
      <c r="K8" s="34" t="n"/>
      <c r="L8" s="34" t="n"/>
    </row>
    <row r="9">
      <c r="A9" s="34" t="n"/>
      <c r="B9" s="8" t="n"/>
      <c r="I9" s="34" t="n"/>
      <c r="J9" s="34" t="n"/>
      <c r="K9" s="34" t="n"/>
      <c r="L9" s="34" t="n"/>
    </row>
    <row r="10">
      <c r="A10" s="34" t="n"/>
      <c r="I10" s="34" t="n"/>
      <c r="J10" s="34" t="n"/>
      <c r="K10" s="34" t="n"/>
      <c r="L10" s="34" t="n"/>
    </row>
    <row r="11">
      <c r="A11" s="34" t="n"/>
      <c r="B11" s="7" t="inlineStr">
        <is>
          <t>Betrag  (€)</t>
        </is>
      </c>
      <c r="I11" s="34" t="n"/>
      <c r="J11" s="34" t="n"/>
      <c r="K11" s="34" t="n"/>
      <c r="L11" s="34" t="n"/>
    </row>
    <row r="12">
      <c r="A12" s="34" t="n"/>
      <c r="B12" s="36" t="n"/>
      <c r="I12" s="34" t="n"/>
      <c r="J12" s="34" t="n"/>
      <c r="K12" s="34" t="n"/>
      <c r="L12" s="34" t="n"/>
    </row>
    <row r="13">
      <c r="A13" s="34" t="n"/>
      <c r="I13" s="34" t="n"/>
      <c r="J13" s="34" t="n"/>
      <c r="K13" s="34" t="n"/>
      <c r="L13" s="34" t="n"/>
    </row>
    <row r="14">
      <c r="A14" s="185" t="inlineStr">
        <is>
          <t xml:space="preserve">  2.  Wer hat wem gezahlt?</t>
        </is>
      </c>
      <c r="I14" s="34" t="n"/>
      <c r="J14" s="34" t="n"/>
      <c r="K14" s="34" t="n"/>
      <c r="L14" s="34" t="n"/>
    </row>
    <row r="15">
      <c r="A15" s="34" t="n"/>
      <c r="B15" s="7" t="inlineStr">
        <is>
          <t>Zahlt  (Von)</t>
        </is>
      </c>
      <c r="I15" s="34" t="n"/>
      <c r="J15" s="34" t="n"/>
      <c r="K15" s="34" t="n"/>
      <c r="L15" s="34" t="n"/>
    </row>
    <row r="16">
      <c r="A16" s="34" t="n"/>
      <c r="B16" s="8" t="n"/>
      <c r="I16" s="34" t="n"/>
      <c r="J16" s="34" t="n"/>
      <c r="K16" s="34" t="n"/>
      <c r="L16" s="34" t="n"/>
    </row>
    <row r="17">
      <c r="A17" s="34" t="n"/>
      <c r="I17" s="34" t="n"/>
      <c r="J17" s="34" t="n"/>
      <c r="K17" s="34" t="n"/>
      <c r="L17" s="34" t="n"/>
    </row>
    <row r="18">
      <c r="A18" s="34" t="n"/>
      <c r="B18" s="7" t="inlineStr">
        <is>
          <t>Empfängt  (An)</t>
        </is>
      </c>
      <c r="I18" s="34" t="n"/>
      <c r="J18" s="34" t="n"/>
      <c r="K18" s="34" t="n"/>
      <c r="L18" s="34" t="n"/>
    </row>
    <row r="19">
      <c r="A19" s="34" t="n"/>
      <c r="B19" s="8" t="n"/>
      <c r="I19" s="34" t="n"/>
      <c r="J19" s="34" t="n"/>
      <c r="K19" s="34" t="n"/>
      <c r="L19" s="34" t="n"/>
    </row>
    <row r="20">
      <c r="A20" s="34" t="n"/>
      <c r="B20" s="37" t="inlineStr">
        <is>
          <t>Name eines Crewmitglieds oder 'Alle' (Aufteilung an gesamte Crew)</t>
        </is>
      </c>
      <c r="I20" s="34" t="n"/>
      <c r="J20" s="34" t="n"/>
      <c r="K20" s="34" t="n"/>
      <c r="L20" s="34" t="n"/>
    </row>
    <row r="21">
      <c r="A21" s="34" t="n"/>
      <c r="I21" s="34" t="n"/>
      <c r="J21" s="34" t="n"/>
      <c r="K21" s="34" t="n"/>
      <c r="L21" s="34" t="n"/>
    </row>
    <row r="22">
      <c r="A22" s="37" t="inlineStr">
        <is>
          <t>▶   GUTSCHRIFT SPEICHERN</t>
        </is>
      </c>
      <c r="I22" s="34" t="n"/>
      <c r="J22" s="34" t="n"/>
      <c r="K22" s="34" t="n"/>
      <c r="L22" s="34" t="n"/>
    </row>
    <row r="23">
      <c r="A23" s="37" t="inlineStr">
        <is>
          <t>Tippe hier (Desktop) oder nutze Menü: ⚓ Bordkasse → 💾 Gutschrift speichern</t>
        </is>
      </c>
      <c r="I23" s="34" t="n"/>
      <c r="J23" s="34" t="n"/>
      <c r="K23" s="34" t="n"/>
      <c r="L23" s="34" t="n"/>
    </row>
    <row r="24" ht="15.75" customHeight="1" s="182">
      <c r="A24" s="34" t="n"/>
      <c r="I24" s="34" t="n"/>
      <c r="J24" s="34" t="n"/>
      <c r="K24" s="34" t="n"/>
      <c r="L24" s="34" t="n"/>
    </row>
    <row r="25" ht="15.75" customHeight="1" s="182">
      <c r="A25" s="34" t="n"/>
      <c r="I25" s="34" t="n"/>
      <c r="J25" s="34" t="n"/>
      <c r="K25" s="34" t="n"/>
      <c r="L25" s="34" t="n"/>
    </row>
    <row r="26" ht="15.75" customHeight="1" s="182">
      <c r="A26" s="34" t="n"/>
      <c r="I26" s="34" t="n"/>
      <c r="J26" s="34" t="n"/>
      <c r="K26" s="34" t="n"/>
      <c r="L26" s="34" t="n"/>
    </row>
    <row r="27" ht="15.75" customHeight="1" s="182">
      <c r="A27" s="34" t="n"/>
      <c r="I27" s="34" t="n"/>
      <c r="J27" s="34" t="n"/>
      <c r="K27" s="34" t="n"/>
      <c r="L27" s="34" t="n"/>
    </row>
    <row r="28" ht="15.75" customHeight="1" s="182">
      <c r="A28" s="34" t="n"/>
      <c r="I28" s="34" t="n"/>
      <c r="J28" s="34" t="n"/>
      <c r="K28" s="34" t="n"/>
      <c r="L28" s="34" t="n"/>
    </row>
    <row r="29" ht="15.75" customHeight="1" s="182">
      <c r="A29" s="34" t="n"/>
      <c r="I29" s="34" t="n"/>
      <c r="J29" s="34" t="n"/>
      <c r="K29" s="34" t="n"/>
      <c r="L29" s="34" t="n"/>
    </row>
    <row r="30" ht="15.75" customHeight="1" s="182">
      <c r="A30" s="34" t="n"/>
      <c r="I30" s="34" t="n"/>
      <c r="J30" s="34" t="n"/>
      <c r="K30" s="34" t="n"/>
      <c r="L30" s="34" t="n"/>
    </row>
    <row r="31" ht="15.75" customHeight="1" s="182">
      <c r="A31" s="34" t="n"/>
      <c r="I31" s="34" t="n"/>
      <c r="J31" s="34" t="n"/>
      <c r="K31" s="34" t="n"/>
      <c r="L31" s="34" t="n"/>
    </row>
    <row r="32" ht="15.75" customHeight="1" s="182">
      <c r="A32" s="34" t="n"/>
      <c r="I32" s="34" t="n"/>
      <c r="J32" s="34" t="n"/>
      <c r="K32" s="34" t="n"/>
      <c r="L32" s="34" t="n"/>
    </row>
    <row r="33" ht="15.75" customHeight="1" s="182">
      <c r="A33" s="34" t="n"/>
      <c r="I33" s="34" t="n"/>
      <c r="J33" s="34" t="n"/>
      <c r="K33" s="34" t="n"/>
      <c r="L33" s="34" t="n"/>
    </row>
    <row r="34" ht="15.75" customHeight="1" s="182">
      <c r="A34" s="34" t="n"/>
      <c r="I34" s="34" t="n"/>
      <c r="J34" s="34" t="n"/>
      <c r="K34" s="34" t="n"/>
      <c r="L34" s="34" t="n"/>
    </row>
    <row r="35" ht="15.75" customHeight="1" s="182">
      <c r="A35" s="34" t="n"/>
      <c r="I35" s="34" t="n"/>
      <c r="J35" s="34" t="n"/>
      <c r="K35" s="34" t="n"/>
      <c r="L35" s="34" t="n"/>
    </row>
    <row r="36" ht="15.75" customHeight="1" s="182">
      <c r="A36" s="34" t="n"/>
      <c r="I36" s="34" t="n"/>
      <c r="J36" s="34" t="n"/>
      <c r="K36" s="34" t="n"/>
      <c r="L36" s="34" t="n"/>
    </row>
    <row r="37" ht="15.75" customHeight="1" s="182">
      <c r="A37" s="34" t="n"/>
      <c r="I37" s="34" t="n"/>
      <c r="J37" s="34" t="n"/>
      <c r="K37" s="34" t="n"/>
      <c r="L37" s="34" t="n"/>
    </row>
    <row r="38" ht="15.75" customHeight="1" s="182">
      <c r="A38" s="34" t="n"/>
      <c r="I38" s="34" t="n"/>
      <c r="J38" s="34" t="n"/>
      <c r="K38" s="34" t="n"/>
      <c r="L38" s="34" t="n"/>
    </row>
    <row r="39" ht="15.75" customHeight="1" s="182">
      <c r="A39" s="34" t="n"/>
      <c r="I39" s="34" t="n"/>
      <c r="J39" s="34" t="n"/>
      <c r="K39" s="34" t="n"/>
      <c r="L39" s="34" t="n"/>
    </row>
    <row r="40" ht="15.75" customHeight="1" s="182">
      <c r="A40" s="34" t="n"/>
      <c r="I40" s="34" t="n"/>
      <c r="J40" s="34" t="n"/>
      <c r="K40" s="34" t="n"/>
      <c r="L40" s="34" t="n"/>
    </row>
    <row r="41" ht="15.75" customHeight="1" s="182">
      <c r="A41" s="34" t="n"/>
      <c r="I41" s="34" t="n"/>
      <c r="J41" s="34" t="n"/>
      <c r="K41" s="34" t="n"/>
      <c r="L41" s="34" t="n"/>
    </row>
    <row r="42" ht="15.75" customHeight="1" s="182">
      <c r="A42" s="34" t="n"/>
      <c r="I42" s="34" t="n"/>
      <c r="J42" s="34" t="n"/>
      <c r="K42" s="34" t="n"/>
      <c r="L42" s="34" t="n"/>
    </row>
    <row r="43" ht="15.75" customHeight="1" s="182">
      <c r="A43" s="34" t="n"/>
      <c r="I43" s="34" t="n"/>
      <c r="J43" s="34" t="n"/>
      <c r="K43" s="34" t="n"/>
      <c r="L43" s="34" t="n"/>
    </row>
    <row r="44" ht="15.75" customHeight="1" s="182">
      <c r="A44" s="34" t="n"/>
      <c r="I44" s="34" t="n"/>
      <c r="J44" s="34" t="n"/>
      <c r="K44" s="34" t="n"/>
      <c r="L44" s="34" t="n"/>
    </row>
    <row r="45" ht="15.75" customHeight="1" s="182">
      <c r="A45" s="34" t="n"/>
      <c r="I45" s="34" t="n"/>
      <c r="J45" s="34" t="n"/>
      <c r="K45" s="34" t="n"/>
      <c r="L45" s="34" t="n"/>
    </row>
    <row r="46" ht="15.75" customHeight="1" s="182">
      <c r="A46" s="34" t="n"/>
      <c r="I46" s="34" t="n"/>
      <c r="J46" s="34" t="n"/>
      <c r="K46" s="34" t="n"/>
      <c r="L46" s="34" t="n"/>
    </row>
    <row r="47" ht="15.75" customHeight="1" s="182">
      <c r="A47" s="34" t="n"/>
      <c r="I47" s="34" t="n"/>
      <c r="J47" s="34" t="n"/>
      <c r="K47" s="34" t="n"/>
      <c r="L47" s="34" t="n"/>
    </row>
    <row r="48" ht="15.75" customHeight="1" s="182">
      <c r="A48" s="34" t="n"/>
      <c r="I48" s="34" t="n"/>
      <c r="J48" s="34" t="n"/>
      <c r="K48" s="34" t="n"/>
      <c r="L48" s="34" t="n"/>
    </row>
    <row r="49" ht="15.75" customHeight="1" s="182">
      <c r="A49" s="34" t="n"/>
      <c r="I49" s="34" t="n"/>
      <c r="J49" s="34" t="n"/>
      <c r="K49" s="34" t="n"/>
      <c r="L49" s="34" t="n"/>
    </row>
    <row r="50" ht="15.75" customHeight="1" s="182">
      <c r="A50" s="34" t="n"/>
      <c r="I50" s="34" t="n"/>
      <c r="J50" s="34" t="n"/>
      <c r="K50" s="34" t="n"/>
      <c r="L50" s="34" t="n"/>
    </row>
    <row r="51" ht="15.75" customHeight="1" s="182">
      <c r="A51" s="34" t="n"/>
      <c r="I51" s="34" t="n"/>
      <c r="J51" s="34" t="n"/>
      <c r="K51" s="34" t="n"/>
      <c r="L51" s="34" t="n"/>
    </row>
    <row r="52" ht="15.75" customHeight="1" s="182">
      <c r="A52" s="34" t="n"/>
      <c r="I52" s="34" t="n"/>
      <c r="J52" s="34" t="n"/>
      <c r="K52" s="34" t="n"/>
      <c r="L52" s="34" t="n"/>
    </row>
    <row r="53" ht="15.75" customHeight="1" s="182">
      <c r="A53" s="34" t="n"/>
      <c r="I53" s="34" t="n"/>
      <c r="J53" s="34" t="n"/>
      <c r="K53" s="34" t="n"/>
      <c r="L53" s="34" t="n"/>
    </row>
    <row r="54" ht="15.75" customHeight="1" s="182">
      <c r="A54" s="34" t="n"/>
      <c r="I54" s="34" t="n"/>
      <c r="J54" s="34" t="n"/>
      <c r="K54" s="34" t="n"/>
      <c r="L54" s="34" t="n"/>
    </row>
    <row r="55" ht="15.75" customHeight="1" s="182">
      <c r="A55" s="34" t="n"/>
      <c r="I55" s="34" t="n"/>
      <c r="J55" s="34" t="n"/>
      <c r="K55" s="34" t="n"/>
      <c r="L55" s="34" t="n"/>
    </row>
    <row r="56" ht="15.75" customHeight="1" s="182">
      <c r="A56" s="34" t="n"/>
      <c r="I56" s="34" t="n"/>
      <c r="J56" s="34" t="n"/>
      <c r="K56" s="34" t="n"/>
      <c r="L56" s="34" t="n"/>
    </row>
    <row r="57" ht="15.75" customHeight="1" s="182">
      <c r="A57" s="34" t="n"/>
      <c r="I57" s="34" t="n"/>
      <c r="J57" s="34" t="n"/>
      <c r="K57" s="34" t="n"/>
      <c r="L57" s="34" t="n"/>
    </row>
    <row r="58" ht="15.75" customHeight="1" s="182">
      <c r="A58" s="34" t="n"/>
      <c r="I58" s="34" t="n"/>
      <c r="J58" s="34" t="n"/>
      <c r="K58" s="34" t="n"/>
      <c r="L58" s="34" t="n"/>
    </row>
    <row r="59" ht="15.75" customHeight="1" s="182">
      <c r="A59" s="34" t="n"/>
      <c r="I59" s="34" t="n"/>
      <c r="J59" s="34" t="n"/>
      <c r="K59" s="34" t="n"/>
      <c r="L59" s="34" t="n"/>
    </row>
    <row r="60" ht="15.75" customHeight="1" s="182">
      <c r="A60" s="34" t="n"/>
      <c r="I60" s="34" t="n"/>
      <c r="J60" s="34" t="n"/>
      <c r="K60" s="34" t="n"/>
      <c r="L60" s="34" t="n"/>
    </row>
    <row r="61" ht="15.75" customHeight="1" s="182">
      <c r="A61" s="34" t="n"/>
      <c r="I61" s="34" t="n"/>
      <c r="J61" s="34" t="n"/>
      <c r="K61" s="34" t="n"/>
      <c r="L61" s="34" t="n"/>
    </row>
    <row r="62" ht="15.75" customHeight="1" s="182">
      <c r="A62" s="34" t="n"/>
      <c r="I62" s="34" t="n"/>
      <c r="J62" s="34" t="n"/>
      <c r="K62" s="34" t="n"/>
      <c r="L62" s="34" t="n"/>
    </row>
    <row r="63" ht="15.75" customHeight="1" s="182">
      <c r="A63" s="34" t="n"/>
      <c r="I63" s="34" t="n"/>
      <c r="J63" s="34" t="n"/>
      <c r="K63" s="34" t="n"/>
      <c r="L63" s="34" t="n"/>
    </row>
    <row r="64" ht="15.75" customHeight="1" s="182">
      <c r="A64" s="34" t="n"/>
      <c r="I64" s="34" t="n"/>
      <c r="J64" s="34" t="n"/>
      <c r="K64" s="34" t="n"/>
      <c r="L64" s="34" t="n"/>
    </row>
    <row r="65" ht="15.75" customHeight="1" s="182">
      <c r="A65" s="34" t="n"/>
      <c r="I65" s="34" t="n"/>
      <c r="J65" s="34" t="n"/>
      <c r="K65" s="34" t="n"/>
      <c r="L65" s="34" t="n"/>
    </row>
    <row r="66" ht="15.75" customHeight="1" s="182">
      <c r="A66" s="34" t="n"/>
      <c r="I66" s="34" t="n"/>
      <c r="J66" s="34" t="n"/>
      <c r="K66" s="34" t="n"/>
      <c r="L66" s="34" t="n"/>
    </row>
    <row r="67" ht="15.75" customHeight="1" s="182">
      <c r="A67" s="34" t="n"/>
      <c r="I67" s="34" t="n"/>
      <c r="J67" s="34" t="n"/>
      <c r="K67" s="34" t="n"/>
      <c r="L67" s="34" t="n"/>
    </row>
    <row r="68" ht="15.75" customHeight="1" s="182">
      <c r="A68" s="34" t="n"/>
      <c r="I68" s="34" t="n"/>
      <c r="J68" s="34" t="n"/>
      <c r="K68" s="34" t="n"/>
      <c r="L68" s="34" t="n"/>
    </row>
    <row r="69" ht="15.75" customHeight="1" s="182">
      <c r="A69" s="34" t="n"/>
      <c r="I69" s="34" t="n"/>
      <c r="J69" s="34" t="n"/>
      <c r="K69" s="34" t="n"/>
      <c r="L69" s="34" t="n"/>
    </row>
    <row r="70" ht="15.75" customHeight="1" s="182">
      <c r="A70" s="34" t="n"/>
      <c r="I70" s="34" t="n"/>
      <c r="J70" s="34" t="n"/>
      <c r="K70" s="34" t="n"/>
      <c r="L70" s="34" t="n"/>
    </row>
    <row r="71" ht="15.75" customHeight="1" s="182">
      <c r="A71" s="34" t="n"/>
      <c r="I71" s="34" t="n"/>
      <c r="J71" s="34" t="n"/>
      <c r="K71" s="34" t="n"/>
      <c r="L71" s="34" t="n"/>
    </row>
    <row r="72" ht="15.75" customHeight="1" s="182">
      <c r="A72" s="34" t="n"/>
      <c r="I72" s="34" t="n"/>
      <c r="J72" s="34" t="n"/>
      <c r="K72" s="34" t="n"/>
      <c r="L72" s="34" t="n"/>
    </row>
    <row r="73" ht="15.75" customHeight="1" s="182">
      <c r="A73" s="34" t="n"/>
      <c r="I73" s="34" t="n"/>
      <c r="J73" s="34" t="n"/>
      <c r="K73" s="34" t="n"/>
      <c r="L73" s="34" t="n"/>
    </row>
    <row r="74" ht="15.75" customHeight="1" s="182">
      <c r="A74" s="34" t="n"/>
      <c r="I74" s="34" t="n"/>
      <c r="J74" s="34" t="n"/>
      <c r="K74" s="34" t="n"/>
      <c r="L74" s="34" t="n"/>
    </row>
    <row r="75" ht="15.75" customHeight="1" s="182">
      <c r="A75" s="34" t="n"/>
      <c r="I75" s="34" t="n"/>
      <c r="J75" s="34" t="n"/>
      <c r="K75" s="34" t="n"/>
      <c r="L75" s="34" t="n"/>
    </row>
    <row r="76" ht="15.75" customHeight="1" s="182">
      <c r="A76" s="34" t="n"/>
      <c r="I76" s="34" t="n"/>
      <c r="J76" s="34" t="n"/>
      <c r="K76" s="34" t="n"/>
      <c r="L76" s="34" t="n"/>
    </row>
    <row r="77" ht="15.75" customHeight="1" s="182">
      <c r="A77" s="34" t="n"/>
      <c r="I77" s="34" t="n"/>
      <c r="J77" s="34" t="n"/>
      <c r="K77" s="34" t="n"/>
      <c r="L77" s="34" t="n"/>
    </row>
    <row r="78" ht="15.75" customHeight="1" s="182">
      <c r="A78" s="34" t="n"/>
      <c r="I78" s="34" t="n"/>
      <c r="J78" s="34" t="n"/>
      <c r="K78" s="34" t="n"/>
      <c r="L78" s="34" t="n"/>
    </row>
    <row r="79" ht="15.75" customHeight="1" s="182">
      <c r="A79" s="34" t="n"/>
      <c r="I79" s="34" t="n"/>
      <c r="J79" s="34" t="n"/>
      <c r="K79" s="34" t="n"/>
      <c r="L79" s="34" t="n"/>
    </row>
    <row r="80" ht="15.75" customHeight="1" s="182">
      <c r="A80" s="34" t="n"/>
      <c r="I80" s="34" t="n"/>
      <c r="J80" s="34" t="n"/>
      <c r="K80" s="34" t="n"/>
      <c r="L80" s="34" t="n"/>
    </row>
    <row r="81" ht="15.75" customHeight="1" s="182">
      <c r="A81" s="34" t="n"/>
      <c r="I81" s="34" t="n"/>
      <c r="J81" s="34" t="n"/>
      <c r="K81" s="34" t="n"/>
      <c r="L81" s="34" t="n"/>
    </row>
    <row r="82" ht="15.75" customHeight="1" s="182">
      <c r="A82" s="34" t="n"/>
      <c r="I82" s="34" t="n"/>
      <c r="J82" s="34" t="n"/>
      <c r="K82" s="34" t="n"/>
      <c r="L82" s="34" t="n"/>
    </row>
    <row r="83" ht="15.75" customHeight="1" s="182">
      <c r="A83" s="34" t="n"/>
      <c r="I83" s="34" t="n"/>
      <c r="J83" s="34" t="n"/>
      <c r="K83" s="34" t="n"/>
      <c r="L83" s="34" t="n"/>
    </row>
    <row r="84" ht="15.75" customHeight="1" s="182">
      <c r="A84" s="34" t="n"/>
      <c r="I84" s="34" t="n"/>
      <c r="J84" s="34" t="n"/>
      <c r="K84" s="34" t="n"/>
      <c r="L84" s="34" t="n"/>
    </row>
    <row r="85" ht="15.75" customHeight="1" s="182">
      <c r="A85" s="34" t="n"/>
      <c r="I85" s="34" t="n"/>
      <c r="J85" s="34" t="n"/>
      <c r="K85" s="34" t="n"/>
      <c r="L85" s="34" t="n"/>
    </row>
    <row r="86" ht="15.75" customHeight="1" s="182">
      <c r="A86" s="34" t="n"/>
      <c r="I86" s="34" t="n"/>
      <c r="J86" s="34" t="n"/>
      <c r="K86" s="34" t="n"/>
      <c r="L86" s="34" t="n"/>
    </row>
    <row r="87" ht="15.75" customHeight="1" s="182">
      <c r="A87" s="34" t="n"/>
      <c r="I87" s="34" t="n"/>
      <c r="J87" s="34" t="n"/>
      <c r="K87" s="34" t="n"/>
      <c r="L87" s="34" t="n"/>
    </row>
    <row r="88" ht="15.75" customHeight="1" s="182">
      <c r="A88" s="34" t="n"/>
      <c r="I88" s="34" t="n"/>
      <c r="J88" s="34" t="n"/>
      <c r="K88" s="34" t="n"/>
      <c r="L88" s="34" t="n"/>
    </row>
    <row r="89" ht="15.75" customHeight="1" s="182">
      <c r="A89" s="34" t="n"/>
      <c r="I89" s="34" t="n"/>
      <c r="J89" s="34" t="n"/>
      <c r="K89" s="34" t="n"/>
      <c r="L89" s="34" t="n"/>
    </row>
    <row r="90" ht="15.75" customHeight="1" s="182">
      <c r="A90" s="34" t="n"/>
      <c r="I90" s="34" t="n"/>
      <c r="J90" s="34" t="n"/>
      <c r="K90" s="34" t="n"/>
      <c r="L90" s="34" t="n"/>
    </row>
    <row r="91" ht="15.75" customHeight="1" s="182">
      <c r="A91" s="34" t="n"/>
      <c r="I91" s="34" t="n"/>
      <c r="J91" s="34" t="n"/>
      <c r="K91" s="34" t="n"/>
      <c r="L91" s="34" t="n"/>
    </row>
    <row r="92" ht="15.75" customHeight="1" s="182">
      <c r="A92" s="34" t="n"/>
      <c r="I92" s="34" t="n"/>
      <c r="J92" s="34" t="n"/>
      <c r="K92" s="34" t="n"/>
      <c r="L92" s="34" t="n"/>
    </row>
    <row r="93" ht="15.75" customHeight="1" s="182">
      <c r="A93" s="34" t="n"/>
      <c r="I93" s="34" t="n"/>
      <c r="J93" s="34" t="n"/>
      <c r="K93" s="34" t="n"/>
      <c r="L93" s="34" t="n"/>
    </row>
    <row r="94" ht="15.75" customHeight="1" s="182">
      <c r="A94" s="34" t="n"/>
      <c r="I94" s="34" t="n"/>
      <c r="J94" s="34" t="n"/>
      <c r="K94" s="34" t="n"/>
      <c r="L94" s="34" t="n"/>
    </row>
    <row r="95" ht="15.75" customHeight="1" s="182">
      <c r="A95" s="34" t="n"/>
      <c r="I95" s="34" t="n"/>
      <c r="J95" s="34" t="n"/>
      <c r="K95" s="34" t="n"/>
      <c r="L95" s="34" t="n"/>
    </row>
    <row r="96" ht="15.75" customHeight="1" s="182">
      <c r="A96" s="34" t="n"/>
      <c r="I96" s="34" t="n"/>
      <c r="J96" s="34" t="n"/>
      <c r="K96" s="34" t="n"/>
      <c r="L96" s="34" t="n"/>
    </row>
    <row r="97" ht="15.75" customHeight="1" s="182">
      <c r="A97" s="34" t="n"/>
      <c r="I97" s="34" t="n"/>
      <c r="J97" s="34" t="n"/>
      <c r="K97" s="34" t="n"/>
      <c r="L97" s="34" t="n"/>
    </row>
    <row r="98" ht="15.75" customHeight="1" s="182">
      <c r="A98" s="34" t="n"/>
      <c r="I98" s="34" t="n"/>
      <c r="J98" s="34" t="n"/>
      <c r="K98" s="34" t="n"/>
      <c r="L98" s="34" t="n"/>
    </row>
    <row r="99" ht="15.75" customHeight="1" s="182">
      <c r="A99" s="34" t="n"/>
      <c r="I99" s="34" t="n"/>
      <c r="J99" s="34" t="n"/>
      <c r="K99" s="34" t="n"/>
      <c r="L99" s="34" t="n"/>
    </row>
    <row r="100" ht="15.75" customHeight="1" s="182">
      <c r="A100" s="34" t="n"/>
      <c r="I100" s="34" t="n"/>
      <c r="J100" s="34" t="n"/>
      <c r="K100" s="34" t="n"/>
      <c r="L100" s="34" t="n"/>
    </row>
    <row r="101" ht="15.75" customHeight="1" s="182">
      <c r="A101" s="34" t="n"/>
      <c r="I101" s="34" t="n"/>
      <c r="J101" s="34" t="n"/>
      <c r="K101" s="34" t="n"/>
      <c r="L101" s="34" t="n"/>
    </row>
    <row r="102" ht="15.75" customHeight="1" s="182">
      <c r="A102" s="34" t="n"/>
      <c r="I102" s="34" t="n"/>
      <c r="J102" s="34" t="n"/>
      <c r="K102" s="34" t="n"/>
      <c r="L102" s="34" t="n"/>
    </row>
    <row r="103" ht="15.75" customHeight="1" s="182">
      <c r="A103" s="34" t="n"/>
      <c r="I103" s="34" t="n"/>
      <c r="J103" s="34" t="n"/>
      <c r="K103" s="34" t="n"/>
      <c r="L103" s="34" t="n"/>
    </row>
    <row r="104" ht="15.75" customHeight="1" s="182">
      <c r="A104" s="34" t="n"/>
      <c r="I104" s="34" t="n"/>
      <c r="J104" s="34" t="n"/>
      <c r="K104" s="34" t="n"/>
      <c r="L104" s="34" t="n"/>
    </row>
    <row r="105" ht="15.75" customHeight="1" s="182">
      <c r="A105" s="34" t="n"/>
      <c r="I105" s="34" t="n"/>
      <c r="J105" s="34" t="n"/>
      <c r="K105" s="34" t="n"/>
      <c r="L105" s="34" t="n"/>
    </row>
    <row r="106" ht="15.75" customHeight="1" s="182">
      <c r="A106" s="34" t="n"/>
      <c r="I106" s="34" t="n"/>
      <c r="J106" s="34" t="n"/>
      <c r="K106" s="34" t="n"/>
      <c r="L106" s="34" t="n"/>
    </row>
    <row r="107" ht="15.75" customHeight="1" s="182">
      <c r="A107" s="34" t="n"/>
      <c r="I107" s="34" t="n"/>
      <c r="J107" s="34" t="n"/>
      <c r="K107" s="34" t="n"/>
      <c r="L107" s="34" t="n"/>
    </row>
    <row r="108" ht="15.75" customHeight="1" s="182">
      <c r="A108" s="34" t="n"/>
      <c r="I108" s="34" t="n"/>
      <c r="J108" s="34" t="n"/>
      <c r="K108" s="34" t="n"/>
      <c r="L108" s="34" t="n"/>
    </row>
    <row r="109" ht="15.75" customHeight="1" s="182">
      <c r="A109" s="34" t="n"/>
      <c r="I109" s="34" t="n"/>
      <c r="J109" s="34" t="n"/>
      <c r="K109" s="34" t="n"/>
      <c r="L109" s="34" t="n"/>
    </row>
    <row r="110" ht="15.75" customHeight="1" s="182">
      <c r="A110" s="34" t="n"/>
      <c r="I110" s="34" t="n"/>
      <c r="J110" s="34" t="n"/>
      <c r="K110" s="34" t="n"/>
      <c r="L110" s="34" t="n"/>
    </row>
    <row r="111" ht="15.75" customHeight="1" s="182">
      <c r="A111" s="34" t="n"/>
      <c r="I111" s="34" t="n"/>
      <c r="J111" s="34" t="n"/>
      <c r="K111" s="34" t="n"/>
      <c r="L111" s="34" t="n"/>
    </row>
    <row r="112" ht="15.75" customHeight="1" s="182">
      <c r="A112" s="34" t="n"/>
      <c r="I112" s="34" t="n"/>
      <c r="J112" s="34" t="n"/>
      <c r="K112" s="34" t="n"/>
      <c r="L112" s="34" t="n"/>
    </row>
    <row r="113" ht="15.75" customHeight="1" s="182">
      <c r="A113" s="34" t="n"/>
      <c r="I113" s="34" t="n"/>
      <c r="J113" s="34" t="n"/>
      <c r="K113" s="34" t="n"/>
      <c r="L113" s="34" t="n"/>
    </row>
    <row r="114" ht="15.75" customHeight="1" s="182">
      <c r="A114" s="34" t="n"/>
      <c r="I114" s="34" t="n"/>
      <c r="J114" s="34" t="n"/>
      <c r="K114" s="34" t="n"/>
      <c r="L114" s="34" t="n"/>
    </row>
    <row r="115" ht="15.75" customHeight="1" s="182">
      <c r="A115" s="34" t="n"/>
      <c r="I115" s="34" t="n"/>
      <c r="J115" s="34" t="n"/>
      <c r="K115" s="34" t="n"/>
      <c r="L115" s="34" t="n"/>
    </row>
    <row r="116" ht="15.75" customHeight="1" s="182">
      <c r="A116" s="34" t="n"/>
      <c r="I116" s="34" t="n"/>
      <c r="J116" s="34" t="n"/>
      <c r="K116" s="34" t="n"/>
      <c r="L116" s="34" t="n"/>
    </row>
    <row r="117" ht="15.75" customHeight="1" s="182">
      <c r="A117" s="34" t="n"/>
      <c r="I117" s="34" t="n"/>
      <c r="J117" s="34" t="n"/>
      <c r="K117" s="34" t="n"/>
      <c r="L117" s="34" t="n"/>
    </row>
    <row r="118" ht="15.75" customHeight="1" s="182">
      <c r="A118" s="34" t="n"/>
      <c r="I118" s="34" t="n"/>
      <c r="J118" s="34" t="n"/>
      <c r="K118" s="34" t="n"/>
      <c r="L118" s="34" t="n"/>
    </row>
    <row r="119" ht="15.75" customHeight="1" s="182">
      <c r="A119" s="34" t="n"/>
      <c r="I119" s="34" t="n"/>
      <c r="J119" s="34" t="n"/>
      <c r="K119" s="34" t="n"/>
      <c r="L119" s="34" t="n"/>
    </row>
    <row r="120" ht="15.75" customHeight="1" s="182">
      <c r="A120" s="34" t="n"/>
      <c r="I120" s="34" t="n"/>
      <c r="J120" s="34" t="n"/>
      <c r="K120" s="34" t="n"/>
      <c r="L120" s="34" t="n"/>
    </row>
    <row r="121" ht="15.75" customHeight="1" s="182">
      <c r="A121" s="34" t="n"/>
      <c r="I121" s="34" t="n"/>
      <c r="J121" s="34" t="n"/>
      <c r="K121" s="34" t="n"/>
      <c r="L121" s="34" t="n"/>
    </row>
    <row r="122" ht="15.75" customHeight="1" s="182">
      <c r="A122" s="34" t="n"/>
      <c r="I122" s="34" t="n"/>
      <c r="J122" s="34" t="n"/>
      <c r="K122" s="34" t="n"/>
      <c r="L122" s="34" t="n"/>
    </row>
    <row r="123" ht="15.75" customHeight="1" s="182">
      <c r="A123" s="34" t="n"/>
      <c r="I123" s="34" t="n"/>
      <c r="J123" s="34" t="n"/>
      <c r="K123" s="34" t="n"/>
      <c r="L123" s="34" t="n"/>
    </row>
    <row r="124" ht="15.75" customHeight="1" s="182">
      <c r="A124" s="34" t="n"/>
      <c r="I124" s="34" t="n"/>
      <c r="J124" s="34" t="n"/>
      <c r="K124" s="34" t="n"/>
      <c r="L124" s="34" t="n"/>
    </row>
    <row r="125" ht="15.75" customHeight="1" s="182">
      <c r="A125" s="34" t="n"/>
      <c r="I125" s="34" t="n"/>
      <c r="J125" s="34" t="n"/>
      <c r="K125" s="34" t="n"/>
      <c r="L125" s="34" t="n"/>
    </row>
    <row r="126" ht="15.75" customHeight="1" s="182">
      <c r="A126" s="34" t="n"/>
      <c r="I126" s="34" t="n"/>
      <c r="J126" s="34" t="n"/>
      <c r="K126" s="34" t="n"/>
      <c r="L126" s="34" t="n"/>
    </row>
    <row r="127" ht="15.75" customHeight="1" s="182">
      <c r="A127" s="34" t="n"/>
      <c r="I127" s="34" t="n"/>
      <c r="J127" s="34" t="n"/>
      <c r="K127" s="34" t="n"/>
      <c r="L127" s="34" t="n"/>
    </row>
    <row r="128" ht="15.75" customHeight="1" s="182">
      <c r="A128" s="34" t="n"/>
      <c r="I128" s="34" t="n"/>
      <c r="J128" s="34" t="n"/>
      <c r="K128" s="34" t="n"/>
      <c r="L128" s="34" t="n"/>
    </row>
    <row r="129" ht="15.75" customHeight="1" s="182">
      <c r="A129" s="34" t="n"/>
      <c r="I129" s="34" t="n"/>
      <c r="J129" s="34" t="n"/>
      <c r="K129" s="34" t="n"/>
      <c r="L129" s="34" t="n"/>
    </row>
    <row r="130" ht="15.75" customHeight="1" s="182">
      <c r="A130" s="34" t="n"/>
      <c r="I130" s="34" t="n"/>
      <c r="J130" s="34" t="n"/>
      <c r="K130" s="34" t="n"/>
      <c r="L130" s="34" t="n"/>
    </row>
    <row r="131" ht="15.75" customHeight="1" s="182">
      <c r="A131" s="34" t="n"/>
      <c r="I131" s="34" t="n"/>
      <c r="J131" s="34" t="n"/>
      <c r="K131" s="34" t="n"/>
      <c r="L131" s="34" t="n"/>
    </row>
    <row r="132" ht="15.75" customHeight="1" s="182">
      <c r="A132" s="34" t="n"/>
      <c r="I132" s="34" t="n"/>
      <c r="J132" s="34" t="n"/>
      <c r="K132" s="34" t="n"/>
      <c r="L132" s="34" t="n"/>
    </row>
    <row r="133" ht="15.75" customHeight="1" s="182">
      <c r="A133" s="34" t="n"/>
      <c r="I133" s="34" t="n"/>
      <c r="J133" s="34" t="n"/>
      <c r="K133" s="34" t="n"/>
      <c r="L133" s="34" t="n"/>
    </row>
    <row r="134" ht="15.75" customHeight="1" s="182">
      <c r="A134" s="34" t="n"/>
      <c r="I134" s="34" t="n"/>
      <c r="J134" s="34" t="n"/>
      <c r="K134" s="34" t="n"/>
      <c r="L134" s="34" t="n"/>
    </row>
    <row r="135" ht="15.75" customHeight="1" s="182">
      <c r="A135" s="34" t="n"/>
      <c r="I135" s="34" t="n"/>
      <c r="J135" s="34" t="n"/>
      <c r="K135" s="34" t="n"/>
      <c r="L135" s="34" t="n"/>
    </row>
    <row r="136" ht="15.75" customHeight="1" s="182">
      <c r="A136" s="34" t="n"/>
      <c r="I136" s="34" t="n"/>
      <c r="J136" s="34" t="n"/>
      <c r="K136" s="34" t="n"/>
      <c r="L136" s="34" t="n"/>
    </row>
    <row r="137" ht="15.75" customHeight="1" s="182">
      <c r="A137" s="34" t="n"/>
      <c r="I137" s="34" t="n"/>
      <c r="J137" s="34" t="n"/>
      <c r="K137" s="34" t="n"/>
      <c r="L137" s="34" t="n"/>
    </row>
    <row r="138" ht="15.75" customHeight="1" s="182">
      <c r="A138" s="34" t="n"/>
      <c r="I138" s="34" t="n"/>
      <c r="J138" s="34" t="n"/>
      <c r="K138" s="34" t="n"/>
      <c r="L138" s="34" t="n"/>
    </row>
    <row r="139" ht="15.75" customHeight="1" s="182">
      <c r="A139" s="34" t="n"/>
      <c r="I139" s="34" t="n"/>
      <c r="J139" s="34" t="n"/>
      <c r="K139" s="34" t="n"/>
      <c r="L139" s="34" t="n"/>
    </row>
    <row r="140" ht="15.75" customHeight="1" s="182">
      <c r="A140" s="34" t="n"/>
      <c r="I140" s="34" t="n"/>
      <c r="J140" s="34" t="n"/>
      <c r="K140" s="34" t="n"/>
      <c r="L140" s="34" t="n"/>
    </row>
    <row r="141" ht="15.75" customHeight="1" s="182">
      <c r="A141" s="34" t="n"/>
      <c r="I141" s="34" t="n"/>
      <c r="J141" s="34" t="n"/>
      <c r="K141" s="34" t="n"/>
      <c r="L141" s="34" t="n"/>
    </row>
    <row r="142" ht="15.75" customHeight="1" s="182">
      <c r="A142" s="34" t="n"/>
      <c r="I142" s="34" t="n"/>
      <c r="J142" s="34" t="n"/>
      <c r="K142" s="34" t="n"/>
      <c r="L142" s="34" t="n"/>
    </row>
    <row r="143" ht="15.75" customHeight="1" s="182">
      <c r="A143" s="34" t="n"/>
      <c r="I143" s="34" t="n"/>
      <c r="J143" s="34" t="n"/>
      <c r="K143" s="34" t="n"/>
      <c r="L143" s="34" t="n"/>
    </row>
    <row r="144" ht="15.75" customHeight="1" s="182">
      <c r="A144" s="34" t="n"/>
      <c r="I144" s="34" t="n"/>
      <c r="J144" s="34" t="n"/>
      <c r="K144" s="34" t="n"/>
      <c r="L144" s="34" t="n"/>
    </row>
    <row r="145" ht="15.75" customHeight="1" s="182">
      <c r="A145" s="34" t="n"/>
      <c r="I145" s="34" t="n"/>
      <c r="J145" s="34" t="n"/>
      <c r="K145" s="34" t="n"/>
      <c r="L145" s="34" t="n"/>
    </row>
    <row r="146" ht="15.75" customHeight="1" s="182">
      <c r="A146" s="34" t="n"/>
      <c r="I146" s="34" t="n"/>
      <c r="J146" s="34" t="n"/>
      <c r="K146" s="34" t="n"/>
      <c r="L146" s="34" t="n"/>
    </row>
    <row r="147" ht="15.75" customHeight="1" s="182">
      <c r="A147" s="34" t="n"/>
      <c r="I147" s="34" t="n"/>
      <c r="J147" s="34" t="n"/>
      <c r="K147" s="34" t="n"/>
      <c r="L147" s="34" t="n"/>
    </row>
    <row r="148" ht="15.75" customHeight="1" s="182">
      <c r="A148" s="34" t="n"/>
      <c r="I148" s="34" t="n"/>
      <c r="J148" s="34" t="n"/>
      <c r="K148" s="34" t="n"/>
      <c r="L148" s="34" t="n"/>
    </row>
    <row r="149" ht="15.75" customHeight="1" s="182">
      <c r="A149" s="34" t="n"/>
      <c r="I149" s="34" t="n"/>
      <c r="J149" s="34" t="n"/>
      <c r="K149" s="34" t="n"/>
      <c r="L149" s="34" t="n"/>
    </row>
    <row r="150" ht="15.75" customHeight="1" s="182">
      <c r="A150" s="34" t="n"/>
      <c r="I150" s="34" t="n"/>
      <c r="J150" s="34" t="n"/>
      <c r="K150" s="34" t="n"/>
      <c r="L150" s="34" t="n"/>
    </row>
    <row r="151" ht="15.75" customHeight="1" s="182">
      <c r="A151" s="34" t="n"/>
      <c r="I151" s="34" t="n"/>
      <c r="J151" s="34" t="n"/>
      <c r="K151" s="34" t="n"/>
      <c r="L151" s="34" t="n"/>
    </row>
    <row r="152" ht="15.75" customHeight="1" s="182">
      <c r="A152" s="34" t="n"/>
      <c r="I152" s="34" t="n"/>
      <c r="J152" s="34" t="n"/>
      <c r="K152" s="34" t="n"/>
      <c r="L152" s="34" t="n"/>
    </row>
    <row r="153" ht="15.75" customHeight="1" s="182">
      <c r="A153" s="34" t="n"/>
      <c r="I153" s="34" t="n"/>
      <c r="J153" s="34" t="n"/>
      <c r="K153" s="34" t="n"/>
      <c r="L153" s="34" t="n"/>
    </row>
    <row r="154" ht="15.75" customHeight="1" s="182">
      <c r="A154" s="34" t="n"/>
      <c r="I154" s="34" t="n"/>
      <c r="J154" s="34" t="n"/>
      <c r="K154" s="34" t="n"/>
      <c r="L154" s="34" t="n"/>
    </row>
    <row r="155" ht="15.75" customHeight="1" s="182">
      <c r="A155" s="34" t="n"/>
      <c r="I155" s="34" t="n"/>
      <c r="J155" s="34" t="n"/>
      <c r="K155" s="34" t="n"/>
      <c r="L155" s="34" t="n"/>
    </row>
    <row r="156" ht="15.75" customHeight="1" s="182">
      <c r="A156" s="34" t="n"/>
      <c r="I156" s="34" t="n"/>
      <c r="J156" s="34" t="n"/>
      <c r="K156" s="34" t="n"/>
      <c r="L156" s="34" t="n"/>
    </row>
    <row r="157" ht="15.75" customHeight="1" s="182">
      <c r="A157" s="34" t="n"/>
      <c r="I157" s="34" t="n"/>
      <c r="J157" s="34" t="n"/>
      <c r="K157" s="34" t="n"/>
      <c r="L157" s="34" t="n"/>
    </row>
    <row r="158" ht="15.75" customHeight="1" s="182">
      <c r="A158" s="34" t="n"/>
      <c r="I158" s="34" t="n"/>
      <c r="J158" s="34" t="n"/>
      <c r="K158" s="34" t="n"/>
      <c r="L158" s="34" t="n"/>
    </row>
    <row r="159" ht="15.75" customHeight="1" s="182">
      <c r="A159" s="34" t="n"/>
      <c r="I159" s="34" t="n"/>
      <c r="J159" s="34" t="n"/>
      <c r="K159" s="34" t="n"/>
      <c r="L159" s="34" t="n"/>
    </row>
    <row r="160" ht="15.75" customHeight="1" s="182">
      <c r="A160" s="34" t="n"/>
      <c r="I160" s="34" t="n"/>
      <c r="J160" s="34" t="n"/>
      <c r="K160" s="34" t="n"/>
      <c r="L160" s="34" t="n"/>
    </row>
    <row r="161" ht="15.75" customHeight="1" s="182">
      <c r="A161" s="34" t="n"/>
      <c r="I161" s="34" t="n"/>
      <c r="J161" s="34" t="n"/>
      <c r="K161" s="34" t="n"/>
      <c r="L161" s="34" t="n"/>
    </row>
    <row r="162" ht="15.75" customHeight="1" s="182">
      <c r="A162" s="34" t="n"/>
      <c r="I162" s="34" t="n"/>
      <c r="J162" s="34" t="n"/>
      <c r="K162" s="34" t="n"/>
      <c r="L162" s="34" t="n"/>
    </row>
    <row r="163" ht="15.75" customHeight="1" s="182">
      <c r="A163" s="34" t="n"/>
      <c r="I163" s="34" t="n"/>
      <c r="J163" s="34" t="n"/>
      <c r="K163" s="34" t="n"/>
      <c r="L163" s="34" t="n"/>
    </row>
    <row r="164" ht="15.75" customHeight="1" s="182">
      <c r="A164" s="34" t="n"/>
      <c r="I164" s="34" t="n"/>
      <c r="J164" s="34" t="n"/>
      <c r="K164" s="34" t="n"/>
      <c r="L164" s="34" t="n"/>
    </row>
    <row r="165" ht="15.75" customHeight="1" s="182">
      <c r="A165" s="34" t="n"/>
      <c r="I165" s="34" t="n"/>
      <c r="J165" s="34" t="n"/>
      <c r="K165" s="34" t="n"/>
      <c r="L165" s="34" t="n"/>
    </row>
    <row r="166" ht="15.75" customHeight="1" s="182">
      <c r="A166" s="34" t="n"/>
      <c r="I166" s="34" t="n"/>
      <c r="J166" s="34" t="n"/>
      <c r="K166" s="34" t="n"/>
      <c r="L166" s="34" t="n"/>
    </row>
    <row r="167" ht="15.75" customHeight="1" s="182">
      <c r="A167" s="34" t="n"/>
      <c r="I167" s="34" t="n"/>
      <c r="J167" s="34" t="n"/>
      <c r="K167" s="34" t="n"/>
      <c r="L167" s="34" t="n"/>
    </row>
    <row r="168" ht="15.75" customHeight="1" s="182">
      <c r="A168" s="34" t="n"/>
      <c r="I168" s="34" t="n"/>
      <c r="J168" s="34" t="n"/>
      <c r="K168" s="34" t="n"/>
      <c r="L168" s="34" t="n"/>
    </row>
    <row r="169" ht="15.75" customHeight="1" s="182">
      <c r="A169" s="34" t="n"/>
      <c r="I169" s="34" t="n"/>
      <c r="J169" s="34" t="n"/>
      <c r="K169" s="34" t="n"/>
      <c r="L169" s="34" t="n"/>
    </row>
    <row r="170" ht="15.75" customHeight="1" s="182">
      <c r="A170" s="34" t="n"/>
      <c r="I170" s="34" t="n"/>
      <c r="J170" s="34" t="n"/>
      <c r="K170" s="34" t="n"/>
      <c r="L170" s="34" t="n"/>
    </row>
    <row r="171" ht="15.75" customHeight="1" s="182">
      <c r="A171" s="34" t="n"/>
      <c r="I171" s="34" t="n"/>
      <c r="J171" s="34" t="n"/>
      <c r="K171" s="34" t="n"/>
      <c r="L171" s="34" t="n"/>
    </row>
    <row r="172" ht="15.75" customHeight="1" s="182">
      <c r="A172" s="34" t="n"/>
      <c r="I172" s="34" t="n"/>
      <c r="J172" s="34" t="n"/>
      <c r="K172" s="34" t="n"/>
      <c r="L172" s="34" t="n"/>
    </row>
    <row r="173" ht="15.75" customHeight="1" s="182">
      <c r="A173" s="34" t="n"/>
      <c r="I173" s="34" t="n"/>
      <c r="J173" s="34" t="n"/>
      <c r="K173" s="34" t="n"/>
      <c r="L173" s="34" t="n"/>
    </row>
    <row r="174" ht="15.75" customHeight="1" s="182">
      <c r="A174" s="34" t="n"/>
      <c r="I174" s="34" t="n"/>
      <c r="J174" s="34" t="n"/>
      <c r="K174" s="34" t="n"/>
      <c r="L174" s="34" t="n"/>
    </row>
    <row r="175" ht="15.75" customHeight="1" s="182">
      <c r="A175" s="34" t="n"/>
      <c r="I175" s="34" t="n"/>
      <c r="J175" s="34" t="n"/>
      <c r="K175" s="34" t="n"/>
      <c r="L175" s="34" t="n"/>
    </row>
    <row r="176" ht="15.75" customHeight="1" s="182">
      <c r="A176" s="34" t="n"/>
      <c r="I176" s="34" t="n"/>
      <c r="J176" s="34" t="n"/>
      <c r="K176" s="34" t="n"/>
      <c r="L176" s="34" t="n"/>
    </row>
    <row r="177" ht="15.75" customHeight="1" s="182">
      <c r="A177" s="34" t="n"/>
      <c r="I177" s="34" t="n"/>
      <c r="J177" s="34" t="n"/>
      <c r="K177" s="34" t="n"/>
      <c r="L177" s="34" t="n"/>
    </row>
    <row r="178" ht="15.75" customHeight="1" s="182">
      <c r="A178" s="34" t="n"/>
      <c r="I178" s="34" t="n"/>
      <c r="J178" s="34" t="n"/>
      <c r="K178" s="34" t="n"/>
      <c r="L178" s="34" t="n"/>
    </row>
    <row r="179" ht="15.75" customHeight="1" s="182">
      <c r="A179" s="34" t="n"/>
      <c r="I179" s="34" t="n"/>
      <c r="J179" s="34" t="n"/>
      <c r="K179" s="34" t="n"/>
      <c r="L179" s="34" t="n"/>
    </row>
    <row r="180" ht="15.75" customHeight="1" s="182">
      <c r="A180" s="34" t="n"/>
      <c r="I180" s="34" t="n"/>
      <c r="J180" s="34" t="n"/>
      <c r="K180" s="34" t="n"/>
      <c r="L180" s="34" t="n"/>
    </row>
    <row r="181" ht="15.75" customHeight="1" s="182">
      <c r="A181" s="34" t="n"/>
      <c r="I181" s="34" t="n"/>
      <c r="J181" s="34" t="n"/>
      <c r="K181" s="34" t="n"/>
      <c r="L181" s="34" t="n"/>
    </row>
    <row r="182" ht="15.75" customHeight="1" s="182">
      <c r="A182" s="34" t="n"/>
      <c r="I182" s="34" t="n"/>
      <c r="J182" s="34" t="n"/>
      <c r="K182" s="34" t="n"/>
      <c r="L182" s="34" t="n"/>
    </row>
    <row r="183" ht="15.75" customHeight="1" s="182">
      <c r="A183" s="34" t="n"/>
      <c r="I183" s="34" t="n"/>
      <c r="J183" s="34" t="n"/>
      <c r="K183" s="34" t="n"/>
      <c r="L183" s="34" t="n"/>
    </row>
    <row r="184" ht="15.75" customHeight="1" s="182">
      <c r="A184" s="34" t="n"/>
      <c r="I184" s="34" t="n"/>
      <c r="J184" s="34" t="n"/>
      <c r="K184" s="34" t="n"/>
      <c r="L184" s="34" t="n"/>
    </row>
    <row r="185" ht="15.75" customHeight="1" s="182">
      <c r="A185" s="34" t="n"/>
      <c r="I185" s="34" t="n"/>
      <c r="J185" s="34" t="n"/>
      <c r="K185" s="34" t="n"/>
      <c r="L185" s="34" t="n"/>
    </row>
    <row r="186" ht="15.75" customHeight="1" s="182">
      <c r="A186" s="34" t="n"/>
      <c r="I186" s="34" t="n"/>
      <c r="J186" s="34" t="n"/>
      <c r="K186" s="34" t="n"/>
      <c r="L186" s="34" t="n"/>
    </row>
    <row r="187" ht="15.75" customHeight="1" s="182">
      <c r="A187" s="34" t="n"/>
      <c r="I187" s="34" t="n"/>
      <c r="J187" s="34" t="n"/>
      <c r="K187" s="34" t="n"/>
      <c r="L187" s="34" t="n"/>
    </row>
    <row r="188" ht="15.75" customHeight="1" s="182">
      <c r="A188" s="34" t="n"/>
      <c r="I188" s="34" t="n"/>
      <c r="J188" s="34" t="n"/>
      <c r="K188" s="34" t="n"/>
      <c r="L188" s="34" t="n"/>
    </row>
    <row r="189" ht="15.75" customHeight="1" s="182">
      <c r="A189" s="34" t="n"/>
      <c r="I189" s="34" t="n"/>
      <c r="J189" s="34" t="n"/>
      <c r="K189" s="34" t="n"/>
      <c r="L189" s="34" t="n"/>
    </row>
    <row r="190" ht="15.75" customHeight="1" s="182">
      <c r="A190" s="34" t="n"/>
      <c r="I190" s="34" t="n"/>
      <c r="J190" s="34" t="n"/>
      <c r="K190" s="34" t="n"/>
      <c r="L190" s="34" t="n"/>
    </row>
    <row r="191" ht="15.75" customHeight="1" s="182">
      <c r="A191" s="34" t="n"/>
      <c r="I191" s="34" t="n"/>
      <c r="J191" s="34" t="n"/>
      <c r="K191" s="34" t="n"/>
      <c r="L191" s="34" t="n"/>
    </row>
    <row r="192" ht="15.75" customHeight="1" s="182">
      <c r="A192" s="34" t="n"/>
      <c r="I192" s="34" t="n"/>
      <c r="J192" s="34" t="n"/>
      <c r="K192" s="34" t="n"/>
      <c r="L192" s="34" t="n"/>
    </row>
    <row r="193" ht="15.75" customHeight="1" s="182">
      <c r="A193" s="34" t="n"/>
      <c r="I193" s="34" t="n"/>
      <c r="J193" s="34" t="n"/>
      <c r="K193" s="34" t="n"/>
      <c r="L193" s="34" t="n"/>
    </row>
    <row r="194" ht="15.75" customHeight="1" s="182">
      <c r="A194" s="34" t="n"/>
      <c r="I194" s="34" t="n"/>
      <c r="J194" s="34" t="n"/>
      <c r="K194" s="34" t="n"/>
      <c r="L194" s="34" t="n"/>
    </row>
    <row r="195" ht="15.75" customHeight="1" s="182">
      <c r="A195" s="34" t="n"/>
      <c r="I195" s="34" t="n"/>
      <c r="J195" s="34" t="n"/>
      <c r="K195" s="34" t="n"/>
      <c r="L195" s="34" t="n"/>
    </row>
    <row r="196" ht="15.75" customHeight="1" s="182">
      <c r="A196" s="34" t="n"/>
      <c r="I196" s="34" t="n"/>
      <c r="J196" s="34" t="n"/>
      <c r="K196" s="34" t="n"/>
      <c r="L196" s="34" t="n"/>
    </row>
    <row r="197" ht="15.75" customHeight="1" s="182">
      <c r="A197" s="34" t="n"/>
      <c r="I197" s="34" t="n"/>
      <c r="J197" s="34" t="n"/>
      <c r="K197" s="34" t="n"/>
      <c r="L197" s="34" t="n"/>
    </row>
    <row r="198" ht="15.75" customHeight="1" s="182">
      <c r="A198" s="34" t="n"/>
      <c r="I198" s="34" t="n"/>
      <c r="J198" s="34" t="n"/>
      <c r="K198" s="34" t="n"/>
      <c r="L198" s="34" t="n"/>
    </row>
    <row r="199" ht="15.75" customHeight="1" s="182">
      <c r="A199" s="34" t="n"/>
      <c r="I199" s="34" t="n"/>
      <c r="J199" s="34" t="n"/>
      <c r="K199" s="34" t="n"/>
      <c r="L199" s="34" t="n"/>
    </row>
    <row r="200" ht="15.75" customHeight="1" s="182">
      <c r="A200" s="34" t="n"/>
      <c r="I200" s="34" t="n"/>
      <c r="J200" s="34" t="n"/>
      <c r="K200" s="34" t="n"/>
      <c r="L200" s="34" t="n"/>
    </row>
    <row r="201" ht="15.75" customHeight="1" s="182">
      <c r="A201" s="34" t="n"/>
      <c r="I201" s="34" t="n"/>
      <c r="J201" s="34" t="n"/>
      <c r="K201" s="34" t="n"/>
      <c r="L201" s="34" t="n"/>
    </row>
    <row r="202" ht="15.75" customHeight="1" s="182">
      <c r="A202" s="34" t="n"/>
      <c r="I202" s="34" t="n"/>
      <c r="J202" s="34" t="n"/>
      <c r="K202" s="34" t="n"/>
      <c r="L202" s="34" t="n"/>
    </row>
    <row r="203" ht="15.75" customHeight="1" s="182">
      <c r="A203" s="34" t="n"/>
      <c r="I203" s="34" t="n"/>
      <c r="J203" s="34" t="n"/>
      <c r="K203" s="34" t="n"/>
      <c r="L203" s="34" t="n"/>
    </row>
    <row r="204" ht="15.75" customHeight="1" s="182">
      <c r="A204" s="34" t="n"/>
      <c r="I204" s="34" t="n"/>
      <c r="J204" s="34" t="n"/>
      <c r="K204" s="34" t="n"/>
      <c r="L204" s="34" t="n"/>
    </row>
    <row r="205" ht="15.75" customHeight="1" s="182">
      <c r="A205" s="34" t="n"/>
      <c r="I205" s="34" t="n"/>
      <c r="J205" s="34" t="n"/>
      <c r="K205" s="34" t="n"/>
      <c r="L205" s="34" t="n"/>
    </row>
    <row r="206" ht="15.75" customHeight="1" s="182">
      <c r="A206" s="34" t="n"/>
      <c r="I206" s="34" t="n"/>
      <c r="J206" s="34" t="n"/>
      <c r="K206" s="34" t="n"/>
      <c r="L206" s="34" t="n"/>
    </row>
    <row r="207" ht="15.75" customHeight="1" s="182">
      <c r="A207" s="34" t="n"/>
      <c r="I207" s="34" t="n"/>
      <c r="J207" s="34" t="n"/>
      <c r="K207" s="34" t="n"/>
      <c r="L207" s="34" t="n"/>
    </row>
    <row r="208" ht="15.75" customHeight="1" s="182">
      <c r="A208" s="34" t="n"/>
      <c r="I208" s="34" t="n"/>
      <c r="J208" s="34" t="n"/>
      <c r="K208" s="34" t="n"/>
      <c r="L208" s="34" t="n"/>
    </row>
    <row r="209" ht="15.75" customHeight="1" s="182">
      <c r="A209" s="34" t="n"/>
      <c r="I209" s="34" t="n"/>
      <c r="J209" s="34" t="n"/>
      <c r="K209" s="34" t="n"/>
      <c r="L209" s="34" t="n"/>
    </row>
    <row r="210" ht="15.75" customHeight="1" s="182">
      <c r="A210" s="34" t="n"/>
      <c r="I210" s="34" t="n"/>
      <c r="J210" s="34" t="n"/>
      <c r="K210" s="34" t="n"/>
      <c r="L210" s="34" t="n"/>
    </row>
    <row r="211" ht="15.75" customHeight="1" s="182">
      <c r="A211" s="34" t="n"/>
      <c r="I211" s="34" t="n"/>
      <c r="J211" s="34" t="n"/>
      <c r="K211" s="34" t="n"/>
      <c r="L211" s="34" t="n"/>
    </row>
    <row r="212" ht="15.75" customHeight="1" s="182">
      <c r="A212" s="34" t="n"/>
      <c r="I212" s="34" t="n"/>
      <c r="J212" s="34" t="n"/>
      <c r="K212" s="34" t="n"/>
      <c r="L212" s="34" t="n"/>
    </row>
    <row r="213" ht="15.75" customHeight="1" s="182">
      <c r="A213" s="34" t="n"/>
      <c r="I213" s="34" t="n"/>
      <c r="J213" s="34" t="n"/>
      <c r="K213" s="34" t="n"/>
      <c r="L213" s="34" t="n"/>
    </row>
    <row r="214" ht="15.75" customHeight="1" s="182">
      <c r="A214" s="34" t="n"/>
      <c r="I214" s="34" t="n"/>
      <c r="J214" s="34" t="n"/>
      <c r="K214" s="34" t="n"/>
      <c r="L214" s="34" t="n"/>
    </row>
    <row r="215" ht="15.75" customHeight="1" s="182">
      <c r="A215" s="34" t="n"/>
      <c r="I215" s="34" t="n"/>
      <c r="J215" s="34" t="n"/>
      <c r="K215" s="34" t="n"/>
      <c r="L215" s="34" t="n"/>
    </row>
    <row r="216" ht="15.75" customHeight="1" s="182">
      <c r="A216" s="34" t="n"/>
      <c r="I216" s="34" t="n"/>
      <c r="J216" s="34" t="n"/>
      <c r="K216" s="34" t="n"/>
      <c r="L216" s="34" t="n"/>
    </row>
    <row r="217" ht="15.75" customHeight="1" s="182">
      <c r="A217" s="34" t="n"/>
      <c r="I217" s="34" t="n"/>
      <c r="J217" s="34" t="n"/>
      <c r="K217" s="34" t="n"/>
      <c r="L217" s="34" t="n"/>
    </row>
    <row r="218" ht="15.75" customHeight="1" s="182">
      <c r="A218" s="34" t="n"/>
      <c r="I218" s="34" t="n"/>
      <c r="J218" s="34" t="n"/>
      <c r="K218" s="34" t="n"/>
      <c r="L218" s="34" t="n"/>
    </row>
    <row r="219" ht="15.75" customHeight="1" s="182">
      <c r="A219" s="34" t="n"/>
      <c r="I219" s="34" t="n"/>
      <c r="J219" s="34" t="n"/>
      <c r="K219" s="34" t="n"/>
      <c r="L219" s="34" t="n"/>
    </row>
    <row r="220" ht="15.75" customHeight="1" s="182">
      <c r="A220" s="34" t="n"/>
      <c r="I220" s="34" t="n"/>
      <c r="J220" s="34" t="n"/>
      <c r="K220" s="34" t="n"/>
      <c r="L220" s="34" t="n"/>
    </row>
    <row r="221" ht="15.75" customHeight="1" s="182">
      <c r="A221" s="34" t="n"/>
      <c r="I221" s="34" t="n"/>
      <c r="J221" s="34" t="n"/>
      <c r="K221" s="34" t="n"/>
      <c r="L221" s="34" t="n"/>
    </row>
    <row r="222" ht="15.75" customHeight="1" s="182">
      <c r="A222" s="34" t="n"/>
      <c r="I222" s="34" t="n"/>
      <c r="J222" s="34" t="n"/>
      <c r="K222" s="34" t="n"/>
      <c r="L222" s="34" t="n"/>
    </row>
    <row r="223" ht="15.75" customHeight="1" s="182">
      <c r="A223" s="34" t="n"/>
      <c r="I223" s="34" t="n"/>
      <c r="J223" s="34" t="n"/>
      <c r="K223" s="34" t="n"/>
      <c r="L223" s="34" t="n"/>
    </row>
    <row r="224" ht="15.75" customHeight="1" s="182">
      <c r="A224" s="34" t="n"/>
      <c r="I224" s="34" t="n"/>
      <c r="J224" s="34" t="n"/>
      <c r="K224" s="34" t="n"/>
      <c r="L224" s="34" t="n"/>
    </row>
    <row r="225" ht="15.75" customHeight="1" s="182">
      <c r="A225" s="34" t="n"/>
      <c r="I225" s="34" t="n"/>
      <c r="J225" s="34" t="n"/>
      <c r="K225" s="34" t="n"/>
      <c r="L225" s="34" t="n"/>
    </row>
    <row r="226" ht="15.75" customHeight="1" s="182">
      <c r="A226" s="34" t="n"/>
      <c r="I226" s="34" t="n"/>
      <c r="J226" s="34" t="n"/>
      <c r="K226" s="34" t="n"/>
      <c r="L226" s="34" t="n"/>
    </row>
    <row r="227" ht="15.75" customHeight="1" s="182">
      <c r="A227" s="34" t="n"/>
      <c r="I227" s="34" t="n"/>
      <c r="J227" s="34" t="n"/>
      <c r="K227" s="34" t="n"/>
      <c r="L227" s="34" t="n"/>
    </row>
    <row r="228" ht="15.75" customHeight="1" s="182">
      <c r="A228" s="34" t="n"/>
      <c r="I228" s="34" t="n"/>
      <c r="J228" s="34" t="n"/>
      <c r="K228" s="34" t="n"/>
      <c r="L228" s="34" t="n"/>
    </row>
    <row r="229" ht="15.75" customHeight="1" s="182">
      <c r="A229" s="34" t="n"/>
      <c r="I229" s="34" t="n"/>
      <c r="J229" s="34" t="n"/>
      <c r="K229" s="34" t="n"/>
      <c r="L229" s="34" t="n"/>
    </row>
    <row r="230" ht="15.75" customHeight="1" s="182">
      <c r="A230" s="34" t="n"/>
      <c r="I230" s="34" t="n"/>
      <c r="J230" s="34" t="n"/>
      <c r="K230" s="34" t="n"/>
      <c r="L230" s="34" t="n"/>
    </row>
    <row r="231" ht="15.75" customHeight="1" s="182">
      <c r="A231" s="34" t="n"/>
      <c r="I231" s="34" t="n"/>
      <c r="J231" s="34" t="n"/>
      <c r="K231" s="34" t="n"/>
      <c r="L231" s="34" t="n"/>
    </row>
    <row r="232" ht="15.75" customHeight="1" s="182">
      <c r="A232" s="34" t="n"/>
      <c r="I232" s="34" t="n"/>
      <c r="J232" s="34" t="n"/>
      <c r="K232" s="34" t="n"/>
      <c r="L232" s="34" t="n"/>
    </row>
    <row r="233" ht="15.75" customHeight="1" s="182">
      <c r="A233" s="34" t="n"/>
      <c r="I233" s="34" t="n"/>
      <c r="J233" s="34" t="n"/>
      <c r="K233" s="34" t="n"/>
      <c r="L233" s="34" t="n"/>
    </row>
    <row r="234" ht="15.75" customHeight="1" s="182">
      <c r="A234" s="34" t="n"/>
      <c r="I234" s="34" t="n"/>
      <c r="J234" s="34" t="n"/>
      <c r="K234" s="34" t="n"/>
      <c r="L234" s="34" t="n"/>
    </row>
    <row r="235" ht="15.75" customHeight="1" s="182">
      <c r="A235" s="34" t="n"/>
      <c r="I235" s="34" t="n"/>
      <c r="J235" s="34" t="n"/>
      <c r="K235" s="34" t="n"/>
      <c r="L235" s="34" t="n"/>
    </row>
    <row r="236" ht="15.75" customHeight="1" s="182">
      <c r="A236" s="34" t="n"/>
      <c r="I236" s="34" t="n"/>
      <c r="J236" s="34" t="n"/>
      <c r="K236" s="34" t="n"/>
      <c r="L236" s="34" t="n"/>
    </row>
    <row r="237" ht="15.75" customHeight="1" s="182">
      <c r="A237" s="34" t="n"/>
      <c r="I237" s="34" t="n"/>
      <c r="J237" s="34" t="n"/>
      <c r="K237" s="34" t="n"/>
      <c r="L237" s="34" t="n"/>
    </row>
    <row r="238" ht="15.75" customHeight="1" s="182">
      <c r="A238" s="34" t="n"/>
      <c r="I238" s="34" t="n"/>
      <c r="J238" s="34" t="n"/>
      <c r="K238" s="34" t="n"/>
      <c r="L238" s="34" t="n"/>
    </row>
    <row r="239" ht="15.75" customHeight="1" s="182">
      <c r="A239" s="34" t="n"/>
      <c r="I239" s="34" t="n"/>
      <c r="J239" s="34" t="n"/>
      <c r="K239" s="34" t="n"/>
      <c r="L239" s="34" t="n"/>
    </row>
    <row r="240" ht="15.75" customHeight="1" s="182">
      <c r="A240" s="34" t="n"/>
      <c r="I240" s="34" t="n"/>
      <c r="J240" s="34" t="n"/>
      <c r="K240" s="34" t="n"/>
      <c r="L240" s="34" t="n"/>
    </row>
    <row r="241" ht="15.75" customHeight="1" s="182">
      <c r="A241" s="34" t="n"/>
      <c r="I241" s="34" t="n"/>
      <c r="J241" s="34" t="n"/>
      <c r="K241" s="34" t="n"/>
      <c r="L241" s="34" t="n"/>
    </row>
    <row r="242" ht="15.75" customHeight="1" s="182">
      <c r="A242" s="34" t="n"/>
      <c r="I242" s="34" t="n"/>
      <c r="J242" s="34" t="n"/>
      <c r="K242" s="34" t="n"/>
      <c r="L242" s="34" t="n"/>
    </row>
    <row r="243" ht="15.75" customHeight="1" s="182">
      <c r="A243" s="34" t="n"/>
      <c r="I243" s="34" t="n"/>
      <c r="J243" s="34" t="n"/>
      <c r="K243" s="34" t="n"/>
      <c r="L243" s="34" t="n"/>
    </row>
    <row r="244" ht="15.75" customHeight="1" s="182">
      <c r="A244" s="34" t="n"/>
      <c r="I244" s="34" t="n"/>
      <c r="J244" s="34" t="n"/>
      <c r="K244" s="34" t="n"/>
      <c r="L244" s="34" t="n"/>
    </row>
    <row r="245" ht="15.75" customHeight="1" s="182">
      <c r="A245" s="34" t="n"/>
      <c r="I245" s="34" t="n"/>
      <c r="J245" s="34" t="n"/>
      <c r="K245" s="34" t="n"/>
      <c r="L245" s="34" t="n"/>
    </row>
    <row r="246" ht="15.75" customHeight="1" s="182">
      <c r="A246" s="34" t="n"/>
      <c r="I246" s="34" t="n"/>
      <c r="J246" s="34" t="n"/>
      <c r="K246" s="34" t="n"/>
      <c r="L246" s="34" t="n"/>
    </row>
    <row r="247" ht="15.75" customHeight="1" s="182">
      <c r="A247" s="34" t="n"/>
      <c r="I247" s="34" t="n"/>
      <c r="J247" s="34" t="n"/>
      <c r="K247" s="34" t="n"/>
      <c r="L247" s="34" t="n"/>
    </row>
    <row r="248" ht="15.75" customHeight="1" s="182">
      <c r="A248" s="34" t="n"/>
      <c r="I248" s="34" t="n"/>
      <c r="J248" s="34" t="n"/>
      <c r="K248" s="34" t="n"/>
      <c r="L248" s="34" t="n"/>
    </row>
    <row r="249" ht="15.75" customHeight="1" s="182">
      <c r="A249" s="34" t="n"/>
      <c r="I249" s="34" t="n"/>
      <c r="J249" s="34" t="n"/>
      <c r="K249" s="34" t="n"/>
      <c r="L249" s="34" t="n"/>
    </row>
    <row r="250" ht="15.75" customHeight="1" s="182">
      <c r="A250" s="34" t="n"/>
      <c r="I250" s="34" t="n"/>
      <c r="J250" s="34" t="n"/>
      <c r="K250" s="34" t="n"/>
      <c r="L250" s="34" t="n"/>
    </row>
    <row r="251" ht="15.75" customHeight="1" s="182">
      <c r="A251" s="34" t="n"/>
      <c r="I251" s="34" t="n"/>
      <c r="J251" s="34" t="n"/>
      <c r="K251" s="34" t="n"/>
      <c r="L251" s="34" t="n"/>
    </row>
    <row r="252" ht="15.75" customHeight="1" s="182">
      <c r="A252" s="34" t="n"/>
      <c r="I252" s="34" t="n"/>
      <c r="J252" s="34" t="n"/>
      <c r="K252" s="34" t="n"/>
      <c r="L252" s="34" t="n"/>
    </row>
    <row r="253" ht="15.75" customHeight="1" s="182">
      <c r="A253" s="34" t="n"/>
      <c r="I253" s="34" t="n"/>
      <c r="J253" s="34" t="n"/>
      <c r="K253" s="34" t="n"/>
      <c r="L253" s="34" t="n"/>
    </row>
    <row r="254" ht="15.75" customHeight="1" s="182">
      <c r="A254" s="34" t="n"/>
      <c r="I254" s="34" t="n"/>
      <c r="J254" s="34" t="n"/>
      <c r="K254" s="34" t="n"/>
      <c r="L254" s="34" t="n"/>
    </row>
    <row r="255" ht="15.75" customHeight="1" s="182">
      <c r="A255" s="34" t="n"/>
      <c r="I255" s="34" t="n"/>
      <c r="J255" s="34" t="n"/>
      <c r="K255" s="34" t="n"/>
      <c r="L255" s="34" t="n"/>
    </row>
    <row r="256" ht="15.75" customHeight="1" s="182">
      <c r="A256" s="34" t="n"/>
      <c r="I256" s="34" t="n"/>
      <c r="J256" s="34" t="n"/>
      <c r="K256" s="34" t="n"/>
      <c r="L256" s="34" t="n"/>
    </row>
    <row r="257" ht="15.75" customHeight="1" s="182">
      <c r="A257" s="34" t="n"/>
      <c r="I257" s="34" t="n"/>
      <c r="J257" s="34" t="n"/>
      <c r="K257" s="34" t="n"/>
      <c r="L257" s="34" t="n"/>
    </row>
    <row r="258" ht="15.75" customHeight="1" s="182">
      <c r="A258" s="34" t="n"/>
      <c r="I258" s="34" t="n"/>
      <c r="J258" s="34" t="n"/>
      <c r="K258" s="34" t="n"/>
      <c r="L258" s="34" t="n"/>
    </row>
    <row r="259" ht="15.75" customHeight="1" s="182">
      <c r="A259" s="34" t="n"/>
      <c r="I259" s="34" t="n"/>
      <c r="J259" s="34" t="n"/>
      <c r="K259" s="34" t="n"/>
      <c r="L259" s="34" t="n"/>
    </row>
    <row r="260" ht="15.75" customHeight="1" s="182">
      <c r="A260" s="34" t="n"/>
      <c r="I260" s="34" t="n"/>
      <c r="J260" s="34" t="n"/>
      <c r="K260" s="34" t="n"/>
      <c r="L260" s="34" t="n"/>
    </row>
    <row r="261" ht="15.75" customHeight="1" s="182">
      <c r="A261" s="34" t="n"/>
      <c r="I261" s="34" t="n"/>
      <c r="J261" s="34" t="n"/>
      <c r="K261" s="34" t="n"/>
      <c r="L261" s="34" t="n"/>
    </row>
    <row r="262" ht="15.75" customHeight="1" s="182">
      <c r="A262" s="34" t="n"/>
      <c r="I262" s="34" t="n"/>
      <c r="J262" s="34" t="n"/>
      <c r="K262" s="34" t="n"/>
      <c r="L262" s="34" t="n"/>
    </row>
    <row r="263" ht="15.75" customHeight="1" s="182">
      <c r="A263" s="34" t="n"/>
      <c r="I263" s="34" t="n"/>
      <c r="J263" s="34" t="n"/>
      <c r="K263" s="34" t="n"/>
      <c r="L263" s="34" t="n"/>
    </row>
    <row r="264" ht="15.75" customHeight="1" s="182">
      <c r="A264" s="34" t="n"/>
      <c r="I264" s="34" t="n"/>
      <c r="J264" s="34" t="n"/>
      <c r="K264" s="34" t="n"/>
      <c r="L264" s="34" t="n"/>
    </row>
    <row r="265" ht="15.75" customHeight="1" s="182">
      <c r="A265" s="34" t="n"/>
      <c r="I265" s="34" t="n"/>
      <c r="J265" s="34" t="n"/>
      <c r="K265" s="34" t="n"/>
      <c r="L265" s="34" t="n"/>
    </row>
    <row r="266" ht="15.75" customHeight="1" s="182">
      <c r="A266" s="34" t="n"/>
      <c r="I266" s="34" t="n"/>
      <c r="J266" s="34" t="n"/>
      <c r="K266" s="34" t="n"/>
      <c r="L266" s="34" t="n"/>
    </row>
    <row r="267" ht="15.75" customHeight="1" s="182">
      <c r="A267" s="34" t="n"/>
      <c r="I267" s="34" t="n"/>
      <c r="J267" s="34" t="n"/>
      <c r="K267" s="34" t="n"/>
      <c r="L267" s="34" t="n"/>
    </row>
    <row r="268" ht="15.75" customHeight="1" s="182">
      <c r="A268" s="34" t="n"/>
      <c r="I268" s="34" t="n"/>
      <c r="J268" s="34" t="n"/>
      <c r="K268" s="34" t="n"/>
      <c r="L268" s="34" t="n"/>
    </row>
    <row r="269" ht="15.75" customHeight="1" s="182">
      <c r="A269" s="34" t="n"/>
      <c r="I269" s="34" t="n"/>
      <c r="J269" s="34" t="n"/>
      <c r="K269" s="34" t="n"/>
      <c r="L269" s="34" t="n"/>
    </row>
    <row r="270" ht="15.75" customHeight="1" s="182">
      <c r="A270" s="34" t="n"/>
      <c r="I270" s="34" t="n"/>
      <c r="J270" s="34" t="n"/>
      <c r="K270" s="34" t="n"/>
      <c r="L270" s="34" t="n"/>
    </row>
    <row r="271" ht="15.75" customHeight="1" s="182">
      <c r="A271" s="34" t="n"/>
      <c r="I271" s="34" t="n"/>
      <c r="J271" s="34" t="n"/>
      <c r="K271" s="34" t="n"/>
      <c r="L271" s="34" t="n"/>
    </row>
    <row r="272" ht="15.75" customHeight="1" s="182">
      <c r="A272" s="34" t="n"/>
      <c r="I272" s="34" t="n"/>
      <c r="J272" s="34" t="n"/>
      <c r="K272" s="34" t="n"/>
      <c r="L272" s="34" t="n"/>
    </row>
    <row r="273" ht="15.75" customHeight="1" s="182">
      <c r="A273" s="34" t="n"/>
      <c r="I273" s="34" t="n"/>
      <c r="J273" s="34" t="n"/>
      <c r="K273" s="34" t="n"/>
      <c r="L273" s="34" t="n"/>
    </row>
    <row r="274" ht="15.75" customHeight="1" s="182">
      <c r="A274" s="34" t="n"/>
      <c r="I274" s="34" t="n"/>
      <c r="J274" s="34" t="n"/>
      <c r="K274" s="34" t="n"/>
      <c r="L274" s="34" t="n"/>
    </row>
    <row r="275" ht="15.75" customHeight="1" s="182">
      <c r="A275" s="34" t="n"/>
      <c r="I275" s="34" t="n"/>
      <c r="J275" s="34" t="n"/>
      <c r="K275" s="34" t="n"/>
      <c r="L275" s="34" t="n"/>
    </row>
    <row r="276" ht="15.75" customHeight="1" s="182">
      <c r="A276" s="34" t="n"/>
      <c r="I276" s="34" t="n"/>
      <c r="J276" s="34" t="n"/>
      <c r="K276" s="34" t="n"/>
      <c r="L276" s="34" t="n"/>
    </row>
    <row r="277" ht="15.75" customHeight="1" s="182">
      <c r="A277" s="34" t="n"/>
      <c r="I277" s="34" t="n"/>
      <c r="J277" s="34" t="n"/>
      <c r="K277" s="34" t="n"/>
      <c r="L277" s="34" t="n"/>
    </row>
    <row r="278" ht="15.75" customHeight="1" s="182">
      <c r="A278" s="34" t="n"/>
      <c r="I278" s="34" t="n"/>
      <c r="J278" s="34" t="n"/>
      <c r="K278" s="34" t="n"/>
      <c r="L278" s="34" t="n"/>
    </row>
    <row r="279" ht="15.75" customHeight="1" s="182">
      <c r="A279" s="34" t="n"/>
      <c r="I279" s="34" t="n"/>
      <c r="J279" s="34" t="n"/>
      <c r="K279" s="34" t="n"/>
      <c r="L279" s="34" t="n"/>
    </row>
    <row r="280" ht="15.75" customHeight="1" s="182">
      <c r="A280" s="34" t="n"/>
      <c r="I280" s="34" t="n"/>
      <c r="J280" s="34" t="n"/>
      <c r="K280" s="34" t="n"/>
      <c r="L280" s="34" t="n"/>
    </row>
    <row r="281" ht="15.75" customHeight="1" s="182">
      <c r="A281" s="34" t="n"/>
      <c r="I281" s="34" t="n"/>
      <c r="J281" s="34" t="n"/>
      <c r="K281" s="34" t="n"/>
      <c r="L281" s="34" t="n"/>
    </row>
    <row r="282" ht="15.75" customHeight="1" s="182">
      <c r="A282" s="34" t="n"/>
      <c r="I282" s="34" t="n"/>
      <c r="J282" s="34" t="n"/>
      <c r="K282" s="34" t="n"/>
      <c r="L282" s="34" t="n"/>
    </row>
    <row r="283" ht="15.75" customHeight="1" s="182">
      <c r="A283" s="34" t="n"/>
      <c r="I283" s="34" t="n"/>
      <c r="J283" s="34" t="n"/>
      <c r="K283" s="34" t="n"/>
      <c r="L283" s="34" t="n"/>
    </row>
    <row r="284" ht="15.75" customHeight="1" s="182">
      <c r="A284" s="34" t="n"/>
      <c r="I284" s="34" t="n"/>
      <c r="J284" s="34" t="n"/>
      <c r="K284" s="34" t="n"/>
      <c r="L284" s="34" t="n"/>
    </row>
    <row r="285" ht="15.75" customHeight="1" s="182">
      <c r="A285" s="34" t="n"/>
      <c r="I285" s="34" t="n"/>
      <c r="J285" s="34" t="n"/>
      <c r="K285" s="34" t="n"/>
      <c r="L285" s="34" t="n"/>
    </row>
    <row r="286" ht="15.75" customHeight="1" s="182">
      <c r="A286" s="34" t="n"/>
      <c r="I286" s="34" t="n"/>
      <c r="J286" s="34" t="n"/>
      <c r="K286" s="34" t="n"/>
      <c r="L286" s="34" t="n"/>
    </row>
    <row r="287" ht="15.75" customHeight="1" s="182">
      <c r="A287" s="34" t="n"/>
      <c r="I287" s="34" t="n"/>
      <c r="J287" s="34" t="n"/>
      <c r="K287" s="34" t="n"/>
      <c r="L287" s="34" t="n"/>
    </row>
    <row r="288" ht="15.75" customHeight="1" s="182">
      <c r="A288" s="34" t="n"/>
      <c r="I288" s="34" t="n"/>
      <c r="J288" s="34" t="n"/>
      <c r="K288" s="34" t="n"/>
      <c r="L288" s="34" t="n"/>
    </row>
    <row r="289" ht="15.75" customHeight="1" s="182">
      <c r="A289" s="34" t="n"/>
      <c r="I289" s="34" t="n"/>
      <c r="J289" s="34" t="n"/>
      <c r="K289" s="34" t="n"/>
      <c r="L289" s="34" t="n"/>
    </row>
    <row r="290" ht="15.75" customHeight="1" s="182">
      <c r="A290" s="34" t="n"/>
      <c r="I290" s="34" t="n"/>
      <c r="J290" s="34" t="n"/>
      <c r="K290" s="34" t="n"/>
      <c r="L290" s="34" t="n"/>
    </row>
    <row r="291" ht="15.75" customHeight="1" s="182">
      <c r="A291" s="34" t="n"/>
      <c r="I291" s="34" t="n"/>
      <c r="J291" s="34" t="n"/>
      <c r="K291" s="34" t="n"/>
      <c r="L291" s="34" t="n"/>
    </row>
    <row r="292" ht="15.75" customHeight="1" s="182">
      <c r="A292" s="34" t="n"/>
      <c r="I292" s="34" t="n"/>
      <c r="J292" s="34" t="n"/>
      <c r="K292" s="34" t="n"/>
      <c r="L292" s="34" t="n"/>
    </row>
    <row r="293" ht="15.75" customHeight="1" s="182">
      <c r="A293" s="34" t="n"/>
      <c r="I293" s="34" t="n"/>
      <c r="J293" s="34" t="n"/>
      <c r="K293" s="34" t="n"/>
      <c r="L293" s="34" t="n"/>
    </row>
    <row r="294" ht="15.75" customHeight="1" s="182">
      <c r="A294" s="34" t="n"/>
      <c r="I294" s="34" t="n"/>
      <c r="J294" s="34" t="n"/>
      <c r="K294" s="34" t="n"/>
      <c r="L294" s="34" t="n"/>
    </row>
    <row r="295" ht="15.75" customHeight="1" s="182">
      <c r="A295" s="34" t="n"/>
      <c r="I295" s="34" t="n"/>
      <c r="J295" s="34" t="n"/>
      <c r="K295" s="34" t="n"/>
      <c r="L295" s="34" t="n"/>
    </row>
    <row r="296" ht="15.75" customHeight="1" s="182">
      <c r="A296" s="34" t="n"/>
      <c r="I296" s="34" t="n"/>
      <c r="J296" s="34" t="n"/>
      <c r="K296" s="34" t="n"/>
      <c r="L296" s="34" t="n"/>
    </row>
    <row r="297" ht="15.75" customHeight="1" s="182">
      <c r="A297" s="34" t="n"/>
      <c r="I297" s="34" t="n"/>
      <c r="J297" s="34" t="n"/>
      <c r="K297" s="34" t="n"/>
      <c r="L297" s="34" t="n"/>
    </row>
    <row r="298" ht="15.75" customHeight="1" s="182">
      <c r="A298" s="34" t="n"/>
      <c r="I298" s="34" t="n"/>
      <c r="J298" s="34" t="n"/>
      <c r="K298" s="34" t="n"/>
      <c r="L298" s="34" t="n"/>
    </row>
    <row r="299" ht="15.75" customHeight="1" s="182">
      <c r="A299" s="34" t="n"/>
      <c r="I299" s="34" t="n"/>
      <c r="J299" s="34" t="n"/>
      <c r="K299" s="34" t="n"/>
      <c r="L299" s="34" t="n"/>
    </row>
    <row r="300" ht="15.75" customHeight="1" s="182">
      <c r="A300" s="34" t="n"/>
      <c r="I300" s="34" t="n"/>
      <c r="J300" s="34" t="n"/>
      <c r="K300" s="34" t="n"/>
      <c r="L300" s="34" t="n"/>
    </row>
    <row r="301" ht="15.75" customHeight="1" s="182">
      <c r="A301" s="34" t="n"/>
      <c r="I301" s="34" t="n"/>
      <c r="J301" s="34" t="n"/>
      <c r="K301" s="34" t="n"/>
      <c r="L301" s="34" t="n"/>
    </row>
    <row r="302" ht="15.75" customHeight="1" s="182">
      <c r="A302" s="34" t="n"/>
      <c r="I302" s="34" t="n"/>
      <c r="J302" s="34" t="n"/>
      <c r="K302" s="34" t="n"/>
      <c r="L302" s="34" t="n"/>
    </row>
    <row r="303" ht="15.75" customHeight="1" s="182">
      <c r="A303" s="34" t="n"/>
      <c r="I303" s="34" t="n"/>
      <c r="J303" s="34" t="n"/>
      <c r="K303" s="34" t="n"/>
      <c r="L303" s="34" t="n"/>
    </row>
    <row r="304" ht="15.75" customHeight="1" s="182">
      <c r="A304" s="34" t="n"/>
      <c r="I304" s="34" t="n"/>
      <c r="J304" s="34" t="n"/>
      <c r="K304" s="34" t="n"/>
      <c r="L304" s="34" t="n"/>
    </row>
    <row r="305" ht="15.75" customHeight="1" s="182">
      <c r="A305" s="34" t="n"/>
      <c r="I305" s="34" t="n"/>
      <c r="J305" s="34" t="n"/>
      <c r="K305" s="34" t="n"/>
      <c r="L305" s="34" t="n"/>
    </row>
    <row r="306" ht="15.75" customHeight="1" s="182">
      <c r="A306" s="34" t="n"/>
      <c r="I306" s="34" t="n"/>
      <c r="J306" s="34" t="n"/>
      <c r="K306" s="34" t="n"/>
      <c r="L306" s="34" t="n"/>
    </row>
    <row r="307" ht="15.75" customHeight="1" s="182">
      <c r="A307" s="34" t="n"/>
      <c r="I307" s="34" t="n"/>
      <c r="J307" s="34" t="n"/>
      <c r="K307" s="34" t="n"/>
      <c r="L307" s="34" t="n"/>
    </row>
    <row r="308" ht="15.75" customHeight="1" s="182">
      <c r="A308" s="34" t="n"/>
      <c r="I308" s="34" t="n"/>
      <c r="J308" s="34" t="n"/>
      <c r="K308" s="34" t="n"/>
      <c r="L308" s="34" t="n"/>
    </row>
    <row r="309" ht="15.75" customHeight="1" s="182">
      <c r="A309" s="34" t="n"/>
      <c r="I309" s="34" t="n"/>
      <c r="J309" s="34" t="n"/>
      <c r="K309" s="34" t="n"/>
      <c r="L309" s="34" t="n"/>
    </row>
    <row r="310" ht="15.75" customHeight="1" s="182">
      <c r="A310" s="34" t="n"/>
      <c r="I310" s="34" t="n"/>
      <c r="J310" s="34" t="n"/>
      <c r="K310" s="34" t="n"/>
      <c r="L310" s="34" t="n"/>
    </row>
    <row r="311" ht="15.75" customHeight="1" s="182">
      <c r="A311" s="34" t="n"/>
      <c r="I311" s="34" t="n"/>
      <c r="J311" s="34" t="n"/>
      <c r="K311" s="34" t="n"/>
      <c r="L311" s="34" t="n"/>
    </row>
    <row r="312" ht="15.75" customHeight="1" s="182">
      <c r="A312" s="34" t="n"/>
      <c r="I312" s="34" t="n"/>
      <c r="J312" s="34" t="n"/>
      <c r="K312" s="34" t="n"/>
      <c r="L312" s="34" t="n"/>
    </row>
    <row r="313" ht="15.75" customHeight="1" s="182">
      <c r="A313" s="34" t="n"/>
      <c r="I313" s="34" t="n"/>
      <c r="J313" s="34" t="n"/>
      <c r="K313" s="34" t="n"/>
      <c r="L313" s="34" t="n"/>
    </row>
    <row r="314" ht="15.75" customHeight="1" s="182">
      <c r="A314" s="34" t="n"/>
      <c r="I314" s="34" t="n"/>
      <c r="J314" s="34" t="n"/>
      <c r="K314" s="34" t="n"/>
      <c r="L314" s="34" t="n"/>
    </row>
    <row r="315" ht="15.75" customHeight="1" s="182">
      <c r="A315" s="34" t="n"/>
      <c r="I315" s="34" t="n"/>
      <c r="J315" s="34" t="n"/>
      <c r="K315" s="34" t="n"/>
      <c r="L315" s="34" t="n"/>
    </row>
    <row r="316" ht="15.75" customHeight="1" s="182">
      <c r="A316" s="34" t="n"/>
      <c r="I316" s="34" t="n"/>
      <c r="J316" s="34" t="n"/>
      <c r="K316" s="34" t="n"/>
      <c r="L316" s="34" t="n"/>
    </row>
    <row r="317" ht="15.75" customHeight="1" s="182">
      <c r="A317" s="34" t="n"/>
      <c r="I317" s="34" t="n"/>
      <c r="J317" s="34" t="n"/>
      <c r="K317" s="34" t="n"/>
      <c r="L317" s="34" t="n"/>
    </row>
    <row r="318" ht="15.75" customHeight="1" s="182">
      <c r="A318" s="34" t="n"/>
      <c r="I318" s="34" t="n"/>
      <c r="J318" s="34" t="n"/>
      <c r="K318" s="34" t="n"/>
      <c r="L318" s="34" t="n"/>
    </row>
    <row r="319" ht="15.75" customHeight="1" s="182">
      <c r="A319" s="34" t="n"/>
      <c r="I319" s="34" t="n"/>
      <c r="J319" s="34" t="n"/>
      <c r="K319" s="34" t="n"/>
      <c r="L319" s="34" t="n"/>
    </row>
    <row r="320" ht="15.75" customHeight="1" s="182">
      <c r="A320" s="34" t="n"/>
      <c r="I320" s="34" t="n"/>
      <c r="J320" s="34" t="n"/>
      <c r="K320" s="34" t="n"/>
      <c r="L320" s="34" t="n"/>
    </row>
    <row r="321" ht="15.75" customHeight="1" s="182">
      <c r="A321" s="34" t="n"/>
      <c r="I321" s="34" t="n"/>
      <c r="J321" s="34" t="n"/>
      <c r="K321" s="34" t="n"/>
      <c r="L321" s="34" t="n"/>
    </row>
    <row r="322" ht="15.75" customHeight="1" s="182">
      <c r="A322" s="34" t="n"/>
      <c r="I322" s="34" t="n"/>
      <c r="J322" s="34" t="n"/>
      <c r="K322" s="34" t="n"/>
      <c r="L322" s="34" t="n"/>
    </row>
    <row r="323" ht="15.75" customHeight="1" s="182">
      <c r="A323" s="34" t="n"/>
      <c r="I323" s="34" t="n"/>
      <c r="J323" s="34" t="n"/>
      <c r="K323" s="34" t="n"/>
      <c r="L323" s="34" t="n"/>
    </row>
    <row r="324" ht="15.75" customHeight="1" s="182">
      <c r="A324" s="34" t="n"/>
      <c r="I324" s="34" t="n"/>
      <c r="J324" s="34" t="n"/>
      <c r="K324" s="34" t="n"/>
      <c r="L324" s="34" t="n"/>
    </row>
    <row r="325" ht="15.75" customHeight="1" s="182">
      <c r="A325" s="34" t="n"/>
      <c r="I325" s="34" t="n"/>
      <c r="J325" s="34" t="n"/>
      <c r="K325" s="34" t="n"/>
      <c r="L325" s="34" t="n"/>
    </row>
    <row r="326" ht="15.75" customHeight="1" s="182">
      <c r="A326" s="34" t="n"/>
      <c r="I326" s="34" t="n"/>
      <c r="J326" s="34" t="n"/>
      <c r="K326" s="34" t="n"/>
      <c r="L326" s="34" t="n"/>
    </row>
    <row r="327" ht="15.75" customHeight="1" s="182">
      <c r="A327" s="34" t="n"/>
      <c r="I327" s="34" t="n"/>
      <c r="J327" s="34" t="n"/>
      <c r="K327" s="34" t="n"/>
      <c r="L327" s="34" t="n"/>
    </row>
    <row r="328" ht="15.75" customHeight="1" s="182">
      <c r="A328" s="34" t="n"/>
      <c r="I328" s="34" t="n"/>
      <c r="J328" s="34" t="n"/>
      <c r="K328" s="34" t="n"/>
      <c r="L328" s="34" t="n"/>
    </row>
    <row r="329" ht="15.75" customHeight="1" s="182">
      <c r="A329" s="34" t="n"/>
      <c r="I329" s="34" t="n"/>
      <c r="J329" s="34" t="n"/>
      <c r="K329" s="34" t="n"/>
      <c r="L329" s="34" t="n"/>
    </row>
    <row r="330" ht="15.75" customHeight="1" s="182">
      <c r="A330" s="34" t="n"/>
      <c r="I330" s="34" t="n"/>
      <c r="J330" s="34" t="n"/>
      <c r="K330" s="34" t="n"/>
      <c r="L330" s="34" t="n"/>
    </row>
    <row r="331" ht="15.75" customHeight="1" s="182">
      <c r="A331" s="34" t="n"/>
      <c r="I331" s="34" t="n"/>
      <c r="J331" s="34" t="n"/>
      <c r="K331" s="34" t="n"/>
      <c r="L331" s="34" t="n"/>
    </row>
    <row r="332" ht="15.75" customHeight="1" s="182">
      <c r="A332" s="34" t="n"/>
      <c r="I332" s="34" t="n"/>
      <c r="J332" s="34" t="n"/>
      <c r="K332" s="34" t="n"/>
      <c r="L332" s="34" t="n"/>
    </row>
    <row r="333" ht="15.75" customHeight="1" s="182">
      <c r="A333" s="34" t="n"/>
      <c r="I333" s="34" t="n"/>
      <c r="J333" s="34" t="n"/>
      <c r="K333" s="34" t="n"/>
      <c r="L333" s="34" t="n"/>
    </row>
    <row r="334" ht="15.75" customHeight="1" s="182">
      <c r="A334" s="34" t="n"/>
      <c r="I334" s="34" t="n"/>
      <c r="J334" s="34" t="n"/>
      <c r="K334" s="34" t="n"/>
      <c r="L334" s="34" t="n"/>
    </row>
    <row r="335" ht="15.75" customHeight="1" s="182">
      <c r="A335" s="34" t="n"/>
      <c r="I335" s="34" t="n"/>
      <c r="J335" s="34" t="n"/>
      <c r="K335" s="34" t="n"/>
      <c r="L335" s="34" t="n"/>
    </row>
    <row r="336" ht="15.75" customHeight="1" s="182">
      <c r="A336" s="34" t="n"/>
      <c r="I336" s="34" t="n"/>
      <c r="J336" s="34" t="n"/>
      <c r="K336" s="34" t="n"/>
      <c r="L336" s="34" t="n"/>
    </row>
    <row r="337" ht="15.75" customHeight="1" s="182">
      <c r="A337" s="34" t="n"/>
      <c r="I337" s="34" t="n"/>
      <c r="J337" s="34" t="n"/>
      <c r="K337" s="34" t="n"/>
      <c r="L337" s="34" t="n"/>
    </row>
    <row r="338" ht="15.75" customHeight="1" s="182">
      <c r="A338" s="34" t="n"/>
      <c r="I338" s="34" t="n"/>
      <c r="J338" s="34" t="n"/>
      <c r="K338" s="34" t="n"/>
      <c r="L338" s="34" t="n"/>
    </row>
    <row r="339" ht="15.75" customHeight="1" s="182">
      <c r="A339" s="34" t="n"/>
      <c r="I339" s="34" t="n"/>
      <c r="J339" s="34" t="n"/>
      <c r="K339" s="34" t="n"/>
      <c r="L339" s="34" t="n"/>
    </row>
    <row r="340" ht="15.75" customHeight="1" s="182">
      <c r="A340" s="34" t="n"/>
      <c r="I340" s="34" t="n"/>
      <c r="J340" s="34" t="n"/>
      <c r="K340" s="34" t="n"/>
      <c r="L340" s="34" t="n"/>
    </row>
    <row r="341" ht="15.75" customHeight="1" s="182">
      <c r="A341" s="34" t="n"/>
      <c r="I341" s="34" t="n"/>
      <c r="J341" s="34" t="n"/>
      <c r="K341" s="34" t="n"/>
      <c r="L341" s="34" t="n"/>
    </row>
    <row r="342" ht="15.75" customHeight="1" s="182">
      <c r="A342" s="34" t="n"/>
      <c r="I342" s="34" t="n"/>
      <c r="J342" s="34" t="n"/>
      <c r="K342" s="34" t="n"/>
      <c r="L342" s="34" t="n"/>
    </row>
    <row r="343" ht="15.75" customHeight="1" s="182">
      <c r="A343" s="34" t="n"/>
      <c r="I343" s="34" t="n"/>
      <c r="J343" s="34" t="n"/>
      <c r="K343" s="34" t="n"/>
      <c r="L343" s="34" t="n"/>
    </row>
    <row r="344" ht="15.75" customHeight="1" s="182">
      <c r="A344" s="34" t="n"/>
      <c r="I344" s="34" t="n"/>
      <c r="J344" s="34" t="n"/>
      <c r="K344" s="34" t="n"/>
      <c r="L344" s="34" t="n"/>
    </row>
    <row r="345" ht="15.75" customHeight="1" s="182">
      <c r="A345" s="34" t="n"/>
      <c r="I345" s="34" t="n"/>
      <c r="J345" s="34" t="n"/>
      <c r="K345" s="34" t="n"/>
      <c r="L345" s="34" t="n"/>
    </row>
    <row r="346" ht="15.75" customHeight="1" s="182">
      <c r="A346" s="34" t="n"/>
      <c r="I346" s="34" t="n"/>
      <c r="J346" s="34" t="n"/>
      <c r="K346" s="34" t="n"/>
      <c r="L346" s="34" t="n"/>
    </row>
    <row r="347" ht="15.75" customHeight="1" s="182">
      <c r="A347" s="34" t="n"/>
      <c r="I347" s="34" t="n"/>
      <c r="J347" s="34" t="n"/>
      <c r="K347" s="34" t="n"/>
      <c r="L347" s="34" t="n"/>
    </row>
    <row r="348" ht="15.75" customHeight="1" s="182">
      <c r="A348" s="34" t="n"/>
      <c r="I348" s="34" t="n"/>
      <c r="J348" s="34" t="n"/>
      <c r="K348" s="34" t="n"/>
      <c r="L348" s="34" t="n"/>
    </row>
    <row r="349" ht="15.75" customHeight="1" s="182">
      <c r="A349" s="34" t="n"/>
      <c r="I349" s="34" t="n"/>
      <c r="J349" s="34" t="n"/>
      <c r="K349" s="34" t="n"/>
      <c r="L349" s="34" t="n"/>
    </row>
    <row r="350" ht="15.75" customHeight="1" s="182">
      <c r="A350" s="34" t="n"/>
      <c r="I350" s="34" t="n"/>
      <c r="J350" s="34" t="n"/>
      <c r="K350" s="34" t="n"/>
      <c r="L350" s="34" t="n"/>
    </row>
    <row r="351" ht="15.75" customHeight="1" s="182">
      <c r="A351" s="34" t="n"/>
      <c r="I351" s="34" t="n"/>
      <c r="J351" s="34" t="n"/>
      <c r="K351" s="34" t="n"/>
      <c r="L351" s="34" t="n"/>
    </row>
    <row r="352" ht="15.75" customHeight="1" s="182">
      <c r="A352" s="34" t="n"/>
      <c r="I352" s="34" t="n"/>
      <c r="J352" s="34" t="n"/>
      <c r="K352" s="34" t="n"/>
      <c r="L352" s="34" t="n"/>
    </row>
    <row r="353" ht="15.75" customHeight="1" s="182">
      <c r="A353" s="34" t="n"/>
      <c r="I353" s="34" t="n"/>
      <c r="J353" s="34" t="n"/>
      <c r="K353" s="34" t="n"/>
      <c r="L353" s="34" t="n"/>
    </row>
    <row r="354" ht="15.75" customHeight="1" s="182">
      <c r="A354" s="34" t="n"/>
      <c r="I354" s="34" t="n"/>
      <c r="J354" s="34" t="n"/>
      <c r="K354" s="34" t="n"/>
      <c r="L354" s="34" t="n"/>
    </row>
    <row r="355" ht="15.75" customHeight="1" s="182">
      <c r="A355" s="34" t="n"/>
      <c r="I355" s="34" t="n"/>
      <c r="J355" s="34" t="n"/>
      <c r="K355" s="34" t="n"/>
      <c r="L355" s="34" t="n"/>
    </row>
    <row r="356" ht="15.75" customHeight="1" s="182">
      <c r="A356" s="34" t="n"/>
      <c r="I356" s="34" t="n"/>
      <c r="J356" s="34" t="n"/>
      <c r="K356" s="34" t="n"/>
      <c r="L356" s="34" t="n"/>
    </row>
    <row r="357" ht="15.75" customHeight="1" s="182">
      <c r="A357" s="34" t="n"/>
      <c r="I357" s="34" t="n"/>
      <c r="J357" s="34" t="n"/>
      <c r="K357" s="34" t="n"/>
      <c r="L357" s="34" t="n"/>
    </row>
    <row r="358" ht="15.75" customHeight="1" s="182">
      <c r="A358" s="34" t="n"/>
      <c r="I358" s="34" t="n"/>
      <c r="J358" s="34" t="n"/>
      <c r="K358" s="34" t="n"/>
      <c r="L358" s="34" t="n"/>
    </row>
    <row r="359" ht="15.75" customHeight="1" s="182">
      <c r="A359" s="34" t="n"/>
      <c r="I359" s="34" t="n"/>
      <c r="J359" s="34" t="n"/>
      <c r="K359" s="34" t="n"/>
      <c r="L359" s="34" t="n"/>
    </row>
    <row r="360" ht="15.75" customHeight="1" s="182">
      <c r="A360" s="34" t="n"/>
      <c r="I360" s="34" t="n"/>
      <c r="J360" s="34" t="n"/>
      <c r="K360" s="34" t="n"/>
      <c r="L360" s="34" t="n"/>
    </row>
    <row r="361" ht="15.75" customHeight="1" s="182">
      <c r="A361" s="34" t="n"/>
      <c r="I361" s="34" t="n"/>
      <c r="J361" s="34" t="n"/>
      <c r="K361" s="34" t="n"/>
      <c r="L361" s="34" t="n"/>
    </row>
    <row r="362" ht="15.75" customHeight="1" s="182">
      <c r="A362" s="34" t="n"/>
      <c r="I362" s="34" t="n"/>
      <c r="J362" s="34" t="n"/>
      <c r="K362" s="34" t="n"/>
      <c r="L362" s="34" t="n"/>
    </row>
    <row r="363" ht="15.75" customHeight="1" s="182">
      <c r="A363" s="34" t="n"/>
      <c r="I363" s="34" t="n"/>
      <c r="J363" s="34" t="n"/>
      <c r="K363" s="34" t="n"/>
      <c r="L363" s="34" t="n"/>
    </row>
    <row r="364" ht="15.75" customHeight="1" s="182">
      <c r="A364" s="34" t="n"/>
      <c r="I364" s="34" t="n"/>
      <c r="J364" s="34" t="n"/>
      <c r="K364" s="34" t="n"/>
      <c r="L364" s="34" t="n"/>
    </row>
    <row r="365" ht="15.75" customHeight="1" s="182">
      <c r="A365" s="34" t="n"/>
      <c r="I365" s="34" t="n"/>
      <c r="J365" s="34" t="n"/>
      <c r="K365" s="34" t="n"/>
      <c r="L365" s="34" t="n"/>
    </row>
    <row r="366" ht="15.75" customHeight="1" s="182">
      <c r="A366" s="34" t="n"/>
      <c r="I366" s="34" t="n"/>
      <c r="J366" s="34" t="n"/>
      <c r="K366" s="34" t="n"/>
      <c r="L366" s="34" t="n"/>
    </row>
    <row r="367" ht="15.75" customHeight="1" s="182">
      <c r="A367" s="34" t="n"/>
      <c r="I367" s="34" t="n"/>
      <c r="J367" s="34" t="n"/>
      <c r="K367" s="34" t="n"/>
      <c r="L367" s="34" t="n"/>
    </row>
    <row r="368" ht="15.75" customHeight="1" s="182">
      <c r="A368" s="34" t="n"/>
      <c r="I368" s="34" t="n"/>
      <c r="J368" s="34" t="n"/>
      <c r="K368" s="34" t="n"/>
      <c r="L368" s="34" t="n"/>
    </row>
    <row r="369" ht="15.75" customHeight="1" s="182">
      <c r="A369" s="34" t="n"/>
      <c r="I369" s="34" t="n"/>
      <c r="J369" s="34" t="n"/>
      <c r="K369" s="34" t="n"/>
      <c r="L369" s="34" t="n"/>
    </row>
    <row r="370" ht="15.75" customHeight="1" s="182">
      <c r="A370" s="34" t="n"/>
      <c r="I370" s="34" t="n"/>
      <c r="J370" s="34" t="n"/>
      <c r="K370" s="34" t="n"/>
      <c r="L370" s="34" t="n"/>
    </row>
    <row r="371" ht="15.75" customHeight="1" s="182">
      <c r="A371" s="34" t="n"/>
      <c r="I371" s="34" t="n"/>
      <c r="J371" s="34" t="n"/>
      <c r="K371" s="34" t="n"/>
      <c r="L371" s="34" t="n"/>
    </row>
    <row r="372" ht="15.75" customHeight="1" s="182">
      <c r="A372" s="34" t="n"/>
      <c r="I372" s="34" t="n"/>
      <c r="J372" s="34" t="n"/>
      <c r="K372" s="34" t="n"/>
      <c r="L372" s="34" t="n"/>
    </row>
    <row r="373" ht="15.75" customHeight="1" s="182">
      <c r="A373" s="34" t="n"/>
      <c r="I373" s="34" t="n"/>
      <c r="J373" s="34" t="n"/>
      <c r="K373" s="34" t="n"/>
      <c r="L373" s="34" t="n"/>
    </row>
    <row r="374" ht="15.75" customHeight="1" s="182">
      <c r="A374" s="34" t="n"/>
      <c r="I374" s="34" t="n"/>
      <c r="J374" s="34" t="n"/>
      <c r="K374" s="34" t="n"/>
      <c r="L374" s="34" t="n"/>
    </row>
    <row r="375" ht="15.75" customHeight="1" s="182">
      <c r="A375" s="34" t="n"/>
      <c r="I375" s="34" t="n"/>
      <c r="J375" s="34" t="n"/>
      <c r="K375" s="34" t="n"/>
      <c r="L375" s="34" t="n"/>
    </row>
    <row r="376" ht="15.75" customHeight="1" s="182">
      <c r="A376" s="34" t="n"/>
      <c r="I376" s="34" t="n"/>
      <c r="J376" s="34" t="n"/>
      <c r="K376" s="34" t="n"/>
      <c r="L376" s="34" t="n"/>
    </row>
    <row r="377" ht="15.75" customHeight="1" s="182">
      <c r="A377" s="34" t="n"/>
      <c r="I377" s="34" t="n"/>
      <c r="J377" s="34" t="n"/>
      <c r="K377" s="34" t="n"/>
      <c r="L377" s="34" t="n"/>
    </row>
    <row r="378" ht="15.75" customHeight="1" s="182">
      <c r="A378" s="34" t="n"/>
      <c r="I378" s="34" t="n"/>
      <c r="J378" s="34" t="n"/>
      <c r="K378" s="34" t="n"/>
      <c r="L378" s="34" t="n"/>
    </row>
    <row r="379" ht="15.75" customHeight="1" s="182">
      <c r="A379" s="34" t="n"/>
      <c r="I379" s="34" t="n"/>
      <c r="J379" s="34" t="n"/>
      <c r="K379" s="34" t="n"/>
      <c r="L379" s="34" t="n"/>
    </row>
    <row r="380" ht="15.75" customHeight="1" s="182">
      <c r="A380" s="34" t="n"/>
      <c r="I380" s="34" t="n"/>
      <c r="J380" s="34" t="n"/>
      <c r="K380" s="34" t="n"/>
      <c r="L380" s="34" t="n"/>
    </row>
    <row r="381" ht="15.75" customHeight="1" s="182">
      <c r="A381" s="34" t="n"/>
      <c r="I381" s="34" t="n"/>
      <c r="J381" s="34" t="n"/>
      <c r="K381" s="34" t="n"/>
      <c r="L381" s="34" t="n"/>
    </row>
    <row r="382" ht="15.75" customHeight="1" s="182">
      <c r="A382" s="34" t="n"/>
      <c r="I382" s="34" t="n"/>
      <c r="J382" s="34" t="n"/>
      <c r="K382" s="34" t="n"/>
      <c r="L382" s="34" t="n"/>
    </row>
    <row r="383" ht="15.75" customHeight="1" s="182">
      <c r="A383" s="34" t="n"/>
      <c r="I383" s="34" t="n"/>
      <c r="J383" s="34" t="n"/>
      <c r="K383" s="34" t="n"/>
      <c r="L383" s="34" t="n"/>
    </row>
    <row r="384" ht="15.75" customHeight="1" s="182">
      <c r="A384" s="34" t="n"/>
      <c r="I384" s="34" t="n"/>
      <c r="J384" s="34" t="n"/>
      <c r="K384" s="34" t="n"/>
      <c r="L384" s="34" t="n"/>
    </row>
    <row r="385" ht="15.75" customHeight="1" s="182">
      <c r="A385" s="34" t="n"/>
      <c r="I385" s="34" t="n"/>
      <c r="J385" s="34" t="n"/>
      <c r="K385" s="34" t="n"/>
      <c r="L385" s="34" t="n"/>
    </row>
    <row r="386" ht="15.75" customHeight="1" s="182">
      <c r="A386" s="34" t="n"/>
      <c r="I386" s="34" t="n"/>
      <c r="J386" s="34" t="n"/>
      <c r="K386" s="34" t="n"/>
      <c r="L386" s="34" t="n"/>
    </row>
    <row r="387" ht="15.75" customHeight="1" s="182">
      <c r="A387" s="34" t="n"/>
      <c r="I387" s="34" t="n"/>
      <c r="J387" s="34" t="n"/>
      <c r="K387" s="34" t="n"/>
      <c r="L387" s="34" t="n"/>
    </row>
    <row r="388" ht="15.75" customHeight="1" s="182">
      <c r="A388" s="34" t="n"/>
      <c r="I388" s="34" t="n"/>
      <c r="J388" s="34" t="n"/>
      <c r="K388" s="34" t="n"/>
      <c r="L388" s="34" t="n"/>
    </row>
    <row r="389" ht="15.75" customHeight="1" s="182">
      <c r="A389" s="34" t="n"/>
      <c r="I389" s="34" t="n"/>
      <c r="J389" s="34" t="n"/>
      <c r="K389" s="34" t="n"/>
      <c r="L389" s="34" t="n"/>
    </row>
    <row r="390" ht="15.75" customHeight="1" s="182">
      <c r="A390" s="34" t="n"/>
      <c r="I390" s="34" t="n"/>
      <c r="J390" s="34" t="n"/>
      <c r="K390" s="34" t="n"/>
      <c r="L390" s="34" t="n"/>
    </row>
    <row r="391" ht="15.75" customHeight="1" s="182">
      <c r="A391" s="34" t="n"/>
      <c r="I391" s="34" t="n"/>
      <c r="J391" s="34" t="n"/>
      <c r="K391" s="34" t="n"/>
      <c r="L391" s="34" t="n"/>
    </row>
    <row r="392" ht="15.75" customHeight="1" s="182">
      <c r="A392" s="34" t="n"/>
      <c r="I392" s="34" t="n"/>
      <c r="J392" s="34" t="n"/>
      <c r="K392" s="34" t="n"/>
      <c r="L392" s="34" t="n"/>
    </row>
    <row r="393" ht="15.75" customHeight="1" s="182">
      <c r="A393" s="34" t="n"/>
      <c r="I393" s="34" t="n"/>
      <c r="J393" s="34" t="n"/>
      <c r="K393" s="34" t="n"/>
      <c r="L393" s="34" t="n"/>
    </row>
    <row r="394" ht="15.75" customHeight="1" s="182">
      <c r="A394" s="34" t="n"/>
      <c r="I394" s="34" t="n"/>
      <c r="J394" s="34" t="n"/>
      <c r="K394" s="34" t="n"/>
      <c r="L394" s="34" t="n"/>
    </row>
    <row r="395" ht="15.75" customHeight="1" s="182">
      <c r="A395" s="34" t="n"/>
      <c r="I395" s="34" t="n"/>
      <c r="J395" s="34" t="n"/>
      <c r="K395" s="34" t="n"/>
      <c r="L395" s="34" t="n"/>
    </row>
    <row r="396" ht="15.75" customHeight="1" s="182">
      <c r="A396" s="34" t="n"/>
      <c r="I396" s="34" t="n"/>
      <c r="J396" s="34" t="n"/>
      <c r="K396" s="34" t="n"/>
      <c r="L396" s="34" t="n"/>
    </row>
    <row r="397" ht="15.75" customHeight="1" s="182">
      <c r="A397" s="34" t="n"/>
      <c r="I397" s="34" t="n"/>
      <c r="J397" s="34" t="n"/>
      <c r="K397" s="34" t="n"/>
      <c r="L397" s="34" t="n"/>
    </row>
    <row r="398" ht="15.75" customHeight="1" s="182">
      <c r="A398" s="34" t="n"/>
      <c r="I398" s="34" t="n"/>
      <c r="J398" s="34" t="n"/>
      <c r="K398" s="34" t="n"/>
      <c r="L398" s="34" t="n"/>
    </row>
    <row r="399" ht="15.75" customHeight="1" s="182">
      <c r="A399" s="34" t="n"/>
      <c r="I399" s="34" t="n"/>
      <c r="J399" s="34" t="n"/>
      <c r="K399" s="34" t="n"/>
      <c r="L399" s="34" t="n"/>
    </row>
    <row r="400" ht="15.75" customHeight="1" s="182">
      <c r="A400" s="34" t="n"/>
      <c r="I400" s="34" t="n"/>
      <c r="J400" s="34" t="n"/>
      <c r="K400" s="34" t="n"/>
      <c r="L400" s="34" t="n"/>
    </row>
    <row r="401" ht="15.75" customHeight="1" s="182">
      <c r="A401" s="34" t="n"/>
      <c r="I401" s="34" t="n"/>
      <c r="J401" s="34" t="n"/>
      <c r="K401" s="34" t="n"/>
      <c r="L401" s="34" t="n"/>
    </row>
    <row r="402" ht="15.75" customHeight="1" s="182">
      <c r="A402" s="34" t="n"/>
      <c r="I402" s="34" t="n"/>
      <c r="J402" s="34" t="n"/>
      <c r="K402" s="34" t="n"/>
      <c r="L402" s="34" t="n"/>
    </row>
    <row r="403" ht="15.75" customHeight="1" s="182">
      <c r="A403" s="34" t="n"/>
      <c r="I403" s="34" t="n"/>
      <c r="J403" s="34" t="n"/>
      <c r="K403" s="34" t="n"/>
      <c r="L403" s="34" t="n"/>
    </row>
    <row r="404" ht="15.75" customHeight="1" s="182">
      <c r="A404" s="34" t="n"/>
      <c r="I404" s="34" t="n"/>
      <c r="J404" s="34" t="n"/>
      <c r="K404" s="34" t="n"/>
      <c r="L404" s="34" t="n"/>
    </row>
    <row r="405" ht="15.75" customHeight="1" s="182">
      <c r="A405" s="34" t="n"/>
      <c r="I405" s="34" t="n"/>
      <c r="J405" s="34" t="n"/>
      <c r="K405" s="34" t="n"/>
      <c r="L405" s="34" t="n"/>
    </row>
    <row r="406" ht="15.75" customHeight="1" s="182">
      <c r="A406" s="34" t="n"/>
      <c r="I406" s="34" t="n"/>
      <c r="J406" s="34" t="n"/>
      <c r="K406" s="34" t="n"/>
      <c r="L406" s="34" t="n"/>
    </row>
    <row r="407" ht="15.75" customHeight="1" s="182">
      <c r="A407" s="34" t="n"/>
      <c r="I407" s="34" t="n"/>
      <c r="J407" s="34" t="n"/>
      <c r="K407" s="34" t="n"/>
      <c r="L407" s="34" t="n"/>
    </row>
    <row r="408" ht="15.75" customHeight="1" s="182">
      <c r="A408" s="34" t="n"/>
      <c r="I408" s="34" t="n"/>
      <c r="J408" s="34" t="n"/>
      <c r="K408" s="34" t="n"/>
      <c r="L408" s="34" t="n"/>
    </row>
    <row r="409" ht="15.75" customHeight="1" s="182">
      <c r="A409" s="34" t="n"/>
      <c r="I409" s="34" t="n"/>
      <c r="J409" s="34" t="n"/>
      <c r="K409" s="34" t="n"/>
      <c r="L409" s="34" t="n"/>
    </row>
    <row r="410" ht="15.75" customHeight="1" s="182">
      <c r="A410" s="34" t="n"/>
      <c r="I410" s="34" t="n"/>
      <c r="J410" s="34" t="n"/>
      <c r="K410" s="34" t="n"/>
      <c r="L410" s="34" t="n"/>
    </row>
    <row r="411" ht="15.75" customHeight="1" s="182">
      <c r="A411" s="34" t="n"/>
      <c r="I411" s="34" t="n"/>
      <c r="J411" s="34" t="n"/>
      <c r="K411" s="34" t="n"/>
      <c r="L411" s="34" t="n"/>
    </row>
    <row r="412" ht="15.75" customHeight="1" s="182">
      <c r="A412" s="34" t="n"/>
      <c r="I412" s="34" t="n"/>
      <c r="J412" s="34" t="n"/>
      <c r="K412" s="34" t="n"/>
      <c r="L412" s="34" t="n"/>
    </row>
    <row r="413" ht="15.75" customHeight="1" s="182">
      <c r="A413" s="34" t="n"/>
      <c r="I413" s="34" t="n"/>
      <c r="J413" s="34" t="n"/>
      <c r="K413" s="34" t="n"/>
      <c r="L413" s="34" t="n"/>
    </row>
    <row r="414" ht="15.75" customHeight="1" s="182">
      <c r="A414" s="34" t="n"/>
      <c r="I414" s="34" t="n"/>
      <c r="J414" s="34" t="n"/>
      <c r="K414" s="34" t="n"/>
      <c r="L414" s="34" t="n"/>
    </row>
    <row r="415" ht="15.75" customHeight="1" s="182">
      <c r="A415" s="34" t="n"/>
      <c r="I415" s="34" t="n"/>
      <c r="J415" s="34" t="n"/>
      <c r="K415" s="34" t="n"/>
      <c r="L415" s="34" t="n"/>
    </row>
    <row r="416" ht="15.75" customHeight="1" s="182">
      <c r="A416" s="34" t="n"/>
      <c r="I416" s="34" t="n"/>
      <c r="J416" s="34" t="n"/>
      <c r="K416" s="34" t="n"/>
      <c r="L416" s="34" t="n"/>
    </row>
    <row r="417" ht="15.75" customHeight="1" s="182">
      <c r="A417" s="34" t="n"/>
      <c r="I417" s="34" t="n"/>
      <c r="J417" s="34" t="n"/>
      <c r="K417" s="34" t="n"/>
      <c r="L417" s="34" t="n"/>
    </row>
    <row r="418" ht="15.75" customHeight="1" s="182">
      <c r="A418" s="34" t="n"/>
      <c r="I418" s="34" t="n"/>
      <c r="J418" s="34" t="n"/>
      <c r="K418" s="34" t="n"/>
      <c r="L418" s="34" t="n"/>
    </row>
    <row r="419" ht="15.75" customHeight="1" s="182">
      <c r="A419" s="34" t="n"/>
      <c r="I419" s="34" t="n"/>
      <c r="J419" s="34" t="n"/>
      <c r="K419" s="34" t="n"/>
      <c r="L419" s="34" t="n"/>
    </row>
    <row r="420" ht="15.75" customHeight="1" s="182">
      <c r="A420" s="34" t="n"/>
      <c r="I420" s="34" t="n"/>
      <c r="J420" s="34" t="n"/>
      <c r="K420" s="34" t="n"/>
      <c r="L420" s="34" t="n"/>
    </row>
    <row r="421" ht="15.75" customHeight="1" s="182">
      <c r="A421" s="34" t="n"/>
      <c r="I421" s="34" t="n"/>
      <c r="J421" s="34" t="n"/>
      <c r="K421" s="34" t="n"/>
      <c r="L421" s="34" t="n"/>
    </row>
    <row r="422" ht="15.75" customHeight="1" s="182">
      <c r="A422" s="34" t="n"/>
      <c r="I422" s="34" t="n"/>
      <c r="J422" s="34" t="n"/>
      <c r="K422" s="34" t="n"/>
      <c r="L422" s="34" t="n"/>
    </row>
    <row r="423" ht="15.75" customHeight="1" s="182">
      <c r="A423" s="34" t="n"/>
      <c r="I423" s="34" t="n"/>
      <c r="J423" s="34" t="n"/>
      <c r="K423" s="34" t="n"/>
      <c r="L423" s="34" t="n"/>
    </row>
    <row r="424" ht="15.75" customHeight="1" s="182">
      <c r="A424" s="34" t="n"/>
      <c r="I424" s="34" t="n"/>
      <c r="J424" s="34" t="n"/>
      <c r="K424" s="34" t="n"/>
      <c r="L424" s="34" t="n"/>
    </row>
    <row r="425" ht="15.75" customHeight="1" s="182">
      <c r="A425" s="34" t="n"/>
      <c r="I425" s="34" t="n"/>
      <c r="J425" s="34" t="n"/>
      <c r="K425" s="34" t="n"/>
      <c r="L425" s="34" t="n"/>
    </row>
    <row r="426" ht="15.75" customHeight="1" s="182">
      <c r="A426" s="34" t="n"/>
      <c r="I426" s="34" t="n"/>
      <c r="J426" s="34" t="n"/>
      <c r="K426" s="34" t="n"/>
      <c r="L426" s="34" t="n"/>
    </row>
    <row r="427" ht="15.75" customHeight="1" s="182">
      <c r="A427" s="34" t="n"/>
      <c r="I427" s="34" t="n"/>
      <c r="J427" s="34" t="n"/>
      <c r="K427" s="34" t="n"/>
      <c r="L427" s="34" t="n"/>
    </row>
    <row r="428" ht="15.75" customHeight="1" s="182">
      <c r="A428" s="34" t="n"/>
      <c r="I428" s="34" t="n"/>
      <c r="J428" s="34" t="n"/>
      <c r="K428" s="34" t="n"/>
      <c r="L428" s="34" t="n"/>
    </row>
    <row r="429" ht="15.75" customHeight="1" s="182">
      <c r="A429" s="34" t="n"/>
      <c r="I429" s="34" t="n"/>
      <c r="J429" s="34" t="n"/>
      <c r="K429" s="34" t="n"/>
      <c r="L429" s="34" t="n"/>
    </row>
    <row r="430" ht="15.75" customHeight="1" s="182">
      <c r="A430" s="34" t="n"/>
      <c r="I430" s="34" t="n"/>
      <c r="J430" s="34" t="n"/>
      <c r="K430" s="34" t="n"/>
      <c r="L430" s="34" t="n"/>
    </row>
    <row r="431" ht="15.75" customHeight="1" s="182">
      <c r="A431" s="34" t="n"/>
      <c r="I431" s="34" t="n"/>
      <c r="J431" s="34" t="n"/>
      <c r="K431" s="34" t="n"/>
      <c r="L431" s="34" t="n"/>
    </row>
    <row r="432" ht="15.75" customHeight="1" s="182">
      <c r="A432" s="34" t="n"/>
      <c r="I432" s="34" t="n"/>
      <c r="J432" s="34" t="n"/>
      <c r="K432" s="34" t="n"/>
      <c r="L432" s="34" t="n"/>
    </row>
    <row r="433" ht="15.75" customHeight="1" s="182">
      <c r="A433" s="34" t="n"/>
      <c r="I433" s="34" t="n"/>
      <c r="J433" s="34" t="n"/>
      <c r="K433" s="34" t="n"/>
      <c r="L433" s="34" t="n"/>
    </row>
    <row r="434" ht="15.75" customHeight="1" s="182">
      <c r="A434" s="34" t="n"/>
      <c r="I434" s="34" t="n"/>
      <c r="J434" s="34" t="n"/>
      <c r="K434" s="34" t="n"/>
      <c r="L434" s="34" t="n"/>
    </row>
    <row r="435" ht="15.75" customHeight="1" s="182">
      <c r="A435" s="34" t="n"/>
      <c r="I435" s="34" t="n"/>
      <c r="J435" s="34" t="n"/>
      <c r="K435" s="34" t="n"/>
      <c r="L435" s="34" t="n"/>
    </row>
    <row r="436" ht="15.75" customHeight="1" s="182">
      <c r="A436" s="34" t="n"/>
      <c r="I436" s="34" t="n"/>
      <c r="J436" s="34" t="n"/>
      <c r="K436" s="34" t="n"/>
      <c r="L436" s="34" t="n"/>
    </row>
    <row r="437" ht="15.75" customHeight="1" s="182">
      <c r="A437" s="34" t="n"/>
      <c r="I437" s="34" t="n"/>
      <c r="J437" s="34" t="n"/>
      <c r="K437" s="34" t="n"/>
      <c r="L437" s="34" t="n"/>
    </row>
    <row r="438" ht="15.75" customHeight="1" s="182">
      <c r="A438" s="34" t="n"/>
      <c r="I438" s="34" t="n"/>
      <c r="J438" s="34" t="n"/>
      <c r="K438" s="34" t="n"/>
      <c r="L438" s="34" t="n"/>
    </row>
    <row r="439" ht="15.75" customHeight="1" s="182">
      <c r="A439" s="34" t="n"/>
      <c r="I439" s="34" t="n"/>
      <c r="J439" s="34" t="n"/>
      <c r="K439" s="34" t="n"/>
      <c r="L439" s="34" t="n"/>
    </row>
    <row r="440" ht="15.75" customHeight="1" s="182">
      <c r="A440" s="34" t="n"/>
      <c r="I440" s="34" t="n"/>
      <c r="J440" s="34" t="n"/>
      <c r="K440" s="34" t="n"/>
      <c r="L440" s="34" t="n"/>
    </row>
    <row r="441" ht="15.75" customHeight="1" s="182">
      <c r="A441" s="34" t="n"/>
      <c r="I441" s="34" t="n"/>
      <c r="J441" s="34" t="n"/>
      <c r="K441" s="34" t="n"/>
      <c r="L441" s="34" t="n"/>
    </row>
    <row r="442" ht="15.75" customHeight="1" s="182">
      <c r="A442" s="34" t="n"/>
      <c r="I442" s="34" t="n"/>
      <c r="J442" s="34" t="n"/>
      <c r="K442" s="34" t="n"/>
      <c r="L442" s="34" t="n"/>
    </row>
    <row r="443" ht="15.75" customHeight="1" s="182">
      <c r="A443" s="34" t="n"/>
      <c r="I443" s="34" t="n"/>
      <c r="J443" s="34" t="n"/>
      <c r="K443" s="34" t="n"/>
      <c r="L443" s="34" t="n"/>
    </row>
    <row r="444" ht="15.75" customHeight="1" s="182">
      <c r="A444" s="34" t="n"/>
      <c r="I444" s="34" t="n"/>
      <c r="J444" s="34" t="n"/>
      <c r="K444" s="34" t="n"/>
      <c r="L444" s="34" t="n"/>
    </row>
    <row r="445" ht="15.75" customHeight="1" s="182">
      <c r="A445" s="34" t="n"/>
      <c r="I445" s="34" t="n"/>
      <c r="J445" s="34" t="n"/>
      <c r="K445" s="34" t="n"/>
      <c r="L445" s="34" t="n"/>
    </row>
    <row r="446" ht="15.75" customHeight="1" s="182">
      <c r="A446" s="34" t="n"/>
      <c r="I446" s="34" t="n"/>
      <c r="J446" s="34" t="n"/>
      <c r="K446" s="34" t="n"/>
      <c r="L446" s="34" t="n"/>
    </row>
    <row r="447" ht="15.75" customHeight="1" s="182">
      <c r="A447" s="34" t="n"/>
      <c r="I447" s="34" t="n"/>
      <c r="J447" s="34" t="n"/>
      <c r="K447" s="34" t="n"/>
      <c r="L447" s="34" t="n"/>
    </row>
    <row r="448" ht="15.75" customHeight="1" s="182">
      <c r="A448" s="34" t="n"/>
      <c r="I448" s="34" t="n"/>
      <c r="J448" s="34" t="n"/>
      <c r="K448" s="34" t="n"/>
      <c r="L448" s="34" t="n"/>
    </row>
    <row r="449" ht="15.75" customHeight="1" s="182">
      <c r="A449" s="34" t="n"/>
      <c r="I449" s="34" t="n"/>
      <c r="J449" s="34" t="n"/>
      <c r="K449" s="34" t="n"/>
      <c r="L449" s="34" t="n"/>
    </row>
    <row r="450" ht="15.75" customHeight="1" s="182">
      <c r="A450" s="34" t="n"/>
      <c r="I450" s="34" t="n"/>
      <c r="J450" s="34" t="n"/>
      <c r="K450" s="34" t="n"/>
      <c r="L450" s="34" t="n"/>
    </row>
    <row r="451" ht="15.75" customHeight="1" s="182">
      <c r="A451" s="34" t="n"/>
      <c r="I451" s="34" t="n"/>
      <c r="J451" s="34" t="n"/>
      <c r="K451" s="34" t="n"/>
      <c r="L451" s="34" t="n"/>
    </row>
    <row r="452" ht="15.75" customHeight="1" s="182">
      <c r="A452" s="34" t="n"/>
      <c r="I452" s="34" t="n"/>
      <c r="J452" s="34" t="n"/>
      <c r="K452" s="34" t="n"/>
      <c r="L452" s="34" t="n"/>
    </row>
    <row r="453" ht="15.75" customHeight="1" s="182">
      <c r="A453" s="34" t="n"/>
      <c r="I453" s="34" t="n"/>
      <c r="J453" s="34" t="n"/>
      <c r="K453" s="34" t="n"/>
      <c r="L453" s="34" t="n"/>
    </row>
    <row r="454" ht="15.75" customHeight="1" s="182">
      <c r="A454" s="34" t="n"/>
      <c r="I454" s="34" t="n"/>
      <c r="J454" s="34" t="n"/>
      <c r="K454" s="34" t="n"/>
      <c r="L454" s="34" t="n"/>
    </row>
    <row r="455" ht="15.75" customHeight="1" s="182">
      <c r="A455" s="34" t="n"/>
      <c r="I455" s="34" t="n"/>
      <c r="J455" s="34" t="n"/>
      <c r="K455" s="34" t="n"/>
      <c r="L455" s="34" t="n"/>
    </row>
    <row r="456" ht="15.75" customHeight="1" s="182">
      <c r="A456" s="34" t="n"/>
      <c r="I456" s="34" t="n"/>
      <c r="J456" s="34" t="n"/>
      <c r="K456" s="34" t="n"/>
      <c r="L456" s="34" t="n"/>
    </row>
    <row r="457" ht="15.75" customHeight="1" s="182">
      <c r="A457" s="34" t="n"/>
      <c r="I457" s="34" t="n"/>
      <c r="J457" s="34" t="n"/>
      <c r="K457" s="34" t="n"/>
      <c r="L457" s="34" t="n"/>
    </row>
    <row r="458" ht="15.75" customHeight="1" s="182">
      <c r="A458" s="34" t="n"/>
      <c r="I458" s="34" t="n"/>
      <c r="J458" s="34" t="n"/>
      <c r="K458" s="34" t="n"/>
      <c r="L458" s="34" t="n"/>
    </row>
    <row r="459" ht="15.75" customHeight="1" s="182">
      <c r="A459" s="34" t="n"/>
      <c r="I459" s="34" t="n"/>
      <c r="J459" s="34" t="n"/>
      <c r="K459" s="34" t="n"/>
      <c r="L459" s="34" t="n"/>
    </row>
    <row r="460" ht="15.75" customHeight="1" s="182">
      <c r="A460" s="34" t="n"/>
      <c r="I460" s="34" t="n"/>
      <c r="J460" s="34" t="n"/>
      <c r="K460" s="34" t="n"/>
      <c r="L460" s="34" t="n"/>
    </row>
    <row r="461" ht="15.75" customHeight="1" s="182">
      <c r="A461" s="34" t="n"/>
      <c r="I461" s="34" t="n"/>
      <c r="J461" s="34" t="n"/>
      <c r="K461" s="34" t="n"/>
      <c r="L461" s="34" t="n"/>
    </row>
    <row r="462" ht="15.75" customHeight="1" s="182">
      <c r="A462" s="34" t="n"/>
      <c r="I462" s="34" t="n"/>
      <c r="J462" s="34" t="n"/>
      <c r="K462" s="34" t="n"/>
      <c r="L462" s="34" t="n"/>
    </row>
    <row r="463" ht="15.75" customHeight="1" s="182">
      <c r="A463" s="34" t="n"/>
      <c r="I463" s="34" t="n"/>
      <c r="J463" s="34" t="n"/>
      <c r="K463" s="34" t="n"/>
      <c r="L463" s="34" t="n"/>
    </row>
    <row r="464" ht="15.75" customHeight="1" s="182">
      <c r="A464" s="34" t="n"/>
      <c r="I464" s="34" t="n"/>
      <c r="J464" s="34" t="n"/>
      <c r="K464" s="34" t="n"/>
      <c r="L464" s="34" t="n"/>
    </row>
    <row r="465" ht="15.75" customHeight="1" s="182">
      <c r="A465" s="34" t="n"/>
      <c r="I465" s="34" t="n"/>
      <c r="J465" s="34" t="n"/>
      <c r="K465" s="34" t="n"/>
      <c r="L465" s="34" t="n"/>
    </row>
    <row r="466" ht="15.75" customHeight="1" s="182">
      <c r="A466" s="34" t="n"/>
      <c r="I466" s="34" t="n"/>
      <c r="J466" s="34" t="n"/>
      <c r="K466" s="34" t="n"/>
      <c r="L466" s="34" t="n"/>
    </row>
    <row r="467" ht="15.75" customHeight="1" s="182">
      <c r="A467" s="34" t="n"/>
      <c r="I467" s="34" t="n"/>
      <c r="J467" s="34" t="n"/>
      <c r="K467" s="34" t="n"/>
      <c r="L467" s="34" t="n"/>
    </row>
    <row r="468" ht="15.75" customHeight="1" s="182">
      <c r="A468" s="34" t="n"/>
      <c r="I468" s="34" t="n"/>
      <c r="J468" s="34" t="n"/>
      <c r="K468" s="34" t="n"/>
      <c r="L468" s="34" t="n"/>
    </row>
    <row r="469" ht="15.75" customHeight="1" s="182">
      <c r="A469" s="34" t="n"/>
      <c r="I469" s="34" t="n"/>
      <c r="J469" s="34" t="n"/>
      <c r="K469" s="34" t="n"/>
      <c r="L469" s="34" t="n"/>
    </row>
    <row r="470" ht="15.75" customHeight="1" s="182">
      <c r="A470" s="34" t="n"/>
      <c r="I470" s="34" t="n"/>
      <c r="J470" s="34" t="n"/>
      <c r="K470" s="34" t="n"/>
      <c r="L470" s="34" t="n"/>
    </row>
    <row r="471" ht="15.75" customHeight="1" s="182">
      <c r="A471" s="34" t="n"/>
      <c r="I471" s="34" t="n"/>
      <c r="J471" s="34" t="n"/>
      <c r="K471" s="34" t="n"/>
      <c r="L471" s="34" t="n"/>
    </row>
    <row r="472" ht="15.75" customHeight="1" s="182">
      <c r="A472" s="34" t="n"/>
      <c r="I472" s="34" t="n"/>
      <c r="J472" s="34" t="n"/>
      <c r="K472" s="34" t="n"/>
      <c r="L472" s="34" t="n"/>
    </row>
    <row r="473" ht="15.75" customHeight="1" s="182">
      <c r="A473" s="34" t="n"/>
      <c r="I473" s="34" t="n"/>
      <c r="J473" s="34" t="n"/>
      <c r="K473" s="34" t="n"/>
      <c r="L473" s="34" t="n"/>
    </row>
    <row r="474" ht="15.75" customHeight="1" s="182">
      <c r="A474" s="34" t="n"/>
      <c r="I474" s="34" t="n"/>
      <c r="J474" s="34" t="n"/>
      <c r="K474" s="34" t="n"/>
      <c r="L474" s="34" t="n"/>
    </row>
    <row r="475" ht="15.75" customHeight="1" s="182">
      <c r="A475" s="34" t="n"/>
      <c r="I475" s="34" t="n"/>
      <c r="J475" s="34" t="n"/>
      <c r="K475" s="34" t="n"/>
      <c r="L475" s="34" t="n"/>
    </row>
    <row r="476" ht="15.75" customHeight="1" s="182">
      <c r="A476" s="34" t="n"/>
      <c r="I476" s="34" t="n"/>
      <c r="J476" s="34" t="n"/>
      <c r="K476" s="34" t="n"/>
      <c r="L476" s="34" t="n"/>
    </row>
    <row r="477" ht="15.75" customHeight="1" s="182">
      <c r="A477" s="34" t="n"/>
      <c r="I477" s="34" t="n"/>
      <c r="J477" s="34" t="n"/>
      <c r="K477" s="34" t="n"/>
      <c r="L477" s="34" t="n"/>
    </row>
    <row r="478" ht="15.75" customHeight="1" s="182">
      <c r="A478" s="34" t="n"/>
      <c r="I478" s="34" t="n"/>
      <c r="J478" s="34" t="n"/>
      <c r="K478" s="34" t="n"/>
      <c r="L478" s="34" t="n"/>
    </row>
    <row r="479" ht="15.75" customHeight="1" s="182">
      <c r="A479" s="34" t="n"/>
      <c r="I479" s="34" t="n"/>
      <c r="J479" s="34" t="n"/>
      <c r="K479" s="34" t="n"/>
      <c r="L479" s="34" t="n"/>
    </row>
    <row r="480" ht="15.75" customHeight="1" s="182">
      <c r="A480" s="34" t="n"/>
      <c r="I480" s="34" t="n"/>
      <c r="J480" s="34" t="n"/>
      <c r="K480" s="34" t="n"/>
      <c r="L480" s="34" t="n"/>
    </row>
    <row r="481" ht="15.75" customHeight="1" s="182">
      <c r="A481" s="34" t="n"/>
      <c r="I481" s="34" t="n"/>
      <c r="J481" s="34" t="n"/>
      <c r="K481" s="34" t="n"/>
      <c r="L481" s="34" t="n"/>
    </row>
    <row r="482" ht="15.75" customHeight="1" s="182">
      <c r="A482" s="34" t="n"/>
      <c r="I482" s="34" t="n"/>
      <c r="J482" s="34" t="n"/>
      <c r="K482" s="34" t="n"/>
      <c r="L482" s="34" t="n"/>
    </row>
    <row r="483" ht="15.75" customHeight="1" s="182">
      <c r="A483" s="34" t="n"/>
      <c r="I483" s="34" t="n"/>
      <c r="J483" s="34" t="n"/>
      <c r="K483" s="34" t="n"/>
      <c r="L483" s="34" t="n"/>
    </row>
    <row r="484" ht="15.75" customHeight="1" s="182">
      <c r="A484" s="34" t="n"/>
      <c r="I484" s="34" t="n"/>
      <c r="J484" s="34" t="n"/>
      <c r="K484" s="34" t="n"/>
      <c r="L484" s="34" t="n"/>
    </row>
    <row r="485" ht="15.75" customHeight="1" s="182">
      <c r="A485" s="34" t="n"/>
      <c r="I485" s="34" t="n"/>
      <c r="J485" s="34" t="n"/>
      <c r="K485" s="34" t="n"/>
      <c r="L485" s="34" t="n"/>
    </row>
    <row r="486" ht="15.75" customHeight="1" s="182">
      <c r="A486" s="34" t="n"/>
      <c r="I486" s="34" t="n"/>
      <c r="J486" s="34" t="n"/>
      <c r="K486" s="34" t="n"/>
      <c r="L486" s="34" t="n"/>
    </row>
    <row r="487" ht="15.75" customHeight="1" s="182">
      <c r="A487" s="34" t="n"/>
      <c r="I487" s="34" t="n"/>
      <c r="J487" s="34" t="n"/>
      <c r="K487" s="34" t="n"/>
      <c r="L487" s="34" t="n"/>
    </row>
    <row r="488" ht="15.75" customHeight="1" s="182">
      <c r="A488" s="34" t="n"/>
      <c r="I488" s="34" t="n"/>
      <c r="J488" s="34" t="n"/>
      <c r="K488" s="34" t="n"/>
      <c r="L488" s="34" t="n"/>
    </row>
    <row r="489" ht="15.75" customHeight="1" s="182">
      <c r="A489" s="34" t="n"/>
      <c r="I489" s="34" t="n"/>
      <c r="J489" s="34" t="n"/>
      <c r="K489" s="34" t="n"/>
      <c r="L489" s="34" t="n"/>
    </row>
    <row r="490" ht="15.75" customHeight="1" s="182">
      <c r="A490" s="34" t="n"/>
      <c r="I490" s="34" t="n"/>
      <c r="J490" s="34" t="n"/>
      <c r="K490" s="34" t="n"/>
      <c r="L490" s="34" t="n"/>
    </row>
    <row r="491" ht="15.75" customHeight="1" s="182">
      <c r="A491" s="34" t="n"/>
      <c r="I491" s="34" t="n"/>
      <c r="J491" s="34" t="n"/>
      <c r="K491" s="34" t="n"/>
      <c r="L491" s="34" t="n"/>
    </row>
    <row r="492" ht="15.75" customHeight="1" s="182">
      <c r="A492" s="34" t="n"/>
      <c r="I492" s="34" t="n"/>
      <c r="J492" s="34" t="n"/>
      <c r="K492" s="34" t="n"/>
      <c r="L492" s="34" t="n"/>
    </row>
    <row r="493" ht="15.75" customHeight="1" s="182">
      <c r="A493" s="34" t="n"/>
      <c r="I493" s="34" t="n"/>
      <c r="J493" s="34" t="n"/>
      <c r="K493" s="34" t="n"/>
      <c r="L493" s="34" t="n"/>
    </row>
    <row r="494" ht="15.75" customHeight="1" s="182">
      <c r="A494" s="34" t="n"/>
      <c r="I494" s="34" t="n"/>
      <c r="J494" s="34" t="n"/>
      <c r="K494" s="34" t="n"/>
      <c r="L494" s="34" t="n"/>
    </row>
    <row r="495" ht="15.75" customHeight="1" s="182">
      <c r="A495" s="34" t="n"/>
      <c r="I495" s="34" t="n"/>
      <c r="J495" s="34" t="n"/>
      <c r="K495" s="34" t="n"/>
      <c r="L495" s="34" t="n"/>
    </row>
    <row r="496" ht="15.75" customHeight="1" s="182">
      <c r="A496" s="34" t="n"/>
      <c r="I496" s="34" t="n"/>
      <c r="J496" s="34" t="n"/>
      <c r="K496" s="34" t="n"/>
      <c r="L496" s="34" t="n"/>
    </row>
    <row r="497" ht="15.75" customHeight="1" s="182">
      <c r="A497" s="34" t="n"/>
      <c r="I497" s="34" t="n"/>
      <c r="J497" s="34" t="n"/>
      <c r="K497" s="34" t="n"/>
      <c r="L497" s="34" t="n"/>
    </row>
    <row r="498" ht="15.75" customHeight="1" s="182">
      <c r="A498" s="34" t="n"/>
      <c r="I498" s="34" t="n"/>
      <c r="J498" s="34" t="n"/>
      <c r="K498" s="34" t="n"/>
      <c r="L498" s="34" t="n"/>
    </row>
    <row r="499" ht="15.75" customHeight="1" s="182">
      <c r="A499" s="34" t="n"/>
      <c r="I499" s="34" t="n"/>
      <c r="J499" s="34" t="n"/>
      <c r="K499" s="34" t="n"/>
      <c r="L499" s="34" t="n"/>
    </row>
    <row r="500" ht="15.75" customHeight="1" s="182">
      <c r="A500" s="34" t="n"/>
      <c r="I500" s="34" t="n"/>
      <c r="J500" s="34" t="n"/>
      <c r="K500" s="34" t="n"/>
      <c r="L500" s="34" t="n"/>
    </row>
    <row r="501" ht="15.75" customHeight="1" s="182">
      <c r="A501" s="34" t="n"/>
      <c r="I501" s="34" t="n"/>
      <c r="J501" s="34" t="n"/>
      <c r="K501" s="34" t="n"/>
      <c r="L501" s="34" t="n"/>
    </row>
    <row r="502" ht="15.75" customHeight="1" s="182">
      <c r="A502" s="34" t="n"/>
      <c r="I502" s="34" t="n"/>
      <c r="J502" s="34" t="n"/>
      <c r="K502" s="34" t="n"/>
      <c r="L502" s="34" t="n"/>
    </row>
    <row r="503" ht="15.75" customHeight="1" s="182">
      <c r="A503" s="34" t="n"/>
      <c r="I503" s="34" t="n"/>
      <c r="J503" s="34" t="n"/>
      <c r="K503" s="34" t="n"/>
      <c r="L503" s="34" t="n"/>
    </row>
    <row r="504" ht="15.75" customHeight="1" s="182">
      <c r="A504" s="34" t="n"/>
      <c r="I504" s="34" t="n"/>
      <c r="J504" s="34" t="n"/>
      <c r="K504" s="34" t="n"/>
      <c r="L504" s="34" t="n"/>
    </row>
    <row r="505" ht="15.75" customHeight="1" s="182">
      <c r="A505" s="34" t="n"/>
      <c r="I505" s="34" t="n"/>
      <c r="J505" s="34" t="n"/>
      <c r="K505" s="34" t="n"/>
      <c r="L505" s="34" t="n"/>
    </row>
    <row r="506" ht="15.75" customHeight="1" s="182">
      <c r="A506" s="34" t="n"/>
      <c r="I506" s="34" t="n"/>
      <c r="J506" s="34" t="n"/>
      <c r="K506" s="34" t="n"/>
      <c r="L506" s="34" t="n"/>
    </row>
    <row r="507" ht="15.75" customHeight="1" s="182">
      <c r="A507" s="34" t="n"/>
      <c r="I507" s="34" t="n"/>
      <c r="J507" s="34" t="n"/>
      <c r="K507" s="34" t="n"/>
      <c r="L507" s="34" t="n"/>
    </row>
    <row r="508" ht="15.75" customHeight="1" s="182">
      <c r="A508" s="34" t="n"/>
      <c r="I508" s="34" t="n"/>
      <c r="J508" s="34" t="n"/>
      <c r="K508" s="34" t="n"/>
      <c r="L508" s="34" t="n"/>
    </row>
    <row r="509" ht="15.75" customHeight="1" s="182">
      <c r="A509" s="34" t="n"/>
      <c r="I509" s="34" t="n"/>
      <c r="J509" s="34" t="n"/>
      <c r="K509" s="34" t="n"/>
      <c r="L509" s="34" t="n"/>
    </row>
    <row r="510" ht="15.75" customHeight="1" s="182">
      <c r="A510" s="34" t="n"/>
      <c r="I510" s="34" t="n"/>
      <c r="J510" s="34" t="n"/>
      <c r="K510" s="34" t="n"/>
      <c r="L510" s="34" t="n"/>
    </row>
    <row r="511" ht="15.75" customHeight="1" s="182">
      <c r="A511" s="34" t="n"/>
      <c r="I511" s="34" t="n"/>
      <c r="J511" s="34" t="n"/>
      <c r="K511" s="34" t="n"/>
      <c r="L511" s="34" t="n"/>
    </row>
    <row r="512" ht="15.75" customHeight="1" s="182">
      <c r="A512" s="34" t="n"/>
      <c r="I512" s="34" t="n"/>
      <c r="J512" s="34" t="n"/>
      <c r="K512" s="34" t="n"/>
      <c r="L512" s="34" t="n"/>
    </row>
    <row r="513" ht="15.75" customHeight="1" s="182">
      <c r="A513" s="34" t="n"/>
      <c r="I513" s="34" t="n"/>
      <c r="J513" s="34" t="n"/>
      <c r="K513" s="34" t="n"/>
      <c r="L513" s="34" t="n"/>
    </row>
    <row r="514" ht="15.75" customHeight="1" s="182">
      <c r="A514" s="34" t="n"/>
      <c r="I514" s="34" t="n"/>
      <c r="J514" s="34" t="n"/>
      <c r="K514" s="34" t="n"/>
      <c r="L514" s="34" t="n"/>
    </row>
    <row r="515" ht="15.75" customHeight="1" s="182">
      <c r="A515" s="34" t="n"/>
      <c r="I515" s="34" t="n"/>
      <c r="J515" s="34" t="n"/>
      <c r="K515" s="34" t="n"/>
      <c r="L515" s="34" t="n"/>
    </row>
    <row r="516" ht="15.75" customHeight="1" s="182">
      <c r="A516" s="34" t="n"/>
      <c r="I516" s="34" t="n"/>
      <c r="J516" s="34" t="n"/>
      <c r="K516" s="34" t="n"/>
      <c r="L516" s="34" t="n"/>
    </row>
    <row r="517" ht="15.75" customHeight="1" s="182">
      <c r="A517" s="34" t="n"/>
      <c r="I517" s="34" t="n"/>
      <c r="J517" s="34" t="n"/>
      <c r="K517" s="34" t="n"/>
      <c r="L517" s="34" t="n"/>
    </row>
    <row r="518" ht="15.75" customHeight="1" s="182">
      <c r="A518" s="34" t="n"/>
      <c r="I518" s="34" t="n"/>
      <c r="J518" s="34" t="n"/>
      <c r="K518" s="34" t="n"/>
      <c r="L518" s="34" t="n"/>
    </row>
    <row r="519" ht="15.75" customHeight="1" s="182">
      <c r="A519" s="34" t="n"/>
      <c r="I519" s="34" t="n"/>
      <c r="J519" s="34" t="n"/>
      <c r="K519" s="34" t="n"/>
      <c r="L519" s="34" t="n"/>
    </row>
    <row r="520" ht="15.75" customHeight="1" s="182">
      <c r="A520" s="34" t="n"/>
      <c r="I520" s="34" t="n"/>
      <c r="J520" s="34" t="n"/>
      <c r="K520" s="34" t="n"/>
      <c r="L520" s="34" t="n"/>
    </row>
    <row r="521" ht="15.75" customHeight="1" s="182">
      <c r="A521" s="34" t="n"/>
      <c r="I521" s="34" t="n"/>
      <c r="J521" s="34" t="n"/>
      <c r="K521" s="34" t="n"/>
      <c r="L521" s="34" t="n"/>
    </row>
    <row r="522" ht="15.75" customHeight="1" s="182">
      <c r="A522" s="34" t="n"/>
      <c r="I522" s="34" t="n"/>
      <c r="J522" s="34" t="n"/>
      <c r="K522" s="34" t="n"/>
      <c r="L522" s="34" t="n"/>
    </row>
    <row r="523" ht="15.75" customHeight="1" s="182">
      <c r="A523" s="34" t="n"/>
      <c r="I523" s="34" t="n"/>
      <c r="J523" s="34" t="n"/>
      <c r="K523" s="34" t="n"/>
      <c r="L523" s="34" t="n"/>
    </row>
    <row r="524" ht="15.75" customHeight="1" s="182">
      <c r="A524" s="34" t="n"/>
      <c r="I524" s="34" t="n"/>
      <c r="J524" s="34" t="n"/>
      <c r="K524" s="34" t="n"/>
      <c r="L524" s="34" t="n"/>
    </row>
    <row r="525" ht="15.75" customHeight="1" s="182">
      <c r="A525" s="34" t="n"/>
      <c r="I525" s="34" t="n"/>
      <c r="J525" s="34" t="n"/>
      <c r="K525" s="34" t="n"/>
      <c r="L525" s="34" t="n"/>
    </row>
    <row r="526" ht="15.75" customHeight="1" s="182">
      <c r="A526" s="34" t="n"/>
      <c r="I526" s="34" t="n"/>
      <c r="J526" s="34" t="n"/>
      <c r="K526" s="34" t="n"/>
      <c r="L526" s="34" t="n"/>
    </row>
    <row r="527" ht="15.75" customHeight="1" s="182">
      <c r="A527" s="34" t="n"/>
      <c r="I527" s="34" t="n"/>
      <c r="J527" s="34" t="n"/>
      <c r="K527" s="34" t="n"/>
      <c r="L527" s="34" t="n"/>
    </row>
    <row r="528" ht="15.75" customHeight="1" s="182">
      <c r="A528" s="34" t="n"/>
      <c r="I528" s="34" t="n"/>
      <c r="J528" s="34" t="n"/>
      <c r="K528" s="34" t="n"/>
      <c r="L528" s="34" t="n"/>
    </row>
    <row r="529" ht="15.75" customHeight="1" s="182">
      <c r="A529" s="34" t="n"/>
      <c r="I529" s="34" t="n"/>
      <c r="J529" s="34" t="n"/>
      <c r="K529" s="34" t="n"/>
      <c r="L529" s="34" t="n"/>
    </row>
    <row r="530" ht="15.75" customHeight="1" s="182">
      <c r="A530" s="34" t="n"/>
      <c r="I530" s="34" t="n"/>
      <c r="J530" s="34" t="n"/>
      <c r="K530" s="34" t="n"/>
      <c r="L530" s="34" t="n"/>
    </row>
    <row r="531" ht="15.75" customHeight="1" s="182">
      <c r="A531" s="34" t="n"/>
      <c r="I531" s="34" t="n"/>
      <c r="J531" s="34" t="n"/>
      <c r="K531" s="34" t="n"/>
      <c r="L531" s="34" t="n"/>
    </row>
    <row r="532" ht="15.75" customHeight="1" s="182">
      <c r="A532" s="34" t="n"/>
      <c r="I532" s="34" t="n"/>
      <c r="J532" s="34" t="n"/>
      <c r="K532" s="34" t="n"/>
      <c r="L532" s="34" t="n"/>
    </row>
    <row r="533" ht="15.75" customHeight="1" s="182">
      <c r="A533" s="34" t="n"/>
      <c r="I533" s="34" t="n"/>
      <c r="J533" s="34" t="n"/>
      <c r="K533" s="34" t="n"/>
      <c r="L533" s="34" t="n"/>
    </row>
    <row r="534" ht="15.75" customHeight="1" s="182">
      <c r="A534" s="34" t="n"/>
      <c r="I534" s="34" t="n"/>
      <c r="J534" s="34" t="n"/>
      <c r="K534" s="34" t="n"/>
      <c r="L534" s="34" t="n"/>
    </row>
    <row r="535" ht="15.75" customHeight="1" s="182">
      <c r="A535" s="34" t="n"/>
      <c r="I535" s="34" t="n"/>
      <c r="J535" s="34" t="n"/>
      <c r="K535" s="34" t="n"/>
      <c r="L535" s="34" t="n"/>
    </row>
    <row r="536" ht="15.75" customHeight="1" s="182">
      <c r="A536" s="34" t="n"/>
      <c r="I536" s="34" t="n"/>
      <c r="J536" s="34" t="n"/>
      <c r="K536" s="34" t="n"/>
      <c r="L536" s="34" t="n"/>
    </row>
    <row r="537" ht="15.75" customHeight="1" s="182">
      <c r="A537" s="34" t="n"/>
      <c r="I537" s="34" t="n"/>
      <c r="J537" s="34" t="n"/>
      <c r="K537" s="34" t="n"/>
      <c r="L537" s="34" t="n"/>
    </row>
    <row r="538" ht="15.75" customHeight="1" s="182">
      <c r="A538" s="34" t="n"/>
      <c r="I538" s="34" t="n"/>
      <c r="J538" s="34" t="n"/>
      <c r="K538" s="34" t="n"/>
      <c r="L538" s="34" t="n"/>
    </row>
    <row r="539" ht="15.75" customHeight="1" s="182">
      <c r="A539" s="34" t="n"/>
      <c r="I539" s="34" t="n"/>
      <c r="J539" s="34" t="n"/>
      <c r="K539" s="34" t="n"/>
      <c r="L539" s="34" t="n"/>
    </row>
    <row r="540" ht="15.75" customHeight="1" s="182">
      <c r="A540" s="34" t="n"/>
      <c r="I540" s="34" t="n"/>
      <c r="J540" s="34" t="n"/>
      <c r="K540" s="34" t="n"/>
      <c r="L540" s="34" t="n"/>
    </row>
    <row r="541" ht="15.75" customHeight="1" s="182">
      <c r="A541" s="34" t="n"/>
      <c r="I541" s="34" t="n"/>
      <c r="J541" s="34" t="n"/>
      <c r="K541" s="34" t="n"/>
      <c r="L541" s="34" t="n"/>
    </row>
    <row r="542" ht="15.75" customHeight="1" s="182">
      <c r="A542" s="34" t="n"/>
      <c r="I542" s="34" t="n"/>
      <c r="J542" s="34" t="n"/>
      <c r="K542" s="34" t="n"/>
      <c r="L542" s="34" t="n"/>
    </row>
    <row r="543" ht="15.75" customHeight="1" s="182">
      <c r="A543" s="34" t="n"/>
      <c r="I543" s="34" t="n"/>
      <c r="J543" s="34" t="n"/>
      <c r="K543" s="34" t="n"/>
      <c r="L543" s="34" t="n"/>
    </row>
    <row r="544" ht="15.75" customHeight="1" s="182">
      <c r="A544" s="34" t="n"/>
      <c r="I544" s="34" t="n"/>
      <c r="J544" s="34" t="n"/>
      <c r="K544" s="34" t="n"/>
      <c r="L544" s="34" t="n"/>
    </row>
    <row r="545" ht="15.75" customHeight="1" s="182">
      <c r="A545" s="34" t="n"/>
      <c r="I545" s="34" t="n"/>
      <c r="J545" s="34" t="n"/>
      <c r="K545" s="34" t="n"/>
      <c r="L545" s="34" t="n"/>
    </row>
    <row r="546" ht="15.75" customHeight="1" s="182">
      <c r="A546" s="34" t="n"/>
      <c r="I546" s="34" t="n"/>
      <c r="J546" s="34" t="n"/>
      <c r="K546" s="34" t="n"/>
      <c r="L546" s="34" t="n"/>
    </row>
    <row r="547" ht="15.75" customHeight="1" s="182">
      <c r="A547" s="34" t="n"/>
      <c r="I547" s="34" t="n"/>
      <c r="J547" s="34" t="n"/>
      <c r="K547" s="34" t="n"/>
      <c r="L547" s="34" t="n"/>
    </row>
    <row r="548" ht="15.75" customHeight="1" s="182">
      <c r="A548" s="34" t="n"/>
      <c r="I548" s="34" t="n"/>
      <c r="J548" s="34" t="n"/>
      <c r="K548" s="34" t="n"/>
      <c r="L548" s="34" t="n"/>
    </row>
    <row r="549" ht="15.75" customHeight="1" s="182">
      <c r="A549" s="34" t="n"/>
      <c r="I549" s="34" t="n"/>
      <c r="J549" s="34" t="n"/>
      <c r="K549" s="34" t="n"/>
      <c r="L549" s="34" t="n"/>
    </row>
    <row r="550" ht="15.75" customHeight="1" s="182">
      <c r="A550" s="34" t="n"/>
      <c r="I550" s="34" t="n"/>
      <c r="J550" s="34" t="n"/>
      <c r="K550" s="34" t="n"/>
      <c r="L550" s="34" t="n"/>
    </row>
    <row r="551" ht="15.75" customHeight="1" s="182">
      <c r="A551" s="34" t="n"/>
      <c r="I551" s="34" t="n"/>
      <c r="J551" s="34" t="n"/>
      <c r="K551" s="34" t="n"/>
      <c r="L551" s="34" t="n"/>
    </row>
    <row r="552" ht="15.75" customHeight="1" s="182">
      <c r="A552" s="34" t="n"/>
      <c r="I552" s="34" t="n"/>
      <c r="J552" s="34" t="n"/>
      <c r="K552" s="34" t="n"/>
      <c r="L552" s="34" t="n"/>
    </row>
    <row r="553" ht="15.75" customHeight="1" s="182">
      <c r="A553" s="34" t="n"/>
      <c r="I553" s="34" t="n"/>
      <c r="J553" s="34" t="n"/>
      <c r="K553" s="34" t="n"/>
      <c r="L553" s="34" t="n"/>
    </row>
    <row r="554" ht="15.75" customHeight="1" s="182">
      <c r="A554" s="34" t="n"/>
      <c r="I554" s="34" t="n"/>
      <c r="J554" s="34" t="n"/>
      <c r="K554" s="34" t="n"/>
      <c r="L554" s="34" t="n"/>
    </row>
    <row r="555" ht="15.75" customHeight="1" s="182">
      <c r="A555" s="34" t="n"/>
      <c r="I555" s="34" t="n"/>
      <c r="J555" s="34" t="n"/>
      <c r="K555" s="34" t="n"/>
      <c r="L555" s="34" t="n"/>
    </row>
    <row r="556" ht="15.75" customHeight="1" s="182">
      <c r="A556" s="34" t="n"/>
      <c r="I556" s="34" t="n"/>
      <c r="J556" s="34" t="n"/>
      <c r="K556" s="34" t="n"/>
      <c r="L556" s="34" t="n"/>
    </row>
    <row r="557" ht="15.75" customHeight="1" s="182">
      <c r="A557" s="34" t="n"/>
      <c r="I557" s="34" t="n"/>
      <c r="J557" s="34" t="n"/>
      <c r="K557" s="34" t="n"/>
      <c r="L557" s="34" t="n"/>
    </row>
    <row r="558" ht="15.75" customHeight="1" s="182">
      <c r="A558" s="34" t="n"/>
      <c r="I558" s="34" t="n"/>
      <c r="J558" s="34" t="n"/>
      <c r="K558" s="34" t="n"/>
      <c r="L558" s="34" t="n"/>
    </row>
    <row r="559" ht="15.75" customHeight="1" s="182">
      <c r="A559" s="34" t="n"/>
      <c r="I559" s="34" t="n"/>
      <c r="J559" s="34" t="n"/>
      <c r="K559" s="34" t="n"/>
      <c r="L559" s="34" t="n"/>
    </row>
    <row r="560" ht="15.75" customHeight="1" s="182">
      <c r="A560" s="34" t="n"/>
      <c r="I560" s="34" t="n"/>
      <c r="J560" s="34" t="n"/>
      <c r="K560" s="34" t="n"/>
      <c r="L560" s="34" t="n"/>
    </row>
    <row r="561" ht="15.75" customHeight="1" s="182">
      <c r="A561" s="34" t="n"/>
      <c r="I561" s="34" t="n"/>
      <c r="J561" s="34" t="n"/>
      <c r="K561" s="34" t="n"/>
      <c r="L561" s="34" t="n"/>
    </row>
    <row r="562" ht="15.75" customHeight="1" s="182">
      <c r="A562" s="34" t="n"/>
      <c r="I562" s="34" t="n"/>
      <c r="J562" s="34" t="n"/>
      <c r="K562" s="34" t="n"/>
      <c r="L562" s="34" t="n"/>
    </row>
    <row r="563" ht="15.75" customHeight="1" s="182">
      <c r="A563" s="34" t="n"/>
      <c r="I563" s="34" t="n"/>
      <c r="J563" s="34" t="n"/>
      <c r="K563" s="34" t="n"/>
      <c r="L563" s="34" t="n"/>
    </row>
    <row r="564" ht="15.75" customHeight="1" s="182">
      <c r="A564" s="34" t="n"/>
      <c r="I564" s="34" t="n"/>
      <c r="J564" s="34" t="n"/>
      <c r="K564" s="34" t="n"/>
      <c r="L564" s="34" t="n"/>
    </row>
    <row r="565" ht="15.75" customHeight="1" s="182">
      <c r="A565" s="34" t="n"/>
      <c r="I565" s="34" t="n"/>
      <c r="J565" s="34" t="n"/>
      <c r="K565" s="34" t="n"/>
      <c r="L565" s="34" t="n"/>
    </row>
    <row r="566" ht="15.75" customHeight="1" s="182">
      <c r="A566" s="34" t="n"/>
      <c r="I566" s="34" t="n"/>
      <c r="J566" s="34" t="n"/>
      <c r="K566" s="34" t="n"/>
      <c r="L566" s="34" t="n"/>
    </row>
    <row r="567" ht="15.75" customHeight="1" s="182">
      <c r="A567" s="34" t="n"/>
      <c r="I567" s="34" t="n"/>
      <c r="J567" s="34" t="n"/>
      <c r="K567" s="34" t="n"/>
      <c r="L567" s="34" t="n"/>
    </row>
    <row r="568" ht="15.75" customHeight="1" s="182">
      <c r="A568" s="34" t="n"/>
      <c r="I568" s="34" t="n"/>
      <c r="J568" s="34" t="n"/>
      <c r="K568" s="34" t="n"/>
      <c r="L568" s="34" t="n"/>
    </row>
    <row r="569" ht="15.75" customHeight="1" s="182">
      <c r="A569" s="34" t="n"/>
      <c r="I569" s="34" t="n"/>
      <c r="J569" s="34" t="n"/>
      <c r="K569" s="34" t="n"/>
      <c r="L569" s="34" t="n"/>
    </row>
    <row r="570" ht="15.75" customHeight="1" s="182">
      <c r="A570" s="34" t="n"/>
      <c r="I570" s="34" t="n"/>
      <c r="J570" s="34" t="n"/>
      <c r="K570" s="34" t="n"/>
      <c r="L570" s="34" t="n"/>
    </row>
    <row r="571" ht="15.75" customHeight="1" s="182">
      <c r="A571" s="34" t="n"/>
      <c r="I571" s="34" t="n"/>
      <c r="J571" s="34" t="n"/>
      <c r="K571" s="34" t="n"/>
      <c r="L571" s="34" t="n"/>
    </row>
    <row r="572" ht="15.75" customHeight="1" s="182">
      <c r="A572" s="34" t="n"/>
      <c r="I572" s="34" t="n"/>
      <c r="J572" s="34" t="n"/>
      <c r="K572" s="34" t="n"/>
      <c r="L572" s="34" t="n"/>
    </row>
    <row r="573" ht="15.75" customHeight="1" s="182">
      <c r="A573" s="34" t="n"/>
      <c r="I573" s="34" t="n"/>
      <c r="J573" s="34" t="n"/>
      <c r="K573" s="34" t="n"/>
      <c r="L573" s="34" t="n"/>
    </row>
    <row r="574" ht="15.75" customHeight="1" s="182">
      <c r="A574" s="34" t="n"/>
      <c r="I574" s="34" t="n"/>
      <c r="J574" s="34" t="n"/>
      <c r="K574" s="34" t="n"/>
      <c r="L574" s="34" t="n"/>
    </row>
    <row r="575" ht="15.75" customHeight="1" s="182">
      <c r="A575" s="34" t="n"/>
      <c r="I575" s="34" t="n"/>
      <c r="J575" s="34" t="n"/>
      <c r="K575" s="34" t="n"/>
      <c r="L575" s="34" t="n"/>
    </row>
    <row r="576" ht="15.75" customHeight="1" s="182">
      <c r="A576" s="34" t="n"/>
      <c r="I576" s="34" t="n"/>
      <c r="J576" s="34" t="n"/>
      <c r="K576" s="34" t="n"/>
      <c r="L576" s="34" t="n"/>
    </row>
    <row r="577" ht="15.75" customHeight="1" s="182">
      <c r="A577" s="34" t="n"/>
      <c r="I577" s="34" t="n"/>
      <c r="J577" s="34" t="n"/>
      <c r="K577" s="34" t="n"/>
      <c r="L577" s="34" t="n"/>
    </row>
    <row r="578" ht="15.75" customHeight="1" s="182">
      <c r="A578" s="34" t="n"/>
      <c r="I578" s="34" t="n"/>
      <c r="J578" s="34" t="n"/>
      <c r="K578" s="34" t="n"/>
      <c r="L578" s="34" t="n"/>
    </row>
    <row r="579" ht="15.75" customHeight="1" s="182">
      <c r="A579" s="34" t="n"/>
      <c r="I579" s="34" t="n"/>
      <c r="J579" s="34" t="n"/>
      <c r="K579" s="34" t="n"/>
      <c r="L579" s="34" t="n"/>
    </row>
    <row r="580" ht="15.75" customHeight="1" s="182">
      <c r="A580" s="34" t="n"/>
      <c r="I580" s="34" t="n"/>
      <c r="J580" s="34" t="n"/>
      <c r="K580" s="34" t="n"/>
      <c r="L580" s="34" t="n"/>
    </row>
    <row r="581" ht="15.75" customHeight="1" s="182">
      <c r="A581" s="34" t="n"/>
      <c r="I581" s="34" t="n"/>
      <c r="J581" s="34" t="n"/>
      <c r="K581" s="34" t="n"/>
      <c r="L581" s="34" t="n"/>
    </row>
    <row r="582" ht="15.75" customHeight="1" s="182">
      <c r="A582" s="34" t="n"/>
      <c r="I582" s="34" t="n"/>
      <c r="J582" s="34" t="n"/>
      <c r="K582" s="34" t="n"/>
      <c r="L582" s="34" t="n"/>
    </row>
    <row r="583" ht="15.75" customHeight="1" s="182">
      <c r="A583" s="34" t="n"/>
      <c r="I583" s="34" t="n"/>
      <c r="J583" s="34" t="n"/>
      <c r="K583" s="34" t="n"/>
      <c r="L583" s="34" t="n"/>
    </row>
    <row r="584" ht="15.75" customHeight="1" s="182">
      <c r="A584" s="34" t="n"/>
      <c r="I584" s="34" t="n"/>
      <c r="J584" s="34" t="n"/>
      <c r="K584" s="34" t="n"/>
      <c r="L584" s="34" t="n"/>
    </row>
    <row r="585" ht="15.75" customHeight="1" s="182">
      <c r="A585" s="34" t="n"/>
      <c r="I585" s="34" t="n"/>
      <c r="J585" s="34" t="n"/>
      <c r="K585" s="34" t="n"/>
      <c r="L585" s="34" t="n"/>
    </row>
    <row r="586" ht="15.75" customHeight="1" s="182">
      <c r="A586" s="34" t="n"/>
      <c r="I586" s="34" t="n"/>
      <c r="J586" s="34" t="n"/>
      <c r="K586" s="34" t="n"/>
      <c r="L586" s="34" t="n"/>
    </row>
    <row r="587" ht="15.75" customHeight="1" s="182">
      <c r="A587" s="34" t="n"/>
      <c r="I587" s="34" t="n"/>
      <c r="J587" s="34" t="n"/>
      <c r="K587" s="34" t="n"/>
      <c r="L587" s="34" t="n"/>
    </row>
    <row r="588" ht="15.75" customHeight="1" s="182">
      <c r="A588" s="34" t="n"/>
      <c r="I588" s="34" t="n"/>
      <c r="J588" s="34" t="n"/>
      <c r="K588" s="34" t="n"/>
      <c r="L588" s="34" t="n"/>
    </row>
    <row r="589" ht="15.75" customHeight="1" s="182">
      <c r="A589" s="34" t="n"/>
      <c r="I589" s="34" t="n"/>
      <c r="J589" s="34" t="n"/>
      <c r="K589" s="34" t="n"/>
      <c r="L589" s="34" t="n"/>
    </row>
    <row r="590" ht="15.75" customHeight="1" s="182">
      <c r="A590" s="34" t="n"/>
      <c r="I590" s="34" t="n"/>
      <c r="J590" s="34" t="n"/>
      <c r="K590" s="34" t="n"/>
      <c r="L590" s="34" t="n"/>
    </row>
    <row r="591" ht="15.75" customHeight="1" s="182">
      <c r="A591" s="34" t="n"/>
      <c r="I591" s="34" t="n"/>
      <c r="J591" s="34" t="n"/>
      <c r="K591" s="34" t="n"/>
      <c r="L591" s="34" t="n"/>
    </row>
    <row r="592" ht="15.75" customHeight="1" s="182">
      <c r="A592" s="34" t="n"/>
      <c r="I592" s="34" t="n"/>
      <c r="J592" s="34" t="n"/>
      <c r="K592" s="34" t="n"/>
      <c r="L592" s="34" t="n"/>
    </row>
    <row r="593" ht="15.75" customHeight="1" s="182">
      <c r="A593" s="34" t="n"/>
      <c r="I593" s="34" t="n"/>
      <c r="J593" s="34" t="n"/>
      <c r="K593" s="34" t="n"/>
      <c r="L593" s="34" t="n"/>
    </row>
    <row r="594" ht="15.75" customHeight="1" s="182">
      <c r="A594" s="34" t="n"/>
      <c r="I594" s="34" t="n"/>
      <c r="J594" s="34" t="n"/>
      <c r="K594" s="34" t="n"/>
      <c r="L594" s="34" t="n"/>
    </row>
    <row r="595" ht="15.75" customHeight="1" s="182">
      <c r="A595" s="34" t="n"/>
      <c r="I595" s="34" t="n"/>
      <c r="J595" s="34" t="n"/>
      <c r="K595" s="34" t="n"/>
      <c r="L595" s="34" t="n"/>
    </row>
    <row r="596" ht="15.75" customHeight="1" s="182">
      <c r="A596" s="34" t="n"/>
      <c r="I596" s="34" t="n"/>
      <c r="J596" s="34" t="n"/>
      <c r="K596" s="34" t="n"/>
      <c r="L596" s="34" t="n"/>
    </row>
    <row r="597" ht="15.75" customHeight="1" s="182">
      <c r="A597" s="34" t="n"/>
      <c r="I597" s="34" t="n"/>
      <c r="J597" s="34" t="n"/>
      <c r="K597" s="34" t="n"/>
      <c r="L597" s="34" t="n"/>
    </row>
    <row r="598" ht="15.75" customHeight="1" s="182">
      <c r="A598" s="34" t="n"/>
      <c r="I598" s="34" t="n"/>
      <c r="J598" s="34" t="n"/>
      <c r="K598" s="34" t="n"/>
      <c r="L598" s="34" t="n"/>
    </row>
    <row r="599" ht="15.75" customHeight="1" s="182">
      <c r="A599" s="34" t="n"/>
      <c r="I599" s="34" t="n"/>
      <c r="J599" s="34" t="n"/>
      <c r="K599" s="34" t="n"/>
      <c r="L599" s="34" t="n"/>
    </row>
    <row r="600" ht="15.75" customHeight="1" s="182">
      <c r="A600" s="34" t="n"/>
      <c r="I600" s="34" t="n"/>
      <c r="J600" s="34" t="n"/>
      <c r="K600" s="34" t="n"/>
      <c r="L600" s="34" t="n"/>
    </row>
    <row r="601" ht="15.75" customHeight="1" s="182">
      <c r="A601" s="34" t="n"/>
      <c r="I601" s="34" t="n"/>
      <c r="J601" s="34" t="n"/>
      <c r="K601" s="34" t="n"/>
      <c r="L601" s="34" t="n"/>
    </row>
    <row r="602" ht="15.75" customHeight="1" s="182">
      <c r="A602" s="34" t="n"/>
      <c r="I602" s="34" t="n"/>
      <c r="J602" s="34" t="n"/>
      <c r="K602" s="34" t="n"/>
      <c r="L602" s="34" t="n"/>
    </row>
    <row r="603" ht="15.75" customHeight="1" s="182">
      <c r="A603" s="34" t="n"/>
      <c r="I603" s="34" t="n"/>
      <c r="J603" s="34" t="n"/>
      <c r="K603" s="34" t="n"/>
      <c r="L603" s="34" t="n"/>
    </row>
    <row r="604" ht="15.75" customHeight="1" s="182">
      <c r="A604" s="34" t="n"/>
      <c r="I604" s="34" t="n"/>
      <c r="J604" s="34" t="n"/>
      <c r="K604" s="34" t="n"/>
      <c r="L604" s="34" t="n"/>
    </row>
    <row r="605" ht="15.75" customHeight="1" s="182">
      <c r="A605" s="34" t="n"/>
      <c r="I605" s="34" t="n"/>
      <c r="J605" s="34" t="n"/>
      <c r="K605" s="34" t="n"/>
      <c r="L605" s="34" t="n"/>
    </row>
    <row r="606" ht="15.75" customHeight="1" s="182">
      <c r="A606" s="34" t="n"/>
      <c r="I606" s="34" t="n"/>
      <c r="J606" s="34" t="n"/>
      <c r="K606" s="34" t="n"/>
      <c r="L606" s="34" t="n"/>
    </row>
    <row r="607" ht="15.75" customHeight="1" s="182">
      <c r="A607" s="34" t="n"/>
      <c r="I607" s="34" t="n"/>
      <c r="J607" s="34" t="n"/>
      <c r="K607" s="34" t="n"/>
      <c r="L607" s="34" t="n"/>
    </row>
    <row r="608" ht="15.75" customHeight="1" s="182">
      <c r="A608" s="34" t="n"/>
      <c r="I608" s="34" t="n"/>
      <c r="J608" s="34" t="n"/>
      <c r="K608" s="34" t="n"/>
      <c r="L608" s="34" t="n"/>
    </row>
    <row r="609" ht="15.75" customHeight="1" s="182">
      <c r="A609" s="34" t="n"/>
      <c r="I609" s="34" t="n"/>
      <c r="J609" s="34" t="n"/>
      <c r="K609" s="34" t="n"/>
      <c r="L609" s="34" t="n"/>
    </row>
    <row r="610" ht="15.75" customHeight="1" s="182">
      <c r="A610" s="34" t="n"/>
      <c r="I610" s="34" t="n"/>
      <c r="J610" s="34" t="n"/>
      <c r="K610" s="34" t="n"/>
      <c r="L610" s="34" t="n"/>
    </row>
    <row r="611" ht="15.75" customHeight="1" s="182">
      <c r="A611" s="34" t="n"/>
      <c r="I611" s="34" t="n"/>
      <c r="J611" s="34" t="n"/>
      <c r="K611" s="34" t="n"/>
      <c r="L611" s="34" t="n"/>
    </row>
    <row r="612" ht="15.75" customHeight="1" s="182">
      <c r="A612" s="34" t="n"/>
      <c r="I612" s="34" t="n"/>
      <c r="J612" s="34" t="n"/>
      <c r="K612" s="34" t="n"/>
      <c r="L612" s="34" t="n"/>
    </row>
    <row r="613" ht="15.75" customHeight="1" s="182">
      <c r="A613" s="34" t="n"/>
      <c r="I613" s="34" t="n"/>
      <c r="J613" s="34" t="n"/>
      <c r="K613" s="34" t="n"/>
      <c r="L613" s="34" t="n"/>
    </row>
    <row r="614" ht="15.75" customHeight="1" s="182">
      <c r="A614" s="34" t="n"/>
      <c r="I614" s="34" t="n"/>
      <c r="J614" s="34" t="n"/>
      <c r="K614" s="34" t="n"/>
      <c r="L614" s="34" t="n"/>
    </row>
    <row r="615" ht="15.75" customHeight="1" s="182">
      <c r="A615" s="34" t="n"/>
      <c r="I615" s="34" t="n"/>
      <c r="J615" s="34" t="n"/>
      <c r="K615" s="34" t="n"/>
      <c r="L615" s="34" t="n"/>
    </row>
    <row r="616" ht="15.75" customHeight="1" s="182">
      <c r="A616" s="34" t="n"/>
      <c r="I616" s="34" t="n"/>
      <c r="J616" s="34" t="n"/>
      <c r="K616" s="34" t="n"/>
      <c r="L616" s="34" t="n"/>
    </row>
    <row r="617" ht="15.75" customHeight="1" s="182">
      <c r="A617" s="34" t="n"/>
      <c r="I617" s="34" t="n"/>
      <c r="J617" s="34" t="n"/>
      <c r="K617" s="34" t="n"/>
      <c r="L617" s="34" t="n"/>
    </row>
    <row r="618" ht="15.75" customHeight="1" s="182">
      <c r="A618" s="34" t="n"/>
      <c r="I618" s="34" t="n"/>
      <c r="J618" s="34" t="n"/>
      <c r="K618" s="34" t="n"/>
      <c r="L618" s="34" t="n"/>
    </row>
    <row r="619" ht="15.75" customHeight="1" s="182">
      <c r="A619" s="34" t="n"/>
      <c r="I619" s="34" t="n"/>
      <c r="J619" s="34" t="n"/>
      <c r="K619" s="34" t="n"/>
      <c r="L619" s="34" t="n"/>
    </row>
    <row r="620" ht="15.75" customHeight="1" s="182">
      <c r="A620" s="34" t="n"/>
      <c r="I620" s="34" t="n"/>
      <c r="J620" s="34" t="n"/>
      <c r="K620" s="34" t="n"/>
      <c r="L620" s="34" t="n"/>
    </row>
    <row r="621" ht="15.75" customHeight="1" s="182">
      <c r="A621" s="34" t="n"/>
      <c r="I621" s="34" t="n"/>
      <c r="J621" s="34" t="n"/>
      <c r="K621" s="34" t="n"/>
      <c r="L621" s="34" t="n"/>
    </row>
    <row r="622" ht="15.75" customHeight="1" s="182">
      <c r="A622" s="34" t="n"/>
      <c r="I622" s="34" t="n"/>
      <c r="J622" s="34" t="n"/>
      <c r="K622" s="34" t="n"/>
      <c r="L622" s="34" t="n"/>
    </row>
    <row r="623" ht="15.75" customHeight="1" s="182">
      <c r="A623" s="34" t="n"/>
      <c r="I623" s="34" t="n"/>
      <c r="J623" s="34" t="n"/>
      <c r="K623" s="34" t="n"/>
      <c r="L623" s="34" t="n"/>
    </row>
    <row r="624" ht="15.75" customHeight="1" s="182">
      <c r="A624" s="34" t="n"/>
      <c r="I624" s="34" t="n"/>
      <c r="J624" s="34" t="n"/>
      <c r="K624" s="34" t="n"/>
      <c r="L624" s="34" t="n"/>
    </row>
    <row r="625" ht="15.75" customHeight="1" s="182">
      <c r="A625" s="34" t="n"/>
      <c r="I625" s="34" t="n"/>
      <c r="J625" s="34" t="n"/>
      <c r="K625" s="34" t="n"/>
      <c r="L625" s="34" t="n"/>
    </row>
    <row r="626" ht="15.75" customHeight="1" s="182">
      <c r="A626" s="34" t="n"/>
      <c r="I626" s="34" t="n"/>
      <c r="J626" s="34" t="n"/>
      <c r="K626" s="34" t="n"/>
      <c r="L626" s="34" t="n"/>
    </row>
    <row r="627" ht="15.75" customHeight="1" s="182">
      <c r="A627" s="34" t="n"/>
      <c r="I627" s="34" t="n"/>
      <c r="J627" s="34" t="n"/>
      <c r="K627" s="34" t="n"/>
      <c r="L627" s="34" t="n"/>
    </row>
    <row r="628" ht="15.75" customHeight="1" s="182">
      <c r="A628" s="34" t="n"/>
      <c r="I628" s="34" t="n"/>
      <c r="J628" s="34" t="n"/>
      <c r="K628" s="34" t="n"/>
      <c r="L628" s="34" t="n"/>
    </row>
    <row r="629" ht="15.75" customHeight="1" s="182">
      <c r="A629" s="34" t="n"/>
      <c r="I629" s="34" t="n"/>
      <c r="J629" s="34" t="n"/>
      <c r="K629" s="34" t="n"/>
      <c r="L629" s="34" t="n"/>
    </row>
    <row r="630" ht="15.75" customHeight="1" s="182">
      <c r="A630" s="34" t="n"/>
      <c r="I630" s="34" t="n"/>
      <c r="J630" s="34" t="n"/>
      <c r="K630" s="34" t="n"/>
      <c r="L630" s="34" t="n"/>
    </row>
    <row r="631" ht="15.75" customHeight="1" s="182">
      <c r="A631" s="34" t="n"/>
      <c r="I631" s="34" t="n"/>
      <c r="J631" s="34" t="n"/>
      <c r="K631" s="34" t="n"/>
      <c r="L631" s="34" t="n"/>
    </row>
    <row r="632" ht="15.75" customHeight="1" s="182">
      <c r="A632" s="34" t="n"/>
      <c r="I632" s="34" t="n"/>
      <c r="J632" s="34" t="n"/>
      <c r="K632" s="34" t="n"/>
      <c r="L632" s="34" t="n"/>
    </row>
    <row r="633" ht="15.75" customHeight="1" s="182">
      <c r="A633" s="34" t="n"/>
      <c r="I633" s="34" t="n"/>
      <c r="J633" s="34" t="n"/>
      <c r="K633" s="34" t="n"/>
      <c r="L633" s="34" t="n"/>
    </row>
    <row r="634" ht="15.75" customHeight="1" s="182">
      <c r="A634" s="34" t="n"/>
      <c r="I634" s="34" t="n"/>
      <c r="J634" s="34" t="n"/>
      <c r="K634" s="34" t="n"/>
      <c r="L634" s="34" t="n"/>
    </row>
    <row r="635" ht="15.75" customHeight="1" s="182">
      <c r="A635" s="34" t="n"/>
      <c r="I635" s="34" t="n"/>
      <c r="J635" s="34" t="n"/>
      <c r="K635" s="34" t="n"/>
      <c r="L635" s="34" t="n"/>
    </row>
    <row r="636" ht="15.75" customHeight="1" s="182">
      <c r="A636" s="34" t="n"/>
      <c r="I636" s="34" t="n"/>
      <c r="J636" s="34" t="n"/>
      <c r="K636" s="34" t="n"/>
      <c r="L636" s="34" t="n"/>
    </row>
    <row r="637" ht="15.75" customHeight="1" s="182">
      <c r="A637" s="34" t="n"/>
      <c r="I637" s="34" t="n"/>
      <c r="J637" s="34" t="n"/>
      <c r="K637" s="34" t="n"/>
      <c r="L637" s="34" t="n"/>
    </row>
    <row r="638" ht="15.75" customHeight="1" s="182">
      <c r="A638" s="34" t="n"/>
      <c r="I638" s="34" t="n"/>
      <c r="J638" s="34" t="n"/>
      <c r="K638" s="34" t="n"/>
      <c r="L638" s="34" t="n"/>
    </row>
    <row r="639" ht="15.75" customHeight="1" s="182">
      <c r="A639" s="34" t="n"/>
      <c r="I639" s="34" t="n"/>
      <c r="J639" s="34" t="n"/>
      <c r="K639" s="34" t="n"/>
      <c r="L639" s="34" t="n"/>
    </row>
    <row r="640" ht="15.75" customHeight="1" s="182">
      <c r="A640" s="34" t="n"/>
      <c r="I640" s="34" t="n"/>
      <c r="J640" s="34" t="n"/>
      <c r="K640" s="34" t="n"/>
      <c r="L640" s="34" t="n"/>
    </row>
    <row r="641" ht="15.75" customHeight="1" s="182">
      <c r="A641" s="34" t="n"/>
      <c r="I641" s="34" t="n"/>
      <c r="J641" s="34" t="n"/>
      <c r="K641" s="34" t="n"/>
      <c r="L641" s="34" t="n"/>
    </row>
    <row r="642" ht="15.75" customHeight="1" s="182">
      <c r="A642" s="34" t="n"/>
      <c r="I642" s="34" t="n"/>
      <c r="J642" s="34" t="n"/>
      <c r="K642" s="34" t="n"/>
      <c r="L642" s="34" t="n"/>
    </row>
    <row r="643" ht="15.75" customHeight="1" s="182">
      <c r="A643" s="34" t="n"/>
      <c r="I643" s="34" t="n"/>
      <c r="J643" s="34" t="n"/>
      <c r="K643" s="34" t="n"/>
      <c r="L643" s="34" t="n"/>
    </row>
    <row r="644" ht="15.75" customHeight="1" s="182">
      <c r="A644" s="34" t="n"/>
      <c r="I644" s="34" t="n"/>
      <c r="J644" s="34" t="n"/>
      <c r="K644" s="34" t="n"/>
      <c r="L644" s="34" t="n"/>
    </row>
    <row r="645" ht="15.75" customHeight="1" s="182">
      <c r="A645" s="34" t="n"/>
      <c r="I645" s="34" t="n"/>
      <c r="J645" s="34" t="n"/>
      <c r="K645" s="34" t="n"/>
      <c r="L645" s="34" t="n"/>
    </row>
    <row r="646" ht="15.75" customHeight="1" s="182">
      <c r="A646" s="34" t="n"/>
      <c r="I646" s="34" t="n"/>
      <c r="J646" s="34" t="n"/>
      <c r="K646" s="34" t="n"/>
      <c r="L646" s="34" t="n"/>
    </row>
    <row r="647" ht="15.75" customHeight="1" s="182">
      <c r="A647" s="34" t="n"/>
      <c r="I647" s="34" t="n"/>
      <c r="J647" s="34" t="n"/>
      <c r="K647" s="34" t="n"/>
      <c r="L647" s="34" t="n"/>
    </row>
    <row r="648" ht="15.75" customHeight="1" s="182">
      <c r="A648" s="34" t="n"/>
      <c r="I648" s="34" t="n"/>
      <c r="J648" s="34" t="n"/>
      <c r="K648" s="34" t="n"/>
      <c r="L648" s="34" t="n"/>
    </row>
    <row r="649" ht="15.75" customHeight="1" s="182">
      <c r="A649" s="34" t="n"/>
      <c r="I649" s="34" t="n"/>
      <c r="J649" s="34" t="n"/>
      <c r="K649" s="34" t="n"/>
      <c r="L649" s="34" t="n"/>
    </row>
    <row r="650" ht="15.75" customHeight="1" s="182">
      <c r="A650" s="34" t="n"/>
      <c r="I650" s="34" t="n"/>
      <c r="J650" s="34" t="n"/>
      <c r="K650" s="34" t="n"/>
      <c r="L650" s="34" t="n"/>
    </row>
    <row r="651" ht="15.75" customHeight="1" s="182">
      <c r="A651" s="34" t="n"/>
      <c r="I651" s="34" t="n"/>
      <c r="J651" s="34" t="n"/>
      <c r="K651" s="34" t="n"/>
      <c r="L651" s="34" t="n"/>
    </row>
    <row r="652" ht="15.75" customHeight="1" s="182">
      <c r="A652" s="34" t="n"/>
      <c r="I652" s="34" t="n"/>
      <c r="J652" s="34" t="n"/>
      <c r="K652" s="34" t="n"/>
      <c r="L652" s="34" t="n"/>
    </row>
    <row r="653" ht="15.75" customHeight="1" s="182">
      <c r="A653" s="34" t="n"/>
      <c r="I653" s="34" t="n"/>
      <c r="J653" s="34" t="n"/>
      <c r="K653" s="34" t="n"/>
      <c r="L653" s="34" t="n"/>
    </row>
    <row r="654" ht="15.75" customHeight="1" s="182">
      <c r="A654" s="34" t="n"/>
      <c r="I654" s="34" t="n"/>
      <c r="J654" s="34" t="n"/>
      <c r="K654" s="34" t="n"/>
      <c r="L654" s="34" t="n"/>
    </row>
    <row r="655" ht="15.75" customHeight="1" s="182">
      <c r="A655" s="34" t="n"/>
      <c r="I655" s="34" t="n"/>
      <c r="J655" s="34" t="n"/>
      <c r="K655" s="34" t="n"/>
      <c r="L655" s="34" t="n"/>
    </row>
    <row r="656" ht="15.75" customHeight="1" s="182">
      <c r="A656" s="34" t="n"/>
      <c r="I656" s="34" t="n"/>
      <c r="J656" s="34" t="n"/>
      <c r="K656" s="34" t="n"/>
      <c r="L656" s="34" t="n"/>
    </row>
    <row r="657" ht="15.75" customHeight="1" s="182">
      <c r="A657" s="34" t="n"/>
      <c r="I657" s="34" t="n"/>
      <c r="J657" s="34" t="n"/>
      <c r="K657" s="34" t="n"/>
      <c r="L657" s="34" t="n"/>
    </row>
    <row r="658" ht="15.75" customHeight="1" s="182">
      <c r="A658" s="34" t="n"/>
      <c r="I658" s="34" t="n"/>
      <c r="J658" s="34" t="n"/>
      <c r="K658" s="34" t="n"/>
      <c r="L658" s="34" t="n"/>
    </row>
    <row r="659" ht="15.75" customHeight="1" s="182">
      <c r="A659" s="34" t="n"/>
      <c r="I659" s="34" t="n"/>
      <c r="J659" s="34" t="n"/>
      <c r="K659" s="34" t="n"/>
      <c r="L659" s="34" t="n"/>
    </row>
    <row r="660" ht="15.75" customHeight="1" s="182">
      <c r="A660" s="34" t="n"/>
      <c r="I660" s="34" t="n"/>
      <c r="J660" s="34" t="n"/>
      <c r="K660" s="34" t="n"/>
      <c r="L660" s="34" t="n"/>
    </row>
    <row r="661" ht="15.75" customHeight="1" s="182">
      <c r="A661" s="34" t="n"/>
      <c r="I661" s="34" t="n"/>
      <c r="J661" s="34" t="n"/>
      <c r="K661" s="34" t="n"/>
      <c r="L661" s="34" t="n"/>
    </row>
    <row r="662" ht="15.75" customHeight="1" s="182">
      <c r="A662" s="34" t="n"/>
      <c r="I662" s="34" t="n"/>
      <c r="J662" s="34" t="n"/>
      <c r="K662" s="34" t="n"/>
      <c r="L662" s="34" t="n"/>
    </row>
    <row r="663" ht="15.75" customHeight="1" s="182">
      <c r="A663" s="34" t="n"/>
      <c r="I663" s="34" t="n"/>
      <c r="J663" s="34" t="n"/>
      <c r="K663" s="34" t="n"/>
      <c r="L663" s="34" t="n"/>
    </row>
    <row r="664" ht="15.75" customHeight="1" s="182">
      <c r="A664" s="34" t="n"/>
      <c r="I664" s="34" t="n"/>
      <c r="J664" s="34" t="n"/>
      <c r="K664" s="34" t="n"/>
      <c r="L664" s="34" t="n"/>
    </row>
    <row r="665" ht="15.75" customHeight="1" s="182">
      <c r="A665" s="34" t="n"/>
      <c r="I665" s="34" t="n"/>
      <c r="J665" s="34" t="n"/>
      <c r="K665" s="34" t="n"/>
      <c r="L665" s="34" t="n"/>
    </row>
    <row r="666" ht="15.75" customHeight="1" s="182">
      <c r="A666" s="34" t="n"/>
      <c r="I666" s="34" t="n"/>
      <c r="J666" s="34" t="n"/>
      <c r="K666" s="34" t="n"/>
      <c r="L666" s="34" t="n"/>
    </row>
    <row r="667" ht="15.75" customHeight="1" s="182">
      <c r="A667" s="34" t="n"/>
      <c r="I667" s="34" t="n"/>
      <c r="J667" s="34" t="n"/>
      <c r="K667" s="34" t="n"/>
      <c r="L667" s="34" t="n"/>
    </row>
    <row r="668" ht="15.75" customHeight="1" s="182">
      <c r="A668" s="34" t="n"/>
      <c r="I668" s="34" t="n"/>
      <c r="J668" s="34" t="n"/>
      <c r="K668" s="34" t="n"/>
      <c r="L668" s="34" t="n"/>
    </row>
    <row r="669" ht="15.75" customHeight="1" s="182">
      <c r="A669" s="34" t="n"/>
      <c r="I669" s="34" t="n"/>
      <c r="J669" s="34" t="n"/>
      <c r="K669" s="34" t="n"/>
      <c r="L669" s="34" t="n"/>
    </row>
    <row r="670" ht="15.75" customHeight="1" s="182">
      <c r="A670" s="34" t="n"/>
      <c r="I670" s="34" t="n"/>
      <c r="J670" s="34" t="n"/>
      <c r="K670" s="34" t="n"/>
      <c r="L670" s="34" t="n"/>
    </row>
    <row r="671" ht="15.75" customHeight="1" s="182">
      <c r="A671" s="34" t="n"/>
      <c r="I671" s="34" t="n"/>
      <c r="J671" s="34" t="n"/>
      <c r="K671" s="34" t="n"/>
      <c r="L671" s="34" t="n"/>
    </row>
    <row r="672" ht="15.75" customHeight="1" s="182">
      <c r="A672" s="34" t="n"/>
      <c r="I672" s="34" t="n"/>
      <c r="J672" s="34" t="n"/>
      <c r="K672" s="34" t="n"/>
      <c r="L672" s="34" t="n"/>
    </row>
    <row r="673" ht="15.75" customHeight="1" s="182">
      <c r="A673" s="34" t="n"/>
      <c r="I673" s="34" t="n"/>
      <c r="J673" s="34" t="n"/>
      <c r="K673" s="34" t="n"/>
      <c r="L673" s="34" t="n"/>
    </row>
    <row r="674" ht="15.75" customHeight="1" s="182">
      <c r="A674" s="34" t="n"/>
      <c r="I674" s="34" t="n"/>
      <c r="J674" s="34" t="n"/>
      <c r="K674" s="34" t="n"/>
      <c r="L674" s="34" t="n"/>
    </row>
    <row r="675" ht="15.75" customHeight="1" s="182">
      <c r="A675" s="34" t="n"/>
      <c r="I675" s="34" t="n"/>
      <c r="J675" s="34" t="n"/>
      <c r="K675" s="34" t="n"/>
      <c r="L675" s="34" t="n"/>
    </row>
    <row r="676" ht="15.75" customHeight="1" s="182">
      <c r="A676" s="34" t="n"/>
      <c r="I676" s="34" t="n"/>
      <c r="J676" s="34" t="n"/>
      <c r="K676" s="34" t="n"/>
      <c r="L676" s="34" t="n"/>
    </row>
    <row r="677" ht="15.75" customHeight="1" s="182">
      <c r="A677" s="34" t="n"/>
      <c r="I677" s="34" t="n"/>
      <c r="J677" s="34" t="n"/>
      <c r="K677" s="34" t="n"/>
      <c r="L677" s="34" t="n"/>
    </row>
    <row r="678" ht="15.75" customHeight="1" s="182">
      <c r="A678" s="34" t="n"/>
      <c r="I678" s="34" t="n"/>
      <c r="J678" s="34" t="n"/>
      <c r="K678" s="34" t="n"/>
      <c r="L678" s="34" t="n"/>
    </row>
    <row r="679" ht="15.75" customHeight="1" s="182">
      <c r="A679" s="34" t="n"/>
      <c r="I679" s="34" t="n"/>
      <c r="J679" s="34" t="n"/>
      <c r="K679" s="34" t="n"/>
      <c r="L679" s="34" t="n"/>
    </row>
    <row r="680" ht="15.75" customHeight="1" s="182">
      <c r="A680" s="34" t="n"/>
      <c r="I680" s="34" t="n"/>
      <c r="J680" s="34" t="n"/>
      <c r="K680" s="34" t="n"/>
      <c r="L680" s="34" t="n"/>
    </row>
    <row r="681" ht="15.75" customHeight="1" s="182">
      <c r="A681" s="34" t="n"/>
      <c r="I681" s="34" t="n"/>
      <c r="J681" s="34" t="n"/>
      <c r="K681" s="34" t="n"/>
      <c r="L681" s="34" t="n"/>
    </row>
    <row r="682" ht="15.75" customHeight="1" s="182">
      <c r="A682" s="34" t="n"/>
      <c r="I682" s="34" t="n"/>
      <c r="J682" s="34" t="n"/>
      <c r="K682" s="34" t="n"/>
      <c r="L682" s="34" t="n"/>
    </row>
    <row r="683" ht="15.75" customHeight="1" s="182">
      <c r="A683" s="34" t="n"/>
      <c r="I683" s="34" t="n"/>
      <c r="J683" s="34" t="n"/>
      <c r="K683" s="34" t="n"/>
      <c r="L683" s="34" t="n"/>
    </row>
    <row r="684" ht="15.75" customHeight="1" s="182">
      <c r="A684" s="34" t="n"/>
      <c r="I684" s="34" t="n"/>
      <c r="J684" s="34" t="n"/>
      <c r="K684" s="34" t="n"/>
      <c r="L684" s="34" t="n"/>
    </row>
    <row r="685" ht="15.75" customHeight="1" s="182">
      <c r="A685" s="34" t="n"/>
      <c r="I685" s="34" t="n"/>
      <c r="J685" s="34" t="n"/>
      <c r="K685" s="34" t="n"/>
      <c r="L685" s="34" t="n"/>
    </row>
    <row r="686" ht="15.75" customHeight="1" s="182">
      <c r="A686" s="34" t="n"/>
      <c r="I686" s="34" t="n"/>
      <c r="J686" s="34" t="n"/>
      <c r="K686" s="34" t="n"/>
      <c r="L686" s="34" t="n"/>
    </row>
    <row r="687" ht="15.75" customHeight="1" s="182">
      <c r="A687" s="34" t="n"/>
      <c r="I687" s="34" t="n"/>
      <c r="J687" s="34" t="n"/>
      <c r="K687" s="34" t="n"/>
      <c r="L687" s="34" t="n"/>
    </row>
    <row r="688" ht="15.75" customHeight="1" s="182">
      <c r="A688" s="34" t="n"/>
      <c r="I688" s="34" t="n"/>
      <c r="J688" s="34" t="n"/>
      <c r="K688" s="34" t="n"/>
      <c r="L688" s="34" t="n"/>
    </row>
    <row r="689" ht="15.75" customHeight="1" s="182">
      <c r="A689" s="34" t="n"/>
      <c r="I689" s="34" t="n"/>
      <c r="J689" s="34" t="n"/>
      <c r="K689" s="34" t="n"/>
      <c r="L689" s="34" t="n"/>
    </row>
    <row r="690" ht="15.75" customHeight="1" s="182">
      <c r="A690" s="34" t="n"/>
      <c r="I690" s="34" t="n"/>
      <c r="J690" s="34" t="n"/>
      <c r="K690" s="34" t="n"/>
      <c r="L690" s="34" t="n"/>
    </row>
    <row r="691" ht="15.75" customHeight="1" s="182">
      <c r="A691" s="34" t="n"/>
      <c r="I691" s="34" t="n"/>
      <c r="J691" s="34" t="n"/>
      <c r="K691" s="34" t="n"/>
      <c r="L691" s="34" t="n"/>
    </row>
    <row r="692" ht="15.75" customHeight="1" s="182">
      <c r="A692" s="34" t="n"/>
      <c r="I692" s="34" t="n"/>
      <c r="J692" s="34" t="n"/>
      <c r="K692" s="34" t="n"/>
      <c r="L692" s="34" t="n"/>
    </row>
    <row r="693" ht="15.75" customHeight="1" s="182">
      <c r="A693" s="34" t="n"/>
      <c r="I693" s="34" t="n"/>
      <c r="J693" s="34" t="n"/>
      <c r="K693" s="34" t="n"/>
      <c r="L693" s="34" t="n"/>
    </row>
    <row r="694" ht="15.75" customHeight="1" s="182">
      <c r="A694" s="34" t="n"/>
      <c r="I694" s="34" t="n"/>
      <c r="J694" s="34" t="n"/>
      <c r="K694" s="34" t="n"/>
      <c r="L694" s="34" t="n"/>
    </row>
    <row r="695" ht="15.75" customHeight="1" s="182">
      <c r="A695" s="34" t="n"/>
      <c r="I695" s="34" t="n"/>
      <c r="J695" s="34" t="n"/>
      <c r="K695" s="34" t="n"/>
      <c r="L695" s="34" t="n"/>
    </row>
    <row r="696" ht="15.75" customHeight="1" s="182">
      <c r="A696" s="34" t="n"/>
      <c r="I696" s="34" t="n"/>
      <c r="J696" s="34" t="n"/>
      <c r="K696" s="34" t="n"/>
      <c r="L696" s="34" t="n"/>
    </row>
    <row r="697" ht="15.75" customHeight="1" s="182">
      <c r="A697" s="34" t="n"/>
      <c r="I697" s="34" t="n"/>
      <c r="J697" s="34" t="n"/>
      <c r="K697" s="34" t="n"/>
      <c r="L697" s="34" t="n"/>
    </row>
    <row r="698" ht="15.75" customHeight="1" s="182">
      <c r="A698" s="34" t="n"/>
      <c r="I698" s="34" t="n"/>
      <c r="J698" s="34" t="n"/>
      <c r="K698" s="34" t="n"/>
      <c r="L698" s="34" t="n"/>
    </row>
    <row r="699" ht="15.75" customHeight="1" s="182">
      <c r="A699" s="34" t="n"/>
      <c r="I699" s="34" t="n"/>
      <c r="J699" s="34" t="n"/>
      <c r="K699" s="34" t="n"/>
      <c r="L699" s="34" t="n"/>
    </row>
    <row r="700" ht="15.75" customHeight="1" s="182">
      <c r="A700" s="34" t="n"/>
      <c r="I700" s="34" t="n"/>
      <c r="J700" s="34" t="n"/>
      <c r="K700" s="34" t="n"/>
      <c r="L700" s="34" t="n"/>
    </row>
    <row r="701" ht="15.75" customHeight="1" s="182">
      <c r="A701" s="34" t="n"/>
      <c r="I701" s="34" t="n"/>
      <c r="J701" s="34" t="n"/>
      <c r="K701" s="34" t="n"/>
      <c r="L701" s="34" t="n"/>
    </row>
    <row r="702" ht="15.75" customHeight="1" s="182">
      <c r="A702" s="34" t="n"/>
      <c r="I702" s="34" t="n"/>
      <c r="J702" s="34" t="n"/>
      <c r="K702" s="34" t="n"/>
      <c r="L702" s="34" t="n"/>
    </row>
    <row r="703" ht="15.75" customHeight="1" s="182">
      <c r="A703" s="34" t="n"/>
      <c r="I703" s="34" t="n"/>
      <c r="J703" s="34" t="n"/>
      <c r="K703" s="34" t="n"/>
      <c r="L703" s="34" t="n"/>
    </row>
    <row r="704" ht="15.75" customHeight="1" s="182">
      <c r="A704" s="34" t="n"/>
      <c r="I704" s="34" t="n"/>
      <c r="J704" s="34" t="n"/>
      <c r="K704" s="34" t="n"/>
      <c r="L704" s="34" t="n"/>
    </row>
    <row r="705" ht="15.75" customHeight="1" s="182">
      <c r="A705" s="34" t="n"/>
      <c r="I705" s="34" t="n"/>
      <c r="J705" s="34" t="n"/>
      <c r="K705" s="34" t="n"/>
      <c r="L705" s="34" t="n"/>
    </row>
    <row r="706" ht="15.75" customHeight="1" s="182">
      <c r="A706" s="34" t="n"/>
      <c r="I706" s="34" t="n"/>
      <c r="J706" s="34" t="n"/>
      <c r="K706" s="34" t="n"/>
      <c r="L706" s="34" t="n"/>
    </row>
    <row r="707" ht="15.75" customHeight="1" s="182">
      <c r="A707" s="34" t="n"/>
      <c r="I707" s="34" t="n"/>
      <c r="J707" s="34" t="n"/>
      <c r="K707" s="34" t="n"/>
      <c r="L707" s="34" t="n"/>
    </row>
    <row r="708" ht="15.75" customHeight="1" s="182">
      <c r="A708" s="34" t="n"/>
      <c r="I708" s="34" t="n"/>
      <c r="J708" s="34" t="n"/>
      <c r="K708" s="34" t="n"/>
      <c r="L708" s="34" t="n"/>
    </row>
    <row r="709" ht="15.75" customHeight="1" s="182">
      <c r="A709" s="34" t="n"/>
      <c r="I709" s="34" t="n"/>
      <c r="J709" s="34" t="n"/>
      <c r="K709" s="34" t="n"/>
      <c r="L709" s="34" t="n"/>
    </row>
    <row r="710" ht="15.75" customHeight="1" s="182">
      <c r="A710" s="34" t="n"/>
      <c r="I710" s="34" t="n"/>
      <c r="J710" s="34" t="n"/>
      <c r="K710" s="34" t="n"/>
      <c r="L710" s="34" t="n"/>
    </row>
    <row r="711" ht="15.75" customHeight="1" s="182">
      <c r="A711" s="34" t="n"/>
      <c r="I711" s="34" t="n"/>
      <c r="J711" s="34" t="n"/>
      <c r="K711" s="34" t="n"/>
      <c r="L711" s="34" t="n"/>
    </row>
    <row r="712" ht="15.75" customHeight="1" s="182">
      <c r="A712" s="34" t="n"/>
      <c r="I712" s="34" t="n"/>
      <c r="J712" s="34" t="n"/>
      <c r="K712" s="34" t="n"/>
      <c r="L712" s="34" t="n"/>
    </row>
    <row r="713" ht="15.75" customHeight="1" s="182">
      <c r="A713" s="34" t="n"/>
      <c r="I713" s="34" t="n"/>
      <c r="J713" s="34" t="n"/>
      <c r="K713" s="34" t="n"/>
      <c r="L713" s="34" t="n"/>
    </row>
    <row r="714" ht="15.75" customHeight="1" s="182">
      <c r="A714" s="34" t="n"/>
      <c r="I714" s="34" t="n"/>
      <c r="J714" s="34" t="n"/>
      <c r="K714" s="34" t="n"/>
      <c r="L714" s="34" t="n"/>
    </row>
    <row r="715" ht="15.75" customHeight="1" s="182">
      <c r="A715" s="34" t="n"/>
      <c r="I715" s="34" t="n"/>
      <c r="J715" s="34" t="n"/>
      <c r="K715" s="34" t="n"/>
      <c r="L715" s="34" t="n"/>
    </row>
    <row r="716" ht="15.75" customHeight="1" s="182">
      <c r="A716" s="34" t="n"/>
      <c r="I716" s="34" t="n"/>
      <c r="J716" s="34" t="n"/>
      <c r="K716" s="34" t="n"/>
      <c r="L716" s="34" t="n"/>
    </row>
    <row r="717" ht="15.75" customHeight="1" s="182">
      <c r="A717" s="34" t="n"/>
      <c r="I717" s="34" t="n"/>
      <c r="J717" s="34" t="n"/>
      <c r="K717" s="34" t="n"/>
      <c r="L717" s="34" t="n"/>
    </row>
    <row r="718" ht="15.75" customHeight="1" s="182">
      <c r="A718" s="34" t="n"/>
      <c r="I718" s="34" t="n"/>
      <c r="J718" s="34" t="n"/>
      <c r="K718" s="34" t="n"/>
      <c r="L718" s="34" t="n"/>
    </row>
    <row r="719" ht="15.75" customHeight="1" s="182">
      <c r="A719" s="34" t="n"/>
      <c r="I719" s="34" t="n"/>
      <c r="J719" s="34" t="n"/>
      <c r="K719" s="34" t="n"/>
      <c r="L719" s="34" t="n"/>
    </row>
    <row r="720" ht="15.75" customHeight="1" s="182">
      <c r="A720" s="34" t="n"/>
      <c r="I720" s="34" t="n"/>
      <c r="J720" s="34" t="n"/>
      <c r="K720" s="34" t="n"/>
      <c r="L720" s="34" t="n"/>
    </row>
    <row r="721" ht="15.75" customHeight="1" s="182">
      <c r="A721" s="34" t="n"/>
      <c r="I721" s="34" t="n"/>
      <c r="J721" s="34" t="n"/>
      <c r="K721" s="34" t="n"/>
      <c r="L721" s="34" t="n"/>
    </row>
    <row r="722" ht="15.75" customHeight="1" s="182">
      <c r="A722" s="34" t="n"/>
      <c r="I722" s="34" t="n"/>
      <c r="J722" s="34" t="n"/>
      <c r="K722" s="34" t="n"/>
      <c r="L722" s="34" t="n"/>
    </row>
    <row r="723" ht="15.75" customHeight="1" s="182">
      <c r="A723" s="34" t="n"/>
      <c r="I723" s="34" t="n"/>
      <c r="J723" s="34" t="n"/>
      <c r="K723" s="34" t="n"/>
      <c r="L723" s="34" t="n"/>
    </row>
    <row r="724" ht="15.75" customHeight="1" s="182">
      <c r="A724" s="34" t="n"/>
      <c r="I724" s="34" t="n"/>
      <c r="J724" s="34" t="n"/>
      <c r="K724" s="34" t="n"/>
      <c r="L724" s="34" t="n"/>
    </row>
    <row r="725" ht="15.75" customHeight="1" s="182">
      <c r="A725" s="34" t="n"/>
      <c r="I725" s="34" t="n"/>
      <c r="J725" s="34" t="n"/>
      <c r="K725" s="34" t="n"/>
      <c r="L725" s="34" t="n"/>
    </row>
    <row r="726" ht="15.75" customHeight="1" s="182">
      <c r="A726" s="34" t="n"/>
      <c r="I726" s="34" t="n"/>
      <c r="J726" s="34" t="n"/>
      <c r="K726" s="34" t="n"/>
      <c r="L726" s="34" t="n"/>
    </row>
    <row r="727" ht="15.75" customHeight="1" s="182">
      <c r="A727" s="34" t="n"/>
      <c r="I727" s="34" t="n"/>
      <c r="J727" s="34" t="n"/>
      <c r="K727" s="34" t="n"/>
      <c r="L727" s="34" t="n"/>
    </row>
    <row r="728" ht="15.75" customHeight="1" s="182">
      <c r="A728" s="34" t="n"/>
      <c r="I728" s="34" t="n"/>
      <c r="J728" s="34" t="n"/>
      <c r="K728" s="34" t="n"/>
      <c r="L728" s="34" t="n"/>
    </row>
    <row r="729" ht="15.75" customHeight="1" s="182">
      <c r="A729" s="34" t="n"/>
      <c r="I729" s="34" t="n"/>
      <c r="J729" s="34" t="n"/>
      <c r="K729" s="34" t="n"/>
      <c r="L729" s="34" t="n"/>
    </row>
    <row r="730" ht="15.75" customHeight="1" s="182">
      <c r="A730" s="34" t="n"/>
      <c r="I730" s="34" t="n"/>
      <c r="J730" s="34" t="n"/>
      <c r="K730" s="34" t="n"/>
      <c r="L730" s="34" t="n"/>
    </row>
    <row r="731" ht="15.75" customHeight="1" s="182">
      <c r="A731" s="34" t="n"/>
      <c r="I731" s="34" t="n"/>
      <c r="J731" s="34" t="n"/>
      <c r="K731" s="34" t="n"/>
      <c r="L731" s="34" t="n"/>
    </row>
    <row r="732" ht="15.75" customHeight="1" s="182">
      <c r="A732" s="34" t="n"/>
      <c r="I732" s="34" t="n"/>
      <c r="J732" s="34" t="n"/>
      <c r="K732" s="34" t="n"/>
      <c r="L732" s="34" t="n"/>
    </row>
    <row r="733" ht="15.75" customHeight="1" s="182">
      <c r="A733" s="34" t="n"/>
      <c r="I733" s="34" t="n"/>
      <c r="J733" s="34" t="n"/>
      <c r="K733" s="34" t="n"/>
      <c r="L733" s="34" t="n"/>
    </row>
    <row r="734" ht="15.75" customHeight="1" s="182">
      <c r="A734" s="34" t="n"/>
      <c r="I734" s="34" t="n"/>
      <c r="J734" s="34" t="n"/>
      <c r="K734" s="34" t="n"/>
      <c r="L734" s="34" t="n"/>
    </row>
    <row r="735" ht="15.75" customHeight="1" s="182">
      <c r="A735" s="34" t="n"/>
      <c r="I735" s="34" t="n"/>
      <c r="J735" s="34" t="n"/>
      <c r="K735" s="34" t="n"/>
      <c r="L735" s="34" t="n"/>
    </row>
    <row r="736" ht="15.75" customHeight="1" s="182">
      <c r="A736" s="34" t="n"/>
      <c r="I736" s="34" t="n"/>
      <c r="J736" s="34" t="n"/>
      <c r="K736" s="34" t="n"/>
      <c r="L736" s="34" t="n"/>
    </row>
    <row r="737" ht="15.75" customHeight="1" s="182">
      <c r="A737" s="34" t="n"/>
      <c r="I737" s="34" t="n"/>
      <c r="J737" s="34" t="n"/>
      <c r="K737" s="34" t="n"/>
      <c r="L737" s="34" t="n"/>
    </row>
    <row r="738" ht="15.75" customHeight="1" s="182">
      <c r="A738" s="34" t="n"/>
      <c r="I738" s="34" t="n"/>
      <c r="J738" s="34" t="n"/>
      <c r="K738" s="34" t="n"/>
      <c r="L738" s="34" t="n"/>
    </row>
    <row r="739" ht="15.75" customHeight="1" s="182">
      <c r="A739" s="34" t="n"/>
      <c r="I739" s="34" t="n"/>
      <c r="J739" s="34" t="n"/>
      <c r="K739" s="34" t="n"/>
      <c r="L739" s="34" t="n"/>
    </row>
    <row r="740" ht="15.75" customHeight="1" s="182">
      <c r="A740" s="34" t="n"/>
      <c r="I740" s="34" t="n"/>
      <c r="J740" s="34" t="n"/>
      <c r="K740" s="34" t="n"/>
      <c r="L740" s="34" t="n"/>
    </row>
    <row r="741" ht="15.75" customHeight="1" s="182">
      <c r="A741" s="34" t="n"/>
      <c r="I741" s="34" t="n"/>
      <c r="J741" s="34" t="n"/>
      <c r="K741" s="34" t="n"/>
      <c r="L741" s="34" t="n"/>
    </row>
    <row r="742" ht="15.75" customHeight="1" s="182">
      <c r="A742" s="34" t="n"/>
      <c r="I742" s="34" t="n"/>
      <c r="J742" s="34" t="n"/>
      <c r="K742" s="34" t="n"/>
      <c r="L742" s="34" t="n"/>
    </row>
    <row r="743" ht="15.75" customHeight="1" s="182">
      <c r="A743" s="34" t="n"/>
      <c r="I743" s="34" t="n"/>
      <c r="J743" s="34" t="n"/>
      <c r="K743" s="34" t="n"/>
      <c r="L743" s="34" t="n"/>
    </row>
    <row r="744" ht="15.75" customHeight="1" s="182">
      <c r="A744" s="34" t="n"/>
      <c r="I744" s="34" t="n"/>
      <c r="J744" s="34" t="n"/>
      <c r="K744" s="34" t="n"/>
      <c r="L744" s="34" t="n"/>
    </row>
    <row r="745" ht="15.75" customHeight="1" s="182">
      <c r="A745" s="34" t="n"/>
      <c r="I745" s="34" t="n"/>
      <c r="J745" s="34" t="n"/>
      <c r="K745" s="34" t="n"/>
      <c r="L745" s="34" t="n"/>
    </row>
    <row r="746" ht="15.75" customHeight="1" s="182">
      <c r="A746" s="34" t="n"/>
      <c r="I746" s="34" t="n"/>
      <c r="J746" s="34" t="n"/>
      <c r="K746" s="34" t="n"/>
      <c r="L746" s="34" t="n"/>
    </row>
    <row r="747" ht="15.75" customHeight="1" s="182">
      <c r="A747" s="34" t="n"/>
      <c r="I747" s="34" t="n"/>
      <c r="J747" s="34" t="n"/>
      <c r="K747" s="34" t="n"/>
      <c r="L747" s="34" t="n"/>
    </row>
    <row r="748" ht="15.75" customHeight="1" s="182">
      <c r="A748" s="34" t="n"/>
      <c r="I748" s="34" t="n"/>
      <c r="J748" s="34" t="n"/>
      <c r="K748" s="34" t="n"/>
      <c r="L748" s="34" t="n"/>
    </row>
    <row r="749" ht="15.75" customHeight="1" s="182">
      <c r="A749" s="34" t="n"/>
      <c r="I749" s="34" t="n"/>
      <c r="J749" s="34" t="n"/>
      <c r="K749" s="34" t="n"/>
      <c r="L749" s="34" t="n"/>
    </row>
    <row r="750" ht="15.75" customHeight="1" s="182">
      <c r="A750" s="34" t="n"/>
      <c r="I750" s="34" t="n"/>
      <c r="J750" s="34" t="n"/>
      <c r="K750" s="34" t="n"/>
      <c r="L750" s="34" t="n"/>
    </row>
    <row r="751" ht="15.75" customHeight="1" s="182">
      <c r="A751" s="34" t="n"/>
      <c r="I751" s="34" t="n"/>
      <c r="J751" s="34" t="n"/>
      <c r="K751" s="34" t="n"/>
      <c r="L751" s="34" t="n"/>
    </row>
    <row r="752" ht="15.75" customHeight="1" s="182">
      <c r="A752" s="34" t="n"/>
      <c r="I752" s="34" t="n"/>
      <c r="J752" s="34" t="n"/>
      <c r="K752" s="34" t="n"/>
      <c r="L752" s="34" t="n"/>
    </row>
    <row r="753" ht="15.75" customHeight="1" s="182">
      <c r="A753" s="34" t="n"/>
      <c r="I753" s="34" t="n"/>
      <c r="J753" s="34" t="n"/>
      <c r="K753" s="34" t="n"/>
      <c r="L753" s="34" t="n"/>
    </row>
    <row r="754" ht="15.75" customHeight="1" s="182">
      <c r="A754" s="34" t="n"/>
      <c r="I754" s="34" t="n"/>
      <c r="J754" s="34" t="n"/>
      <c r="K754" s="34" t="n"/>
      <c r="L754" s="34" t="n"/>
    </row>
    <row r="755" ht="15.75" customHeight="1" s="182">
      <c r="A755" s="34" t="n"/>
      <c r="I755" s="34" t="n"/>
      <c r="J755" s="34" t="n"/>
      <c r="K755" s="34" t="n"/>
      <c r="L755" s="34" t="n"/>
    </row>
    <row r="756" ht="15.75" customHeight="1" s="182">
      <c r="A756" s="34" t="n"/>
      <c r="I756" s="34" t="n"/>
      <c r="J756" s="34" t="n"/>
      <c r="K756" s="34" t="n"/>
      <c r="L756" s="34" t="n"/>
    </row>
    <row r="757" ht="15.75" customHeight="1" s="182">
      <c r="A757" s="34" t="n"/>
      <c r="I757" s="34" t="n"/>
      <c r="J757" s="34" t="n"/>
      <c r="K757" s="34" t="n"/>
      <c r="L757" s="34" t="n"/>
    </row>
    <row r="758" ht="15.75" customHeight="1" s="182">
      <c r="A758" s="34" t="n"/>
      <c r="I758" s="34" t="n"/>
      <c r="J758" s="34" t="n"/>
      <c r="K758" s="34" t="n"/>
      <c r="L758" s="34" t="n"/>
    </row>
    <row r="759" ht="15.75" customHeight="1" s="182">
      <c r="A759" s="34" t="n"/>
      <c r="I759" s="34" t="n"/>
      <c r="J759" s="34" t="n"/>
      <c r="K759" s="34" t="n"/>
      <c r="L759" s="34" t="n"/>
    </row>
    <row r="760" ht="15.75" customHeight="1" s="182">
      <c r="A760" s="34" t="n"/>
      <c r="I760" s="34" t="n"/>
      <c r="J760" s="34" t="n"/>
      <c r="K760" s="34" t="n"/>
      <c r="L760" s="34" t="n"/>
    </row>
    <row r="761" ht="15.75" customHeight="1" s="182">
      <c r="A761" s="34" t="n"/>
      <c r="I761" s="34" t="n"/>
      <c r="J761" s="34" t="n"/>
      <c r="K761" s="34" t="n"/>
      <c r="L761" s="34" t="n"/>
    </row>
    <row r="762" ht="15.75" customHeight="1" s="182">
      <c r="A762" s="34" t="n"/>
      <c r="I762" s="34" t="n"/>
      <c r="J762" s="34" t="n"/>
      <c r="K762" s="34" t="n"/>
      <c r="L762" s="34" t="n"/>
    </row>
    <row r="763" ht="15.75" customHeight="1" s="182">
      <c r="A763" s="34" t="n"/>
      <c r="I763" s="34" t="n"/>
      <c r="J763" s="34" t="n"/>
      <c r="K763" s="34" t="n"/>
      <c r="L763" s="34" t="n"/>
    </row>
    <row r="764" ht="15.75" customHeight="1" s="182">
      <c r="A764" s="34" t="n"/>
      <c r="I764" s="34" t="n"/>
      <c r="J764" s="34" t="n"/>
      <c r="K764" s="34" t="n"/>
      <c r="L764" s="34" t="n"/>
    </row>
    <row r="765" ht="15.75" customHeight="1" s="182">
      <c r="A765" s="34" t="n"/>
      <c r="I765" s="34" t="n"/>
      <c r="J765" s="34" t="n"/>
      <c r="K765" s="34" t="n"/>
      <c r="L765" s="34" t="n"/>
    </row>
    <row r="766" ht="15.75" customHeight="1" s="182">
      <c r="A766" s="34" t="n"/>
      <c r="I766" s="34" t="n"/>
      <c r="J766" s="34" t="n"/>
      <c r="K766" s="34" t="n"/>
      <c r="L766" s="34" t="n"/>
    </row>
    <row r="767" ht="15.75" customHeight="1" s="182">
      <c r="A767" s="34" t="n"/>
      <c r="I767" s="34" t="n"/>
      <c r="J767" s="34" t="n"/>
      <c r="K767" s="34" t="n"/>
      <c r="L767" s="34" t="n"/>
    </row>
    <row r="768" ht="15.75" customHeight="1" s="182">
      <c r="A768" s="34" t="n"/>
      <c r="I768" s="34" t="n"/>
      <c r="J768" s="34" t="n"/>
      <c r="K768" s="34" t="n"/>
      <c r="L768" s="34" t="n"/>
    </row>
    <row r="769" ht="15.75" customHeight="1" s="182">
      <c r="A769" s="34" t="n"/>
      <c r="I769" s="34" t="n"/>
      <c r="J769" s="34" t="n"/>
      <c r="K769" s="34" t="n"/>
      <c r="L769" s="34" t="n"/>
    </row>
    <row r="770" ht="15.75" customHeight="1" s="182">
      <c r="A770" s="34" t="n"/>
      <c r="I770" s="34" t="n"/>
      <c r="J770" s="34" t="n"/>
      <c r="K770" s="34" t="n"/>
      <c r="L770" s="34" t="n"/>
    </row>
    <row r="771" ht="15.75" customHeight="1" s="182">
      <c r="A771" s="34" t="n"/>
      <c r="I771" s="34" t="n"/>
      <c r="J771" s="34" t="n"/>
      <c r="K771" s="34" t="n"/>
      <c r="L771" s="34" t="n"/>
    </row>
    <row r="772" ht="15.75" customHeight="1" s="182">
      <c r="A772" s="34" t="n"/>
      <c r="I772" s="34" t="n"/>
      <c r="J772" s="34" t="n"/>
      <c r="K772" s="34" t="n"/>
      <c r="L772" s="34" t="n"/>
    </row>
    <row r="773" ht="15.75" customHeight="1" s="182">
      <c r="A773" s="34" t="n"/>
      <c r="I773" s="34" t="n"/>
      <c r="J773" s="34" t="n"/>
      <c r="K773" s="34" t="n"/>
      <c r="L773" s="34" t="n"/>
    </row>
    <row r="774" ht="15.75" customHeight="1" s="182">
      <c r="A774" s="34" t="n"/>
      <c r="I774" s="34" t="n"/>
      <c r="J774" s="34" t="n"/>
      <c r="K774" s="34" t="n"/>
      <c r="L774" s="34" t="n"/>
    </row>
    <row r="775" ht="15.75" customHeight="1" s="182">
      <c r="A775" s="34" t="n"/>
      <c r="I775" s="34" t="n"/>
      <c r="J775" s="34" t="n"/>
      <c r="K775" s="34" t="n"/>
      <c r="L775" s="34" t="n"/>
    </row>
    <row r="776" ht="15.75" customHeight="1" s="182">
      <c r="A776" s="34" t="n"/>
      <c r="I776" s="34" t="n"/>
      <c r="J776" s="34" t="n"/>
      <c r="K776" s="34" t="n"/>
      <c r="L776" s="34" t="n"/>
    </row>
    <row r="777" ht="15.75" customHeight="1" s="182">
      <c r="A777" s="34" t="n"/>
      <c r="I777" s="34" t="n"/>
      <c r="J777" s="34" t="n"/>
      <c r="K777" s="34" t="n"/>
      <c r="L777" s="34" t="n"/>
    </row>
    <row r="778" ht="15.75" customHeight="1" s="182">
      <c r="A778" s="34" t="n"/>
      <c r="I778" s="34" t="n"/>
      <c r="J778" s="34" t="n"/>
      <c r="K778" s="34" t="n"/>
      <c r="L778" s="34" t="n"/>
    </row>
    <row r="779" ht="15.75" customHeight="1" s="182">
      <c r="A779" s="34" t="n"/>
      <c r="I779" s="34" t="n"/>
      <c r="J779" s="34" t="n"/>
      <c r="K779" s="34" t="n"/>
      <c r="L779" s="34" t="n"/>
    </row>
    <row r="780" ht="15.75" customHeight="1" s="182">
      <c r="A780" s="34" t="n"/>
      <c r="I780" s="34" t="n"/>
      <c r="J780" s="34" t="n"/>
      <c r="K780" s="34" t="n"/>
      <c r="L780" s="34" t="n"/>
    </row>
    <row r="781" ht="15.75" customHeight="1" s="182">
      <c r="A781" s="34" t="n"/>
      <c r="I781" s="34" t="n"/>
      <c r="J781" s="34" t="n"/>
      <c r="K781" s="34" t="n"/>
      <c r="L781" s="34" t="n"/>
    </row>
    <row r="782" ht="15.75" customHeight="1" s="182">
      <c r="A782" s="34" t="n"/>
      <c r="I782" s="34" t="n"/>
      <c r="J782" s="34" t="n"/>
      <c r="K782" s="34" t="n"/>
      <c r="L782" s="34" t="n"/>
    </row>
    <row r="783" ht="15.75" customHeight="1" s="182">
      <c r="A783" s="34" t="n"/>
      <c r="I783" s="34" t="n"/>
      <c r="J783" s="34" t="n"/>
      <c r="K783" s="34" t="n"/>
      <c r="L783" s="34" t="n"/>
    </row>
    <row r="784" ht="15.75" customHeight="1" s="182">
      <c r="A784" s="34" t="n"/>
      <c r="I784" s="34" t="n"/>
      <c r="J784" s="34" t="n"/>
      <c r="K784" s="34" t="n"/>
      <c r="L784" s="34" t="n"/>
    </row>
    <row r="785" ht="15.75" customHeight="1" s="182">
      <c r="A785" s="34" t="n"/>
      <c r="I785" s="34" t="n"/>
      <c r="J785" s="34" t="n"/>
      <c r="K785" s="34" t="n"/>
      <c r="L785" s="34" t="n"/>
    </row>
    <row r="786" ht="15.75" customHeight="1" s="182">
      <c r="A786" s="34" t="n"/>
      <c r="I786" s="34" t="n"/>
      <c r="J786" s="34" t="n"/>
      <c r="K786" s="34" t="n"/>
      <c r="L786" s="34" t="n"/>
    </row>
    <row r="787" ht="15.75" customHeight="1" s="182">
      <c r="A787" s="34" t="n"/>
      <c r="I787" s="34" t="n"/>
      <c r="J787" s="34" t="n"/>
      <c r="K787" s="34" t="n"/>
      <c r="L787" s="34" t="n"/>
    </row>
    <row r="788" ht="15.75" customHeight="1" s="182">
      <c r="A788" s="34" t="n"/>
      <c r="I788" s="34" t="n"/>
      <c r="J788" s="34" t="n"/>
      <c r="K788" s="34" t="n"/>
      <c r="L788" s="34" t="n"/>
    </row>
    <row r="789" ht="15.75" customHeight="1" s="182">
      <c r="A789" s="34" t="n"/>
      <c r="I789" s="34" t="n"/>
      <c r="J789" s="34" t="n"/>
      <c r="K789" s="34" t="n"/>
      <c r="L789" s="34" t="n"/>
    </row>
    <row r="790" ht="15.75" customHeight="1" s="182">
      <c r="A790" s="34" t="n"/>
      <c r="I790" s="34" t="n"/>
      <c r="J790" s="34" t="n"/>
      <c r="K790" s="34" t="n"/>
      <c r="L790" s="34" t="n"/>
    </row>
    <row r="791" ht="15.75" customHeight="1" s="182">
      <c r="A791" s="34" t="n"/>
      <c r="I791" s="34" t="n"/>
      <c r="J791" s="34" t="n"/>
      <c r="K791" s="34" t="n"/>
      <c r="L791" s="34" t="n"/>
    </row>
    <row r="792" ht="15.75" customHeight="1" s="182">
      <c r="A792" s="34" t="n"/>
      <c r="I792" s="34" t="n"/>
      <c r="J792" s="34" t="n"/>
      <c r="K792" s="34" t="n"/>
      <c r="L792" s="34" t="n"/>
    </row>
    <row r="793" ht="15.75" customHeight="1" s="182">
      <c r="A793" s="34" t="n"/>
      <c r="I793" s="34" t="n"/>
      <c r="J793" s="34" t="n"/>
      <c r="K793" s="34" t="n"/>
      <c r="L793" s="34" t="n"/>
    </row>
    <row r="794" ht="15.75" customHeight="1" s="182">
      <c r="A794" s="34" t="n"/>
      <c r="I794" s="34" t="n"/>
      <c r="J794" s="34" t="n"/>
      <c r="K794" s="34" t="n"/>
      <c r="L794" s="34" t="n"/>
    </row>
    <row r="795" ht="15.75" customHeight="1" s="182">
      <c r="A795" s="34" t="n"/>
      <c r="I795" s="34" t="n"/>
      <c r="J795" s="34" t="n"/>
      <c r="K795" s="34" t="n"/>
      <c r="L795" s="34" t="n"/>
    </row>
    <row r="796" ht="15.75" customHeight="1" s="182">
      <c r="A796" s="34" t="n"/>
      <c r="I796" s="34" t="n"/>
      <c r="J796" s="34" t="n"/>
      <c r="K796" s="34" t="n"/>
      <c r="L796" s="34" t="n"/>
    </row>
    <row r="797" ht="15.75" customHeight="1" s="182">
      <c r="A797" s="34" t="n"/>
      <c r="I797" s="34" t="n"/>
      <c r="J797" s="34" t="n"/>
      <c r="K797" s="34" t="n"/>
      <c r="L797" s="34" t="n"/>
    </row>
    <row r="798" ht="15.75" customHeight="1" s="182">
      <c r="A798" s="34" t="n"/>
      <c r="I798" s="34" t="n"/>
      <c r="J798" s="34" t="n"/>
      <c r="K798" s="34" t="n"/>
      <c r="L798" s="34" t="n"/>
    </row>
    <row r="799" ht="15.75" customHeight="1" s="182">
      <c r="A799" s="34" t="n"/>
      <c r="I799" s="34" t="n"/>
      <c r="J799" s="34" t="n"/>
      <c r="K799" s="34" t="n"/>
      <c r="L799" s="34" t="n"/>
    </row>
    <row r="800" ht="15.75" customHeight="1" s="182">
      <c r="A800" s="34" t="n"/>
      <c r="I800" s="34" t="n"/>
      <c r="J800" s="34" t="n"/>
      <c r="K800" s="34" t="n"/>
      <c r="L800" s="34" t="n"/>
    </row>
    <row r="801" ht="15.75" customHeight="1" s="182">
      <c r="A801" s="34" t="n"/>
      <c r="I801" s="34" t="n"/>
      <c r="J801" s="34" t="n"/>
      <c r="K801" s="34" t="n"/>
      <c r="L801" s="34" t="n"/>
    </row>
    <row r="802" ht="15.75" customHeight="1" s="182">
      <c r="A802" s="34" t="n"/>
      <c r="I802" s="34" t="n"/>
      <c r="J802" s="34" t="n"/>
      <c r="K802" s="34" t="n"/>
      <c r="L802" s="34" t="n"/>
    </row>
    <row r="803" ht="15.75" customHeight="1" s="182">
      <c r="A803" s="34" t="n"/>
      <c r="I803" s="34" t="n"/>
      <c r="J803" s="34" t="n"/>
      <c r="K803" s="34" t="n"/>
      <c r="L803" s="34" t="n"/>
    </row>
    <row r="804" ht="15.75" customHeight="1" s="182">
      <c r="A804" s="34" t="n"/>
      <c r="I804" s="34" t="n"/>
      <c r="J804" s="34" t="n"/>
      <c r="K804" s="34" t="n"/>
      <c r="L804" s="34" t="n"/>
    </row>
    <row r="805" ht="15.75" customHeight="1" s="182">
      <c r="A805" s="34" t="n"/>
      <c r="I805" s="34" t="n"/>
      <c r="J805" s="34" t="n"/>
      <c r="K805" s="34" t="n"/>
      <c r="L805" s="34" t="n"/>
    </row>
    <row r="806" ht="15.75" customHeight="1" s="182">
      <c r="A806" s="34" t="n"/>
      <c r="I806" s="34" t="n"/>
      <c r="J806" s="34" t="n"/>
      <c r="K806" s="34" t="n"/>
      <c r="L806" s="34" t="n"/>
    </row>
    <row r="807" ht="15.75" customHeight="1" s="182">
      <c r="A807" s="34" t="n"/>
      <c r="I807" s="34" t="n"/>
      <c r="J807" s="34" t="n"/>
      <c r="K807" s="34" t="n"/>
      <c r="L807" s="34" t="n"/>
    </row>
    <row r="808" ht="15.75" customHeight="1" s="182">
      <c r="A808" s="34" t="n"/>
      <c r="I808" s="34" t="n"/>
      <c r="J808" s="34" t="n"/>
      <c r="K808" s="34" t="n"/>
      <c r="L808" s="34" t="n"/>
    </row>
    <row r="809" ht="15.75" customHeight="1" s="182">
      <c r="A809" s="34" t="n"/>
      <c r="I809" s="34" t="n"/>
      <c r="J809" s="34" t="n"/>
      <c r="K809" s="34" t="n"/>
      <c r="L809" s="34" t="n"/>
    </row>
    <row r="810" ht="15.75" customHeight="1" s="182">
      <c r="A810" s="34" t="n"/>
      <c r="I810" s="34" t="n"/>
      <c r="J810" s="34" t="n"/>
      <c r="K810" s="34" t="n"/>
      <c r="L810" s="34" t="n"/>
    </row>
    <row r="811" ht="15.75" customHeight="1" s="182">
      <c r="A811" s="34" t="n"/>
      <c r="I811" s="34" t="n"/>
      <c r="J811" s="34" t="n"/>
      <c r="K811" s="34" t="n"/>
      <c r="L811" s="34" t="n"/>
    </row>
    <row r="812" ht="15.75" customHeight="1" s="182">
      <c r="A812" s="34" t="n"/>
      <c r="I812" s="34" t="n"/>
      <c r="J812" s="34" t="n"/>
      <c r="K812" s="34" t="n"/>
      <c r="L812" s="34" t="n"/>
    </row>
    <row r="813" ht="15.75" customHeight="1" s="182">
      <c r="A813" s="34" t="n"/>
      <c r="I813" s="34" t="n"/>
      <c r="J813" s="34" t="n"/>
      <c r="K813" s="34" t="n"/>
      <c r="L813" s="34" t="n"/>
    </row>
    <row r="814" ht="15.75" customHeight="1" s="182">
      <c r="A814" s="34" t="n"/>
      <c r="I814" s="34" t="n"/>
      <c r="J814" s="34" t="n"/>
      <c r="K814" s="34" t="n"/>
      <c r="L814" s="34" t="n"/>
    </row>
    <row r="815" ht="15.75" customHeight="1" s="182">
      <c r="A815" s="34" t="n"/>
      <c r="I815" s="34" t="n"/>
      <c r="J815" s="34" t="n"/>
      <c r="K815" s="34" t="n"/>
      <c r="L815" s="34" t="n"/>
    </row>
    <row r="816" ht="15.75" customHeight="1" s="182">
      <c r="A816" s="34" t="n"/>
      <c r="I816" s="34" t="n"/>
      <c r="J816" s="34" t="n"/>
      <c r="K816" s="34" t="n"/>
      <c r="L816" s="34" t="n"/>
    </row>
    <row r="817" ht="15.75" customHeight="1" s="182">
      <c r="A817" s="34" t="n"/>
      <c r="I817" s="34" t="n"/>
      <c r="J817" s="34" t="n"/>
      <c r="K817" s="34" t="n"/>
      <c r="L817" s="34" t="n"/>
    </row>
    <row r="818" ht="15.75" customHeight="1" s="182">
      <c r="A818" s="34" t="n"/>
      <c r="I818" s="34" t="n"/>
      <c r="J818" s="34" t="n"/>
      <c r="K818" s="34" t="n"/>
      <c r="L818" s="34" t="n"/>
    </row>
    <row r="819" ht="15.75" customHeight="1" s="182">
      <c r="A819" s="34" t="n"/>
      <c r="I819" s="34" t="n"/>
      <c r="J819" s="34" t="n"/>
      <c r="K819" s="34" t="n"/>
      <c r="L819" s="34" t="n"/>
    </row>
    <row r="820" ht="15.75" customHeight="1" s="182">
      <c r="A820" s="34" t="n"/>
      <c r="I820" s="34" t="n"/>
      <c r="J820" s="34" t="n"/>
      <c r="K820" s="34" t="n"/>
      <c r="L820" s="34" t="n"/>
    </row>
    <row r="821" ht="15.75" customHeight="1" s="182">
      <c r="A821" s="34" t="n"/>
      <c r="I821" s="34" t="n"/>
      <c r="J821" s="34" t="n"/>
      <c r="K821" s="34" t="n"/>
      <c r="L821" s="34" t="n"/>
    </row>
    <row r="822" ht="15.75" customHeight="1" s="182">
      <c r="A822" s="34" t="n"/>
      <c r="I822" s="34" t="n"/>
      <c r="J822" s="34" t="n"/>
      <c r="K822" s="34" t="n"/>
      <c r="L822" s="34" t="n"/>
    </row>
    <row r="823" ht="15.75" customHeight="1" s="182">
      <c r="A823" s="34" t="n"/>
      <c r="I823" s="34" t="n"/>
      <c r="J823" s="34" t="n"/>
      <c r="K823" s="34" t="n"/>
      <c r="L823" s="34" t="n"/>
    </row>
    <row r="824" ht="15.75" customHeight="1" s="182">
      <c r="A824" s="34" t="n"/>
      <c r="I824" s="34" t="n"/>
      <c r="J824" s="34" t="n"/>
      <c r="K824" s="34" t="n"/>
      <c r="L824" s="34" t="n"/>
    </row>
    <row r="825" ht="15.75" customHeight="1" s="182">
      <c r="A825" s="34" t="n"/>
      <c r="I825" s="34" t="n"/>
      <c r="J825" s="34" t="n"/>
      <c r="K825" s="34" t="n"/>
      <c r="L825" s="34" t="n"/>
    </row>
    <row r="826" ht="15.75" customHeight="1" s="182">
      <c r="A826" s="34" t="n"/>
      <c r="I826" s="34" t="n"/>
      <c r="J826" s="34" t="n"/>
      <c r="K826" s="34" t="n"/>
      <c r="L826" s="34" t="n"/>
    </row>
    <row r="827" ht="15.75" customHeight="1" s="182">
      <c r="A827" s="34" t="n"/>
      <c r="I827" s="34" t="n"/>
      <c r="J827" s="34" t="n"/>
      <c r="K827" s="34" t="n"/>
      <c r="L827" s="34" t="n"/>
    </row>
    <row r="828" ht="15.75" customHeight="1" s="182">
      <c r="A828" s="34" t="n"/>
      <c r="I828" s="34" t="n"/>
      <c r="J828" s="34" t="n"/>
      <c r="K828" s="34" t="n"/>
      <c r="L828" s="34" t="n"/>
    </row>
    <row r="829" ht="15.75" customHeight="1" s="182">
      <c r="A829" s="34" t="n"/>
      <c r="I829" s="34" t="n"/>
      <c r="J829" s="34" t="n"/>
      <c r="K829" s="34" t="n"/>
      <c r="L829" s="34" t="n"/>
    </row>
    <row r="830" ht="15.75" customHeight="1" s="182">
      <c r="A830" s="34" t="n"/>
      <c r="I830" s="34" t="n"/>
      <c r="J830" s="34" t="n"/>
      <c r="K830" s="34" t="n"/>
      <c r="L830" s="34" t="n"/>
    </row>
    <row r="831" ht="15.75" customHeight="1" s="182">
      <c r="A831" s="34" t="n"/>
      <c r="I831" s="34" t="n"/>
      <c r="J831" s="34" t="n"/>
      <c r="K831" s="34" t="n"/>
      <c r="L831" s="34" t="n"/>
    </row>
    <row r="832" ht="15.75" customHeight="1" s="182">
      <c r="A832" s="34" t="n"/>
      <c r="I832" s="34" t="n"/>
      <c r="J832" s="34" t="n"/>
      <c r="K832" s="34" t="n"/>
      <c r="L832" s="34" t="n"/>
    </row>
    <row r="833" ht="15.75" customHeight="1" s="182">
      <c r="A833" s="34" t="n"/>
      <c r="I833" s="34" t="n"/>
      <c r="J833" s="34" t="n"/>
      <c r="K833" s="34" t="n"/>
      <c r="L833" s="34" t="n"/>
    </row>
    <row r="834" ht="15.75" customHeight="1" s="182">
      <c r="A834" s="34" t="n"/>
      <c r="I834" s="34" t="n"/>
      <c r="J834" s="34" t="n"/>
      <c r="K834" s="34" t="n"/>
      <c r="L834" s="34" t="n"/>
    </row>
    <row r="835" ht="15.75" customHeight="1" s="182">
      <c r="A835" s="34" t="n"/>
      <c r="I835" s="34" t="n"/>
      <c r="J835" s="34" t="n"/>
      <c r="K835" s="34" t="n"/>
      <c r="L835" s="34" t="n"/>
    </row>
    <row r="836" ht="15.75" customHeight="1" s="182">
      <c r="A836" s="34" t="n"/>
      <c r="I836" s="34" t="n"/>
      <c r="J836" s="34" t="n"/>
      <c r="K836" s="34" t="n"/>
      <c r="L836" s="34" t="n"/>
    </row>
    <row r="837" ht="15.75" customHeight="1" s="182">
      <c r="A837" s="34" t="n"/>
      <c r="I837" s="34" t="n"/>
      <c r="J837" s="34" t="n"/>
      <c r="K837" s="34" t="n"/>
      <c r="L837" s="34" t="n"/>
    </row>
    <row r="838" ht="15.75" customHeight="1" s="182">
      <c r="A838" s="34" t="n"/>
      <c r="I838" s="34" t="n"/>
      <c r="J838" s="34" t="n"/>
      <c r="K838" s="34" t="n"/>
      <c r="L838" s="34" t="n"/>
    </row>
    <row r="839" ht="15.75" customHeight="1" s="182">
      <c r="A839" s="34" t="n"/>
      <c r="I839" s="34" t="n"/>
      <c r="J839" s="34" t="n"/>
      <c r="K839" s="34" t="n"/>
      <c r="L839" s="34" t="n"/>
    </row>
    <row r="840" ht="15.75" customHeight="1" s="182">
      <c r="A840" s="34" t="n"/>
      <c r="I840" s="34" t="n"/>
      <c r="J840" s="34" t="n"/>
      <c r="K840" s="34" t="n"/>
      <c r="L840" s="34" t="n"/>
    </row>
    <row r="841" ht="15.75" customHeight="1" s="182">
      <c r="A841" s="34" t="n"/>
      <c r="I841" s="34" t="n"/>
      <c r="J841" s="34" t="n"/>
      <c r="K841" s="34" t="n"/>
      <c r="L841" s="34" t="n"/>
    </row>
    <row r="842" ht="15.75" customHeight="1" s="182">
      <c r="A842" s="34" t="n"/>
      <c r="I842" s="34" t="n"/>
      <c r="J842" s="34" t="n"/>
      <c r="K842" s="34" t="n"/>
      <c r="L842" s="34" t="n"/>
    </row>
    <row r="843" ht="15.75" customHeight="1" s="182">
      <c r="A843" s="34" t="n"/>
      <c r="I843" s="34" t="n"/>
      <c r="J843" s="34" t="n"/>
      <c r="K843" s="34" t="n"/>
      <c r="L843" s="34" t="n"/>
    </row>
    <row r="844" ht="15.75" customHeight="1" s="182">
      <c r="A844" s="34" t="n"/>
      <c r="I844" s="34" t="n"/>
      <c r="J844" s="34" t="n"/>
      <c r="K844" s="34" t="n"/>
      <c r="L844" s="34" t="n"/>
    </row>
    <row r="845" ht="15.75" customHeight="1" s="182">
      <c r="A845" s="34" t="n"/>
      <c r="I845" s="34" t="n"/>
      <c r="J845" s="34" t="n"/>
      <c r="K845" s="34" t="n"/>
      <c r="L845" s="34" t="n"/>
    </row>
    <row r="846" ht="15.75" customHeight="1" s="182">
      <c r="A846" s="34" t="n"/>
      <c r="I846" s="34" t="n"/>
      <c r="J846" s="34" t="n"/>
      <c r="K846" s="34" t="n"/>
      <c r="L846" s="34" t="n"/>
    </row>
    <row r="847" ht="15.75" customHeight="1" s="182">
      <c r="A847" s="34" t="n"/>
      <c r="I847" s="34" t="n"/>
      <c r="J847" s="34" t="n"/>
      <c r="K847" s="34" t="n"/>
      <c r="L847" s="34" t="n"/>
    </row>
    <row r="848" ht="15.75" customHeight="1" s="182">
      <c r="A848" s="34" t="n"/>
      <c r="I848" s="34" t="n"/>
      <c r="J848" s="34" t="n"/>
      <c r="K848" s="34" t="n"/>
      <c r="L848" s="34" t="n"/>
    </row>
    <row r="849" ht="15.75" customHeight="1" s="182">
      <c r="A849" s="34" t="n"/>
      <c r="I849" s="34" t="n"/>
      <c r="J849" s="34" t="n"/>
      <c r="K849" s="34" t="n"/>
      <c r="L849" s="34" t="n"/>
    </row>
    <row r="850" ht="15.75" customHeight="1" s="182">
      <c r="A850" s="34" t="n"/>
      <c r="I850" s="34" t="n"/>
      <c r="J850" s="34" t="n"/>
      <c r="K850" s="34" t="n"/>
      <c r="L850" s="34" t="n"/>
    </row>
    <row r="851" ht="15.75" customHeight="1" s="182">
      <c r="A851" s="34" t="n"/>
      <c r="I851" s="34" t="n"/>
      <c r="J851" s="34" t="n"/>
      <c r="K851" s="34" t="n"/>
      <c r="L851" s="34" t="n"/>
    </row>
    <row r="852" ht="15.75" customHeight="1" s="182">
      <c r="A852" s="34" t="n"/>
      <c r="I852" s="34" t="n"/>
      <c r="J852" s="34" t="n"/>
      <c r="K852" s="34" t="n"/>
      <c r="L852" s="34" t="n"/>
    </row>
    <row r="853" ht="15.75" customHeight="1" s="182">
      <c r="A853" s="34" t="n"/>
      <c r="I853" s="34" t="n"/>
      <c r="J853" s="34" t="n"/>
      <c r="K853" s="34" t="n"/>
      <c r="L853" s="34" t="n"/>
    </row>
    <row r="854" ht="15.75" customHeight="1" s="182">
      <c r="A854" s="34" t="n"/>
      <c r="I854" s="34" t="n"/>
      <c r="J854" s="34" t="n"/>
      <c r="K854" s="34" t="n"/>
      <c r="L854" s="34" t="n"/>
    </row>
    <row r="855" ht="15.75" customHeight="1" s="182">
      <c r="A855" s="34" t="n"/>
      <c r="I855" s="34" t="n"/>
      <c r="J855" s="34" t="n"/>
      <c r="K855" s="34" t="n"/>
      <c r="L855" s="34" t="n"/>
    </row>
    <row r="856" ht="15.75" customHeight="1" s="182">
      <c r="A856" s="34" t="n"/>
      <c r="I856" s="34" t="n"/>
      <c r="J856" s="34" t="n"/>
      <c r="K856" s="34" t="n"/>
      <c r="L856" s="34" t="n"/>
    </row>
    <row r="857" ht="15.75" customHeight="1" s="182">
      <c r="A857" s="34" t="n"/>
      <c r="I857" s="34" t="n"/>
      <c r="J857" s="34" t="n"/>
      <c r="K857" s="34" t="n"/>
      <c r="L857" s="34" t="n"/>
    </row>
    <row r="858" ht="15.75" customHeight="1" s="182">
      <c r="A858" s="34" t="n"/>
      <c r="I858" s="34" t="n"/>
      <c r="J858" s="34" t="n"/>
      <c r="K858" s="34" t="n"/>
      <c r="L858" s="34" t="n"/>
    </row>
    <row r="859" ht="15.75" customHeight="1" s="182">
      <c r="A859" s="34" t="n"/>
      <c r="I859" s="34" t="n"/>
      <c r="J859" s="34" t="n"/>
      <c r="K859" s="34" t="n"/>
      <c r="L859" s="34" t="n"/>
    </row>
    <row r="860" ht="15.75" customHeight="1" s="182">
      <c r="A860" s="34" t="n"/>
      <c r="I860" s="34" t="n"/>
      <c r="J860" s="34" t="n"/>
      <c r="K860" s="34" t="n"/>
      <c r="L860" s="34" t="n"/>
    </row>
    <row r="861" ht="15.75" customHeight="1" s="182">
      <c r="A861" s="34" t="n"/>
      <c r="I861" s="34" t="n"/>
      <c r="J861" s="34" t="n"/>
      <c r="K861" s="34" t="n"/>
      <c r="L861" s="34" t="n"/>
    </row>
    <row r="862" ht="15.75" customHeight="1" s="182">
      <c r="A862" s="34" t="n"/>
      <c r="I862" s="34" t="n"/>
      <c r="J862" s="34" t="n"/>
      <c r="K862" s="34" t="n"/>
      <c r="L862" s="34" t="n"/>
    </row>
    <row r="863" ht="15.75" customHeight="1" s="182">
      <c r="A863" s="34" t="n"/>
      <c r="I863" s="34" t="n"/>
      <c r="J863" s="34" t="n"/>
      <c r="K863" s="34" t="n"/>
      <c r="L863" s="34" t="n"/>
    </row>
    <row r="864" ht="15.75" customHeight="1" s="182">
      <c r="A864" s="34" t="n"/>
      <c r="I864" s="34" t="n"/>
      <c r="J864" s="34" t="n"/>
      <c r="K864" s="34" t="n"/>
      <c r="L864" s="34" t="n"/>
    </row>
    <row r="865" ht="15.75" customHeight="1" s="182">
      <c r="A865" s="34" t="n"/>
      <c r="I865" s="34" t="n"/>
      <c r="J865" s="34" t="n"/>
      <c r="K865" s="34" t="n"/>
      <c r="L865" s="34" t="n"/>
    </row>
    <row r="866" ht="15.75" customHeight="1" s="182">
      <c r="A866" s="34" t="n"/>
      <c r="I866" s="34" t="n"/>
      <c r="J866" s="34" t="n"/>
      <c r="K866" s="34" t="n"/>
      <c r="L866" s="34" t="n"/>
    </row>
    <row r="867" ht="15.75" customHeight="1" s="182">
      <c r="A867" s="34" t="n"/>
      <c r="I867" s="34" t="n"/>
      <c r="J867" s="34" t="n"/>
      <c r="K867" s="34" t="n"/>
      <c r="L867" s="34" t="n"/>
    </row>
    <row r="868" ht="15.75" customHeight="1" s="182">
      <c r="A868" s="34" t="n"/>
      <c r="I868" s="34" t="n"/>
      <c r="J868" s="34" t="n"/>
      <c r="K868" s="34" t="n"/>
      <c r="L868" s="34" t="n"/>
    </row>
    <row r="869" ht="15.75" customHeight="1" s="182">
      <c r="A869" s="34" t="n"/>
      <c r="I869" s="34" t="n"/>
      <c r="J869" s="34" t="n"/>
      <c r="K869" s="34" t="n"/>
      <c r="L869" s="34" t="n"/>
    </row>
    <row r="870" ht="15.75" customHeight="1" s="182">
      <c r="A870" s="34" t="n"/>
      <c r="I870" s="34" t="n"/>
      <c r="J870" s="34" t="n"/>
      <c r="K870" s="34" t="n"/>
      <c r="L870" s="34" t="n"/>
    </row>
    <row r="871" ht="15.75" customHeight="1" s="182">
      <c r="A871" s="34" t="n"/>
      <c r="I871" s="34" t="n"/>
      <c r="J871" s="34" t="n"/>
      <c r="K871" s="34" t="n"/>
      <c r="L871" s="34" t="n"/>
    </row>
    <row r="872" ht="15.75" customHeight="1" s="182">
      <c r="A872" s="34" t="n"/>
      <c r="I872" s="34" t="n"/>
      <c r="J872" s="34" t="n"/>
      <c r="K872" s="34" t="n"/>
      <c r="L872" s="34" t="n"/>
    </row>
    <row r="873" ht="15.75" customHeight="1" s="182">
      <c r="A873" s="34" t="n"/>
      <c r="I873" s="34" t="n"/>
      <c r="J873" s="34" t="n"/>
      <c r="K873" s="34" t="n"/>
      <c r="L873" s="34" t="n"/>
    </row>
    <row r="874" ht="15.75" customHeight="1" s="182">
      <c r="A874" s="34" t="n"/>
      <c r="I874" s="34" t="n"/>
      <c r="J874" s="34" t="n"/>
      <c r="K874" s="34" t="n"/>
      <c r="L874" s="34" t="n"/>
    </row>
    <row r="875" ht="15.75" customHeight="1" s="182">
      <c r="A875" s="34" t="n"/>
      <c r="I875" s="34" t="n"/>
      <c r="J875" s="34" t="n"/>
      <c r="K875" s="34" t="n"/>
      <c r="L875" s="34" t="n"/>
    </row>
    <row r="876" ht="15.75" customHeight="1" s="182">
      <c r="A876" s="34" t="n"/>
      <c r="I876" s="34" t="n"/>
      <c r="J876" s="34" t="n"/>
      <c r="K876" s="34" t="n"/>
      <c r="L876" s="34" t="n"/>
    </row>
    <row r="877" ht="15.75" customHeight="1" s="182">
      <c r="A877" s="34" t="n"/>
      <c r="I877" s="34" t="n"/>
      <c r="J877" s="34" t="n"/>
      <c r="K877" s="34" t="n"/>
      <c r="L877" s="34" t="n"/>
    </row>
    <row r="878" ht="15.75" customHeight="1" s="182">
      <c r="A878" s="34" t="n"/>
      <c r="I878" s="34" t="n"/>
      <c r="J878" s="34" t="n"/>
      <c r="K878" s="34" t="n"/>
      <c r="L878" s="34" t="n"/>
    </row>
    <row r="879" ht="15.75" customHeight="1" s="182">
      <c r="A879" s="34" t="n"/>
      <c r="I879" s="34" t="n"/>
      <c r="J879" s="34" t="n"/>
      <c r="K879" s="34" t="n"/>
      <c r="L879" s="34" t="n"/>
    </row>
    <row r="880" ht="15.75" customHeight="1" s="182">
      <c r="A880" s="34" t="n"/>
      <c r="I880" s="34" t="n"/>
      <c r="J880" s="34" t="n"/>
      <c r="K880" s="34" t="n"/>
      <c r="L880" s="34" t="n"/>
    </row>
    <row r="881" ht="15.75" customHeight="1" s="182">
      <c r="A881" s="34" t="n"/>
      <c r="I881" s="34" t="n"/>
      <c r="J881" s="34" t="n"/>
      <c r="K881" s="34" t="n"/>
      <c r="L881" s="34" t="n"/>
    </row>
    <row r="882" ht="15.75" customHeight="1" s="182">
      <c r="A882" s="34" t="n"/>
      <c r="I882" s="34" t="n"/>
      <c r="J882" s="34" t="n"/>
      <c r="K882" s="34" t="n"/>
      <c r="L882" s="34" t="n"/>
    </row>
    <row r="883" ht="15.75" customHeight="1" s="182">
      <c r="A883" s="34" t="n"/>
      <c r="I883" s="34" t="n"/>
      <c r="J883" s="34" t="n"/>
      <c r="K883" s="34" t="n"/>
      <c r="L883" s="34" t="n"/>
    </row>
    <row r="884" ht="15.75" customHeight="1" s="182">
      <c r="A884" s="34" t="n"/>
      <c r="I884" s="34" t="n"/>
      <c r="J884" s="34" t="n"/>
      <c r="K884" s="34" t="n"/>
      <c r="L884" s="34" t="n"/>
    </row>
    <row r="885" ht="15.75" customHeight="1" s="182">
      <c r="A885" s="34" t="n"/>
      <c r="I885" s="34" t="n"/>
      <c r="J885" s="34" t="n"/>
      <c r="K885" s="34" t="n"/>
      <c r="L885" s="34" t="n"/>
    </row>
    <row r="886" ht="15.75" customHeight="1" s="182">
      <c r="A886" s="34" t="n"/>
      <c r="I886" s="34" t="n"/>
      <c r="J886" s="34" t="n"/>
      <c r="K886" s="34" t="n"/>
      <c r="L886" s="34" t="n"/>
    </row>
    <row r="887" ht="15.75" customHeight="1" s="182">
      <c r="A887" s="34" t="n"/>
      <c r="I887" s="34" t="n"/>
      <c r="J887" s="34" t="n"/>
      <c r="K887" s="34" t="n"/>
      <c r="L887" s="34" t="n"/>
    </row>
    <row r="888" ht="15.75" customHeight="1" s="182">
      <c r="A888" s="34" t="n"/>
      <c r="I888" s="34" t="n"/>
      <c r="J888" s="34" t="n"/>
      <c r="K888" s="34" t="n"/>
      <c r="L888" s="34" t="n"/>
    </row>
    <row r="889" ht="15.75" customHeight="1" s="182">
      <c r="A889" s="34" t="n"/>
      <c r="I889" s="34" t="n"/>
      <c r="J889" s="34" t="n"/>
      <c r="K889" s="34" t="n"/>
      <c r="L889" s="34" t="n"/>
    </row>
    <row r="890" ht="15.75" customHeight="1" s="182">
      <c r="A890" s="34" t="n"/>
      <c r="I890" s="34" t="n"/>
      <c r="J890" s="34" t="n"/>
      <c r="K890" s="34" t="n"/>
      <c r="L890" s="34" t="n"/>
    </row>
    <row r="891" ht="15.75" customHeight="1" s="182">
      <c r="A891" s="34" t="n"/>
      <c r="I891" s="34" t="n"/>
      <c r="J891" s="34" t="n"/>
      <c r="K891" s="34" t="n"/>
      <c r="L891" s="34" t="n"/>
    </row>
    <row r="892" ht="15.75" customHeight="1" s="182">
      <c r="A892" s="34" t="n"/>
      <c r="I892" s="34" t="n"/>
      <c r="J892" s="34" t="n"/>
      <c r="K892" s="34" t="n"/>
      <c r="L892" s="34" t="n"/>
    </row>
    <row r="893" ht="15.75" customHeight="1" s="182">
      <c r="A893" s="34" t="n"/>
      <c r="I893" s="34" t="n"/>
      <c r="J893" s="34" t="n"/>
      <c r="K893" s="34" t="n"/>
      <c r="L893" s="34" t="n"/>
    </row>
    <row r="894" ht="15.75" customHeight="1" s="182">
      <c r="A894" s="34" t="n"/>
      <c r="I894" s="34" t="n"/>
      <c r="J894" s="34" t="n"/>
      <c r="K894" s="34" t="n"/>
      <c r="L894" s="34" t="n"/>
    </row>
    <row r="895" ht="15.75" customHeight="1" s="182">
      <c r="A895" s="34" t="n"/>
      <c r="I895" s="34" t="n"/>
      <c r="J895" s="34" t="n"/>
      <c r="K895" s="34" t="n"/>
      <c r="L895" s="34" t="n"/>
    </row>
    <row r="896" ht="15.75" customHeight="1" s="182">
      <c r="A896" s="34" t="n"/>
      <c r="I896" s="34" t="n"/>
      <c r="J896" s="34" t="n"/>
      <c r="K896" s="34" t="n"/>
      <c r="L896" s="34" t="n"/>
    </row>
    <row r="897" ht="15.75" customHeight="1" s="182">
      <c r="A897" s="34" t="n"/>
      <c r="I897" s="34" t="n"/>
      <c r="J897" s="34" t="n"/>
      <c r="K897" s="34" t="n"/>
      <c r="L897" s="34" t="n"/>
    </row>
    <row r="898" ht="15.75" customHeight="1" s="182">
      <c r="A898" s="34" t="n"/>
      <c r="I898" s="34" t="n"/>
      <c r="J898" s="34" t="n"/>
      <c r="K898" s="34" t="n"/>
      <c r="L898" s="34" t="n"/>
    </row>
    <row r="899" ht="15.75" customHeight="1" s="182">
      <c r="A899" s="34" t="n"/>
      <c r="I899" s="34" t="n"/>
      <c r="J899" s="34" t="n"/>
      <c r="K899" s="34" t="n"/>
      <c r="L899" s="34" t="n"/>
    </row>
    <row r="900" ht="15.75" customHeight="1" s="182">
      <c r="A900" s="34" t="n"/>
      <c r="I900" s="34" t="n"/>
      <c r="J900" s="34" t="n"/>
      <c r="K900" s="34" t="n"/>
      <c r="L900" s="34" t="n"/>
    </row>
    <row r="901" ht="15.75" customHeight="1" s="182">
      <c r="A901" s="34" t="n"/>
      <c r="I901" s="34" t="n"/>
      <c r="J901" s="34" t="n"/>
      <c r="K901" s="34" t="n"/>
      <c r="L901" s="34" t="n"/>
    </row>
    <row r="902" ht="15.75" customHeight="1" s="182">
      <c r="A902" s="34" t="n"/>
      <c r="I902" s="34" t="n"/>
      <c r="J902" s="34" t="n"/>
      <c r="K902" s="34" t="n"/>
      <c r="L902" s="34" t="n"/>
    </row>
    <row r="903" ht="15.75" customHeight="1" s="182">
      <c r="A903" s="34" t="n"/>
      <c r="I903" s="34" t="n"/>
      <c r="J903" s="34" t="n"/>
      <c r="K903" s="34" t="n"/>
      <c r="L903" s="34" t="n"/>
    </row>
    <row r="904" ht="15.75" customHeight="1" s="182">
      <c r="A904" s="34" t="n"/>
      <c r="I904" s="34" t="n"/>
      <c r="J904" s="34" t="n"/>
      <c r="K904" s="34" t="n"/>
      <c r="L904" s="34" t="n"/>
    </row>
    <row r="905" ht="15.75" customHeight="1" s="182">
      <c r="A905" s="34" t="n"/>
      <c r="I905" s="34" t="n"/>
      <c r="J905" s="34" t="n"/>
      <c r="K905" s="34" t="n"/>
      <c r="L905" s="34" t="n"/>
    </row>
    <row r="906" ht="15.75" customHeight="1" s="182">
      <c r="A906" s="34" t="n"/>
      <c r="I906" s="34" t="n"/>
      <c r="J906" s="34" t="n"/>
      <c r="K906" s="34" t="n"/>
      <c r="L906" s="34" t="n"/>
    </row>
    <row r="907" ht="15.75" customHeight="1" s="182">
      <c r="A907" s="34" t="n"/>
      <c r="I907" s="34" t="n"/>
      <c r="J907" s="34" t="n"/>
      <c r="K907" s="34" t="n"/>
      <c r="L907" s="34" t="n"/>
    </row>
    <row r="908" ht="15.75" customHeight="1" s="182">
      <c r="A908" s="34" t="n"/>
      <c r="I908" s="34" t="n"/>
      <c r="J908" s="34" t="n"/>
      <c r="K908" s="34" t="n"/>
      <c r="L908" s="34" t="n"/>
    </row>
    <row r="909" ht="15.75" customHeight="1" s="182">
      <c r="A909" s="34" t="n"/>
      <c r="I909" s="34" t="n"/>
      <c r="J909" s="34" t="n"/>
      <c r="K909" s="34" t="n"/>
      <c r="L909" s="34" t="n"/>
    </row>
    <row r="910" ht="15.75" customHeight="1" s="182">
      <c r="A910" s="34" t="n"/>
      <c r="I910" s="34" t="n"/>
      <c r="J910" s="34" t="n"/>
      <c r="K910" s="34" t="n"/>
      <c r="L910" s="34" t="n"/>
    </row>
    <row r="911" ht="15.75" customHeight="1" s="182">
      <c r="A911" s="34" t="n"/>
      <c r="I911" s="34" t="n"/>
      <c r="J911" s="34" t="n"/>
      <c r="K911" s="34" t="n"/>
      <c r="L911" s="34" t="n"/>
    </row>
    <row r="912" ht="15.75" customHeight="1" s="182">
      <c r="A912" s="34" t="n"/>
      <c r="I912" s="34" t="n"/>
      <c r="J912" s="34" t="n"/>
      <c r="K912" s="34" t="n"/>
      <c r="L912" s="34" t="n"/>
    </row>
    <row r="913" ht="15.75" customHeight="1" s="182">
      <c r="A913" s="34" t="n"/>
      <c r="I913" s="34" t="n"/>
      <c r="J913" s="34" t="n"/>
      <c r="K913" s="34" t="n"/>
      <c r="L913" s="34" t="n"/>
    </row>
    <row r="914" ht="15.75" customHeight="1" s="182">
      <c r="A914" s="34" t="n"/>
      <c r="I914" s="34" t="n"/>
      <c r="J914" s="34" t="n"/>
      <c r="K914" s="34" t="n"/>
      <c r="L914" s="34" t="n"/>
    </row>
    <row r="915" ht="15.75" customHeight="1" s="182">
      <c r="A915" s="34" t="n"/>
      <c r="I915" s="34" t="n"/>
      <c r="J915" s="34" t="n"/>
      <c r="K915" s="34" t="n"/>
      <c r="L915" s="34" t="n"/>
    </row>
    <row r="916" ht="15.75" customHeight="1" s="182">
      <c r="A916" s="34" t="n"/>
      <c r="I916" s="34" t="n"/>
      <c r="J916" s="34" t="n"/>
      <c r="K916" s="34" t="n"/>
      <c r="L916" s="34" t="n"/>
    </row>
    <row r="917" ht="15.75" customHeight="1" s="182">
      <c r="A917" s="34" t="n"/>
      <c r="I917" s="34" t="n"/>
      <c r="J917" s="34" t="n"/>
      <c r="K917" s="34" t="n"/>
      <c r="L917" s="34" t="n"/>
    </row>
    <row r="918" ht="15.75" customHeight="1" s="182">
      <c r="A918" s="34" t="n"/>
      <c r="I918" s="34" t="n"/>
      <c r="J918" s="34" t="n"/>
      <c r="K918" s="34" t="n"/>
      <c r="L918" s="34" t="n"/>
    </row>
    <row r="919" ht="15.75" customHeight="1" s="182">
      <c r="A919" s="34" t="n"/>
      <c r="I919" s="34" t="n"/>
      <c r="J919" s="34" t="n"/>
      <c r="K919" s="34" t="n"/>
      <c r="L919" s="34" t="n"/>
    </row>
    <row r="920" ht="15.75" customHeight="1" s="182">
      <c r="A920" s="34" t="n"/>
      <c r="I920" s="34" t="n"/>
      <c r="J920" s="34" t="n"/>
      <c r="K920" s="34" t="n"/>
      <c r="L920" s="34" t="n"/>
    </row>
    <row r="921" ht="15.75" customHeight="1" s="182">
      <c r="A921" s="34" t="n"/>
      <c r="I921" s="34" t="n"/>
      <c r="J921" s="34" t="n"/>
      <c r="K921" s="34" t="n"/>
      <c r="L921" s="34" t="n"/>
    </row>
    <row r="922" ht="15.75" customHeight="1" s="182">
      <c r="A922" s="34" t="n"/>
      <c r="I922" s="34" t="n"/>
      <c r="J922" s="34" t="n"/>
      <c r="K922" s="34" t="n"/>
      <c r="L922" s="34" t="n"/>
    </row>
    <row r="923" ht="15.75" customHeight="1" s="182">
      <c r="A923" s="34" t="n"/>
      <c r="I923" s="34" t="n"/>
      <c r="J923" s="34" t="n"/>
      <c r="K923" s="34" t="n"/>
      <c r="L923" s="34" t="n"/>
    </row>
    <row r="924" ht="15.75" customHeight="1" s="182">
      <c r="A924" s="34" t="n"/>
      <c r="I924" s="34" t="n"/>
      <c r="J924" s="34" t="n"/>
      <c r="K924" s="34" t="n"/>
      <c r="L924" s="34" t="n"/>
    </row>
    <row r="925" ht="15.75" customHeight="1" s="182">
      <c r="A925" s="34" t="n"/>
      <c r="I925" s="34" t="n"/>
      <c r="J925" s="34" t="n"/>
      <c r="K925" s="34" t="n"/>
      <c r="L925" s="34" t="n"/>
    </row>
    <row r="926" ht="15.75" customHeight="1" s="182">
      <c r="A926" s="34" t="n"/>
      <c r="I926" s="34" t="n"/>
      <c r="J926" s="34" t="n"/>
      <c r="K926" s="34" t="n"/>
      <c r="L926" s="34" t="n"/>
    </row>
    <row r="927" ht="15.75" customHeight="1" s="182">
      <c r="A927" s="34" t="n"/>
      <c r="I927" s="34" t="n"/>
      <c r="J927" s="34" t="n"/>
      <c r="K927" s="34" t="n"/>
      <c r="L927" s="34" t="n"/>
    </row>
    <row r="928" ht="15.75" customHeight="1" s="182">
      <c r="A928" s="34" t="n"/>
      <c r="I928" s="34" t="n"/>
      <c r="J928" s="34" t="n"/>
      <c r="K928" s="34" t="n"/>
      <c r="L928" s="34" t="n"/>
    </row>
    <row r="929" ht="15.75" customHeight="1" s="182">
      <c r="A929" s="34" t="n"/>
      <c r="I929" s="34" t="n"/>
      <c r="J929" s="34" t="n"/>
      <c r="K929" s="34" t="n"/>
      <c r="L929" s="34" t="n"/>
    </row>
    <row r="930" ht="15.75" customHeight="1" s="182">
      <c r="A930" s="34" t="n"/>
      <c r="I930" s="34" t="n"/>
      <c r="J930" s="34" t="n"/>
      <c r="K930" s="34" t="n"/>
      <c r="L930" s="34" t="n"/>
    </row>
    <row r="931" ht="15.75" customHeight="1" s="182">
      <c r="A931" s="34" t="n"/>
      <c r="I931" s="34" t="n"/>
      <c r="J931" s="34" t="n"/>
      <c r="K931" s="34" t="n"/>
      <c r="L931" s="34" t="n"/>
    </row>
    <row r="932" ht="15.75" customHeight="1" s="182">
      <c r="A932" s="34" t="n"/>
      <c r="I932" s="34" t="n"/>
      <c r="J932" s="34" t="n"/>
      <c r="K932" s="34" t="n"/>
      <c r="L932" s="34" t="n"/>
    </row>
    <row r="933" ht="15.75" customHeight="1" s="182">
      <c r="A933" s="34" t="n"/>
      <c r="I933" s="34" t="n"/>
      <c r="J933" s="34" t="n"/>
      <c r="K933" s="34" t="n"/>
      <c r="L933" s="34" t="n"/>
    </row>
    <row r="934" ht="15.75" customHeight="1" s="182">
      <c r="A934" s="34" t="n"/>
      <c r="I934" s="34" t="n"/>
      <c r="J934" s="34" t="n"/>
      <c r="K934" s="34" t="n"/>
      <c r="L934" s="34" t="n"/>
    </row>
    <row r="935" ht="15.75" customHeight="1" s="182">
      <c r="A935" s="34" t="n"/>
      <c r="I935" s="34" t="n"/>
      <c r="J935" s="34" t="n"/>
      <c r="K935" s="34" t="n"/>
      <c r="L935" s="34" t="n"/>
    </row>
    <row r="936" ht="15.75" customHeight="1" s="182">
      <c r="A936" s="34" t="n"/>
      <c r="I936" s="34" t="n"/>
      <c r="J936" s="34" t="n"/>
      <c r="K936" s="34" t="n"/>
      <c r="L936" s="34" t="n"/>
    </row>
    <row r="937" ht="15.75" customHeight="1" s="182">
      <c r="A937" s="34" t="n"/>
      <c r="I937" s="34" t="n"/>
      <c r="J937" s="34" t="n"/>
      <c r="K937" s="34" t="n"/>
      <c r="L937" s="34" t="n"/>
    </row>
    <row r="938" ht="15.75" customHeight="1" s="182">
      <c r="A938" s="34" t="n"/>
      <c r="I938" s="34" t="n"/>
      <c r="J938" s="34" t="n"/>
      <c r="K938" s="34" t="n"/>
      <c r="L938" s="34" t="n"/>
    </row>
    <row r="939" ht="15.75" customHeight="1" s="182">
      <c r="A939" s="34" t="n"/>
      <c r="I939" s="34" t="n"/>
      <c r="J939" s="34" t="n"/>
      <c r="K939" s="34" t="n"/>
      <c r="L939" s="34" t="n"/>
    </row>
    <row r="940" ht="15.75" customHeight="1" s="182">
      <c r="A940" s="34" t="n"/>
      <c r="I940" s="34" t="n"/>
      <c r="J940" s="34" t="n"/>
      <c r="K940" s="34" t="n"/>
      <c r="L940" s="34" t="n"/>
    </row>
    <row r="941" ht="15.75" customHeight="1" s="182">
      <c r="A941" s="34" t="n"/>
      <c r="I941" s="34" t="n"/>
      <c r="J941" s="34" t="n"/>
      <c r="K941" s="34" t="n"/>
      <c r="L941" s="34" t="n"/>
    </row>
    <row r="942" ht="15.75" customHeight="1" s="182">
      <c r="A942" s="34" t="n"/>
      <c r="I942" s="34" t="n"/>
      <c r="J942" s="34" t="n"/>
      <c r="K942" s="34" t="n"/>
      <c r="L942" s="34" t="n"/>
    </row>
    <row r="943" ht="15.75" customHeight="1" s="182">
      <c r="A943" s="34" t="n"/>
      <c r="I943" s="34" t="n"/>
      <c r="J943" s="34" t="n"/>
      <c r="K943" s="34" t="n"/>
      <c r="L943" s="34" t="n"/>
    </row>
    <row r="944" ht="15.75" customHeight="1" s="182">
      <c r="A944" s="34" t="n"/>
      <c r="I944" s="34" t="n"/>
      <c r="J944" s="34" t="n"/>
      <c r="K944" s="34" t="n"/>
      <c r="L944" s="34" t="n"/>
    </row>
    <row r="945" ht="15.75" customHeight="1" s="182">
      <c r="A945" s="34" t="n"/>
      <c r="I945" s="34" t="n"/>
      <c r="J945" s="34" t="n"/>
      <c r="K945" s="34" t="n"/>
      <c r="L945" s="34" t="n"/>
    </row>
    <row r="946" ht="15.75" customHeight="1" s="182">
      <c r="A946" s="34" t="n"/>
      <c r="I946" s="34" t="n"/>
      <c r="J946" s="34" t="n"/>
      <c r="K946" s="34" t="n"/>
      <c r="L946" s="34" t="n"/>
    </row>
    <row r="947" ht="15.75" customHeight="1" s="182">
      <c r="A947" s="34" t="n"/>
      <c r="I947" s="34" t="n"/>
      <c r="J947" s="34" t="n"/>
      <c r="K947" s="34" t="n"/>
      <c r="L947" s="34" t="n"/>
    </row>
    <row r="948" ht="15.75" customHeight="1" s="182">
      <c r="A948" s="34" t="n"/>
      <c r="I948" s="34" t="n"/>
      <c r="J948" s="34" t="n"/>
      <c r="K948" s="34" t="n"/>
      <c r="L948" s="34" t="n"/>
    </row>
    <row r="949" ht="15.75" customHeight="1" s="182">
      <c r="A949" s="34" t="n"/>
      <c r="I949" s="34" t="n"/>
      <c r="J949" s="34" t="n"/>
      <c r="K949" s="34" t="n"/>
      <c r="L949" s="34" t="n"/>
    </row>
    <row r="950" ht="15.75" customHeight="1" s="182">
      <c r="A950" s="34" t="n"/>
      <c r="I950" s="34" t="n"/>
      <c r="J950" s="34" t="n"/>
      <c r="K950" s="34" t="n"/>
      <c r="L950" s="34" t="n"/>
    </row>
    <row r="951" ht="15.75" customHeight="1" s="182">
      <c r="A951" s="34" t="n"/>
      <c r="I951" s="34" t="n"/>
      <c r="J951" s="34" t="n"/>
      <c r="K951" s="34" t="n"/>
      <c r="L951" s="34" t="n"/>
    </row>
    <row r="952" ht="15.75" customHeight="1" s="182">
      <c r="A952" s="34" t="n"/>
      <c r="I952" s="34" t="n"/>
      <c r="J952" s="34" t="n"/>
      <c r="K952" s="34" t="n"/>
      <c r="L952" s="34" t="n"/>
    </row>
    <row r="953" ht="15.75" customHeight="1" s="182">
      <c r="A953" s="34" t="n"/>
      <c r="I953" s="34" t="n"/>
      <c r="J953" s="34" t="n"/>
      <c r="K953" s="34" t="n"/>
      <c r="L953" s="34" t="n"/>
    </row>
    <row r="954" ht="15.75" customHeight="1" s="182">
      <c r="A954" s="34" t="n"/>
      <c r="I954" s="34" t="n"/>
      <c r="J954" s="34" t="n"/>
      <c r="K954" s="34" t="n"/>
      <c r="L954" s="34" t="n"/>
    </row>
    <row r="955" ht="15.75" customHeight="1" s="182">
      <c r="A955" s="34" t="n"/>
      <c r="I955" s="34" t="n"/>
      <c r="J955" s="34" t="n"/>
      <c r="K955" s="34" t="n"/>
      <c r="L955" s="34" t="n"/>
    </row>
    <row r="956" ht="15.75" customHeight="1" s="182">
      <c r="A956" s="34" t="n"/>
      <c r="I956" s="34" t="n"/>
      <c r="J956" s="34" t="n"/>
      <c r="K956" s="34" t="n"/>
      <c r="L956" s="34" t="n"/>
    </row>
    <row r="957" ht="15.75" customHeight="1" s="182">
      <c r="A957" s="34" t="n"/>
      <c r="I957" s="34" t="n"/>
      <c r="J957" s="34" t="n"/>
      <c r="K957" s="34" t="n"/>
      <c r="L957" s="34" t="n"/>
    </row>
    <row r="958" ht="15.75" customHeight="1" s="182">
      <c r="A958" s="34" t="n"/>
      <c r="I958" s="34" t="n"/>
      <c r="J958" s="34" t="n"/>
      <c r="K958" s="34" t="n"/>
      <c r="L958" s="34" t="n"/>
    </row>
    <row r="959" ht="15.75" customHeight="1" s="182">
      <c r="A959" s="34" t="n"/>
      <c r="I959" s="34" t="n"/>
      <c r="J959" s="34" t="n"/>
      <c r="K959" s="34" t="n"/>
      <c r="L959" s="34" t="n"/>
    </row>
    <row r="960" ht="15.75" customHeight="1" s="182">
      <c r="A960" s="34" t="n"/>
      <c r="I960" s="34" t="n"/>
      <c r="J960" s="34" t="n"/>
      <c r="K960" s="34" t="n"/>
      <c r="L960" s="34" t="n"/>
    </row>
    <row r="961" ht="15.75" customHeight="1" s="182">
      <c r="A961" s="34" t="n"/>
      <c r="I961" s="34" t="n"/>
      <c r="J961" s="34" t="n"/>
      <c r="K961" s="34" t="n"/>
      <c r="L961" s="34" t="n"/>
    </row>
    <row r="962" ht="15.75" customHeight="1" s="182">
      <c r="A962" s="34" t="n"/>
      <c r="I962" s="34" t="n"/>
      <c r="J962" s="34" t="n"/>
      <c r="K962" s="34" t="n"/>
      <c r="L962" s="34" t="n"/>
    </row>
    <row r="963" ht="15.75" customHeight="1" s="182">
      <c r="A963" s="34" t="n"/>
      <c r="I963" s="34" t="n"/>
      <c r="J963" s="34" t="n"/>
      <c r="K963" s="34" t="n"/>
      <c r="L963" s="34" t="n"/>
    </row>
    <row r="964" ht="15.75" customHeight="1" s="182">
      <c r="A964" s="34" t="n"/>
      <c r="I964" s="34" t="n"/>
      <c r="J964" s="34" t="n"/>
      <c r="K964" s="34" t="n"/>
      <c r="L964" s="34" t="n"/>
    </row>
    <row r="965" ht="15.75" customHeight="1" s="182">
      <c r="A965" s="34" t="n"/>
      <c r="I965" s="34" t="n"/>
      <c r="J965" s="34" t="n"/>
      <c r="K965" s="34" t="n"/>
      <c r="L965" s="34" t="n"/>
    </row>
    <row r="966" ht="15.75" customHeight="1" s="182">
      <c r="A966" s="34" t="n"/>
      <c r="I966" s="34" t="n"/>
      <c r="J966" s="34" t="n"/>
      <c r="K966" s="34" t="n"/>
      <c r="L966" s="34" t="n"/>
    </row>
    <row r="967" ht="15.75" customHeight="1" s="182">
      <c r="A967" s="34" t="n"/>
      <c r="I967" s="34" t="n"/>
      <c r="J967" s="34" t="n"/>
      <c r="K967" s="34" t="n"/>
      <c r="L967" s="34" t="n"/>
    </row>
    <row r="968" ht="15.75" customHeight="1" s="182">
      <c r="A968" s="34" t="n"/>
      <c r="I968" s="34" t="n"/>
      <c r="J968" s="34" t="n"/>
      <c r="K968" s="34" t="n"/>
      <c r="L968" s="34" t="n"/>
    </row>
    <row r="969" ht="15.75" customHeight="1" s="182">
      <c r="A969" s="34" t="n"/>
      <c r="I969" s="34" t="n"/>
      <c r="J969" s="34" t="n"/>
      <c r="K969" s="34" t="n"/>
      <c r="L969" s="34" t="n"/>
    </row>
    <row r="970" ht="15.75" customHeight="1" s="182">
      <c r="A970" s="34" t="n"/>
      <c r="I970" s="34" t="n"/>
      <c r="J970" s="34" t="n"/>
      <c r="K970" s="34" t="n"/>
      <c r="L970" s="34" t="n"/>
    </row>
    <row r="971" ht="15.75" customHeight="1" s="182">
      <c r="A971" s="34" t="n"/>
      <c r="I971" s="34" t="n"/>
      <c r="J971" s="34" t="n"/>
      <c r="K971" s="34" t="n"/>
      <c r="L971" s="34" t="n"/>
    </row>
    <row r="972" ht="15.75" customHeight="1" s="182">
      <c r="A972" s="34" t="n"/>
      <c r="I972" s="34" t="n"/>
      <c r="J972" s="34" t="n"/>
      <c r="K972" s="34" t="n"/>
      <c r="L972" s="34" t="n"/>
    </row>
    <row r="973" ht="15.75" customHeight="1" s="182">
      <c r="A973" s="34" t="n"/>
      <c r="I973" s="34" t="n"/>
      <c r="J973" s="34" t="n"/>
      <c r="K973" s="34" t="n"/>
      <c r="L973" s="34" t="n"/>
    </row>
    <row r="974" ht="15.75" customHeight="1" s="182">
      <c r="A974" s="34" t="n"/>
      <c r="I974" s="34" t="n"/>
      <c r="J974" s="34" t="n"/>
      <c r="K974" s="34" t="n"/>
      <c r="L974" s="34" t="n"/>
    </row>
    <row r="975" ht="15.75" customHeight="1" s="182">
      <c r="A975" s="34" t="n"/>
      <c r="I975" s="34" t="n"/>
      <c r="J975" s="34" t="n"/>
      <c r="K975" s="34" t="n"/>
      <c r="L975" s="34" t="n"/>
    </row>
    <row r="976" ht="15.75" customHeight="1" s="182">
      <c r="A976" s="34" t="n"/>
      <c r="I976" s="34" t="n"/>
      <c r="J976" s="34" t="n"/>
      <c r="K976" s="34" t="n"/>
      <c r="L976" s="34" t="n"/>
    </row>
    <row r="977" ht="15.75" customHeight="1" s="182">
      <c r="A977" s="34" t="n"/>
      <c r="I977" s="34" t="n"/>
      <c r="J977" s="34" t="n"/>
      <c r="K977" s="34" t="n"/>
      <c r="L977" s="34" t="n"/>
    </row>
    <row r="978" ht="15.75" customHeight="1" s="182">
      <c r="A978" s="34" t="n"/>
      <c r="I978" s="34" t="n"/>
      <c r="J978" s="34" t="n"/>
      <c r="K978" s="34" t="n"/>
      <c r="L978" s="34" t="n"/>
    </row>
    <row r="979" ht="15.75" customHeight="1" s="182">
      <c r="A979" s="34" t="n"/>
      <c r="I979" s="34" t="n"/>
      <c r="J979" s="34" t="n"/>
      <c r="K979" s="34" t="n"/>
      <c r="L979" s="34" t="n"/>
    </row>
    <row r="980" ht="15.75" customHeight="1" s="182">
      <c r="A980" s="34" t="n"/>
      <c r="I980" s="34" t="n"/>
      <c r="J980" s="34" t="n"/>
      <c r="K980" s="34" t="n"/>
      <c r="L980" s="34" t="n"/>
    </row>
    <row r="981" ht="15.75" customHeight="1" s="182">
      <c r="A981" s="34" t="n"/>
      <c r="I981" s="34" t="n"/>
      <c r="J981" s="34" t="n"/>
      <c r="K981" s="34" t="n"/>
      <c r="L981" s="34" t="n"/>
    </row>
    <row r="982" ht="15.75" customHeight="1" s="182">
      <c r="A982" s="34" t="n"/>
      <c r="I982" s="34" t="n"/>
      <c r="J982" s="34" t="n"/>
      <c r="K982" s="34" t="n"/>
      <c r="L982" s="34" t="n"/>
    </row>
    <row r="983" ht="15.75" customHeight="1" s="182">
      <c r="A983" s="34" t="n"/>
      <c r="I983" s="34" t="n"/>
      <c r="J983" s="34" t="n"/>
      <c r="K983" s="34" t="n"/>
      <c r="L983" s="34" t="n"/>
    </row>
    <row r="984" ht="15.75" customHeight="1" s="182">
      <c r="A984" s="34" t="n"/>
      <c r="I984" s="34" t="n"/>
      <c r="J984" s="34" t="n"/>
      <c r="K984" s="34" t="n"/>
      <c r="L984" s="34" t="n"/>
    </row>
    <row r="985" ht="15.75" customHeight="1" s="182">
      <c r="A985" s="34" t="n"/>
      <c r="I985" s="34" t="n"/>
      <c r="J985" s="34" t="n"/>
      <c r="K985" s="34" t="n"/>
      <c r="L985" s="34" t="n"/>
    </row>
    <row r="986" ht="15.75" customHeight="1" s="182">
      <c r="A986" s="34" t="n"/>
      <c r="I986" s="34" t="n"/>
      <c r="J986" s="34" t="n"/>
      <c r="K986" s="34" t="n"/>
      <c r="L986" s="34" t="n"/>
    </row>
    <row r="987" ht="15.75" customHeight="1" s="182">
      <c r="A987" s="34" t="n"/>
      <c r="I987" s="34" t="n"/>
      <c r="J987" s="34" t="n"/>
      <c r="K987" s="34" t="n"/>
      <c r="L987" s="34" t="n"/>
    </row>
    <row r="988" ht="15.75" customHeight="1" s="182">
      <c r="A988" s="34" t="n"/>
      <c r="I988" s="34" t="n"/>
      <c r="J988" s="34" t="n"/>
      <c r="K988" s="34" t="n"/>
      <c r="L988" s="34" t="n"/>
    </row>
    <row r="989" ht="15.75" customHeight="1" s="182">
      <c r="A989" s="34" t="n"/>
      <c r="I989" s="34" t="n"/>
      <c r="J989" s="34" t="n"/>
      <c r="K989" s="34" t="n"/>
      <c r="L989" s="34" t="n"/>
    </row>
    <row r="990" ht="15.75" customHeight="1" s="182">
      <c r="A990" s="34" t="n"/>
      <c r="I990" s="34" t="n"/>
      <c r="J990" s="34" t="n"/>
      <c r="K990" s="34" t="n"/>
      <c r="L990" s="34" t="n"/>
    </row>
    <row r="991" ht="15.75" customHeight="1" s="182">
      <c r="A991" s="34" t="n"/>
      <c r="I991" s="34" t="n"/>
      <c r="J991" s="34" t="n"/>
      <c r="K991" s="34" t="n"/>
      <c r="L991" s="34" t="n"/>
    </row>
    <row r="992" ht="15.75" customHeight="1" s="182">
      <c r="A992" s="34" t="n"/>
      <c r="I992" s="34" t="n"/>
      <c r="J992" s="34" t="n"/>
      <c r="K992" s="34" t="n"/>
      <c r="L992" s="34" t="n"/>
    </row>
    <row r="993" ht="15.75" customHeight="1" s="182">
      <c r="A993" s="34" t="n"/>
      <c r="I993" s="34" t="n"/>
      <c r="J993" s="34" t="n"/>
      <c r="K993" s="34" t="n"/>
      <c r="L993" s="34" t="n"/>
    </row>
    <row r="994" ht="15.75" customHeight="1" s="182">
      <c r="A994" s="34" t="n"/>
      <c r="I994" s="34" t="n"/>
      <c r="J994" s="34" t="n"/>
      <c r="K994" s="34" t="n"/>
      <c r="L994" s="34" t="n"/>
    </row>
    <row r="995" ht="15.75" customHeight="1" s="182">
      <c r="A995" s="34" t="n"/>
      <c r="I995" s="34" t="n"/>
      <c r="J995" s="34" t="n"/>
      <c r="K995" s="34" t="n"/>
      <c r="L995" s="34" t="n"/>
    </row>
    <row r="996" ht="15.75" customHeight="1" s="182">
      <c r="A996" s="34" t="n"/>
      <c r="I996" s="34" t="n"/>
      <c r="J996" s="34" t="n"/>
      <c r="K996" s="34" t="n"/>
      <c r="L996" s="34" t="n"/>
    </row>
    <row r="997" ht="15.75" customHeight="1" s="182">
      <c r="A997" s="34" t="n"/>
      <c r="I997" s="34" t="n"/>
      <c r="J997" s="34" t="n"/>
      <c r="K997" s="34" t="n"/>
      <c r="L997" s="34" t="n"/>
    </row>
    <row r="998" ht="15.75" customHeight="1" s="182">
      <c r="A998" s="34" t="n"/>
      <c r="I998" s="34" t="n"/>
      <c r="J998" s="34" t="n"/>
      <c r="K998" s="34" t="n"/>
      <c r="L998" s="34" t="n"/>
    </row>
    <row r="999" ht="15.75" customHeight="1" s="182">
      <c r="A999" s="34" t="n"/>
      <c r="I999" s="34" t="n"/>
      <c r="J999" s="34" t="n"/>
      <c r="K999" s="34" t="n"/>
      <c r="L999" s="34" t="n"/>
    </row>
    <row r="1000" ht="15.75" customHeight="1" s="182">
      <c r="A1000" s="34" t="n"/>
      <c r="I1000" s="34" t="n"/>
      <c r="J1000" s="34" t="n"/>
      <c r="K1000" s="34" t="n"/>
      <c r="L1000" s="34" t="n"/>
    </row>
  </sheetData>
  <mergeCells count="6">
    <mergeCell ref="A1:C1"/>
    <mergeCell ref="A14:C14"/>
    <mergeCell ref="A23:E23"/>
    <mergeCell ref="A4:C4"/>
    <mergeCell ref="A22:E22"/>
    <mergeCell ref="A2:C2"/>
  </mergeCells>
  <dataValidations count="2">
    <dataValidation sqref="B16" showDropDown="0" showInputMessage="0" showErrorMessage="0" allowBlank="1" type="list">
      <formula1>Besatzung!$B$11:$B$22</formula1>
    </dataValidation>
    <dataValidation sqref="B19" showDropDown="0" showInputMessage="0" showErrorMessage="0" allowBlank="1" type="list">
      <formula1>Besatzung!$K$11:$K$23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114884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7" customWidth="1" style="182" min="1" max="1"/>
    <col width="20" customWidth="1" style="182" min="2" max="2"/>
    <col width="13" customWidth="1" style="182" min="3" max="4"/>
    <col width="9" customWidth="1" style="182" min="5" max="5"/>
    <col width="12" customWidth="1" style="182" min="6" max="7"/>
    <col width="22" customWidth="1" style="182" min="8" max="8"/>
    <col width="4" customWidth="1" style="182" min="9" max="9"/>
    <col width="8.710000000000001" customWidth="1" style="182" min="10" max="11"/>
  </cols>
  <sheetData>
    <row r="1" ht="49.5" customHeight="1" s="182">
      <c r="A1" s="193" t="inlineStr">
        <is>
          <t>⚓  Besatzung &amp; Törn-Daten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" customHeight="1" s="18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5.5" customHeight="1" s="182">
      <c r="A3" s="195" t="inlineStr">
        <is>
          <t xml:space="preserve">  Törn-Informationen</t>
        </is>
      </c>
      <c r="B3" s="196" t="n"/>
      <c r="C3" s="196" t="n"/>
      <c r="D3" s="196" t="n"/>
      <c r="E3" s="196" t="n"/>
      <c r="F3" s="196" t="n"/>
      <c r="G3" s="196" t="n"/>
      <c r="H3" s="196" t="n"/>
      <c r="I3" s="196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7.75" customHeight="1" s="182">
      <c r="A4" s="44" t="inlineStr">
        <is>
          <t>Törn-Name:</t>
        </is>
      </c>
      <c r="B4" s="197" t="inlineStr">
        <is>
          <t>Mein Törn</t>
        </is>
      </c>
      <c r="C4" s="198" t="n"/>
      <c r="D4" s="198" t="n"/>
      <c r="E4" s="198" t="n"/>
      <c r="F4" s="199" t="n"/>
      <c r="G4" s="200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7.75" customHeight="1" s="182">
      <c r="A5" s="44" t="inlineStr">
        <is>
          <t>Start-Datum:</t>
        </is>
      </c>
      <c r="B5" s="201" t="n">
        <v>46153</v>
      </c>
      <c r="C5" s="198" t="n"/>
      <c r="D5" s="198" t="n"/>
      <c r="E5" s="198" t="n"/>
      <c r="F5" s="199" t="n"/>
      <c r="G5" s="200" t="inlineStr">
        <is>
          <t>1. Törntag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7.75" customHeight="1" s="182">
      <c r="A6" s="44" t="inlineStr">
        <is>
          <t>End-Datum:</t>
        </is>
      </c>
      <c r="B6" s="201" t="n">
        <v>46160</v>
      </c>
      <c r="C6" s="198" t="n"/>
      <c r="D6" s="198" t="n"/>
      <c r="E6" s="198" t="n"/>
      <c r="F6" s="199" t="n"/>
      <c r="G6" s="200" t="inlineStr">
        <is>
          <t>Letzter Törntag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7.75" customHeight="1" s="182">
      <c r="A7" s="44" t="inlineStr">
        <is>
          <t>Gesamttage:</t>
        </is>
      </c>
      <c r="B7" s="202">
        <f>IFERROR(B6-B5+1,0)</f>
        <v/>
      </c>
      <c r="C7" s="198" t="n"/>
      <c r="D7" s="198" t="n"/>
      <c r="E7" s="198" t="n"/>
      <c r="F7" s="199" t="n"/>
      <c r="G7" s="200" t="inlineStr">
        <is>
          <t>Automatisch berechnet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9.75" customHeight="1" s="182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5.5" customHeight="1" s="182">
      <c r="A9" s="195" t="inlineStr">
        <is>
          <t xml:space="preserve">  Besatzung  (bis zu 12 Personen)</t>
        </is>
      </c>
      <c r="B9" s="196" t="n"/>
      <c r="C9" s="196" t="n"/>
      <c r="D9" s="196" t="n"/>
      <c r="E9" s="196" t="n"/>
      <c r="F9" s="196" t="n"/>
      <c r="G9" s="196" t="n"/>
      <c r="H9" s="196" t="n"/>
      <c r="I9" s="196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7.75" customHeight="1" s="182">
      <c r="A10" s="51" t="inlineStr">
        <is>
          <t>Nr.</t>
        </is>
      </c>
      <c r="B10" s="52" t="inlineStr">
        <is>
          <t>Name</t>
        </is>
      </c>
      <c r="C10" s="51" t="inlineStr">
        <is>
          <t>An Bord ab</t>
        </is>
      </c>
      <c r="D10" s="51" t="inlineStr">
        <is>
          <t>An Bord bis</t>
        </is>
      </c>
      <c r="E10" s="51" t="inlineStr">
        <is>
          <t>Tage</t>
        </is>
      </c>
      <c r="F10" s="51" t="inlineStr">
        <is>
          <t>Alkohol? (x)</t>
        </is>
      </c>
      <c r="G10" s="51" t="inlineStr">
        <is>
          <t>Zeitanteil %</t>
        </is>
      </c>
      <c r="H10" s="52" t="inlineStr">
        <is>
          <t>Hinweis</t>
        </is>
      </c>
      <c r="I10" s="53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5.5" customHeight="1" s="182">
      <c r="A11" s="54" t="inlineStr">
        <is>
          <t>P1</t>
        </is>
      </c>
      <c r="B11" s="55" t="inlineStr">
        <is>
          <t>Skipper</t>
        </is>
      </c>
      <c r="C11" s="56">
        <f>$B$5</f>
        <v/>
      </c>
      <c r="D11" s="56">
        <f>$B$6</f>
        <v/>
      </c>
      <c r="E11" s="57">
        <f>IFERROR(IF(B11="","",MIN(IF(D11="",Besatzung!$B$6,D11),Besatzung!$B$6)-MAX(IF(C11="",Besatzung!$B$5,C11),Besatzung!$B$5)+1),"")</f>
        <v/>
      </c>
      <c r="F11" s="58" t="n"/>
      <c r="G11" s="59">
        <f>IFERROR(IF(B11="","",E11/SUM($E$11:$E$22)),"")</f>
        <v/>
      </c>
      <c r="H11" s="60" t="inlineStr">
        <is>
          <t>⚓ Pflichtfeld</t>
        </is>
      </c>
      <c r="I11" s="4" t="n"/>
      <c r="J11" s="4" t="n"/>
      <c r="K11" s="61" t="inlineStr">
        <is>
          <t>Alle</t>
        </is>
      </c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5.5" customHeight="1" s="182">
      <c r="A12" s="54" t="inlineStr">
        <is>
          <t>P2</t>
        </is>
      </c>
      <c r="B12" s="62" t="inlineStr">
        <is>
          <t>Crew 2</t>
        </is>
      </c>
      <c r="C12" s="63">
        <f>$B$5</f>
        <v/>
      </c>
      <c r="D12" s="63">
        <f>$B$6</f>
        <v/>
      </c>
      <c r="E12" s="64">
        <f>IFERROR(IF(B12="","",MIN(IF(D12="",Besatzung!$B$6,D12),Besatzung!$B$6)-MAX(IF(C12="",Besatzung!$B$5,C12),Besatzung!$B$5)+1),"")</f>
        <v/>
      </c>
      <c r="F12" s="65" t="n"/>
      <c r="G12" s="66">
        <f>IFERROR(IF(B12="","",E12/SUM($E$11:$E$22)),"")</f>
        <v/>
      </c>
      <c r="H12" s="67" t="n"/>
      <c r="I12" s="4" t="n"/>
      <c r="J12" s="4" t="n"/>
      <c r="K12" s="61">
        <f>IFERROR(B11,"")</f>
        <v/>
      </c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5.5" customHeight="1" s="182">
      <c r="A13" s="54" t="inlineStr">
        <is>
          <t>P3</t>
        </is>
      </c>
      <c r="B13" s="55" t="inlineStr">
        <is>
          <t>Crew 3</t>
        </is>
      </c>
      <c r="C13" s="56">
        <f>$B$5</f>
        <v/>
      </c>
      <c r="D13" s="56">
        <f>$B$6</f>
        <v/>
      </c>
      <c r="E13" s="64">
        <f>IFERROR(IF(B13="","",MIN(IF(D13="",Besatzung!$B$6,D13),Besatzung!$B$6)-MAX(IF(C13="",Besatzung!$B$5,C13),Besatzung!$B$5)+1),"")</f>
        <v/>
      </c>
      <c r="F13" s="58" t="n"/>
      <c r="G13" s="66">
        <f>IFERROR(IF(B13="","",E13/SUM($E$11:$E$22)),"")</f>
        <v/>
      </c>
      <c r="H13" s="60" t="inlineStr">
        <is>
          <t>Leer = gesamter Törn</t>
        </is>
      </c>
      <c r="I13" s="4" t="n"/>
      <c r="J13" s="4" t="n"/>
      <c r="K13" s="61">
        <f>IFERROR(B12,"")</f>
        <v/>
      </c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5.5" customHeight="1" s="182">
      <c r="A14" s="54" t="inlineStr">
        <is>
          <t>P4</t>
        </is>
      </c>
      <c r="B14" s="62" t="inlineStr">
        <is>
          <t>Crew 4</t>
        </is>
      </c>
      <c r="C14" s="63">
        <f>$B$5</f>
        <v/>
      </c>
      <c r="D14" s="63">
        <f>$B$6</f>
        <v/>
      </c>
      <c r="E14" s="64">
        <f>IFERROR(IF(B14="","",MIN(IF(D14="",Besatzung!$B$6,D14),Besatzung!$B$6)-MAX(IF(C14="",Besatzung!$B$5,C14),Besatzung!$B$5)+1),"")</f>
        <v/>
      </c>
      <c r="F14" s="65" t="n"/>
      <c r="G14" s="66">
        <f>IFERROR(IF(B14="","",E14/SUM($E$11:$E$22)),"")</f>
        <v/>
      </c>
      <c r="H14" s="67" t="inlineStr">
        <is>
          <t>Leer = gesamter Törn</t>
        </is>
      </c>
      <c r="I14" s="4" t="n"/>
      <c r="J14" s="4" t="n"/>
      <c r="K14" s="61">
        <f>IFERROR(B13,"")</f>
        <v/>
      </c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5.5" customHeight="1" s="182">
      <c r="A15" s="54" t="inlineStr">
        <is>
          <t>P5</t>
        </is>
      </c>
      <c r="B15" s="62" t="inlineStr">
        <is>
          <t>Crew 5</t>
        </is>
      </c>
      <c r="C15" s="56" t="n">
        <v>46156</v>
      </c>
      <c r="D15" s="56">
        <f>$B$6</f>
        <v/>
      </c>
      <c r="E15" s="57">
        <f>IFERROR(IF(B15="","",MIN(IF(D15="",Besatzung!$B$6,D15),Besatzung!$B$6)-MAX(IF(C15="",Besatzung!$B$5,C15),Besatzung!$B$5)+1),"")</f>
        <v/>
      </c>
      <c r="F15" s="58" t="n"/>
      <c r="G15" s="59">
        <f>IFERROR(IF(B15="","",E15/SUM($E$11:$E$22)),"")</f>
        <v/>
      </c>
      <c r="H15" s="60" t="n"/>
      <c r="I15" s="4" t="n"/>
      <c r="J15" s="4" t="n"/>
      <c r="K15" s="61">
        <f>IFERROR(B14,"")</f>
        <v/>
      </c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5.5" customHeight="1" s="182">
      <c r="A16" s="54" t="inlineStr">
        <is>
          <t>P6</t>
        </is>
      </c>
      <c r="B16" s="4" t="n"/>
      <c r="C16" s="63" t="n"/>
      <c r="D16" s="63" t="n"/>
      <c r="E16" s="64">
        <f>IFERROR(IF(B16="","",MIN(IF(D16="",Besatzung!$B$6,D16),Besatzung!$B$6)-MAX(IF(C16="",Besatzung!$B$5,C16),Besatzung!$B$5)+1),"")</f>
        <v/>
      </c>
      <c r="F16" s="65" t="n"/>
      <c r="G16" s="66">
        <f>IFERROR(IF(B16="","",E16/SUM($E$11:$E$22)),"")</f>
        <v/>
      </c>
      <c r="H16" s="67" t="n"/>
      <c r="I16" s="4" t="n"/>
      <c r="J16" s="4" t="n"/>
      <c r="K16" s="61">
        <f>IFERROR(B15,"")</f>
        <v/>
      </c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25.5" customHeight="1" s="182">
      <c r="A17" s="54" t="inlineStr">
        <is>
          <t>P7</t>
        </is>
      </c>
      <c r="B17" s="55" t="n"/>
      <c r="C17" s="56" t="n"/>
      <c r="D17" s="56" t="n"/>
      <c r="E17" s="57">
        <f>IFERROR(IF(B17="","",MIN(IF(D17="",Besatzung!$B$6,D17),Besatzung!$B$6)-MAX(IF(C17="",Besatzung!$B$5,C17),Besatzung!$B$5)+1),"")</f>
        <v/>
      </c>
      <c r="F17" s="58" t="n"/>
      <c r="G17" s="59">
        <f>IFERROR(IF(B17="","",E17/SUM($E$11:$E$22)),"")</f>
        <v/>
      </c>
      <c r="H17" s="6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5.5" customHeight="1" s="182">
      <c r="A18" s="54" t="inlineStr">
        <is>
          <t>P8</t>
        </is>
      </c>
      <c r="B18" s="62" t="n"/>
      <c r="C18" s="63" t="n"/>
      <c r="D18" s="63" t="n"/>
      <c r="E18" s="64">
        <f>IFERROR(IF(B18="","",MIN(IF(D18="",Besatzung!$B$6,D18),Besatzung!$B$6)-MAX(IF(C18="",Besatzung!$B$5,C18),Besatzung!$B$5)+1),"")</f>
        <v/>
      </c>
      <c r="F18" s="65" t="n"/>
      <c r="G18" s="66">
        <f>IFERROR(IF(B18="","",E18/SUM($E$11:$E$22)),"")</f>
        <v/>
      </c>
      <c r="H18" s="67" t="n"/>
      <c r="I18" s="4" t="n"/>
      <c r="J18" s="4" t="n"/>
      <c r="K18" s="61">
        <f>IFERROR(B17,"")</f>
        <v/>
      </c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5.5" customHeight="1" s="182">
      <c r="A19" s="54" t="inlineStr">
        <is>
          <t>P9</t>
        </is>
      </c>
      <c r="B19" s="55" t="n"/>
      <c r="C19" s="56" t="n"/>
      <c r="D19" s="56" t="n"/>
      <c r="E19" s="57">
        <f>IFERROR(IF(B19="","",MIN(IF(D19="",Besatzung!$B$6,D19),Besatzung!$B$6)-MAX(IF(C19="",Besatzung!$B$5,C19),Besatzung!$B$5)+1),"")</f>
        <v/>
      </c>
      <c r="F19" s="58" t="n"/>
      <c r="G19" s="59">
        <f>IFERROR(IF(B19="","",E19/SUM($E$11:$E$22)),"")</f>
        <v/>
      </c>
      <c r="H19" s="60" t="n"/>
      <c r="I19" s="4" t="n"/>
      <c r="J19" s="4" t="n"/>
      <c r="K19" s="61">
        <f>IFERROR(B18,"")</f>
        <v/>
      </c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5.5" customHeight="1" s="182">
      <c r="A20" s="54" t="inlineStr">
        <is>
          <t>P10</t>
        </is>
      </c>
      <c r="B20" s="62" t="n"/>
      <c r="C20" s="63" t="n"/>
      <c r="D20" s="63" t="n"/>
      <c r="E20" s="64">
        <f>IFERROR(IF(B20="","",MIN(IF(D20="",Besatzung!$B$6,D20),Besatzung!$B$6)-MAX(IF(C20="",Besatzung!$B$5,C20),Besatzung!$B$5)+1),"")</f>
        <v/>
      </c>
      <c r="F20" s="65" t="n"/>
      <c r="G20" s="66">
        <f>IFERROR(IF(B20="","",E20/SUM($E$11:$E$22)),"")</f>
        <v/>
      </c>
      <c r="H20" s="67" t="n"/>
      <c r="I20" s="4" t="n"/>
      <c r="J20" s="4" t="n"/>
      <c r="K20" s="61">
        <f>IFERROR(B19,"")</f>
        <v/>
      </c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5.5" customHeight="1" s="182">
      <c r="A21" s="54" t="inlineStr">
        <is>
          <t>P11</t>
        </is>
      </c>
      <c r="B21" s="55" t="n"/>
      <c r="C21" s="56" t="n"/>
      <c r="D21" s="56" t="n"/>
      <c r="E21" s="57">
        <f>IFERROR(IF(B21="","",MIN(IF(D21="",Besatzung!$B$6,D21),Besatzung!$B$6)-MAX(IF(C21="",Besatzung!$B$5,C21),Besatzung!$B$5)+1),"")</f>
        <v/>
      </c>
      <c r="F21" s="58" t="n"/>
      <c r="G21" s="59">
        <f>IFERROR(IF(B21="","",E21/SUM($E$11:$E$22)),"")</f>
        <v/>
      </c>
      <c r="H21" s="60" t="n"/>
      <c r="I21" s="4" t="n"/>
      <c r="J21" s="4" t="n"/>
      <c r="K21" s="61">
        <f>IFERROR(B20,"")</f>
        <v/>
      </c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5.5" customHeight="1" s="182">
      <c r="A22" s="68" t="inlineStr">
        <is>
          <t>P12</t>
        </is>
      </c>
      <c r="B22" s="69" t="n"/>
      <c r="C22" s="70" t="n"/>
      <c r="D22" s="70" t="n"/>
      <c r="E22" s="71">
        <f>IFERROR(IF(B22="","",MIN(IF(D22="",Besatzung!$B$6,D22),Besatzung!$B$6)-MAX(IF(C22="",Besatzung!$B$5,C22),Besatzung!$B$5)+1),"")</f>
        <v/>
      </c>
      <c r="F22" s="72" t="n"/>
      <c r="G22" s="73">
        <f>IFERROR(IF(B22="","",E22/SUM($E$11:$E$22)),"")</f>
        <v/>
      </c>
      <c r="H22" s="74" t="n"/>
      <c r="I22" s="4" t="n"/>
      <c r="J22" s="4" t="n"/>
      <c r="K22" s="61">
        <f>IFERROR(B21,"")</f>
        <v/>
      </c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9.75" customHeight="1" s="182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61">
        <f>IFERROR(B22,"")</f>
        <v/>
      </c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8" customHeight="1" s="182">
      <c r="A24" s="78" t="inlineStr">
        <is>
          <t>💡  Alkohol-Spalte: x = Person trinkt Alkohol auf diesem Törn. Wird automatisch für alle Ausgaben berücksichtigt.
Zeitanteil % berechnet sich automatisch aus den Bord-Tagen. Bord-Daten leer lassen = gesamter Törn.
Beispiel: A 5 Tage, B 3 Tage → A trägt 62,5 % der zeitanteiligen Kosten, B 37,5 %.</t>
        </is>
      </c>
      <c r="B24" s="203" t="n"/>
      <c r="C24" s="203" t="n"/>
      <c r="D24" s="203" t="n"/>
      <c r="E24" s="203" t="n"/>
      <c r="F24" s="203" t="n"/>
      <c r="G24" s="203" t="n"/>
      <c r="H24" s="204" t="n"/>
      <c r="I24" s="78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8" customHeight="1" s="182">
      <c r="A25" s="205" t="n"/>
      <c r="H25" s="206" t="n"/>
      <c r="I25" s="78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8" customHeight="1" s="182">
      <c r="A26" s="205" t="n"/>
      <c r="H26" s="206" t="n"/>
      <c r="I26" s="81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8" customHeight="1" s="182">
      <c r="A27" s="207" t="n"/>
      <c r="B27" s="208" t="n"/>
      <c r="C27" s="208" t="n"/>
      <c r="D27" s="208" t="n"/>
      <c r="E27" s="208" t="n"/>
      <c r="F27" s="208" t="n"/>
      <c r="G27" s="208" t="n"/>
      <c r="H27" s="209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182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182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182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182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18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18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182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182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182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182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182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182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182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182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18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182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182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182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182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182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182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182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182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182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18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182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182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182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182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182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182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182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182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182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18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182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182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182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182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18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182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182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182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182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18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182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182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182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182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182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182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182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182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182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1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182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182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182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182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182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182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182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182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182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18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182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182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182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182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182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182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182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182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182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18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182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182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182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182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182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182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182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182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182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18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182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182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182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182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182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182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182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182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182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18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182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182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182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182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182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182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182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182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182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18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182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182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182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182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182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182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182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182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182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18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182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182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182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182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182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182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182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182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182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18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182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182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182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182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182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182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182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182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182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18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182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182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182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182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182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182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182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182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182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18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182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182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182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182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182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182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182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182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182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182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182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182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182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182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182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182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182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182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18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182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182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182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182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182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182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182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182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182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18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182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18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18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18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18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18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18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18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18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18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18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18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18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18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18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18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18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18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182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18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182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182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182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</row>
    <row r="226" ht="15.75" customHeight="1" s="182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</row>
    <row r="227" ht="15.75" customHeight="1" s="182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</row>
    <row r="228" ht="15.75" customHeight="1" s="182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</row>
    <row r="229" ht="15.75" customHeight="1" s="182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</row>
    <row r="230" ht="15.75" customHeight="1" s="182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</row>
    <row r="231" ht="15.75" customHeight="1" s="182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</row>
    <row r="232" ht="15.75" customHeight="1" s="18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</row>
    <row r="233" ht="15.75" customHeight="1" s="182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</row>
    <row r="234" ht="15.75" customHeight="1" s="182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</row>
    <row r="235" ht="15.75" customHeight="1" s="182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</row>
    <row r="236" ht="15.75" customHeight="1" s="182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</row>
    <row r="237" ht="15.75" customHeight="1" s="182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</row>
    <row r="238" ht="15.75" customHeight="1" s="182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</row>
    <row r="239" ht="15.75" customHeight="1" s="182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</row>
    <row r="240" ht="15.75" customHeight="1" s="182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</row>
    <row r="241" ht="15.75" customHeight="1" s="182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</row>
    <row r="242" ht="15.75" customHeight="1" s="18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</row>
    <row r="243" ht="15.75" customHeight="1" s="182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</row>
    <row r="244" ht="15.75" customHeight="1" s="182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</row>
    <row r="245" ht="15.75" customHeight="1" s="182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</row>
    <row r="246" ht="15.75" customHeight="1" s="182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</row>
    <row r="247" ht="15.75" customHeight="1" s="182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</row>
    <row r="248" ht="15.75" customHeight="1" s="182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</row>
    <row r="249" ht="15.75" customHeight="1" s="182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</row>
    <row r="250" ht="15.75" customHeight="1" s="182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</row>
    <row r="251" ht="15.75" customHeight="1" s="182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</row>
    <row r="252" ht="15.75" customHeight="1" s="18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</row>
    <row r="253" ht="15.75" customHeight="1" s="182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</row>
    <row r="254" ht="15.75" customHeight="1" s="182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</row>
    <row r="255" ht="15.75" customHeight="1" s="182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</row>
    <row r="256" ht="15.75" customHeight="1" s="182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</row>
    <row r="257" ht="15.75" customHeight="1" s="182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</row>
    <row r="258" ht="15.75" customHeight="1" s="182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</row>
    <row r="259" ht="15.75" customHeight="1" s="182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</row>
    <row r="260" ht="15.75" customHeight="1" s="182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</row>
    <row r="261" ht="15.75" customHeight="1" s="182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</row>
    <row r="262" ht="15.75" customHeight="1" s="18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</row>
    <row r="263" ht="15.75" customHeight="1" s="182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</row>
    <row r="264" ht="15.75" customHeight="1" s="182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</row>
    <row r="265" ht="15.75" customHeight="1" s="182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</row>
    <row r="266" ht="15.75" customHeight="1" s="182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</row>
    <row r="267" ht="15.75" customHeight="1" s="182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</row>
    <row r="268" ht="15.75" customHeight="1" s="182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</row>
    <row r="269" ht="15.75" customHeight="1" s="182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</row>
    <row r="270" ht="15.75" customHeight="1" s="182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</row>
    <row r="271" ht="15.75" customHeight="1" s="182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</row>
    <row r="272" ht="15.75" customHeight="1" s="18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</row>
    <row r="273" ht="15.75" customHeight="1" s="182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</row>
    <row r="274" ht="15.75" customHeight="1" s="182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</row>
    <row r="275" ht="15.75" customHeight="1" s="182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</row>
    <row r="276" ht="15.75" customHeight="1" s="182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</row>
    <row r="277" ht="15.75" customHeight="1" s="182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</row>
    <row r="278" ht="15.75" customHeight="1" s="182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</row>
    <row r="279" ht="15.75" customHeight="1" s="182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</row>
    <row r="280" ht="15.75" customHeight="1" s="182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</row>
    <row r="281" ht="15.75" customHeight="1" s="182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</row>
    <row r="282" ht="15.75" customHeight="1" s="1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</row>
    <row r="283" ht="15.75" customHeight="1" s="182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</row>
    <row r="284" ht="15.75" customHeight="1" s="182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</row>
    <row r="285" ht="15.75" customHeight="1" s="182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</row>
    <row r="286" ht="15.75" customHeight="1" s="182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</row>
    <row r="287" ht="15.75" customHeight="1" s="182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</row>
    <row r="288" ht="15.75" customHeight="1" s="182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</row>
    <row r="289" ht="15.75" customHeight="1" s="182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</row>
    <row r="290" ht="15.75" customHeight="1" s="182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</row>
    <row r="291" ht="15.75" customHeight="1" s="182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</row>
    <row r="292" ht="15.75" customHeight="1" s="18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</row>
    <row r="293" ht="15.75" customHeight="1" s="182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</row>
    <row r="294" ht="15.75" customHeight="1" s="182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</row>
    <row r="295" ht="15.75" customHeight="1" s="182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</row>
    <row r="296" ht="15.75" customHeight="1" s="182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</row>
    <row r="297" ht="15.75" customHeight="1" s="182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</row>
    <row r="298" ht="15.75" customHeight="1" s="182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</row>
    <row r="299" ht="15.75" customHeight="1" s="182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</row>
    <row r="300" ht="15.75" customHeight="1" s="182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</row>
    <row r="301" ht="15.75" customHeight="1" s="182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</row>
    <row r="302" ht="15.75" customHeight="1" s="18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</row>
    <row r="303" ht="15.75" customHeight="1" s="182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</row>
    <row r="304" ht="15.75" customHeight="1" s="182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</row>
    <row r="305" ht="15.75" customHeight="1" s="182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</row>
    <row r="306" ht="15.75" customHeight="1" s="182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</row>
    <row r="307" ht="15.75" customHeight="1" s="182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</row>
    <row r="308" ht="15.75" customHeight="1" s="182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</row>
    <row r="309" ht="15.75" customHeight="1" s="182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</row>
    <row r="310" ht="15.75" customHeight="1" s="182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</row>
    <row r="311" ht="15.75" customHeight="1" s="182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</row>
    <row r="312" ht="15.75" customHeight="1" s="18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</row>
    <row r="313" ht="15.75" customHeight="1" s="182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</row>
    <row r="314" ht="15.75" customHeight="1" s="182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</row>
    <row r="315" ht="15.75" customHeight="1" s="182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</row>
    <row r="316" ht="15.75" customHeight="1" s="182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</row>
    <row r="317" ht="15.75" customHeight="1" s="182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</row>
    <row r="318" ht="15.75" customHeight="1" s="182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</row>
    <row r="319" ht="15.75" customHeight="1" s="182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</row>
    <row r="320" ht="15.75" customHeight="1" s="182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</row>
    <row r="321" ht="15.75" customHeight="1" s="182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</row>
    <row r="322" ht="15.75" customHeight="1" s="18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</row>
    <row r="323" ht="15.75" customHeight="1" s="182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</row>
    <row r="324" ht="15.75" customHeight="1" s="182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</row>
    <row r="325" ht="15.75" customHeight="1" s="182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</row>
    <row r="326" ht="15.75" customHeight="1" s="182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</row>
    <row r="327" ht="15.75" customHeight="1" s="182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</row>
    <row r="328" ht="15.75" customHeight="1" s="182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</row>
    <row r="329" ht="15.75" customHeight="1" s="182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</row>
    <row r="330" ht="15.75" customHeight="1" s="182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</row>
    <row r="331" ht="15.75" customHeight="1" s="182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</row>
    <row r="332" ht="15.75" customHeight="1" s="18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</row>
    <row r="333" ht="15.75" customHeight="1" s="182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</row>
    <row r="334" ht="15.75" customHeight="1" s="182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</row>
    <row r="335" ht="15.75" customHeight="1" s="182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</row>
    <row r="336" ht="15.75" customHeight="1" s="182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</row>
    <row r="337" ht="15.75" customHeight="1" s="182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</row>
    <row r="338" ht="15.75" customHeight="1" s="182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</row>
    <row r="339" ht="15.75" customHeight="1" s="182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</row>
    <row r="340" ht="15.75" customHeight="1" s="182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</row>
    <row r="341" ht="15.75" customHeight="1" s="182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</row>
    <row r="342" ht="15.75" customHeight="1" s="18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</row>
    <row r="343" ht="15.75" customHeight="1" s="182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</row>
    <row r="344" ht="15.75" customHeight="1" s="182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</row>
    <row r="345" ht="15.75" customHeight="1" s="182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</row>
    <row r="346" ht="15.75" customHeight="1" s="182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</row>
    <row r="347" ht="15.75" customHeight="1" s="182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</row>
    <row r="348" ht="15.75" customHeight="1" s="182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</row>
    <row r="349" ht="15.75" customHeight="1" s="182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</row>
    <row r="350" ht="15.75" customHeight="1" s="182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</row>
    <row r="351" ht="15.75" customHeight="1" s="182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</row>
    <row r="352" ht="15.75" customHeight="1" s="18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</row>
    <row r="353" ht="15.75" customHeight="1" s="182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</row>
    <row r="354" ht="15.75" customHeight="1" s="182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</row>
    <row r="355" ht="15.75" customHeight="1" s="182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</row>
    <row r="356" ht="15.75" customHeight="1" s="182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</row>
    <row r="357" ht="15.75" customHeight="1" s="182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</row>
    <row r="358" ht="15.75" customHeight="1" s="182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</row>
    <row r="359" ht="15.75" customHeight="1" s="182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</row>
    <row r="360" ht="15.75" customHeight="1" s="182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</row>
    <row r="361" ht="15.75" customHeight="1" s="182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</row>
    <row r="362" ht="15.75" customHeight="1" s="18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</row>
    <row r="363" ht="15.75" customHeight="1" s="182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</row>
    <row r="364" ht="15.75" customHeight="1" s="182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</row>
    <row r="365" ht="15.75" customHeight="1" s="182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</row>
    <row r="366" ht="15.75" customHeight="1" s="182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</row>
    <row r="367" ht="15.75" customHeight="1" s="182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</row>
    <row r="368" ht="15.75" customHeight="1" s="182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</row>
    <row r="369" ht="15.75" customHeight="1" s="182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</row>
    <row r="370" ht="15.75" customHeight="1" s="182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</row>
    <row r="371" ht="15.75" customHeight="1" s="182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</row>
    <row r="372" ht="15.75" customHeight="1" s="18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</row>
    <row r="373" ht="15.75" customHeight="1" s="182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</row>
    <row r="374" ht="15.75" customHeight="1" s="182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</row>
    <row r="375" ht="15.75" customHeight="1" s="182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</row>
    <row r="376" ht="15.75" customHeight="1" s="182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</row>
    <row r="377" ht="15.75" customHeight="1" s="182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</row>
    <row r="378" ht="15.75" customHeight="1" s="182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</row>
    <row r="379" ht="15.75" customHeight="1" s="182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</row>
    <row r="380" ht="15.75" customHeight="1" s="182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</row>
    <row r="381" ht="15.75" customHeight="1" s="182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</row>
    <row r="382" ht="15.75" customHeight="1" s="1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</row>
    <row r="383" ht="15.75" customHeight="1" s="182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</row>
    <row r="384" ht="15.75" customHeight="1" s="182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</row>
    <row r="385" ht="15.75" customHeight="1" s="182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</row>
    <row r="386" ht="15.75" customHeight="1" s="182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</row>
    <row r="387" ht="15.75" customHeight="1" s="182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</row>
    <row r="388" ht="15.75" customHeight="1" s="182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</row>
    <row r="389" ht="15.75" customHeight="1" s="182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</row>
    <row r="390" ht="15.75" customHeight="1" s="182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</row>
    <row r="391" ht="15.75" customHeight="1" s="182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</row>
    <row r="392" ht="15.75" customHeight="1" s="18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</row>
    <row r="393" ht="15.75" customHeight="1" s="182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</row>
    <row r="394" ht="15.75" customHeight="1" s="182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</row>
    <row r="395" ht="15.75" customHeight="1" s="182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</row>
    <row r="396" ht="15.75" customHeight="1" s="182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</row>
    <row r="397" ht="15.75" customHeight="1" s="182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</row>
    <row r="398" ht="15.75" customHeight="1" s="182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</row>
    <row r="399" ht="15.75" customHeight="1" s="182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</row>
    <row r="400" ht="15.75" customHeight="1" s="182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</row>
    <row r="401" ht="15.75" customHeight="1" s="182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</row>
    <row r="402" ht="15.75" customHeight="1" s="18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</row>
    <row r="403" ht="15.75" customHeight="1" s="182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</row>
    <row r="404" ht="15.75" customHeight="1" s="182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</row>
    <row r="405" ht="15.75" customHeight="1" s="182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</row>
    <row r="406" ht="15.75" customHeight="1" s="182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</row>
    <row r="407" ht="15.75" customHeight="1" s="182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</row>
    <row r="408" ht="15.75" customHeight="1" s="182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</row>
    <row r="409" ht="15.75" customHeight="1" s="182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</row>
    <row r="410" ht="15.75" customHeight="1" s="182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</row>
    <row r="411" ht="15.75" customHeight="1" s="182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</row>
    <row r="412" ht="15.75" customHeight="1" s="18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</row>
    <row r="413" ht="15.75" customHeight="1" s="182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</row>
    <row r="414" ht="15.75" customHeight="1" s="182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</row>
    <row r="415" ht="15.75" customHeight="1" s="182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</row>
    <row r="416" ht="15.75" customHeight="1" s="182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</row>
    <row r="417" ht="15.75" customHeight="1" s="182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</row>
    <row r="418" ht="15.75" customHeight="1" s="182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</row>
    <row r="419" ht="15.75" customHeight="1" s="182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</row>
    <row r="420" ht="15.75" customHeight="1" s="182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</row>
    <row r="421" ht="15.75" customHeight="1" s="182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</row>
    <row r="422" ht="15.75" customHeight="1" s="18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</row>
    <row r="423" ht="15.75" customHeight="1" s="182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</row>
    <row r="424" ht="15.75" customHeight="1" s="182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</row>
    <row r="425" ht="15.75" customHeight="1" s="182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</row>
    <row r="426" ht="15.75" customHeight="1" s="182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</row>
    <row r="427" ht="15.75" customHeight="1" s="182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</row>
    <row r="428" ht="15.75" customHeight="1" s="182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</row>
    <row r="429" ht="15.75" customHeight="1" s="182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</row>
    <row r="430" ht="15.75" customHeight="1" s="182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</row>
    <row r="431" ht="15.75" customHeight="1" s="182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</row>
    <row r="432" ht="15.75" customHeight="1" s="18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</row>
    <row r="433" ht="15.75" customHeight="1" s="182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</row>
    <row r="434" ht="15.75" customHeight="1" s="182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</row>
    <row r="435" ht="15.75" customHeight="1" s="182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</row>
    <row r="436" ht="15.75" customHeight="1" s="182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</row>
    <row r="437" ht="15.75" customHeight="1" s="182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</row>
    <row r="438" ht="15.75" customHeight="1" s="182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</row>
    <row r="439" ht="15.75" customHeight="1" s="182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</row>
    <row r="440" ht="15.75" customHeight="1" s="182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</row>
    <row r="441" ht="15.75" customHeight="1" s="182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</row>
    <row r="442" ht="15.75" customHeight="1" s="18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</row>
    <row r="443" ht="15.75" customHeight="1" s="182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</row>
    <row r="444" ht="15.75" customHeight="1" s="182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</row>
    <row r="445" ht="15.75" customHeight="1" s="182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</row>
    <row r="446" ht="15.75" customHeight="1" s="182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</row>
    <row r="447" ht="15.75" customHeight="1" s="182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</row>
    <row r="448" ht="15.75" customHeight="1" s="182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</row>
    <row r="449" ht="15.75" customHeight="1" s="182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</row>
    <row r="450" ht="15.75" customHeight="1" s="182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</row>
    <row r="451" ht="15.75" customHeight="1" s="182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</row>
    <row r="452" ht="15.75" customHeight="1" s="18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</row>
    <row r="453" ht="15.75" customHeight="1" s="182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</row>
    <row r="454" ht="15.75" customHeight="1" s="182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</row>
    <row r="455" ht="15.75" customHeight="1" s="182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</row>
    <row r="456" ht="15.75" customHeight="1" s="182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</row>
    <row r="457" ht="15.75" customHeight="1" s="182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</row>
    <row r="458" ht="15.75" customHeight="1" s="182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</row>
    <row r="459" ht="15.75" customHeight="1" s="182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</row>
    <row r="460" ht="15.75" customHeight="1" s="182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</row>
    <row r="461" ht="15.75" customHeight="1" s="182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</row>
    <row r="462" ht="15.75" customHeight="1" s="18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</row>
    <row r="463" ht="15.75" customHeight="1" s="182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</row>
    <row r="464" ht="15.75" customHeight="1" s="182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</row>
    <row r="465" ht="15.75" customHeight="1" s="182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</row>
    <row r="466" ht="15.75" customHeight="1" s="182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</row>
    <row r="467" ht="15.75" customHeight="1" s="182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</row>
    <row r="468" ht="15.75" customHeight="1" s="182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</row>
    <row r="469" ht="15.75" customHeight="1" s="182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</row>
    <row r="470" ht="15.75" customHeight="1" s="182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</row>
    <row r="471" ht="15.75" customHeight="1" s="182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</row>
    <row r="472" ht="15.75" customHeight="1" s="18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</row>
    <row r="473" ht="15.75" customHeight="1" s="182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</row>
    <row r="474" ht="15.75" customHeight="1" s="182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</row>
    <row r="475" ht="15.75" customHeight="1" s="182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</row>
    <row r="476" ht="15.75" customHeight="1" s="182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</row>
    <row r="477" ht="15.75" customHeight="1" s="182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</row>
    <row r="478" ht="15.75" customHeight="1" s="182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</row>
    <row r="479" ht="15.75" customHeight="1" s="182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</row>
    <row r="480" ht="15.75" customHeight="1" s="182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</row>
    <row r="481" ht="15.75" customHeight="1" s="182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</row>
    <row r="482" ht="15.75" customHeight="1" s="1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</row>
    <row r="483" ht="15.75" customHeight="1" s="182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</row>
    <row r="484" ht="15.75" customHeight="1" s="182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</row>
    <row r="485" ht="15.75" customHeight="1" s="182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</row>
    <row r="486" ht="15.75" customHeight="1" s="182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</row>
    <row r="487" ht="15.75" customHeight="1" s="182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</row>
    <row r="488" ht="15.75" customHeight="1" s="182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</row>
    <row r="489" ht="15.75" customHeight="1" s="182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</row>
    <row r="490" ht="15.75" customHeight="1" s="182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</row>
    <row r="491" ht="15.75" customHeight="1" s="182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</row>
    <row r="492" ht="15.75" customHeight="1" s="18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</row>
    <row r="493" ht="15.75" customHeight="1" s="182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</row>
    <row r="494" ht="15.75" customHeight="1" s="182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</row>
    <row r="495" ht="15.75" customHeight="1" s="182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</row>
    <row r="496" ht="15.75" customHeight="1" s="182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</row>
    <row r="497" ht="15.75" customHeight="1" s="182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</row>
    <row r="498" ht="15.75" customHeight="1" s="182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</row>
    <row r="499" ht="15.75" customHeight="1" s="182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</row>
    <row r="500" ht="15.75" customHeight="1" s="182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</row>
    <row r="501" ht="15.75" customHeight="1" s="182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</row>
    <row r="502" ht="15.75" customHeight="1" s="18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</row>
    <row r="503" ht="15.75" customHeight="1" s="182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</row>
    <row r="504" ht="15.75" customHeight="1" s="182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</row>
    <row r="505" ht="15.75" customHeight="1" s="182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</row>
    <row r="506" ht="15.75" customHeight="1" s="182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</row>
    <row r="507" ht="15.75" customHeight="1" s="182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</row>
    <row r="508" ht="15.75" customHeight="1" s="182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</row>
    <row r="509" ht="15.75" customHeight="1" s="182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</row>
    <row r="510" ht="15.75" customHeight="1" s="182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</row>
    <row r="511" ht="15.75" customHeight="1" s="182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</row>
    <row r="512" ht="15.75" customHeight="1" s="18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</row>
    <row r="513" ht="15.75" customHeight="1" s="182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</row>
    <row r="514" ht="15.75" customHeight="1" s="182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</row>
    <row r="515" ht="15.75" customHeight="1" s="182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</row>
    <row r="516" ht="15.75" customHeight="1" s="182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</row>
    <row r="517" ht="15.75" customHeight="1" s="182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</row>
    <row r="518" ht="15.75" customHeight="1" s="182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</row>
    <row r="519" ht="15.75" customHeight="1" s="182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</row>
    <row r="520" ht="15.75" customHeight="1" s="182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</row>
    <row r="521" ht="15.75" customHeight="1" s="182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</row>
    <row r="522" ht="15.75" customHeight="1" s="18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</row>
    <row r="523" ht="15.75" customHeight="1" s="182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</row>
    <row r="524" ht="15.75" customHeight="1" s="182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</row>
    <row r="525" ht="15.75" customHeight="1" s="182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</row>
    <row r="526" ht="15.75" customHeight="1" s="182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</row>
    <row r="527" ht="15.75" customHeight="1" s="182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</row>
    <row r="528" ht="15.75" customHeight="1" s="182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</row>
    <row r="529" ht="15.75" customHeight="1" s="182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</row>
    <row r="530" ht="15.75" customHeight="1" s="182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</row>
    <row r="531" ht="15.75" customHeight="1" s="182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</row>
    <row r="532" ht="15.75" customHeight="1" s="18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</row>
    <row r="533" ht="15.75" customHeight="1" s="182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</row>
    <row r="534" ht="15.75" customHeight="1" s="182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</row>
    <row r="535" ht="15.75" customHeight="1" s="182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</row>
    <row r="536" ht="15.75" customHeight="1" s="182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</row>
    <row r="537" ht="15.75" customHeight="1" s="182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</row>
    <row r="538" ht="15.75" customHeight="1" s="182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</row>
    <row r="539" ht="15.75" customHeight="1" s="182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</row>
    <row r="540" ht="15.75" customHeight="1" s="182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</row>
    <row r="541" ht="15.75" customHeight="1" s="182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</row>
    <row r="542" ht="15.75" customHeight="1" s="18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</row>
    <row r="543" ht="15.75" customHeight="1" s="182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</row>
    <row r="544" ht="15.75" customHeight="1" s="182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</row>
    <row r="545" ht="15.75" customHeight="1" s="182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</row>
    <row r="546" ht="15.75" customHeight="1" s="182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</row>
    <row r="547" ht="15.75" customHeight="1" s="182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</row>
    <row r="548" ht="15.75" customHeight="1" s="182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</row>
    <row r="549" ht="15.75" customHeight="1" s="182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</row>
    <row r="550" ht="15.75" customHeight="1" s="182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</row>
    <row r="551" ht="15.75" customHeight="1" s="182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</row>
    <row r="552" ht="15.75" customHeight="1" s="18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</row>
    <row r="553" ht="15.75" customHeight="1" s="182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</row>
    <row r="554" ht="15.75" customHeight="1" s="182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</row>
    <row r="555" ht="15.75" customHeight="1" s="182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</row>
    <row r="556" ht="15.75" customHeight="1" s="182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</row>
    <row r="557" ht="15.75" customHeight="1" s="182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</row>
    <row r="558" ht="15.75" customHeight="1" s="182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</row>
    <row r="559" ht="15.75" customHeight="1" s="182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</row>
    <row r="560" ht="15.75" customHeight="1" s="182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</row>
    <row r="561" ht="15.75" customHeight="1" s="182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</row>
    <row r="562" ht="15.75" customHeight="1" s="18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</row>
    <row r="563" ht="15.75" customHeight="1" s="182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</row>
    <row r="564" ht="15.75" customHeight="1" s="182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</row>
    <row r="565" ht="15.75" customHeight="1" s="182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</row>
    <row r="566" ht="15.75" customHeight="1" s="182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</row>
    <row r="567" ht="15.75" customHeight="1" s="182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</row>
    <row r="568" ht="15.75" customHeight="1" s="182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</row>
    <row r="569" ht="15.75" customHeight="1" s="182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</row>
    <row r="570" ht="15.75" customHeight="1" s="182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</row>
    <row r="571" ht="15.75" customHeight="1" s="182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</row>
    <row r="572" ht="15.75" customHeight="1" s="18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</row>
    <row r="573" ht="15.75" customHeight="1" s="182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</row>
    <row r="574" ht="15.75" customHeight="1" s="182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</row>
    <row r="575" ht="15.75" customHeight="1" s="182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</row>
    <row r="576" ht="15.75" customHeight="1" s="182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</row>
    <row r="577" ht="15.75" customHeight="1" s="182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</row>
    <row r="578" ht="15.75" customHeight="1" s="182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</row>
    <row r="579" ht="15.75" customHeight="1" s="182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</row>
    <row r="580" ht="15.75" customHeight="1" s="182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</row>
    <row r="581" ht="15.75" customHeight="1" s="182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</row>
    <row r="582" ht="15.75" customHeight="1" s="1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</row>
    <row r="583" ht="15.75" customHeight="1" s="182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</row>
    <row r="584" ht="15.75" customHeight="1" s="182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</row>
    <row r="585" ht="15.75" customHeight="1" s="182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</row>
    <row r="586" ht="15.75" customHeight="1" s="182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</row>
    <row r="587" ht="15.75" customHeight="1" s="182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</row>
    <row r="588" ht="15.75" customHeight="1" s="182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</row>
    <row r="589" ht="15.75" customHeight="1" s="182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</row>
    <row r="590" ht="15.75" customHeight="1" s="182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</row>
    <row r="591" ht="15.75" customHeight="1" s="182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</row>
    <row r="592" ht="15.75" customHeight="1" s="18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</row>
    <row r="593" ht="15.75" customHeight="1" s="182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</row>
    <row r="594" ht="15.75" customHeight="1" s="182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</row>
    <row r="595" ht="15.75" customHeight="1" s="182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</row>
    <row r="596" ht="15.75" customHeight="1" s="182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</row>
    <row r="597" ht="15.75" customHeight="1" s="182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</row>
    <row r="598" ht="15.75" customHeight="1" s="182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</row>
    <row r="599" ht="15.75" customHeight="1" s="182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</row>
    <row r="600" ht="15.75" customHeight="1" s="182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</row>
    <row r="601" ht="15.75" customHeight="1" s="182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</row>
    <row r="602" ht="15.75" customHeight="1" s="18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</row>
    <row r="603" ht="15.75" customHeight="1" s="182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</row>
    <row r="604" ht="15.75" customHeight="1" s="182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</row>
    <row r="605" ht="15.75" customHeight="1" s="182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</row>
    <row r="606" ht="15.75" customHeight="1" s="182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</row>
    <row r="607" ht="15.75" customHeight="1" s="182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</row>
    <row r="608" ht="15.75" customHeight="1" s="182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</row>
    <row r="609" ht="15.75" customHeight="1" s="182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</row>
    <row r="610" ht="15.75" customHeight="1" s="182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</row>
    <row r="611" ht="15.75" customHeight="1" s="182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</row>
    <row r="612" ht="15.75" customHeight="1" s="18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</row>
    <row r="613" ht="15.75" customHeight="1" s="182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</row>
    <row r="614" ht="15.75" customHeight="1" s="182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</row>
    <row r="615" ht="15.75" customHeight="1" s="182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</row>
    <row r="616" ht="15.75" customHeight="1" s="182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</row>
    <row r="617" ht="15.75" customHeight="1" s="182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</row>
    <row r="618" ht="15.75" customHeight="1" s="182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</row>
    <row r="619" ht="15.75" customHeight="1" s="182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</row>
    <row r="620" ht="15.75" customHeight="1" s="182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</row>
    <row r="621" ht="15.75" customHeight="1" s="182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</row>
    <row r="622" ht="15.75" customHeight="1" s="18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</row>
    <row r="623" ht="15.75" customHeight="1" s="182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</row>
    <row r="624" ht="15.75" customHeight="1" s="182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</row>
    <row r="625" ht="15.75" customHeight="1" s="182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</row>
    <row r="626" ht="15.75" customHeight="1" s="182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</row>
    <row r="627" ht="15.75" customHeight="1" s="182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</row>
    <row r="628" ht="15.75" customHeight="1" s="182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</row>
    <row r="629" ht="15.75" customHeight="1" s="182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</row>
    <row r="630" ht="15.75" customHeight="1" s="182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</row>
    <row r="631" ht="15.75" customHeight="1" s="182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</row>
    <row r="632" ht="15.75" customHeight="1" s="18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</row>
    <row r="633" ht="15.75" customHeight="1" s="182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</row>
    <row r="634" ht="15.75" customHeight="1" s="182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</row>
    <row r="635" ht="15.75" customHeight="1" s="182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</row>
    <row r="636" ht="15.75" customHeight="1" s="182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</row>
    <row r="637" ht="15.75" customHeight="1" s="182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</row>
    <row r="638" ht="15.75" customHeight="1" s="182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</row>
    <row r="639" ht="15.75" customHeight="1" s="182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</row>
    <row r="640" ht="15.75" customHeight="1" s="182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</row>
    <row r="641" ht="15.75" customHeight="1" s="182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</row>
    <row r="642" ht="15.75" customHeight="1" s="18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</row>
    <row r="643" ht="15.75" customHeight="1" s="182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</row>
    <row r="644" ht="15.75" customHeight="1" s="182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</row>
    <row r="645" ht="15.75" customHeight="1" s="182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</row>
    <row r="646" ht="15.75" customHeight="1" s="182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</row>
    <row r="647" ht="15.75" customHeight="1" s="182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</row>
    <row r="648" ht="15.75" customHeight="1" s="182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</row>
    <row r="649" ht="15.75" customHeight="1" s="182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</row>
    <row r="650" ht="15.75" customHeight="1" s="182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</row>
    <row r="651" ht="15.75" customHeight="1" s="182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</row>
    <row r="652" ht="15.75" customHeight="1" s="18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</row>
    <row r="653" ht="15.75" customHeight="1" s="182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</row>
    <row r="654" ht="15.75" customHeight="1" s="182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</row>
    <row r="655" ht="15.75" customHeight="1" s="182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</row>
    <row r="656" ht="15.75" customHeight="1" s="182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</row>
    <row r="657" ht="15.75" customHeight="1" s="182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</row>
    <row r="658" ht="15.75" customHeight="1" s="182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</row>
    <row r="659" ht="15.75" customHeight="1" s="182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</row>
    <row r="660" ht="15.75" customHeight="1" s="182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</row>
    <row r="661" ht="15.75" customHeight="1" s="182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</row>
    <row r="662" ht="15.75" customHeight="1" s="18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</row>
    <row r="663" ht="15.75" customHeight="1" s="182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</row>
    <row r="664" ht="15.75" customHeight="1" s="182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</row>
    <row r="665" ht="15.75" customHeight="1" s="182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</row>
    <row r="666" ht="15.75" customHeight="1" s="182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</row>
    <row r="667" ht="15.75" customHeight="1" s="182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</row>
    <row r="668" ht="15.75" customHeight="1" s="182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</row>
    <row r="669" ht="15.75" customHeight="1" s="182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</row>
    <row r="670" ht="15.75" customHeight="1" s="182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</row>
    <row r="671" ht="15.75" customHeight="1" s="182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</row>
    <row r="672" ht="15.75" customHeight="1" s="18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</row>
    <row r="673" ht="15.75" customHeight="1" s="182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</row>
    <row r="674" ht="15.75" customHeight="1" s="182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</row>
    <row r="675" ht="15.75" customHeight="1" s="182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</row>
    <row r="676" ht="15.75" customHeight="1" s="182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</row>
    <row r="677" ht="15.75" customHeight="1" s="182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</row>
    <row r="678" ht="15.75" customHeight="1" s="182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</row>
    <row r="679" ht="15.75" customHeight="1" s="182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</row>
    <row r="680" ht="15.75" customHeight="1" s="182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</row>
    <row r="681" ht="15.75" customHeight="1" s="182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</row>
    <row r="682" ht="15.75" customHeight="1" s="1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</row>
    <row r="683" ht="15.75" customHeight="1" s="182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</row>
    <row r="684" ht="15.75" customHeight="1" s="182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</row>
    <row r="685" ht="15.75" customHeight="1" s="182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</row>
    <row r="686" ht="15.75" customHeight="1" s="182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</row>
    <row r="687" ht="15.75" customHeight="1" s="182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</row>
    <row r="688" ht="15.75" customHeight="1" s="182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</row>
    <row r="689" ht="15.75" customHeight="1" s="182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</row>
    <row r="690" ht="15.75" customHeight="1" s="182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</row>
    <row r="691" ht="15.75" customHeight="1" s="182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</row>
    <row r="692" ht="15.75" customHeight="1" s="18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</row>
    <row r="693" ht="15.75" customHeight="1" s="182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</row>
    <row r="694" ht="15.75" customHeight="1" s="182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</row>
    <row r="695" ht="15.75" customHeight="1" s="182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</row>
    <row r="696" ht="15.75" customHeight="1" s="182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</row>
    <row r="697" ht="15.75" customHeight="1" s="182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</row>
    <row r="698" ht="15.75" customHeight="1" s="182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</row>
    <row r="699" ht="15.75" customHeight="1" s="182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</row>
    <row r="700" ht="15.75" customHeight="1" s="182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</row>
    <row r="701" ht="15.75" customHeight="1" s="182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</row>
    <row r="702" ht="15.75" customHeight="1" s="18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</row>
    <row r="703" ht="15.75" customHeight="1" s="182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</row>
    <row r="704" ht="15.75" customHeight="1" s="182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</row>
    <row r="705" ht="15.75" customHeight="1" s="182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</row>
    <row r="706" ht="15.75" customHeight="1" s="182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</row>
    <row r="707" ht="15.75" customHeight="1" s="182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</row>
    <row r="708" ht="15.75" customHeight="1" s="182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</row>
    <row r="709" ht="15.75" customHeight="1" s="182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</row>
    <row r="710" ht="15.75" customHeight="1" s="182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</row>
    <row r="711" ht="15.75" customHeight="1" s="182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</row>
    <row r="712" ht="15.75" customHeight="1" s="18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</row>
    <row r="713" ht="15.75" customHeight="1" s="182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</row>
    <row r="714" ht="15.75" customHeight="1" s="182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</row>
    <row r="715" ht="15.75" customHeight="1" s="182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</row>
    <row r="716" ht="15.75" customHeight="1" s="182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</row>
    <row r="717" ht="15.75" customHeight="1" s="182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</row>
    <row r="718" ht="15.75" customHeight="1" s="182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</row>
    <row r="719" ht="15.75" customHeight="1" s="182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</row>
    <row r="720" ht="15.75" customHeight="1" s="182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</row>
    <row r="721" ht="15.75" customHeight="1" s="182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</row>
    <row r="722" ht="15.75" customHeight="1" s="18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</row>
    <row r="723" ht="15.75" customHeight="1" s="182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</row>
    <row r="724" ht="15.75" customHeight="1" s="182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</row>
    <row r="725" ht="15.75" customHeight="1" s="182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</row>
    <row r="726" ht="15.75" customHeight="1" s="182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</row>
    <row r="727" ht="15.75" customHeight="1" s="182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</row>
    <row r="728" ht="15.75" customHeight="1" s="182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</row>
    <row r="729" ht="15.75" customHeight="1" s="182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</row>
    <row r="730" ht="15.75" customHeight="1" s="182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</row>
    <row r="731" ht="15.75" customHeight="1" s="182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</row>
    <row r="732" ht="15.75" customHeight="1" s="18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</row>
    <row r="733" ht="15.75" customHeight="1" s="182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</row>
    <row r="734" ht="15.75" customHeight="1" s="182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</row>
    <row r="735" ht="15.75" customHeight="1" s="182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</row>
    <row r="736" ht="15.75" customHeight="1" s="182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</row>
    <row r="737" ht="15.75" customHeight="1" s="182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</row>
    <row r="738" ht="15.75" customHeight="1" s="182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</row>
    <row r="739" ht="15.75" customHeight="1" s="182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</row>
    <row r="740" ht="15.75" customHeight="1" s="182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</row>
    <row r="741" ht="15.75" customHeight="1" s="182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</row>
    <row r="742" ht="15.75" customHeight="1" s="18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</row>
    <row r="743" ht="15.75" customHeight="1" s="182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</row>
    <row r="744" ht="15.75" customHeight="1" s="182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</row>
    <row r="745" ht="15.75" customHeight="1" s="182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</row>
    <row r="746" ht="15.75" customHeight="1" s="182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</row>
    <row r="747" ht="15.75" customHeight="1" s="182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</row>
    <row r="748" ht="15.75" customHeight="1" s="182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</row>
    <row r="749" ht="15.75" customHeight="1" s="182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</row>
    <row r="750" ht="15.75" customHeight="1" s="182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</row>
    <row r="751" ht="15.75" customHeight="1" s="182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</row>
    <row r="752" ht="15.75" customHeight="1" s="18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</row>
    <row r="753" ht="15.75" customHeight="1" s="182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</row>
    <row r="754" ht="15.75" customHeight="1" s="182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</row>
    <row r="755" ht="15.75" customHeight="1" s="182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</row>
    <row r="756" ht="15.75" customHeight="1" s="182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</row>
    <row r="757" ht="15.75" customHeight="1" s="182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</row>
    <row r="758" ht="15.75" customHeight="1" s="182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</row>
    <row r="759" ht="15.75" customHeight="1" s="182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</row>
    <row r="760" ht="15.75" customHeight="1" s="182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</row>
    <row r="761" ht="15.75" customHeight="1" s="182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</row>
    <row r="762" ht="15.75" customHeight="1" s="18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</row>
    <row r="763" ht="15.75" customHeight="1" s="182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</row>
    <row r="764" ht="15.75" customHeight="1" s="182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</row>
    <row r="765" ht="15.75" customHeight="1" s="182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</row>
    <row r="766" ht="15.75" customHeight="1" s="182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</row>
    <row r="767" ht="15.75" customHeight="1" s="182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</row>
    <row r="768" ht="15.75" customHeight="1" s="182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</row>
    <row r="769" ht="15.75" customHeight="1" s="182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</row>
    <row r="770" ht="15.75" customHeight="1" s="182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</row>
    <row r="771" ht="15.75" customHeight="1" s="182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</row>
    <row r="772" ht="15.75" customHeight="1" s="18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</row>
    <row r="773" ht="15.75" customHeight="1" s="182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</row>
    <row r="774" ht="15.75" customHeight="1" s="182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</row>
    <row r="775" ht="15.75" customHeight="1" s="182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</row>
    <row r="776" ht="15.75" customHeight="1" s="182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</row>
    <row r="777" ht="15.75" customHeight="1" s="182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</row>
    <row r="778" ht="15.75" customHeight="1" s="182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</row>
    <row r="779" ht="15.75" customHeight="1" s="182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</row>
    <row r="780" ht="15.75" customHeight="1" s="182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</row>
    <row r="781" ht="15.75" customHeight="1" s="182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</row>
    <row r="782" ht="15.75" customHeight="1" s="1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</row>
    <row r="783" ht="15.75" customHeight="1" s="182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</row>
    <row r="784" ht="15.75" customHeight="1" s="182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</row>
    <row r="785" ht="15.75" customHeight="1" s="182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</row>
    <row r="786" ht="15.75" customHeight="1" s="182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</row>
    <row r="787" ht="15.75" customHeight="1" s="182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</row>
    <row r="788" ht="15.75" customHeight="1" s="182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</row>
    <row r="789" ht="15.75" customHeight="1" s="182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</row>
    <row r="790" ht="15.75" customHeight="1" s="182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</row>
    <row r="791" ht="15.75" customHeight="1" s="182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</row>
    <row r="792" ht="15.75" customHeight="1" s="18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</row>
    <row r="793" ht="15.75" customHeight="1" s="182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</row>
    <row r="794" ht="15.75" customHeight="1" s="182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</row>
    <row r="795" ht="15.75" customHeight="1" s="182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</row>
    <row r="796" ht="15.75" customHeight="1" s="182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</row>
    <row r="797" ht="15.75" customHeight="1" s="182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</row>
    <row r="798" ht="15.75" customHeight="1" s="182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</row>
    <row r="799" ht="15.75" customHeight="1" s="182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</row>
    <row r="800" ht="15.75" customHeight="1" s="182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</row>
    <row r="801" ht="15.75" customHeight="1" s="182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</row>
    <row r="802" ht="15.75" customHeight="1" s="18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</row>
    <row r="803" ht="15.75" customHeight="1" s="182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</row>
    <row r="804" ht="15.75" customHeight="1" s="182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</row>
    <row r="805" ht="15.75" customHeight="1" s="182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</row>
    <row r="806" ht="15.75" customHeight="1" s="182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</row>
    <row r="807" ht="15.75" customHeight="1" s="182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</row>
    <row r="808" ht="15.75" customHeight="1" s="182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</row>
    <row r="809" ht="15.75" customHeight="1" s="182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</row>
    <row r="810" ht="15.75" customHeight="1" s="182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</row>
    <row r="811" ht="15.75" customHeight="1" s="182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</row>
    <row r="812" ht="15.75" customHeight="1" s="18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</row>
    <row r="813" ht="15.75" customHeight="1" s="182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</row>
    <row r="814" ht="15.75" customHeight="1" s="182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</row>
    <row r="815" ht="15.75" customHeight="1" s="182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</row>
    <row r="816" ht="15.75" customHeight="1" s="182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</row>
    <row r="817" ht="15.75" customHeight="1" s="182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</row>
    <row r="818" ht="15.75" customHeight="1" s="182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</row>
    <row r="819" ht="15.75" customHeight="1" s="182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</row>
    <row r="820" ht="15.75" customHeight="1" s="182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</row>
    <row r="821" ht="15.75" customHeight="1" s="182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</row>
    <row r="822" ht="15.75" customHeight="1" s="18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</row>
    <row r="823" ht="15.75" customHeight="1" s="182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</row>
    <row r="824" ht="15.75" customHeight="1" s="182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</row>
    <row r="825" ht="15.75" customHeight="1" s="182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</row>
    <row r="826" ht="15.75" customHeight="1" s="182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</row>
    <row r="827" ht="15.75" customHeight="1" s="182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</row>
    <row r="828" ht="15.75" customHeight="1" s="182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</row>
    <row r="829" ht="15.75" customHeight="1" s="182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</row>
    <row r="830" ht="15.75" customHeight="1" s="182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</row>
    <row r="831" ht="15.75" customHeight="1" s="182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</row>
    <row r="832" ht="15.75" customHeight="1" s="18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</row>
    <row r="833" ht="15.75" customHeight="1" s="182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</row>
    <row r="834" ht="15.75" customHeight="1" s="182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</row>
    <row r="835" ht="15.75" customHeight="1" s="182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</row>
    <row r="836" ht="15.75" customHeight="1" s="182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</row>
    <row r="837" ht="15.75" customHeight="1" s="182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</row>
    <row r="838" ht="15.75" customHeight="1" s="182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</row>
    <row r="839" ht="15.75" customHeight="1" s="182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</row>
    <row r="840" ht="15.75" customHeight="1" s="182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</row>
    <row r="841" ht="15.75" customHeight="1" s="182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</row>
    <row r="842" ht="15.75" customHeight="1" s="18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</row>
    <row r="843" ht="15.75" customHeight="1" s="182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</row>
    <row r="844" ht="15.75" customHeight="1" s="182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</row>
    <row r="845" ht="15.75" customHeight="1" s="182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</row>
    <row r="846" ht="15.75" customHeight="1" s="182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</row>
    <row r="847" ht="15.75" customHeight="1" s="182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</row>
    <row r="848" ht="15.75" customHeight="1" s="182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</row>
    <row r="849" ht="15.75" customHeight="1" s="182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</row>
    <row r="850" ht="15.75" customHeight="1" s="182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</row>
    <row r="851" ht="15.75" customHeight="1" s="182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</row>
    <row r="852" ht="15.75" customHeight="1" s="18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</row>
    <row r="853" ht="15.75" customHeight="1" s="182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</row>
    <row r="854" ht="15.75" customHeight="1" s="182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</row>
    <row r="855" ht="15.75" customHeight="1" s="182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</row>
    <row r="856" ht="15.75" customHeight="1" s="182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</row>
    <row r="857" ht="15.75" customHeight="1" s="182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</row>
    <row r="858" ht="15.75" customHeight="1" s="182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</row>
    <row r="859" ht="15.75" customHeight="1" s="182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</row>
    <row r="860" ht="15.75" customHeight="1" s="182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</row>
    <row r="861" ht="15.75" customHeight="1" s="182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</row>
    <row r="862" ht="15.75" customHeight="1" s="18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</row>
    <row r="863" ht="15.75" customHeight="1" s="182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</row>
    <row r="864" ht="15.75" customHeight="1" s="182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</row>
    <row r="865" ht="15.75" customHeight="1" s="182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</row>
    <row r="866" ht="15.75" customHeight="1" s="182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</row>
    <row r="867" ht="15.75" customHeight="1" s="182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</row>
    <row r="868" ht="15.75" customHeight="1" s="182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</row>
    <row r="869" ht="15.75" customHeight="1" s="182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</row>
    <row r="870" ht="15.75" customHeight="1" s="182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</row>
    <row r="871" ht="15.75" customHeight="1" s="182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</row>
    <row r="872" ht="15.75" customHeight="1" s="18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</row>
    <row r="873" ht="15.75" customHeight="1" s="182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</row>
    <row r="874" ht="15.75" customHeight="1" s="182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</row>
    <row r="875" ht="15.75" customHeight="1" s="182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</row>
    <row r="876" ht="15.75" customHeight="1" s="182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</row>
    <row r="877" ht="15.75" customHeight="1" s="182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</row>
    <row r="878" ht="15.75" customHeight="1" s="182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</row>
    <row r="879" ht="15.75" customHeight="1" s="182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</row>
    <row r="880" ht="15.75" customHeight="1" s="182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</row>
    <row r="881" ht="15.75" customHeight="1" s="182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</row>
    <row r="882" ht="15.75" customHeight="1" s="1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</row>
    <row r="883" ht="15.75" customHeight="1" s="182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</row>
    <row r="884" ht="15.75" customHeight="1" s="182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</row>
    <row r="885" ht="15.75" customHeight="1" s="182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</row>
    <row r="886" ht="15.75" customHeight="1" s="182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</row>
    <row r="887" ht="15.75" customHeight="1" s="182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</row>
    <row r="888" ht="15.75" customHeight="1" s="182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</row>
    <row r="889" ht="15.75" customHeight="1" s="182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</row>
    <row r="890" ht="15.75" customHeight="1" s="182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</row>
    <row r="891" ht="15.75" customHeight="1" s="182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</row>
    <row r="892" ht="15.75" customHeight="1" s="18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</row>
    <row r="893" ht="15.75" customHeight="1" s="182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</row>
    <row r="894" ht="15.75" customHeight="1" s="182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</row>
    <row r="895" ht="15.75" customHeight="1" s="182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</row>
    <row r="896" ht="15.75" customHeight="1" s="182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</row>
    <row r="897" ht="15.75" customHeight="1" s="182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</row>
    <row r="898" ht="15.75" customHeight="1" s="182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</row>
    <row r="899" ht="15.75" customHeight="1" s="182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</row>
    <row r="900" ht="15.75" customHeight="1" s="182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</row>
    <row r="901" ht="15.75" customHeight="1" s="182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</row>
    <row r="902" ht="15.75" customHeight="1" s="18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</row>
    <row r="903" ht="15.75" customHeight="1" s="182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</row>
    <row r="904" ht="15.75" customHeight="1" s="182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</row>
    <row r="905" ht="15.75" customHeight="1" s="182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</row>
    <row r="906" ht="15.75" customHeight="1" s="182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</row>
    <row r="907" ht="15.75" customHeight="1" s="182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</row>
    <row r="908" ht="15.75" customHeight="1" s="182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</row>
    <row r="909" ht="15.75" customHeight="1" s="182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</row>
    <row r="910" ht="15.75" customHeight="1" s="182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</row>
    <row r="911" ht="15.75" customHeight="1" s="182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</row>
    <row r="912" ht="15.75" customHeight="1" s="18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</row>
    <row r="913" ht="15.75" customHeight="1" s="182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</row>
    <row r="914" ht="15.75" customHeight="1" s="182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</row>
    <row r="915" ht="15.75" customHeight="1" s="182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</row>
    <row r="916" ht="15.75" customHeight="1" s="182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</row>
    <row r="917" ht="15.75" customHeight="1" s="182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</row>
    <row r="918" ht="15.75" customHeight="1" s="182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</row>
    <row r="919" ht="15.75" customHeight="1" s="182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</row>
    <row r="920" ht="15.75" customHeight="1" s="182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</row>
    <row r="921" ht="15.75" customHeight="1" s="182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</row>
    <row r="922" ht="15.75" customHeight="1" s="18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</row>
    <row r="923" ht="15.75" customHeight="1" s="182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</row>
    <row r="924" ht="15.75" customHeight="1" s="182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</row>
    <row r="925" ht="15.75" customHeight="1" s="182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</row>
    <row r="926" ht="15.75" customHeight="1" s="182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</row>
    <row r="927" ht="15.75" customHeight="1" s="182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</row>
    <row r="928" ht="15.75" customHeight="1" s="182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</row>
    <row r="929" ht="15.75" customHeight="1" s="182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</row>
    <row r="930" ht="15.75" customHeight="1" s="182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</row>
    <row r="931" ht="15.75" customHeight="1" s="182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</row>
    <row r="932" ht="15.75" customHeight="1" s="18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</row>
    <row r="933" ht="15.75" customHeight="1" s="182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</row>
    <row r="934" ht="15.75" customHeight="1" s="182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</row>
    <row r="935" ht="15.75" customHeight="1" s="182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</row>
    <row r="936" ht="15.75" customHeight="1" s="182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</row>
    <row r="937" ht="15.75" customHeight="1" s="182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</row>
    <row r="938" ht="15.75" customHeight="1" s="182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</row>
    <row r="939" ht="15.75" customHeight="1" s="182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</row>
    <row r="940" ht="15.75" customHeight="1" s="182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</row>
    <row r="941" ht="15.75" customHeight="1" s="182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</row>
    <row r="942" ht="15.75" customHeight="1" s="18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</row>
    <row r="943" ht="15.75" customHeight="1" s="182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</row>
    <row r="944" ht="15.75" customHeight="1" s="182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</row>
    <row r="945" ht="15.75" customHeight="1" s="182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</row>
    <row r="946" ht="15.75" customHeight="1" s="182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</row>
    <row r="947" ht="15.75" customHeight="1" s="182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</row>
    <row r="948" ht="15.75" customHeight="1" s="182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</row>
    <row r="949" ht="15.75" customHeight="1" s="182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</row>
    <row r="950" ht="15.75" customHeight="1" s="182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</row>
    <row r="951" ht="15.75" customHeight="1" s="182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</row>
    <row r="952" ht="15.75" customHeight="1" s="18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</row>
    <row r="953" ht="15.75" customHeight="1" s="182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</row>
    <row r="954" ht="15.75" customHeight="1" s="182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</row>
    <row r="955" ht="15.75" customHeight="1" s="182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</row>
    <row r="956" ht="15.75" customHeight="1" s="182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</row>
    <row r="957" ht="15.75" customHeight="1" s="182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</row>
    <row r="958" ht="15.75" customHeight="1" s="182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</row>
    <row r="959" ht="15.75" customHeight="1" s="182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</row>
    <row r="960" ht="15.75" customHeight="1" s="182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</row>
    <row r="961" ht="15.75" customHeight="1" s="182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</row>
    <row r="962" ht="15.75" customHeight="1" s="18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</row>
    <row r="963" ht="15.75" customHeight="1" s="182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</row>
    <row r="964" ht="15.75" customHeight="1" s="182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</row>
    <row r="965" ht="15.75" customHeight="1" s="182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</row>
    <row r="966" ht="15.75" customHeight="1" s="182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</row>
    <row r="967" ht="15.75" customHeight="1" s="182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</row>
    <row r="968" ht="15.75" customHeight="1" s="182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</row>
    <row r="969" ht="15.75" customHeight="1" s="182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</row>
    <row r="970" ht="15.75" customHeight="1" s="182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</row>
    <row r="971" ht="15.75" customHeight="1" s="182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</row>
    <row r="972" ht="15.75" customHeight="1" s="18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</row>
    <row r="973" ht="15.75" customHeight="1" s="182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</row>
    <row r="974" ht="15.75" customHeight="1" s="182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</row>
    <row r="975" ht="15.75" customHeight="1" s="182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</row>
    <row r="976" ht="15.75" customHeight="1" s="182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</row>
    <row r="977" ht="15.75" customHeight="1" s="182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</row>
    <row r="978" ht="15.75" customHeight="1" s="182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</row>
    <row r="979" ht="15.75" customHeight="1" s="182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</row>
    <row r="980" ht="15.75" customHeight="1" s="182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</row>
    <row r="981" ht="15.75" customHeight="1" s="182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</row>
    <row r="982" ht="15.75" customHeight="1" s="1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</row>
    <row r="983" ht="15.75" customHeight="1" s="182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</row>
    <row r="984" ht="15.75" customHeight="1" s="182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</row>
    <row r="985" ht="15.75" customHeight="1" s="182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</row>
    <row r="986" ht="15.75" customHeight="1" s="182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</row>
    <row r="987" ht="15.75" customHeight="1" s="182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</row>
    <row r="988" ht="15.75" customHeight="1" s="182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</row>
    <row r="989" ht="15.75" customHeight="1" s="182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</row>
    <row r="990" ht="15.75" customHeight="1" s="182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</row>
    <row r="991" ht="15.75" customHeight="1" s="182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</row>
    <row r="992" ht="15.75" customHeight="1" s="18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</row>
    <row r="993" ht="15.75" customHeight="1" s="182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</row>
    <row r="994" ht="15.75" customHeight="1" s="182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</row>
    <row r="995" ht="15.75" customHeight="1" s="182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</row>
    <row r="996" ht="15.75" customHeight="1" s="182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</row>
    <row r="997" ht="15.75" customHeight="1" s="182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</row>
    <row r="998" ht="15.75" customHeight="1" s="182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</row>
    <row r="999" ht="15.75" customHeight="1" s="182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</row>
    <row r="1000" ht="15.75" customHeight="1" s="182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</row>
  </sheetData>
  <mergeCells count="12">
    <mergeCell ref="B4:F4"/>
    <mergeCell ref="B7:F7"/>
    <mergeCell ref="B6:F6"/>
    <mergeCell ref="G6:I6"/>
    <mergeCell ref="G5:I5"/>
    <mergeCell ref="B5:F5"/>
    <mergeCell ref="A1:I1"/>
    <mergeCell ref="A9:I9"/>
    <mergeCell ref="A24:H27"/>
    <mergeCell ref="G4:I4"/>
    <mergeCell ref="A3:I3"/>
    <mergeCell ref="G7:I7"/>
  </mergeCells>
  <dataValidations count="1">
    <dataValidation sqref="F11:F22" showDropDown="0" showInputMessage="0" showErrorMessage="0" allowBlank="1" type="list">
      <formula1>"x"</formula1>
    </dataValidation>
  </dataValidation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114884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" customWidth="1" style="182" min="1" max="1"/>
    <col width="34" customWidth="1" style="182" min="2" max="2"/>
    <col width="46" customWidth="1" style="182" min="3" max="3"/>
    <col width="8.710000000000001" customWidth="1" style="182" min="4" max="6"/>
  </cols>
  <sheetData>
    <row r="1" ht="49.5" customHeight="1" s="182">
      <c r="A1" s="193" t="inlineStr">
        <is>
          <t>⚓  Kategorien</t>
        </is>
      </c>
      <c r="B1" s="194" t="n"/>
      <c r="C1" s="19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4" customHeight="1" s="182">
      <c r="A2" s="210" t="inlineStr">
        <is>
          <t>Hier Kategorien verwalten — werden automatisch in Eingabe, Transaktionen und Auswertung übernommen</t>
        </is>
      </c>
      <c r="B2" s="211" t="n"/>
      <c r="C2" s="211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7.75" customHeight="1" s="182">
      <c r="A3" s="51" t="inlineStr">
        <is>
          <t>Nr.</t>
        </is>
      </c>
      <c r="B3" s="51" t="inlineStr">
        <is>
          <t>Kategorie</t>
        </is>
      </c>
      <c r="C3" s="52" t="inlineStr">
        <is>
          <t>Empfohlene Aufteilung (nur Hinweis)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5.5" customHeight="1" s="182">
      <c r="A4" s="88" t="n">
        <v>1</v>
      </c>
      <c r="B4" s="55" t="inlineStr">
        <is>
          <t>Lebensmittel &amp; Getränke</t>
        </is>
      </c>
      <c r="C4" s="60" t="inlineStr">
        <is>
          <t>Gleichmäßig oder An Bord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5.5" customHeight="1" s="182">
      <c r="A5" s="88" t="n">
        <v>2</v>
      </c>
      <c r="B5" s="62" t="inlineStr">
        <is>
          <t>Restaurants</t>
        </is>
      </c>
      <c r="C5" s="67" t="inlineStr">
        <is>
          <t>An Bord (nur Anwesende)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5.5" customHeight="1" s="182">
      <c r="A6" s="88" t="n">
        <v>3</v>
      </c>
      <c r="B6" s="55" t="inlineStr">
        <is>
          <t>Versicherungen</t>
        </is>
      </c>
      <c r="C6" s="60" t="inlineStr">
        <is>
          <t>Zeitanteilig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5.5" customHeight="1" s="182">
      <c r="A7" s="88" t="n">
        <v>4</v>
      </c>
      <c r="B7" s="62" t="inlineStr">
        <is>
          <t>Hafen- &amp; Brückengebühren</t>
        </is>
      </c>
      <c r="C7" s="67" t="inlineStr">
        <is>
          <t>An Bord (nur Anwesende)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5.5" customHeight="1" s="182">
      <c r="A8" s="88" t="n">
        <v>5</v>
      </c>
      <c r="B8" s="55" t="inlineStr">
        <is>
          <t>Sprit</t>
        </is>
      </c>
      <c r="C8" s="60" t="inlineStr">
        <is>
          <t>Zeitanteilig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5.5" customHeight="1" s="182">
      <c r="A9" s="88" t="n">
        <v>6</v>
      </c>
      <c r="B9" s="62" t="inlineStr">
        <is>
          <t>Kaution</t>
        </is>
      </c>
      <c r="C9" s="67" t="inlineStr">
        <is>
          <t>Zeitanteilig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5.5" customHeight="1" s="182">
      <c r="A10" s="88" t="n">
        <v>7</v>
      </c>
      <c r="B10" s="55" t="inlineStr">
        <is>
          <t>Schwimmwesten</t>
        </is>
      </c>
      <c r="C10" s="60" t="inlineStr">
        <is>
          <t>Individuell (x setzen)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5.5" customHeight="1" s="182">
      <c r="A11" s="88" t="n">
        <v>8</v>
      </c>
      <c r="B11" s="62" t="inlineStr">
        <is>
          <t>Spaßaddons</t>
        </is>
      </c>
      <c r="C11" s="67" t="inlineStr">
        <is>
          <t>Individuell oder Gleichmäßig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5.5" customHeight="1" s="182">
      <c r="A12" s="88" t="n">
        <v>9</v>
      </c>
      <c r="B12" s="55" t="inlineStr">
        <is>
          <t>Sonstiges</t>
        </is>
      </c>
      <c r="C12" s="60" t="inlineStr">
        <is>
          <t>Gleichmäßig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5.5" customHeight="1" s="182">
      <c r="A13" s="88" t="n">
        <v>10</v>
      </c>
      <c r="B13" s="89" t="inlineStr">
        <is>
          <t>← neue Kategorie hier eintragen</t>
        </is>
      </c>
      <c r="C13" s="67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5.5" customHeight="1" s="182">
      <c r="A14" s="88" t="n">
        <v>11</v>
      </c>
      <c r="B14" s="90" t="inlineStr">
        <is>
          <t>← neue Kategorie hier eintragen</t>
        </is>
      </c>
      <c r="C14" s="60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5.5" customHeight="1" s="182">
      <c r="A15" s="88" t="n">
        <v>12</v>
      </c>
      <c r="B15" s="89" t="inlineStr">
        <is>
          <t>← neue Kategorie hier eintragen</t>
        </is>
      </c>
      <c r="C15" s="67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5.5" customHeight="1" s="182">
      <c r="A16" s="88" t="n">
        <v>13</v>
      </c>
      <c r="B16" s="90" t="inlineStr">
        <is>
          <t>← neue Kategorie hier eintragen</t>
        </is>
      </c>
      <c r="C16" s="60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25.5" customHeight="1" s="182">
      <c r="A17" s="88" t="n">
        <v>14</v>
      </c>
      <c r="B17" s="89" t="inlineStr">
        <is>
          <t>← neue Kategorie hier eintragen</t>
        </is>
      </c>
      <c r="C17" s="67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5.5" customHeight="1" s="182">
      <c r="A18" s="88" t="n">
        <v>15</v>
      </c>
      <c r="B18" s="90" t="inlineStr">
        <is>
          <t>← neue Kategorie hier eintragen</t>
        </is>
      </c>
      <c r="C18" s="60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5.5" customHeight="1" s="182">
      <c r="A19" s="88" t="n">
        <v>16</v>
      </c>
      <c r="B19" s="89" t="inlineStr">
        <is>
          <t>← neue Kategorie hier eintragen</t>
        </is>
      </c>
      <c r="C19" s="67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5.5" customHeight="1" s="182">
      <c r="A20" s="88" t="n">
        <v>17</v>
      </c>
      <c r="B20" s="90" t="inlineStr">
        <is>
          <t>← neue Kategorie hier eintragen</t>
        </is>
      </c>
      <c r="C20" s="60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5.5" customHeight="1" s="182">
      <c r="A21" s="88" t="n">
        <v>18</v>
      </c>
      <c r="B21" s="89" t="inlineStr">
        <is>
          <t>← neue Kategorie hier eintragen</t>
        </is>
      </c>
      <c r="C21" s="67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5.5" customHeight="1" s="182">
      <c r="A22" s="88" t="n">
        <v>19</v>
      </c>
      <c r="B22" s="90" t="inlineStr">
        <is>
          <t>← neue Kategorie hier eintragen</t>
        </is>
      </c>
      <c r="C22" s="60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5.5" customHeight="1" s="182">
      <c r="A23" s="91" t="n">
        <v>20</v>
      </c>
      <c r="B23" s="92" t="inlineStr">
        <is>
          <t>← neue Kategorie hier eintragen</t>
        </is>
      </c>
      <c r="C23" s="7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182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182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182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182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182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182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182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182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18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18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182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182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182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182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182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182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182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182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18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182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182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182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182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182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182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182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182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182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18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182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182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182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182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182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182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182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182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182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18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182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182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182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182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18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182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182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182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182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18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182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182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182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182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182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182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182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182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182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1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182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182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182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182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182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182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182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182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182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18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182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182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182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182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182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182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182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182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182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18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182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182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182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182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182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182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182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182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182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18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182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182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182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182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182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182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182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182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182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18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182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182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182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182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182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182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182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182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182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18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182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182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182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182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182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182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182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182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182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18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182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182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182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182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182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182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182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182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182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18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182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182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182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182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182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182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182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182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182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18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182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182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182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182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182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182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182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182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182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18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182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182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182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182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182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182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182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182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182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182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182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182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182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182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182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182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182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182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18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182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182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182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182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182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182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182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182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182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18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182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18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18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18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18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18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18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18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18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18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18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18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18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18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18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18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18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18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182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18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182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182">
      <c r="A224" s="4" t="n"/>
      <c r="B224" s="4" t="n"/>
      <c r="C224" s="4" t="n"/>
      <c r="D224" s="4" t="n"/>
      <c r="E224" s="4" t="n"/>
      <c r="F224" s="4" t="n"/>
    </row>
    <row r="225" ht="15.75" customHeight="1" s="182">
      <c r="A225" s="4" t="n"/>
      <c r="B225" s="4" t="n"/>
      <c r="C225" s="4" t="n"/>
      <c r="D225" s="4" t="n"/>
      <c r="E225" s="4" t="n"/>
      <c r="F225" s="4" t="n"/>
    </row>
    <row r="226" ht="15.75" customHeight="1" s="182">
      <c r="A226" s="4" t="n"/>
      <c r="B226" s="4" t="n"/>
      <c r="C226" s="4" t="n"/>
      <c r="D226" s="4" t="n"/>
      <c r="E226" s="4" t="n"/>
      <c r="F226" s="4" t="n"/>
    </row>
    <row r="227" ht="15.75" customHeight="1" s="182">
      <c r="A227" s="4" t="n"/>
      <c r="B227" s="4" t="n"/>
      <c r="C227" s="4" t="n"/>
      <c r="D227" s="4" t="n"/>
      <c r="E227" s="4" t="n"/>
      <c r="F227" s="4" t="n"/>
    </row>
    <row r="228" ht="15.75" customHeight="1" s="182">
      <c r="A228" s="4" t="n"/>
      <c r="B228" s="4" t="n"/>
      <c r="C228" s="4" t="n"/>
      <c r="D228" s="4" t="n"/>
      <c r="E228" s="4" t="n"/>
      <c r="F228" s="4" t="n"/>
    </row>
    <row r="229" ht="15.75" customHeight="1" s="182">
      <c r="A229" s="4" t="n"/>
      <c r="B229" s="4" t="n"/>
      <c r="C229" s="4" t="n"/>
      <c r="D229" s="4" t="n"/>
      <c r="E229" s="4" t="n"/>
      <c r="F229" s="4" t="n"/>
    </row>
    <row r="230" ht="15.75" customHeight="1" s="182">
      <c r="A230" s="4" t="n"/>
      <c r="B230" s="4" t="n"/>
      <c r="C230" s="4" t="n"/>
      <c r="D230" s="4" t="n"/>
      <c r="E230" s="4" t="n"/>
      <c r="F230" s="4" t="n"/>
    </row>
    <row r="231" ht="15.75" customHeight="1" s="182">
      <c r="A231" s="4" t="n"/>
      <c r="B231" s="4" t="n"/>
      <c r="C231" s="4" t="n"/>
      <c r="D231" s="4" t="n"/>
      <c r="E231" s="4" t="n"/>
      <c r="F231" s="4" t="n"/>
    </row>
    <row r="232" ht="15.75" customHeight="1" s="182">
      <c r="A232" s="4" t="n"/>
      <c r="B232" s="4" t="n"/>
      <c r="C232" s="4" t="n"/>
      <c r="D232" s="4" t="n"/>
      <c r="E232" s="4" t="n"/>
      <c r="F232" s="4" t="n"/>
    </row>
    <row r="233" ht="15.75" customHeight="1" s="182">
      <c r="A233" s="4" t="n"/>
      <c r="B233" s="4" t="n"/>
      <c r="C233" s="4" t="n"/>
      <c r="D233" s="4" t="n"/>
      <c r="E233" s="4" t="n"/>
      <c r="F233" s="4" t="n"/>
    </row>
    <row r="234" ht="15.75" customHeight="1" s="182">
      <c r="A234" s="4" t="n"/>
      <c r="B234" s="4" t="n"/>
      <c r="C234" s="4" t="n"/>
      <c r="D234" s="4" t="n"/>
      <c r="E234" s="4" t="n"/>
      <c r="F234" s="4" t="n"/>
    </row>
    <row r="235" ht="15.75" customHeight="1" s="182">
      <c r="A235" s="4" t="n"/>
      <c r="B235" s="4" t="n"/>
      <c r="C235" s="4" t="n"/>
      <c r="D235" s="4" t="n"/>
      <c r="E235" s="4" t="n"/>
      <c r="F235" s="4" t="n"/>
    </row>
    <row r="236" ht="15.75" customHeight="1" s="182">
      <c r="A236" s="4" t="n"/>
      <c r="B236" s="4" t="n"/>
      <c r="C236" s="4" t="n"/>
      <c r="D236" s="4" t="n"/>
      <c r="E236" s="4" t="n"/>
      <c r="F236" s="4" t="n"/>
    </row>
    <row r="237" ht="15.75" customHeight="1" s="182">
      <c r="A237" s="4" t="n"/>
      <c r="B237" s="4" t="n"/>
      <c r="C237" s="4" t="n"/>
      <c r="D237" s="4" t="n"/>
      <c r="E237" s="4" t="n"/>
      <c r="F237" s="4" t="n"/>
    </row>
    <row r="238" ht="15.75" customHeight="1" s="182">
      <c r="A238" s="4" t="n"/>
      <c r="B238" s="4" t="n"/>
      <c r="C238" s="4" t="n"/>
      <c r="D238" s="4" t="n"/>
      <c r="E238" s="4" t="n"/>
      <c r="F238" s="4" t="n"/>
    </row>
    <row r="239" ht="15.75" customHeight="1" s="182">
      <c r="A239" s="4" t="n"/>
      <c r="B239" s="4" t="n"/>
      <c r="C239" s="4" t="n"/>
      <c r="D239" s="4" t="n"/>
      <c r="E239" s="4" t="n"/>
      <c r="F239" s="4" t="n"/>
    </row>
    <row r="240" ht="15.75" customHeight="1" s="182">
      <c r="A240" s="4" t="n"/>
      <c r="B240" s="4" t="n"/>
      <c r="C240" s="4" t="n"/>
      <c r="D240" s="4" t="n"/>
      <c r="E240" s="4" t="n"/>
      <c r="F240" s="4" t="n"/>
    </row>
    <row r="241" ht="15.75" customHeight="1" s="182">
      <c r="A241" s="4" t="n"/>
      <c r="B241" s="4" t="n"/>
      <c r="C241" s="4" t="n"/>
      <c r="D241" s="4" t="n"/>
      <c r="E241" s="4" t="n"/>
      <c r="F241" s="4" t="n"/>
    </row>
    <row r="242" ht="15.75" customHeight="1" s="182">
      <c r="A242" s="4" t="n"/>
      <c r="B242" s="4" t="n"/>
      <c r="C242" s="4" t="n"/>
      <c r="D242" s="4" t="n"/>
      <c r="E242" s="4" t="n"/>
      <c r="F242" s="4" t="n"/>
    </row>
    <row r="243" ht="15.75" customHeight="1" s="182">
      <c r="A243" s="4" t="n"/>
      <c r="B243" s="4" t="n"/>
      <c r="C243" s="4" t="n"/>
      <c r="D243" s="4" t="n"/>
      <c r="E243" s="4" t="n"/>
      <c r="F243" s="4" t="n"/>
    </row>
    <row r="244" ht="15.75" customHeight="1" s="182">
      <c r="A244" s="4" t="n"/>
      <c r="B244" s="4" t="n"/>
      <c r="C244" s="4" t="n"/>
      <c r="D244" s="4" t="n"/>
      <c r="E244" s="4" t="n"/>
      <c r="F244" s="4" t="n"/>
    </row>
    <row r="245" ht="15.75" customHeight="1" s="182">
      <c r="A245" s="4" t="n"/>
      <c r="B245" s="4" t="n"/>
      <c r="C245" s="4" t="n"/>
      <c r="D245" s="4" t="n"/>
      <c r="E245" s="4" t="n"/>
      <c r="F245" s="4" t="n"/>
    </row>
    <row r="246" ht="15.75" customHeight="1" s="182">
      <c r="A246" s="4" t="n"/>
      <c r="B246" s="4" t="n"/>
      <c r="C246" s="4" t="n"/>
      <c r="D246" s="4" t="n"/>
      <c r="E246" s="4" t="n"/>
      <c r="F246" s="4" t="n"/>
    </row>
    <row r="247" ht="15.75" customHeight="1" s="182">
      <c r="A247" s="4" t="n"/>
      <c r="B247" s="4" t="n"/>
      <c r="C247" s="4" t="n"/>
      <c r="D247" s="4" t="n"/>
      <c r="E247" s="4" t="n"/>
      <c r="F247" s="4" t="n"/>
    </row>
    <row r="248" ht="15.75" customHeight="1" s="182">
      <c r="A248" s="4" t="n"/>
      <c r="B248" s="4" t="n"/>
      <c r="C248" s="4" t="n"/>
      <c r="D248" s="4" t="n"/>
      <c r="E248" s="4" t="n"/>
      <c r="F248" s="4" t="n"/>
    </row>
    <row r="249" ht="15.75" customHeight="1" s="182">
      <c r="A249" s="4" t="n"/>
      <c r="B249" s="4" t="n"/>
      <c r="C249" s="4" t="n"/>
      <c r="D249" s="4" t="n"/>
      <c r="E249" s="4" t="n"/>
      <c r="F249" s="4" t="n"/>
    </row>
    <row r="250" ht="15.75" customHeight="1" s="182">
      <c r="A250" s="4" t="n"/>
      <c r="B250" s="4" t="n"/>
      <c r="C250" s="4" t="n"/>
      <c r="D250" s="4" t="n"/>
      <c r="E250" s="4" t="n"/>
      <c r="F250" s="4" t="n"/>
    </row>
    <row r="251" ht="15.75" customHeight="1" s="182">
      <c r="A251" s="4" t="n"/>
      <c r="B251" s="4" t="n"/>
      <c r="C251" s="4" t="n"/>
      <c r="D251" s="4" t="n"/>
      <c r="E251" s="4" t="n"/>
      <c r="F251" s="4" t="n"/>
    </row>
    <row r="252" ht="15.75" customHeight="1" s="182">
      <c r="A252" s="4" t="n"/>
      <c r="B252" s="4" t="n"/>
      <c r="C252" s="4" t="n"/>
      <c r="D252" s="4" t="n"/>
      <c r="E252" s="4" t="n"/>
      <c r="F252" s="4" t="n"/>
    </row>
    <row r="253" ht="15.75" customHeight="1" s="182">
      <c r="A253" s="4" t="n"/>
      <c r="B253" s="4" t="n"/>
      <c r="C253" s="4" t="n"/>
      <c r="D253" s="4" t="n"/>
      <c r="E253" s="4" t="n"/>
      <c r="F253" s="4" t="n"/>
    </row>
    <row r="254" ht="15.75" customHeight="1" s="182">
      <c r="A254" s="4" t="n"/>
      <c r="B254" s="4" t="n"/>
      <c r="C254" s="4" t="n"/>
      <c r="D254" s="4" t="n"/>
      <c r="E254" s="4" t="n"/>
      <c r="F254" s="4" t="n"/>
    </row>
    <row r="255" ht="15.75" customHeight="1" s="182">
      <c r="A255" s="4" t="n"/>
      <c r="B255" s="4" t="n"/>
      <c r="C255" s="4" t="n"/>
      <c r="D255" s="4" t="n"/>
      <c r="E255" s="4" t="n"/>
      <c r="F255" s="4" t="n"/>
    </row>
    <row r="256" ht="15.75" customHeight="1" s="182">
      <c r="A256" s="4" t="n"/>
      <c r="B256" s="4" t="n"/>
      <c r="C256" s="4" t="n"/>
      <c r="D256" s="4" t="n"/>
      <c r="E256" s="4" t="n"/>
      <c r="F256" s="4" t="n"/>
    </row>
    <row r="257" ht="15.75" customHeight="1" s="182">
      <c r="A257" s="4" t="n"/>
      <c r="B257" s="4" t="n"/>
      <c r="C257" s="4" t="n"/>
      <c r="D257" s="4" t="n"/>
      <c r="E257" s="4" t="n"/>
      <c r="F257" s="4" t="n"/>
    </row>
    <row r="258" ht="15.75" customHeight="1" s="182">
      <c r="A258" s="4" t="n"/>
      <c r="B258" s="4" t="n"/>
      <c r="C258" s="4" t="n"/>
      <c r="D258" s="4" t="n"/>
      <c r="E258" s="4" t="n"/>
      <c r="F258" s="4" t="n"/>
    </row>
    <row r="259" ht="15.75" customHeight="1" s="182">
      <c r="A259" s="4" t="n"/>
      <c r="B259" s="4" t="n"/>
      <c r="C259" s="4" t="n"/>
      <c r="D259" s="4" t="n"/>
      <c r="E259" s="4" t="n"/>
      <c r="F259" s="4" t="n"/>
    </row>
    <row r="260" ht="15.75" customHeight="1" s="182">
      <c r="A260" s="4" t="n"/>
      <c r="B260" s="4" t="n"/>
      <c r="C260" s="4" t="n"/>
      <c r="D260" s="4" t="n"/>
      <c r="E260" s="4" t="n"/>
      <c r="F260" s="4" t="n"/>
    </row>
    <row r="261" ht="15.75" customHeight="1" s="182">
      <c r="A261" s="4" t="n"/>
      <c r="B261" s="4" t="n"/>
      <c r="C261" s="4" t="n"/>
      <c r="D261" s="4" t="n"/>
      <c r="E261" s="4" t="n"/>
      <c r="F261" s="4" t="n"/>
    </row>
    <row r="262" ht="15.75" customHeight="1" s="182">
      <c r="A262" s="4" t="n"/>
      <c r="B262" s="4" t="n"/>
      <c r="C262" s="4" t="n"/>
      <c r="D262" s="4" t="n"/>
      <c r="E262" s="4" t="n"/>
      <c r="F262" s="4" t="n"/>
    </row>
    <row r="263" ht="15.75" customHeight="1" s="182">
      <c r="A263" s="4" t="n"/>
      <c r="B263" s="4" t="n"/>
      <c r="C263" s="4" t="n"/>
      <c r="D263" s="4" t="n"/>
      <c r="E263" s="4" t="n"/>
      <c r="F263" s="4" t="n"/>
    </row>
    <row r="264" ht="15.75" customHeight="1" s="182">
      <c r="A264" s="4" t="n"/>
      <c r="B264" s="4" t="n"/>
      <c r="C264" s="4" t="n"/>
      <c r="D264" s="4" t="n"/>
      <c r="E264" s="4" t="n"/>
      <c r="F264" s="4" t="n"/>
    </row>
    <row r="265" ht="15.75" customHeight="1" s="182">
      <c r="A265" s="4" t="n"/>
      <c r="B265" s="4" t="n"/>
      <c r="C265" s="4" t="n"/>
      <c r="D265" s="4" t="n"/>
      <c r="E265" s="4" t="n"/>
      <c r="F265" s="4" t="n"/>
    </row>
    <row r="266" ht="15.75" customHeight="1" s="182">
      <c r="A266" s="4" t="n"/>
      <c r="B266" s="4" t="n"/>
      <c r="C266" s="4" t="n"/>
      <c r="D266" s="4" t="n"/>
      <c r="E266" s="4" t="n"/>
      <c r="F266" s="4" t="n"/>
    </row>
    <row r="267" ht="15.75" customHeight="1" s="182">
      <c r="A267" s="4" t="n"/>
      <c r="B267" s="4" t="n"/>
      <c r="C267" s="4" t="n"/>
      <c r="D267" s="4" t="n"/>
      <c r="E267" s="4" t="n"/>
      <c r="F267" s="4" t="n"/>
    </row>
    <row r="268" ht="15.75" customHeight="1" s="182">
      <c r="A268" s="4" t="n"/>
      <c r="B268" s="4" t="n"/>
      <c r="C268" s="4" t="n"/>
      <c r="D268" s="4" t="n"/>
      <c r="E268" s="4" t="n"/>
      <c r="F268" s="4" t="n"/>
    </row>
    <row r="269" ht="15.75" customHeight="1" s="182">
      <c r="A269" s="4" t="n"/>
      <c r="B269" s="4" t="n"/>
      <c r="C269" s="4" t="n"/>
      <c r="D269" s="4" t="n"/>
      <c r="E269" s="4" t="n"/>
      <c r="F269" s="4" t="n"/>
    </row>
    <row r="270" ht="15.75" customHeight="1" s="182">
      <c r="A270" s="4" t="n"/>
      <c r="B270" s="4" t="n"/>
      <c r="C270" s="4" t="n"/>
      <c r="D270" s="4" t="n"/>
      <c r="E270" s="4" t="n"/>
      <c r="F270" s="4" t="n"/>
    </row>
    <row r="271" ht="15.75" customHeight="1" s="182">
      <c r="A271" s="4" t="n"/>
      <c r="B271" s="4" t="n"/>
      <c r="C271" s="4" t="n"/>
      <c r="D271" s="4" t="n"/>
      <c r="E271" s="4" t="n"/>
      <c r="F271" s="4" t="n"/>
    </row>
    <row r="272" ht="15.75" customHeight="1" s="182">
      <c r="A272" s="4" t="n"/>
      <c r="B272" s="4" t="n"/>
      <c r="C272" s="4" t="n"/>
      <c r="D272" s="4" t="n"/>
      <c r="E272" s="4" t="n"/>
      <c r="F272" s="4" t="n"/>
    </row>
    <row r="273" ht="15.75" customHeight="1" s="182">
      <c r="A273" s="4" t="n"/>
      <c r="B273" s="4" t="n"/>
      <c r="C273" s="4" t="n"/>
      <c r="D273" s="4" t="n"/>
      <c r="E273" s="4" t="n"/>
      <c r="F273" s="4" t="n"/>
    </row>
    <row r="274" ht="15.75" customHeight="1" s="182">
      <c r="A274" s="4" t="n"/>
      <c r="B274" s="4" t="n"/>
      <c r="C274" s="4" t="n"/>
      <c r="D274" s="4" t="n"/>
      <c r="E274" s="4" t="n"/>
      <c r="F274" s="4" t="n"/>
    </row>
    <row r="275" ht="15.75" customHeight="1" s="182">
      <c r="A275" s="4" t="n"/>
      <c r="B275" s="4" t="n"/>
      <c r="C275" s="4" t="n"/>
      <c r="D275" s="4" t="n"/>
      <c r="E275" s="4" t="n"/>
      <c r="F275" s="4" t="n"/>
    </row>
    <row r="276" ht="15.75" customHeight="1" s="182">
      <c r="A276" s="4" t="n"/>
      <c r="B276" s="4" t="n"/>
      <c r="C276" s="4" t="n"/>
      <c r="D276" s="4" t="n"/>
      <c r="E276" s="4" t="n"/>
      <c r="F276" s="4" t="n"/>
    </row>
    <row r="277" ht="15.75" customHeight="1" s="182">
      <c r="A277" s="4" t="n"/>
      <c r="B277" s="4" t="n"/>
      <c r="C277" s="4" t="n"/>
      <c r="D277" s="4" t="n"/>
      <c r="E277" s="4" t="n"/>
      <c r="F277" s="4" t="n"/>
    </row>
    <row r="278" ht="15.75" customHeight="1" s="182">
      <c r="A278" s="4" t="n"/>
      <c r="B278" s="4" t="n"/>
      <c r="C278" s="4" t="n"/>
      <c r="D278" s="4" t="n"/>
      <c r="E278" s="4" t="n"/>
      <c r="F278" s="4" t="n"/>
    </row>
    <row r="279" ht="15.75" customHeight="1" s="182">
      <c r="A279" s="4" t="n"/>
      <c r="B279" s="4" t="n"/>
      <c r="C279" s="4" t="n"/>
      <c r="D279" s="4" t="n"/>
      <c r="E279" s="4" t="n"/>
      <c r="F279" s="4" t="n"/>
    </row>
    <row r="280" ht="15.75" customHeight="1" s="182">
      <c r="A280" s="4" t="n"/>
      <c r="B280" s="4" t="n"/>
      <c r="C280" s="4" t="n"/>
      <c r="D280" s="4" t="n"/>
      <c r="E280" s="4" t="n"/>
      <c r="F280" s="4" t="n"/>
    </row>
    <row r="281" ht="15.75" customHeight="1" s="182">
      <c r="A281" s="4" t="n"/>
      <c r="B281" s="4" t="n"/>
      <c r="C281" s="4" t="n"/>
      <c r="D281" s="4" t="n"/>
      <c r="E281" s="4" t="n"/>
      <c r="F281" s="4" t="n"/>
    </row>
    <row r="282" ht="15.75" customHeight="1" s="182">
      <c r="A282" s="4" t="n"/>
      <c r="B282" s="4" t="n"/>
      <c r="C282" s="4" t="n"/>
      <c r="D282" s="4" t="n"/>
      <c r="E282" s="4" t="n"/>
      <c r="F282" s="4" t="n"/>
    </row>
    <row r="283" ht="15.75" customHeight="1" s="182">
      <c r="A283" s="4" t="n"/>
      <c r="B283" s="4" t="n"/>
      <c r="C283" s="4" t="n"/>
      <c r="D283" s="4" t="n"/>
      <c r="E283" s="4" t="n"/>
      <c r="F283" s="4" t="n"/>
    </row>
    <row r="284" ht="15.75" customHeight="1" s="182">
      <c r="A284" s="4" t="n"/>
      <c r="B284" s="4" t="n"/>
      <c r="C284" s="4" t="n"/>
      <c r="D284" s="4" t="n"/>
      <c r="E284" s="4" t="n"/>
      <c r="F284" s="4" t="n"/>
    </row>
    <row r="285" ht="15.75" customHeight="1" s="182">
      <c r="A285" s="4" t="n"/>
      <c r="B285" s="4" t="n"/>
      <c r="C285" s="4" t="n"/>
      <c r="D285" s="4" t="n"/>
      <c r="E285" s="4" t="n"/>
      <c r="F285" s="4" t="n"/>
    </row>
    <row r="286" ht="15.75" customHeight="1" s="182">
      <c r="A286" s="4" t="n"/>
      <c r="B286" s="4" t="n"/>
      <c r="C286" s="4" t="n"/>
      <c r="D286" s="4" t="n"/>
      <c r="E286" s="4" t="n"/>
      <c r="F286" s="4" t="n"/>
    </row>
    <row r="287" ht="15.75" customHeight="1" s="182">
      <c r="A287" s="4" t="n"/>
      <c r="B287" s="4" t="n"/>
      <c r="C287" s="4" t="n"/>
      <c r="D287" s="4" t="n"/>
      <c r="E287" s="4" t="n"/>
      <c r="F287" s="4" t="n"/>
    </row>
    <row r="288" ht="15.75" customHeight="1" s="182">
      <c r="A288" s="4" t="n"/>
      <c r="B288" s="4" t="n"/>
      <c r="C288" s="4" t="n"/>
      <c r="D288" s="4" t="n"/>
      <c r="E288" s="4" t="n"/>
      <c r="F288" s="4" t="n"/>
    </row>
    <row r="289" ht="15.75" customHeight="1" s="182">
      <c r="A289" s="4" t="n"/>
      <c r="B289" s="4" t="n"/>
      <c r="C289" s="4" t="n"/>
      <c r="D289" s="4" t="n"/>
      <c r="E289" s="4" t="n"/>
      <c r="F289" s="4" t="n"/>
    </row>
    <row r="290" ht="15.75" customHeight="1" s="182">
      <c r="A290" s="4" t="n"/>
      <c r="B290" s="4" t="n"/>
      <c r="C290" s="4" t="n"/>
      <c r="D290" s="4" t="n"/>
      <c r="E290" s="4" t="n"/>
      <c r="F290" s="4" t="n"/>
    </row>
    <row r="291" ht="15.75" customHeight="1" s="182">
      <c r="A291" s="4" t="n"/>
      <c r="B291" s="4" t="n"/>
      <c r="C291" s="4" t="n"/>
      <c r="D291" s="4" t="n"/>
      <c r="E291" s="4" t="n"/>
      <c r="F291" s="4" t="n"/>
    </row>
    <row r="292" ht="15.75" customHeight="1" s="182">
      <c r="A292" s="4" t="n"/>
      <c r="B292" s="4" t="n"/>
      <c r="C292" s="4" t="n"/>
      <c r="D292" s="4" t="n"/>
      <c r="E292" s="4" t="n"/>
      <c r="F292" s="4" t="n"/>
    </row>
    <row r="293" ht="15.75" customHeight="1" s="182">
      <c r="A293" s="4" t="n"/>
      <c r="B293" s="4" t="n"/>
      <c r="C293" s="4" t="n"/>
      <c r="D293" s="4" t="n"/>
      <c r="E293" s="4" t="n"/>
      <c r="F293" s="4" t="n"/>
    </row>
    <row r="294" ht="15.75" customHeight="1" s="182">
      <c r="A294" s="4" t="n"/>
      <c r="B294" s="4" t="n"/>
      <c r="C294" s="4" t="n"/>
      <c r="D294" s="4" t="n"/>
      <c r="E294" s="4" t="n"/>
      <c r="F294" s="4" t="n"/>
    </row>
    <row r="295" ht="15.75" customHeight="1" s="182">
      <c r="A295" s="4" t="n"/>
      <c r="B295" s="4" t="n"/>
      <c r="C295" s="4" t="n"/>
      <c r="D295" s="4" t="n"/>
      <c r="E295" s="4" t="n"/>
      <c r="F295" s="4" t="n"/>
    </row>
    <row r="296" ht="15.75" customHeight="1" s="182">
      <c r="A296" s="4" t="n"/>
      <c r="B296" s="4" t="n"/>
      <c r="C296" s="4" t="n"/>
      <c r="D296" s="4" t="n"/>
      <c r="E296" s="4" t="n"/>
      <c r="F296" s="4" t="n"/>
    </row>
    <row r="297" ht="15.75" customHeight="1" s="182">
      <c r="A297" s="4" t="n"/>
      <c r="B297" s="4" t="n"/>
      <c r="C297" s="4" t="n"/>
      <c r="D297" s="4" t="n"/>
      <c r="E297" s="4" t="n"/>
      <c r="F297" s="4" t="n"/>
    </row>
    <row r="298" ht="15.75" customHeight="1" s="182">
      <c r="A298" s="4" t="n"/>
      <c r="B298" s="4" t="n"/>
      <c r="C298" s="4" t="n"/>
      <c r="D298" s="4" t="n"/>
      <c r="E298" s="4" t="n"/>
      <c r="F298" s="4" t="n"/>
    </row>
    <row r="299" ht="15.75" customHeight="1" s="182">
      <c r="A299" s="4" t="n"/>
      <c r="B299" s="4" t="n"/>
      <c r="C299" s="4" t="n"/>
      <c r="D299" s="4" t="n"/>
      <c r="E299" s="4" t="n"/>
      <c r="F299" s="4" t="n"/>
    </row>
    <row r="300" ht="15.75" customHeight="1" s="182">
      <c r="A300" s="4" t="n"/>
      <c r="B300" s="4" t="n"/>
      <c r="C300" s="4" t="n"/>
      <c r="D300" s="4" t="n"/>
      <c r="E300" s="4" t="n"/>
      <c r="F300" s="4" t="n"/>
    </row>
    <row r="301" ht="15.75" customHeight="1" s="182">
      <c r="A301" s="4" t="n"/>
      <c r="B301" s="4" t="n"/>
      <c r="C301" s="4" t="n"/>
      <c r="D301" s="4" t="n"/>
      <c r="E301" s="4" t="n"/>
      <c r="F301" s="4" t="n"/>
    </row>
    <row r="302" ht="15.75" customHeight="1" s="182">
      <c r="A302" s="4" t="n"/>
      <c r="B302" s="4" t="n"/>
      <c r="C302" s="4" t="n"/>
      <c r="D302" s="4" t="n"/>
      <c r="E302" s="4" t="n"/>
      <c r="F302" s="4" t="n"/>
    </row>
    <row r="303" ht="15.75" customHeight="1" s="182">
      <c r="A303" s="4" t="n"/>
      <c r="B303" s="4" t="n"/>
      <c r="C303" s="4" t="n"/>
      <c r="D303" s="4" t="n"/>
      <c r="E303" s="4" t="n"/>
      <c r="F303" s="4" t="n"/>
    </row>
    <row r="304" ht="15.75" customHeight="1" s="182">
      <c r="A304" s="4" t="n"/>
      <c r="B304" s="4" t="n"/>
      <c r="C304" s="4" t="n"/>
      <c r="D304" s="4" t="n"/>
      <c r="E304" s="4" t="n"/>
      <c r="F304" s="4" t="n"/>
    </row>
    <row r="305" ht="15.75" customHeight="1" s="182">
      <c r="A305" s="4" t="n"/>
      <c r="B305" s="4" t="n"/>
      <c r="C305" s="4" t="n"/>
      <c r="D305" s="4" t="n"/>
      <c r="E305" s="4" t="n"/>
      <c r="F305" s="4" t="n"/>
    </row>
    <row r="306" ht="15.75" customHeight="1" s="182">
      <c r="A306" s="4" t="n"/>
      <c r="B306" s="4" t="n"/>
      <c r="C306" s="4" t="n"/>
      <c r="D306" s="4" t="n"/>
      <c r="E306" s="4" t="n"/>
      <c r="F306" s="4" t="n"/>
    </row>
    <row r="307" ht="15.75" customHeight="1" s="182">
      <c r="A307" s="4" t="n"/>
      <c r="B307" s="4" t="n"/>
      <c r="C307" s="4" t="n"/>
      <c r="D307" s="4" t="n"/>
      <c r="E307" s="4" t="n"/>
      <c r="F307" s="4" t="n"/>
    </row>
    <row r="308" ht="15.75" customHeight="1" s="182">
      <c r="A308" s="4" t="n"/>
      <c r="B308" s="4" t="n"/>
      <c r="C308" s="4" t="n"/>
      <c r="D308" s="4" t="n"/>
      <c r="E308" s="4" t="n"/>
      <c r="F308" s="4" t="n"/>
    </row>
    <row r="309" ht="15.75" customHeight="1" s="182">
      <c r="A309" s="4" t="n"/>
      <c r="B309" s="4" t="n"/>
      <c r="C309" s="4" t="n"/>
      <c r="D309" s="4" t="n"/>
      <c r="E309" s="4" t="n"/>
      <c r="F309" s="4" t="n"/>
    </row>
    <row r="310" ht="15.75" customHeight="1" s="182">
      <c r="A310" s="4" t="n"/>
      <c r="B310" s="4" t="n"/>
      <c r="C310" s="4" t="n"/>
      <c r="D310" s="4" t="n"/>
      <c r="E310" s="4" t="n"/>
      <c r="F310" s="4" t="n"/>
    </row>
    <row r="311" ht="15.75" customHeight="1" s="182">
      <c r="A311" s="4" t="n"/>
      <c r="B311" s="4" t="n"/>
      <c r="C311" s="4" t="n"/>
      <c r="D311" s="4" t="n"/>
      <c r="E311" s="4" t="n"/>
      <c r="F311" s="4" t="n"/>
    </row>
    <row r="312" ht="15.75" customHeight="1" s="182">
      <c r="A312" s="4" t="n"/>
      <c r="B312" s="4" t="n"/>
      <c r="C312" s="4" t="n"/>
      <c r="D312" s="4" t="n"/>
      <c r="E312" s="4" t="n"/>
      <c r="F312" s="4" t="n"/>
    </row>
    <row r="313" ht="15.75" customHeight="1" s="182">
      <c r="A313" s="4" t="n"/>
      <c r="B313" s="4" t="n"/>
      <c r="C313" s="4" t="n"/>
      <c r="D313" s="4" t="n"/>
      <c r="E313" s="4" t="n"/>
      <c r="F313" s="4" t="n"/>
    </row>
    <row r="314" ht="15.75" customHeight="1" s="182">
      <c r="A314" s="4" t="n"/>
      <c r="B314" s="4" t="n"/>
      <c r="C314" s="4" t="n"/>
      <c r="D314" s="4" t="n"/>
      <c r="E314" s="4" t="n"/>
      <c r="F314" s="4" t="n"/>
    </row>
    <row r="315" ht="15.75" customHeight="1" s="182">
      <c r="A315" s="4" t="n"/>
      <c r="B315" s="4" t="n"/>
      <c r="C315" s="4" t="n"/>
      <c r="D315" s="4" t="n"/>
      <c r="E315" s="4" t="n"/>
      <c r="F315" s="4" t="n"/>
    </row>
    <row r="316" ht="15.75" customHeight="1" s="182">
      <c r="A316" s="4" t="n"/>
      <c r="B316" s="4" t="n"/>
      <c r="C316" s="4" t="n"/>
      <c r="D316" s="4" t="n"/>
      <c r="E316" s="4" t="n"/>
      <c r="F316" s="4" t="n"/>
    </row>
    <row r="317" ht="15.75" customHeight="1" s="182">
      <c r="A317" s="4" t="n"/>
      <c r="B317" s="4" t="n"/>
      <c r="C317" s="4" t="n"/>
      <c r="D317" s="4" t="n"/>
      <c r="E317" s="4" t="n"/>
      <c r="F317" s="4" t="n"/>
    </row>
    <row r="318" ht="15.75" customHeight="1" s="182">
      <c r="A318" s="4" t="n"/>
      <c r="B318" s="4" t="n"/>
      <c r="C318" s="4" t="n"/>
      <c r="D318" s="4" t="n"/>
      <c r="E318" s="4" t="n"/>
      <c r="F318" s="4" t="n"/>
    </row>
    <row r="319" ht="15.75" customHeight="1" s="182">
      <c r="A319" s="4" t="n"/>
      <c r="B319" s="4" t="n"/>
      <c r="C319" s="4" t="n"/>
      <c r="D319" s="4" t="n"/>
      <c r="E319" s="4" t="n"/>
      <c r="F319" s="4" t="n"/>
    </row>
    <row r="320" ht="15.75" customHeight="1" s="182">
      <c r="A320" s="4" t="n"/>
      <c r="B320" s="4" t="n"/>
      <c r="C320" s="4" t="n"/>
      <c r="D320" s="4" t="n"/>
      <c r="E320" s="4" t="n"/>
      <c r="F320" s="4" t="n"/>
    </row>
    <row r="321" ht="15.75" customHeight="1" s="182">
      <c r="A321" s="4" t="n"/>
      <c r="B321" s="4" t="n"/>
      <c r="C321" s="4" t="n"/>
      <c r="D321" s="4" t="n"/>
      <c r="E321" s="4" t="n"/>
      <c r="F321" s="4" t="n"/>
    </row>
    <row r="322" ht="15.75" customHeight="1" s="182">
      <c r="A322" s="4" t="n"/>
      <c r="B322" s="4" t="n"/>
      <c r="C322" s="4" t="n"/>
      <c r="D322" s="4" t="n"/>
      <c r="E322" s="4" t="n"/>
      <c r="F322" s="4" t="n"/>
    </row>
    <row r="323" ht="15.75" customHeight="1" s="182">
      <c r="A323" s="4" t="n"/>
      <c r="B323" s="4" t="n"/>
      <c r="C323" s="4" t="n"/>
      <c r="D323" s="4" t="n"/>
      <c r="E323" s="4" t="n"/>
      <c r="F323" s="4" t="n"/>
    </row>
    <row r="324" ht="15.75" customHeight="1" s="182">
      <c r="A324" s="4" t="n"/>
      <c r="B324" s="4" t="n"/>
      <c r="C324" s="4" t="n"/>
      <c r="D324" s="4" t="n"/>
      <c r="E324" s="4" t="n"/>
      <c r="F324" s="4" t="n"/>
    </row>
    <row r="325" ht="15.75" customHeight="1" s="182">
      <c r="A325" s="4" t="n"/>
      <c r="B325" s="4" t="n"/>
      <c r="C325" s="4" t="n"/>
      <c r="D325" s="4" t="n"/>
      <c r="E325" s="4" t="n"/>
      <c r="F325" s="4" t="n"/>
    </row>
    <row r="326" ht="15.75" customHeight="1" s="182">
      <c r="A326" s="4" t="n"/>
      <c r="B326" s="4" t="n"/>
      <c r="C326" s="4" t="n"/>
      <c r="D326" s="4" t="n"/>
      <c r="E326" s="4" t="n"/>
      <c r="F326" s="4" t="n"/>
    </row>
    <row r="327" ht="15.75" customHeight="1" s="182">
      <c r="A327" s="4" t="n"/>
      <c r="B327" s="4" t="n"/>
      <c r="C327" s="4" t="n"/>
      <c r="D327" s="4" t="n"/>
      <c r="E327" s="4" t="n"/>
      <c r="F327" s="4" t="n"/>
    </row>
    <row r="328" ht="15.75" customHeight="1" s="182">
      <c r="A328" s="4" t="n"/>
      <c r="B328" s="4" t="n"/>
      <c r="C328" s="4" t="n"/>
      <c r="D328" s="4" t="n"/>
      <c r="E328" s="4" t="n"/>
      <c r="F328" s="4" t="n"/>
    </row>
    <row r="329" ht="15.75" customHeight="1" s="182">
      <c r="A329" s="4" t="n"/>
      <c r="B329" s="4" t="n"/>
      <c r="C329" s="4" t="n"/>
      <c r="D329" s="4" t="n"/>
      <c r="E329" s="4" t="n"/>
      <c r="F329" s="4" t="n"/>
    </row>
    <row r="330" ht="15.75" customHeight="1" s="182">
      <c r="A330" s="4" t="n"/>
      <c r="B330" s="4" t="n"/>
      <c r="C330" s="4" t="n"/>
      <c r="D330" s="4" t="n"/>
      <c r="E330" s="4" t="n"/>
      <c r="F330" s="4" t="n"/>
    </row>
    <row r="331" ht="15.75" customHeight="1" s="182">
      <c r="A331" s="4" t="n"/>
      <c r="B331" s="4" t="n"/>
      <c r="C331" s="4" t="n"/>
      <c r="D331" s="4" t="n"/>
      <c r="E331" s="4" t="n"/>
      <c r="F331" s="4" t="n"/>
    </row>
    <row r="332" ht="15.75" customHeight="1" s="182">
      <c r="A332" s="4" t="n"/>
      <c r="B332" s="4" t="n"/>
      <c r="C332" s="4" t="n"/>
      <c r="D332" s="4" t="n"/>
      <c r="E332" s="4" t="n"/>
      <c r="F332" s="4" t="n"/>
    </row>
    <row r="333" ht="15.75" customHeight="1" s="182">
      <c r="A333" s="4" t="n"/>
      <c r="B333" s="4" t="n"/>
      <c r="C333" s="4" t="n"/>
      <c r="D333" s="4" t="n"/>
      <c r="E333" s="4" t="n"/>
      <c r="F333" s="4" t="n"/>
    </row>
    <row r="334" ht="15.75" customHeight="1" s="182">
      <c r="A334" s="4" t="n"/>
      <c r="B334" s="4" t="n"/>
      <c r="C334" s="4" t="n"/>
      <c r="D334" s="4" t="n"/>
      <c r="E334" s="4" t="n"/>
      <c r="F334" s="4" t="n"/>
    </row>
    <row r="335" ht="15.75" customHeight="1" s="182">
      <c r="A335" s="4" t="n"/>
      <c r="B335" s="4" t="n"/>
      <c r="C335" s="4" t="n"/>
      <c r="D335" s="4" t="n"/>
      <c r="E335" s="4" t="n"/>
      <c r="F335" s="4" t="n"/>
    </row>
    <row r="336" ht="15.75" customHeight="1" s="182">
      <c r="A336" s="4" t="n"/>
      <c r="B336" s="4" t="n"/>
      <c r="C336" s="4" t="n"/>
      <c r="D336" s="4" t="n"/>
      <c r="E336" s="4" t="n"/>
      <c r="F336" s="4" t="n"/>
    </row>
    <row r="337" ht="15.75" customHeight="1" s="182">
      <c r="A337" s="4" t="n"/>
      <c r="B337" s="4" t="n"/>
      <c r="C337" s="4" t="n"/>
      <c r="D337" s="4" t="n"/>
      <c r="E337" s="4" t="n"/>
      <c r="F337" s="4" t="n"/>
    </row>
    <row r="338" ht="15.75" customHeight="1" s="182">
      <c r="A338" s="4" t="n"/>
      <c r="B338" s="4" t="n"/>
      <c r="C338" s="4" t="n"/>
      <c r="D338" s="4" t="n"/>
      <c r="E338" s="4" t="n"/>
      <c r="F338" s="4" t="n"/>
    </row>
    <row r="339" ht="15.75" customHeight="1" s="182">
      <c r="A339" s="4" t="n"/>
      <c r="B339" s="4" t="n"/>
      <c r="C339" s="4" t="n"/>
      <c r="D339" s="4" t="n"/>
      <c r="E339" s="4" t="n"/>
      <c r="F339" s="4" t="n"/>
    </row>
    <row r="340" ht="15.75" customHeight="1" s="182">
      <c r="A340" s="4" t="n"/>
      <c r="B340" s="4" t="n"/>
      <c r="C340" s="4" t="n"/>
      <c r="D340" s="4" t="n"/>
      <c r="E340" s="4" t="n"/>
      <c r="F340" s="4" t="n"/>
    </row>
    <row r="341" ht="15.75" customHeight="1" s="182">
      <c r="A341" s="4" t="n"/>
      <c r="B341" s="4" t="n"/>
      <c r="C341" s="4" t="n"/>
      <c r="D341" s="4" t="n"/>
      <c r="E341" s="4" t="n"/>
      <c r="F341" s="4" t="n"/>
    </row>
    <row r="342" ht="15.75" customHeight="1" s="182">
      <c r="A342" s="4" t="n"/>
      <c r="B342" s="4" t="n"/>
      <c r="C342" s="4" t="n"/>
      <c r="D342" s="4" t="n"/>
      <c r="E342" s="4" t="n"/>
      <c r="F342" s="4" t="n"/>
    </row>
    <row r="343" ht="15.75" customHeight="1" s="182">
      <c r="A343" s="4" t="n"/>
      <c r="B343" s="4" t="n"/>
      <c r="C343" s="4" t="n"/>
      <c r="D343" s="4" t="n"/>
      <c r="E343" s="4" t="n"/>
      <c r="F343" s="4" t="n"/>
    </row>
    <row r="344" ht="15.75" customHeight="1" s="182">
      <c r="A344" s="4" t="n"/>
      <c r="B344" s="4" t="n"/>
      <c r="C344" s="4" t="n"/>
      <c r="D344" s="4" t="n"/>
      <c r="E344" s="4" t="n"/>
      <c r="F344" s="4" t="n"/>
    </row>
    <row r="345" ht="15.75" customHeight="1" s="182">
      <c r="A345" s="4" t="n"/>
      <c r="B345" s="4" t="n"/>
      <c r="C345" s="4" t="n"/>
      <c r="D345" s="4" t="n"/>
      <c r="E345" s="4" t="n"/>
      <c r="F345" s="4" t="n"/>
    </row>
    <row r="346" ht="15.75" customHeight="1" s="182">
      <c r="A346" s="4" t="n"/>
      <c r="B346" s="4" t="n"/>
      <c r="C346" s="4" t="n"/>
      <c r="D346" s="4" t="n"/>
      <c r="E346" s="4" t="n"/>
      <c r="F346" s="4" t="n"/>
    </row>
    <row r="347" ht="15.75" customHeight="1" s="182">
      <c r="A347" s="4" t="n"/>
      <c r="B347" s="4" t="n"/>
      <c r="C347" s="4" t="n"/>
      <c r="D347" s="4" t="n"/>
      <c r="E347" s="4" t="n"/>
      <c r="F347" s="4" t="n"/>
    </row>
    <row r="348" ht="15.75" customHeight="1" s="182">
      <c r="A348" s="4" t="n"/>
      <c r="B348" s="4" t="n"/>
      <c r="C348" s="4" t="n"/>
      <c r="D348" s="4" t="n"/>
      <c r="E348" s="4" t="n"/>
      <c r="F348" s="4" t="n"/>
    </row>
    <row r="349" ht="15.75" customHeight="1" s="182">
      <c r="A349" s="4" t="n"/>
      <c r="B349" s="4" t="n"/>
      <c r="C349" s="4" t="n"/>
      <c r="D349" s="4" t="n"/>
      <c r="E349" s="4" t="n"/>
      <c r="F349" s="4" t="n"/>
    </row>
    <row r="350" ht="15.75" customHeight="1" s="182">
      <c r="A350" s="4" t="n"/>
      <c r="B350" s="4" t="n"/>
      <c r="C350" s="4" t="n"/>
      <c r="D350" s="4" t="n"/>
      <c r="E350" s="4" t="n"/>
      <c r="F350" s="4" t="n"/>
    </row>
    <row r="351" ht="15.75" customHeight="1" s="182">
      <c r="A351" s="4" t="n"/>
      <c r="B351" s="4" t="n"/>
      <c r="C351" s="4" t="n"/>
      <c r="D351" s="4" t="n"/>
      <c r="E351" s="4" t="n"/>
      <c r="F351" s="4" t="n"/>
    </row>
    <row r="352" ht="15.75" customHeight="1" s="182">
      <c r="A352" s="4" t="n"/>
      <c r="B352" s="4" t="n"/>
      <c r="C352" s="4" t="n"/>
      <c r="D352" s="4" t="n"/>
      <c r="E352" s="4" t="n"/>
      <c r="F352" s="4" t="n"/>
    </row>
    <row r="353" ht="15.75" customHeight="1" s="182">
      <c r="A353" s="4" t="n"/>
      <c r="B353" s="4" t="n"/>
      <c r="C353" s="4" t="n"/>
      <c r="D353" s="4" t="n"/>
      <c r="E353" s="4" t="n"/>
      <c r="F353" s="4" t="n"/>
    </row>
    <row r="354" ht="15.75" customHeight="1" s="182">
      <c r="A354" s="4" t="n"/>
      <c r="B354" s="4" t="n"/>
      <c r="C354" s="4" t="n"/>
      <c r="D354" s="4" t="n"/>
      <c r="E354" s="4" t="n"/>
      <c r="F354" s="4" t="n"/>
    </row>
    <row r="355" ht="15.75" customHeight="1" s="182">
      <c r="A355" s="4" t="n"/>
      <c r="B355" s="4" t="n"/>
      <c r="C355" s="4" t="n"/>
      <c r="D355" s="4" t="n"/>
      <c r="E355" s="4" t="n"/>
      <c r="F355" s="4" t="n"/>
    </row>
    <row r="356" ht="15.75" customHeight="1" s="182">
      <c r="A356" s="4" t="n"/>
      <c r="B356" s="4" t="n"/>
      <c r="C356" s="4" t="n"/>
      <c r="D356" s="4" t="n"/>
      <c r="E356" s="4" t="n"/>
      <c r="F356" s="4" t="n"/>
    </row>
    <row r="357" ht="15.75" customHeight="1" s="182">
      <c r="A357" s="4" t="n"/>
      <c r="B357" s="4" t="n"/>
      <c r="C357" s="4" t="n"/>
      <c r="D357" s="4" t="n"/>
      <c r="E357" s="4" t="n"/>
      <c r="F357" s="4" t="n"/>
    </row>
    <row r="358" ht="15.75" customHeight="1" s="182">
      <c r="A358" s="4" t="n"/>
      <c r="B358" s="4" t="n"/>
      <c r="C358" s="4" t="n"/>
      <c r="D358" s="4" t="n"/>
      <c r="E358" s="4" t="n"/>
      <c r="F358" s="4" t="n"/>
    </row>
    <row r="359" ht="15.75" customHeight="1" s="182">
      <c r="A359" s="4" t="n"/>
      <c r="B359" s="4" t="n"/>
      <c r="C359" s="4" t="n"/>
      <c r="D359" s="4" t="n"/>
      <c r="E359" s="4" t="n"/>
      <c r="F359" s="4" t="n"/>
    </row>
    <row r="360" ht="15.75" customHeight="1" s="182">
      <c r="A360" s="4" t="n"/>
      <c r="B360" s="4" t="n"/>
      <c r="C360" s="4" t="n"/>
      <c r="D360" s="4" t="n"/>
      <c r="E360" s="4" t="n"/>
      <c r="F360" s="4" t="n"/>
    </row>
    <row r="361" ht="15.75" customHeight="1" s="182">
      <c r="A361" s="4" t="n"/>
      <c r="B361" s="4" t="n"/>
      <c r="C361" s="4" t="n"/>
      <c r="D361" s="4" t="n"/>
      <c r="E361" s="4" t="n"/>
      <c r="F361" s="4" t="n"/>
    </row>
    <row r="362" ht="15.75" customHeight="1" s="182">
      <c r="A362" s="4" t="n"/>
      <c r="B362" s="4" t="n"/>
      <c r="C362" s="4" t="n"/>
      <c r="D362" s="4" t="n"/>
      <c r="E362" s="4" t="n"/>
      <c r="F362" s="4" t="n"/>
    </row>
    <row r="363" ht="15.75" customHeight="1" s="182">
      <c r="A363" s="4" t="n"/>
      <c r="B363" s="4" t="n"/>
      <c r="C363" s="4" t="n"/>
      <c r="D363" s="4" t="n"/>
      <c r="E363" s="4" t="n"/>
      <c r="F363" s="4" t="n"/>
    </row>
    <row r="364" ht="15.75" customHeight="1" s="182">
      <c r="A364" s="4" t="n"/>
      <c r="B364" s="4" t="n"/>
      <c r="C364" s="4" t="n"/>
      <c r="D364" s="4" t="n"/>
      <c r="E364" s="4" t="n"/>
      <c r="F364" s="4" t="n"/>
    </row>
    <row r="365" ht="15.75" customHeight="1" s="182">
      <c r="A365" s="4" t="n"/>
      <c r="B365" s="4" t="n"/>
      <c r="C365" s="4" t="n"/>
      <c r="D365" s="4" t="n"/>
      <c r="E365" s="4" t="n"/>
      <c r="F365" s="4" t="n"/>
    </row>
    <row r="366" ht="15.75" customHeight="1" s="182">
      <c r="A366" s="4" t="n"/>
      <c r="B366" s="4" t="n"/>
      <c r="C366" s="4" t="n"/>
      <c r="D366" s="4" t="n"/>
      <c r="E366" s="4" t="n"/>
      <c r="F366" s="4" t="n"/>
    </row>
    <row r="367" ht="15.75" customHeight="1" s="182">
      <c r="A367" s="4" t="n"/>
      <c r="B367" s="4" t="n"/>
      <c r="C367" s="4" t="n"/>
      <c r="D367" s="4" t="n"/>
      <c r="E367" s="4" t="n"/>
      <c r="F367" s="4" t="n"/>
    </row>
    <row r="368" ht="15.75" customHeight="1" s="182">
      <c r="A368" s="4" t="n"/>
      <c r="B368" s="4" t="n"/>
      <c r="C368" s="4" t="n"/>
      <c r="D368" s="4" t="n"/>
      <c r="E368" s="4" t="n"/>
      <c r="F368" s="4" t="n"/>
    </row>
    <row r="369" ht="15.75" customHeight="1" s="182">
      <c r="A369" s="4" t="n"/>
      <c r="B369" s="4" t="n"/>
      <c r="C369" s="4" t="n"/>
      <c r="D369" s="4" t="n"/>
      <c r="E369" s="4" t="n"/>
      <c r="F369" s="4" t="n"/>
    </row>
    <row r="370" ht="15.75" customHeight="1" s="182">
      <c r="A370" s="4" t="n"/>
      <c r="B370" s="4" t="n"/>
      <c r="C370" s="4" t="n"/>
      <c r="D370" s="4" t="n"/>
      <c r="E370" s="4" t="n"/>
      <c r="F370" s="4" t="n"/>
    </row>
    <row r="371" ht="15.75" customHeight="1" s="182">
      <c r="A371" s="4" t="n"/>
      <c r="B371" s="4" t="n"/>
      <c r="C371" s="4" t="n"/>
      <c r="D371" s="4" t="n"/>
      <c r="E371" s="4" t="n"/>
      <c r="F371" s="4" t="n"/>
    </row>
    <row r="372" ht="15.75" customHeight="1" s="182">
      <c r="A372" s="4" t="n"/>
      <c r="B372" s="4" t="n"/>
      <c r="C372" s="4" t="n"/>
      <c r="D372" s="4" t="n"/>
      <c r="E372" s="4" t="n"/>
      <c r="F372" s="4" t="n"/>
    </row>
    <row r="373" ht="15.75" customHeight="1" s="182">
      <c r="A373" s="4" t="n"/>
      <c r="B373" s="4" t="n"/>
      <c r="C373" s="4" t="n"/>
      <c r="D373" s="4" t="n"/>
      <c r="E373" s="4" t="n"/>
      <c r="F373" s="4" t="n"/>
    </row>
    <row r="374" ht="15.75" customHeight="1" s="182">
      <c r="A374" s="4" t="n"/>
      <c r="B374" s="4" t="n"/>
      <c r="C374" s="4" t="n"/>
      <c r="D374" s="4" t="n"/>
      <c r="E374" s="4" t="n"/>
      <c r="F374" s="4" t="n"/>
    </row>
    <row r="375" ht="15.75" customHeight="1" s="182">
      <c r="A375" s="4" t="n"/>
      <c r="B375" s="4" t="n"/>
      <c r="C375" s="4" t="n"/>
      <c r="D375" s="4" t="n"/>
      <c r="E375" s="4" t="n"/>
      <c r="F375" s="4" t="n"/>
    </row>
    <row r="376" ht="15.75" customHeight="1" s="182">
      <c r="A376" s="4" t="n"/>
      <c r="B376" s="4" t="n"/>
      <c r="C376" s="4" t="n"/>
      <c r="D376" s="4" t="n"/>
      <c r="E376" s="4" t="n"/>
      <c r="F376" s="4" t="n"/>
    </row>
    <row r="377" ht="15.75" customHeight="1" s="182">
      <c r="A377" s="4" t="n"/>
      <c r="B377" s="4" t="n"/>
      <c r="C377" s="4" t="n"/>
      <c r="D377" s="4" t="n"/>
      <c r="E377" s="4" t="n"/>
      <c r="F377" s="4" t="n"/>
    </row>
    <row r="378" ht="15.75" customHeight="1" s="182">
      <c r="A378" s="4" t="n"/>
      <c r="B378" s="4" t="n"/>
      <c r="C378" s="4" t="n"/>
      <c r="D378" s="4" t="n"/>
      <c r="E378" s="4" t="n"/>
      <c r="F378" s="4" t="n"/>
    </row>
    <row r="379" ht="15.75" customHeight="1" s="182">
      <c r="A379" s="4" t="n"/>
      <c r="B379" s="4" t="n"/>
      <c r="C379" s="4" t="n"/>
      <c r="D379" s="4" t="n"/>
      <c r="E379" s="4" t="n"/>
      <c r="F379" s="4" t="n"/>
    </row>
    <row r="380" ht="15.75" customHeight="1" s="182">
      <c r="A380" s="4" t="n"/>
      <c r="B380" s="4" t="n"/>
      <c r="C380" s="4" t="n"/>
      <c r="D380" s="4" t="n"/>
      <c r="E380" s="4" t="n"/>
      <c r="F380" s="4" t="n"/>
    </row>
    <row r="381" ht="15.75" customHeight="1" s="182">
      <c r="A381" s="4" t="n"/>
      <c r="B381" s="4" t="n"/>
      <c r="C381" s="4" t="n"/>
      <c r="D381" s="4" t="n"/>
      <c r="E381" s="4" t="n"/>
      <c r="F381" s="4" t="n"/>
    </row>
    <row r="382" ht="15.75" customHeight="1" s="182">
      <c r="A382" s="4" t="n"/>
      <c r="B382" s="4" t="n"/>
      <c r="C382" s="4" t="n"/>
      <c r="D382" s="4" t="n"/>
      <c r="E382" s="4" t="n"/>
      <c r="F382" s="4" t="n"/>
    </row>
    <row r="383" ht="15.75" customHeight="1" s="182">
      <c r="A383" s="4" t="n"/>
      <c r="B383" s="4" t="n"/>
      <c r="C383" s="4" t="n"/>
      <c r="D383" s="4" t="n"/>
      <c r="E383" s="4" t="n"/>
      <c r="F383" s="4" t="n"/>
    </row>
    <row r="384" ht="15.75" customHeight="1" s="182">
      <c r="A384" s="4" t="n"/>
      <c r="B384" s="4" t="n"/>
      <c r="C384" s="4" t="n"/>
      <c r="D384" s="4" t="n"/>
      <c r="E384" s="4" t="n"/>
      <c r="F384" s="4" t="n"/>
    </row>
    <row r="385" ht="15.75" customHeight="1" s="182">
      <c r="A385" s="4" t="n"/>
      <c r="B385" s="4" t="n"/>
      <c r="C385" s="4" t="n"/>
      <c r="D385" s="4" t="n"/>
      <c r="E385" s="4" t="n"/>
      <c r="F385" s="4" t="n"/>
    </row>
    <row r="386" ht="15.75" customHeight="1" s="182">
      <c r="A386" s="4" t="n"/>
      <c r="B386" s="4" t="n"/>
      <c r="C386" s="4" t="n"/>
      <c r="D386" s="4" t="n"/>
      <c r="E386" s="4" t="n"/>
      <c r="F386" s="4" t="n"/>
    </row>
    <row r="387" ht="15.75" customHeight="1" s="182">
      <c r="A387" s="4" t="n"/>
      <c r="B387" s="4" t="n"/>
      <c r="C387" s="4" t="n"/>
      <c r="D387" s="4" t="n"/>
      <c r="E387" s="4" t="n"/>
      <c r="F387" s="4" t="n"/>
    </row>
    <row r="388" ht="15.75" customHeight="1" s="182">
      <c r="A388" s="4" t="n"/>
      <c r="B388" s="4" t="n"/>
      <c r="C388" s="4" t="n"/>
      <c r="D388" s="4" t="n"/>
      <c r="E388" s="4" t="n"/>
      <c r="F388" s="4" t="n"/>
    </row>
    <row r="389" ht="15.75" customHeight="1" s="182">
      <c r="A389" s="4" t="n"/>
      <c r="B389" s="4" t="n"/>
      <c r="C389" s="4" t="n"/>
      <c r="D389" s="4" t="n"/>
      <c r="E389" s="4" t="n"/>
      <c r="F389" s="4" t="n"/>
    </row>
    <row r="390" ht="15.75" customHeight="1" s="182">
      <c r="A390" s="4" t="n"/>
      <c r="B390" s="4" t="n"/>
      <c r="C390" s="4" t="n"/>
      <c r="D390" s="4" t="n"/>
      <c r="E390" s="4" t="n"/>
      <c r="F390" s="4" t="n"/>
    </row>
    <row r="391" ht="15.75" customHeight="1" s="182">
      <c r="A391" s="4" t="n"/>
      <c r="B391" s="4" t="n"/>
      <c r="C391" s="4" t="n"/>
      <c r="D391" s="4" t="n"/>
      <c r="E391" s="4" t="n"/>
      <c r="F391" s="4" t="n"/>
    </row>
    <row r="392" ht="15.75" customHeight="1" s="182">
      <c r="A392" s="4" t="n"/>
      <c r="B392" s="4" t="n"/>
      <c r="C392" s="4" t="n"/>
      <c r="D392" s="4" t="n"/>
      <c r="E392" s="4" t="n"/>
      <c r="F392" s="4" t="n"/>
    </row>
    <row r="393" ht="15.75" customHeight="1" s="182">
      <c r="A393" s="4" t="n"/>
      <c r="B393" s="4" t="n"/>
      <c r="C393" s="4" t="n"/>
      <c r="D393" s="4" t="n"/>
      <c r="E393" s="4" t="n"/>
      <c r="F393" s="4" t="n"/>
    </row>
    <row r="394" ht="15.75" customHeight="1" s="182">
      <c r="A394" s="4" t="n"/>
      <c r="B394" s="4" t="n"/>
      <c r="C394" s="4" t="n"/>
      <c r="D394" s="4" t="n"/>
      <c r="E394" s="4" t="n"/>
      <c r="F394" s="4" t="n"/>
    </row>
    <row r="395" ht="15.75" customHeight="1" s="182">
      <c r="A395" s="4" t="n"/>
      <c r="B395" s="4" t="n"/>
      <c r="C395" s="4" t="n"/>
      <c r="D395" s="4" t="n"/>
      <c r="E395" s="4" t="n"/>
      <c r="F395" s="4" t="n"/>
    </row>
    <row r="396" ht="15.75" customHeight="1" s="182">
      <c r="A396" s="4" t="n"/>
      <c r="B396" s="4" t="n"/>
      <c r="C396" s="4" t="n"/>
      <c r="D396" s="4" t="n"/>
      <c r="E396" s="4" t="n"/>
      <c r="F396" s="4" t="n"/>
    </row>
    <row r="397" ht="15.75" customHeight="1" s="182">
      <c r="A397" s="4" t="n"/>
      <c r="B397" s="4" t="n"/>
      <c r="C397" s="4" t="n"/>
      <c r="D397" s="4" t="n"/>
      <c r="E397" s="4" t="n"/>
      <c r="F397" s="4" t="n"/>
    </row>
    <row r="398" ht="15.75" customHeight="1" s="182">
      <c r="A398" s="4" t="n"/>
      <c r="B398" s="4" t="n"/>
      <c r="C398" s="4" t="n"/>
      <c r="D398" s="4" t="n"/>
      <c r="E398" s="4" t="n"/>
      <c r="F398" s="4" t="n"/>
    </row>
    <row r="399" ht="15.75" customHeight="1" s="182">
      <c r="A399" s="4" t="n"/>
      <c r="B399" s="4" t="n"/>
      <c r="C399" s="4" t="n"/>
      <c r="D399" s="4" t="n"/>
      <c r="E399" s="4" t="n"/>
      <c r="F399" s="4" t="n"/>
    </row>
    <row r="400" ht="15.75" customHeight="1" s="182">
      <c r="A400" s="4" t="n"/>
      <c r="B400" s="4" t="n"/>
      <c r="C400" s="4" t="n"/>
      <c r="D400" s="4" t="n"/>
      <c r="E400" s="4" t="n"/>
      <c r="F400" s="4" t="n"/>
    </row>
    <row r="401" ht="15.75" customHeight="1" s="182">
      <c r="A401" s="4" t="n"/>
      <c r="B401" s="4" t="n"/>
      <c r="C401" s="4" t="n"/>
      <c r="D401" s="4" t="n"/>
      <c r="E401" s="4" t="n"/>
      <c r="F401" s="4" t="n"/>
    </row>
    <row r="402" ht="15.75" customHeight="1" s="182">
      <c r="A402" s="4" t="n"/>
      <c r="B402" s="4" t="n"/>
      <c r="C402" s="4" t="n"/>
      <c r="D402" s="4" t="n"/>
      <c r="E402" s="4" t="n"/>
      <c r="F402" s="4" t="n"/>
    </row>
    <row r="403" ht="15.75" customHeight="1" s="182">
      <c r="A403" s="4" t="n"/>
      <c r="B403" s="4" t="n"/>
      <c r="C403" s="4" t="n"/>
      <c r="D403" s="4" t="n"/>
      <c r="E403" s="4" t="n"/>
      <c r="F403" s="4" t="n"/>
    </row>
    <row r="404" ht="15.75" customHeight="1" s="182">
      <c r="A404" s="4" t="n"/>
      <c r="B404" s="4" t="n"/>
      <c r="C404" s="4" t="n"/>
      <c r="D404" s="4" t="n"/>
      <c r="E404" s="4" t="n"/>
      <c r="F404" s="4" t="n"/>
    </row>
    <row r="405" ht="15.75" customHeight="1" s="182">
      <c r="A405" s="4" t="n"/>
      <c r="B405" s="4" t="n"/>
      <c r="C405" s="4" t="n"/>
      <c r="D405" s="4" t="n"/>
      <c r="E405" s="4" t="n"/>
      <c r="F405" s="4" t="n"/>
    </row>
    <row r="406" ht="15.75" customHeight="1" s="182">
      <c r="A406" s="4" t="n"/>
      <c r="B406" s="4" t="n"/>
      <c r="C406" s="4" t="n"/>
      <c r="D406" s="4" t="n"/>
      <c r="E406" s="4" t="n"/>
      <c r="F406" s="4" t="n"/>
    </row>
    <row r="407" ht="15.75" customHeight="1" s="182">
      <c r="A407" s="4" t="n"/>
      <c r="B407" s="4" t="n"/>
      <c r="C407" s="4" t="n"/>
      <c r="D407" s="4" t="n"/>
      <c r="E407" s="4" t="n"/>
      <c r="F407" s="4" t="n"/>
    </row>
    <row r="408" ht="15.75" customHeight="1" s="182">
      <c r="A408" s="4" t="n"/>
      <c r="B408" s="4" t="n"/>
      <c r="C408" s="4" t="n"/>
      <c r="D408" s="4" t="n"/>
      <c r="E408" s="4" t="n"/>
      <c r="F408" s="4" t="n"/>
    </row>
    <row r="409" ht="15.75" customHeight="1" s="182">
      <c r="A409" s="4" t="n"/>
      <c r="B409" s="4" t="n"/>
      <c r="C409" s="4" t="n"/>
      <c r="D409" s="4" t="n"/>
      <c r="E409" s="4" t="n"/>
      <c r="F409" s="4" t="n"/>
    </row>
    <row r="410" ht="15.75" customHeight="1" s="182">
      <c r="A410" s="4" t="n"/>
      <c r="B410" s="4" t="n"/>
      <c r="C410" s="4" t="n"/>
      <c r="D410" s="4" t="n"/>
      <c r="E410" s="4" t="n"/>
      <c r="F410" s="4" t="n"/>
    </row>
    <row r="411" ht="15.75" customHeight="1" s="182">
      <c r="A411" s="4" t="n"/>
      <c r="B411" s="4" t="n"/>
      <c r="C411" s="4" t="n"/>
      <c r="D411" s="4" t="n"/>
      <c r="E411" s="4" t="n"/>
      <c r="F411" s="4" t="n"/>
    </row>
    <row r="412" ht="15.75" customHeight="1" s="182">
      <c r="A412" s="4" t="n"/>
      <c r="B412" s="4" t="n"/>
      <c r="C412" s="4" t="n"/>
      <c r="D412" s="4" t="n"/>
      <c r="E412" s="4" t="n"/>
      <c r="F412" s="4" t="n"/>
    </row>
    <row r="413" ht="15.75" customHeight="1" s="182">
      <c r="A413" s="4" t="n"/>
      <c r="B413" s="4" t="n"/>
      <c r="C413" s="4" t="n"/>
      <c r="D413" s="4" t="n"/>
      <c r="E413" s="4" t="n"/>
      <c r="F413" s="4" t="n"/>
    </row>
    <row r="414" ht="15.75" customHeight="1" s="182">
      <c r="A414" s="4" t="n"/>
      <c r="B414" s="4" t="n"/>
      <c r="C414" s="4" t="n"/>
      <c r="D414" s="4" t="n"/>
      <c r="E414" s="4" t="n"/>
      <c r="F414" s="4" t="n"/>
    </row>
    <row r="415" ht="15.75" customHeight="1" s="182">
      <c r="A415" s="4" t="n"/>
      <c r="B415" s="4" t="n"/>
      <c r="C415" s="4" t="n"/>
      <c r="D415" s="4" t="n"/>
      <c r="E415" s="4" t="n"/>
      <c r="F415" s="4" t="n"/>
    </row>
    <row r="416" ht="15.75" customHeight="1" s="182">
      <c r="A416" s="4" t="n"/>
      <c r="B416" s="4" t="n"/>
      <c r="C416" s="4" t="n"/>
      <c r="D416" s="4" t="n"/>
      <c r="E416" s="4" t="n"/>
      <c r="F416" s="4" t="n"/>
    </row>
    <row r="417" ht="15.75" customHeight="1" s="182">
      <c r="A417" s="4" t="n"/>
      <c r="B417" s="4" t="n"/>
      <c r="C417" s="4" t="n"/>
      <c r="D417" s="4" t="n"/>
      <c r="E417" s="4" t="n"/>
      <c r="F417" s="4" t="n"/>
    </row>
    <row r="418" ht="15.75" customHeight="1" s="182">
      <c r="A418" s="4" t="n"/>
      <c r="B418" s="4" t="n"/>
      <c r="C418" s="4" t="n"/>
      <c r="D418" s="4" t="n"/>
      <c r="E418" s="4" t="n"/>
      <c r="F418" s="4" t="n"/>
    </row>
    <row r="419" ht="15.75" customHeight="1" s="182">
      <c r="A419" s="4" t="n"/>
      <c r="B419" s="4" t="n"/>
      <c r="C419" s="4" t="n"/>
      <c r="D419" s="4" t="n"/>
      <c r="E419" s="4" t="n"/>
      <c r="F419" s="4" t="n"/>
    </row>
    <row r="420" ht="15.75" customHeight="1" s="182">
      <c r="A420" s="4" t="n"/>
      <c r="B420" s="4" t="n"/>
      <c r="C420" s="4" t="n"/>
      <c r="D420" s="4" t="n"/>
      <c r="E420" s="4" t="n"/>
      <c r="F420" s="4" t="n"/>
    </row>
    <row r="421" ht="15.75" customHeight="1" s="182">
      <c r="A421" s="4" t="n"/>
      <c r="B421" s="4" t="n"/>
      <c r="C421" s="4" t="n"/>
      <c r="D421" s="4" t="n"/>
      <c r="E421" s="4" t="n"/>
      <c r="F421" s="4" t="n"/>
    </row>
    <row r="422" ht="15.75" customHeight="1" s="182">
      <c r="A422" s="4" t="n"/>
      <c r="B422" s="4" t="n"/>
      <c r="C422" s="4" t="n"/>
      <c r="D422" s="4" t="n"/>
      <c r="E422" s="4" t="n"/>
      <c r="F422" s="4" t="n"/>
    </row>
    <row r="423" ht="15.75" customHeight="1" s="182">
      <c r="A423" s="4" t="n"/>
      <c r="B423" s="4" t="n"/>
      <c r="C423" s="4" t="n"/>
      <c r="D423" s="4" t="n"/>
      <c r="E423" s="4" t="n"/>
      <c r="F423" s="4" t="n"/>
    </row>
    <row r="424" ht="15.75" customHeight="1" s="182">
      <c r="A424" s="4" t="n"/>
      <c r="B424" s="4" t="n"/>
      <c r="C424" s="4" t="n"/>
      <c r="D424" s="4" t="n"/>
      <c r="E424" s="4" t="n"/>
      <c r="F424" s="4" t="n"/>
    </row>
    <row r="425" ht="15.75" customHeight="1" s="182">
      <c r="A425" s="4" t="n"/>
      <c r="B425" s="4" t="n"/>
      <c r="C425" s="4" t="n"/>
      <c r="D425" s="4" t="n"/>
      <c r="E425" s="4" t="n"/>
      <c r="F425" s="4" t="n"/>
    </row>
    <row r="426" ht="15.75" customHeight="1" s="182">
      <c r="A426" s="4" t="n"/>
      <c r="B426" s="4" t="n"/>
      <c r="C426" s="4" t="n"/>
      <c r="D426" s="4" t="n"/>
      <c r="E426" s="4" t="n"/>
      <c r="F426" s="4" t="n"/>
    </row>
    <row r="427" ht="15.75" customHeight="1" s="182">
      <c r="A427" s="4" t="n"/>
      <c r="B427" s="4" t="n"/>
      <c r="C427" s="4" t="n"/>
      <c r="D427" s="4" t="n"/>
      <c r="E427" s="4" t="n"/>
      <c r="F427" s="4" t="n"/>
    </row>
    <row r="428" ht="15.75" customHeight="1" s="182">
      <c r="A428" s="4" t="n"/>
      <c r="B428" s="4" t="n"/>
      <c r="C428" s="4" t="n"/>
      <c r="D428" s="4" t="n"/>
      <c r="E428" s="4" t="n"/>
      <c r="F428" s="4" t="n"/>
    </row>
    <row r="429" ht="15.75" customHeight="1" s="182">
      <c r="A429" s="4" t="n"/>
      <c r="B429" s="4" t="n"/>
      <c r="C429" s="4" t="n"/>
      <c r="D429" s="4" t="n"/>
      <c r="E429" s="4" t="n"/>
      <c r="F429" s="4" t="n"/>
    </row>
    <row r="430" ht="15.75" customHeight="1" s="182">
      <c r="A430" s="4" t="n"/>
      <c r="B430" s="4" t="n"/>
      <c r="C430" s="4" t="n"/>
      <c r="D430" s="4" t="n"/>
      <c r="E430" s="4" t="n"/>
      <c r="F430" s="4" t="n"/>
    </row>
    <row r="431" ht="15.75" customHeight="1" s="182">
      <c r="A431" s="4" t="n"/>
      <c r="B431" s="4" t="n"/>
      <c r="C431" s="4" t="n"/>
      <c r="D431" s="4" t="n"/>
      <c r="E431" s="4" t="n"/>
      <c r="F431" s="4" t="n"/>
    </row>
    <row r="432" ht="15.75" customHeight="1" s="182">
      <c r="A432" s="4" t="n"/>
      <c r="B432" s="4" t="n"/>
      <c r="C432" s="4" t="n"/>
      <c r="D432" s="4" t="n"/>
      <c r="E432" s="4" t="n"/>
      <c r="F432" s="4" t="n"/>
    </row>
    <row r="433" ht="15.75" customHeight="1" s="182">
      <c r="A433" s="4" t="n"/>
      <c r="B433" s="4" t="n"/>
      <c r="C433" s="4" t="n"/>
      <c r="D433" s="4" t="n"/>
      <c r="E433" s="4" t="n"/>
      <c r="F433" s="4" t="n"/>
    </row>
    <row r="434" ht="15.75" customHeight="1" s="182">
      <c r="A434" s="4" t="n"/>
      <c r="B434" s="4" t="n"/>
      <c r="C434" s="4" t="n"/>
      <c r="D434" s="4" t="n"/>
      <c r="E434" s="4" t="n"/>
      <c r="F434" s="4" t="n"/>
    </row>
    <row r="435" ht="15.75" customHeight="1" s="182">
      <c r="A435" s="4" t="n"/>
      <c r="B435" s="4" t="n"/>
      <c r="C435" s="4" t="n"/>
      <c r="D435" s="4" t="n"/>
      <c r="E435" s="4" t="n"/>
      <c r="F435" s="4" t="n"/>
    </row>
    <row r="436" ht="15.75" customHeight="1" s="182">
      <c r="A436" s="4" t="n"/>
      <c r="B436" s="4" t="n"/>
      <c r="C436" s="4" t="n"/>
      <c r="D436" s="4" t="n"/>
      <c r="E436" s="4" t="n"/>
      <c r="F436" s="4" t="n"/>
    </row>
    <row r="437" ht="15.75" customHeight="1" s="182">
      <c r="A437" s="4" t="n"/>
      <c r="B437" s="4" t="n"/>
      <c r="C437" s="4" t="n"/>
      <c r="D437" s="4" t="n"/>
      <c r="E437" s="4" t="n"/>
      <c r="F437" s="4" t="n"/>
    </row>
    <row r="438" ht="15.75" customHeight="1" s="182">
      <c r="A438" s="4" t="n"/>
      <c r="B438" s="4" t="n"/>
      <c r="C438" s="4" t="n"/>
      <c r="D438" s="4" t="n"/>
      <c r="E438" s="4" t="n"/>
      <c r="F438" s="4" t="n"/>
    </row>
    <row r="439" ht="15.75" customHeight="1" s="182">
      <c r="A439" s="4" t="n"/>
      <c r="B439" s="4" t="n"/>
      <c r="C439" s="4" t="n"/>
      <c r="D439" s="4" t="n"/>
      <c r="E439" s="4" t="n"/>
      <c r="F439" s="4" t="n"/>
    </row>
    <row r="440" ht="15.75" customHeight="1" s="182">
      <c r="A440" s="4" t="n"/>
      <c r="B440" s="4" t="n"/>
      <c r="C440" s="4" t="n"/>
      <c r="D440" s="4" t="n"/>
      <c r="E440" s="4" t="n"/>
      <c r="F440" s="4" t="n"/>
    </row>
    <row r="441" ht="15.75" customHeight="1" s="182">
      <c r="A441" s="4" t="n"/>
      <c r="B441" s="4" t="n"/>
      <c r="C441" s="4" t="n"/>
      <c r="D441" s="4" t="n"/>
      <c r="E441" s="4" t="n"/>
      <c r="F441" s="4" t="n"/>
    </row>
    <row r="442" ht="15.75" customHeight="1" s="182">
      <c r="A442" s="4" t="n"/>
      <c r="B442" s="4" t="n"/>
      <c r="C442" s="4" t="n"/>
      <c r="D442" s="4" t="n"/>
      <c r="E442" s="4" t="n"/>
      <c r="F442" s="4" t="n"/>
    </row>
    <row r="443" ht="15.75" customHeight="1" s="182">
      <c r="A443" s="4" t="n"/>
      <c r="B443" s="4" t="n"/>
      <c r="C443" s="4" t="n"/>
      <c r="D443" s="4" t="n"/>
      <c r="E443" s="4" t="n"/>
      <c r="F443" s="4" t="n"/>
    </row>
    <row r="444" ht="15.75" customHeight="1" s="182">
      <c r="A444" s="4" t="n"/>
      <c r="B444" s="4" t="n"/>
      <c r="C444" s="4" t="n"/>
      <c r="D444" s="4" t="n"/>
      <c r="E444" s="4" t="n"/>
      <c r="F444" s="4" t="n"/>
    </row>
    <row r="445" ht="15.75" customHeight="1" s="182">
      <c r="A445" s="4" t="n"/>
      <c r="B445" s="4" t="n"/>
      <c r="C445" s="4" t="n"/>
      <c r="D445" s="4" t="n"/>
      <c r="E445" s="4" t="n"/>
      <c r="F445" s="4" t="n"/>
    </row>
    <row r="446" ht="15.75" customHeight="1" s="182">
      <c r="A446" s="4" t="n"/>
      <c r="B446" s="4" t="n"/>
      <c r="C446" s="4" t="n"/>
      <c r="D446" s="4" t="n"/>
      <c r="E446" s="4" t="n"/>
      <c r="F446" s="4" t="n"/>
    </row>
    <row r="447" ht="15.75" customHeight="1" s="182">
      <c r="A447" s="4" t="n"/>
      <c r="B447" s="4" t="n"/>
      <c r="C447" s="4" t="n"/>
      <c r="D447" s="4" t="n"/>
      <c r="E447" s="4" t="n"/>
      <c r="F447" s="4" t="n"/>
    </row>
    <row r="448" ht="15.75" customHeight="1" s="182">
      <c r="A448" s="4" t="n"/>
      <c r="B448" s="4" t="n"/>
      <c r="C448" s="4" t="n"/>
      <c r="D448" s="4" t="n"/>
      <c r="E448" s="4" t="n"/>
      <c r="F448" s="4" t="n"/>
    </row>
    <row r="449" ht="15.75" customHeight="1" s="182">
      <c r="A449" s="4" t="n"/>
      <c r="B449" s="4" t="n"/>
      <c r="C449" s="4" t="n"/>
      <c r="D449" s="4" t="n"/>
      <c r="E449" s="4" t="n"/>
      <c r="F449" s="4" t="n"/>
    </row>
    <row r="450" ht="15.75" customHeight="1" s="182">
      <c r="A450" s="4" t="n"/>
      <c r="B450" s="4" t="n"/>
      <c r="C450" s="4" t="n"/>
      <c r="D450" s="4" t="n"/>
      <c r="E450" s="4" t="n"/>
      <c r="F450" s="4" t="n"/>
    </row>
    <row r="451" ht="15.75" customHeight="1" s="182">
      <c r="A451" s="4" t="n"/>
      <c r="B451" s="4" t="n"/>
      <c r="C451" s="4" t="n"/>
      <c r="D451" s="4" t="n"/>
      <c r="E451" s="4" t="n"/>
      <c r="F451" s="4" t="n"/>
    </row>
    <row r="452" ht="15.75" customHeight="1" s="182">
      <c r="A452" s="4" t="n"/>
      <c r="B452" s="4" t="n"/>
      <c r="C452" s="4" t="n"/>
      <c r="D452" s="4" t="n"/>
      <c r="E452" s="4" t="n"/>
      <c r="F452" s="4" t="n"/>
    </row>
    <row r="453" ht="15.75" customHeight="1" s="182">
      <c r="A453" s="4" t="n"/>
      <c r="B453" s="4" t="n"/>
      <c r="C453" s="4" t="n"/>
      <c r="D453" s="4" t="n"/>
      <c r="E453" s="4" t="n"/>
      <c r="F453" s="4" t="n"/>
    </row>
    <row r="454" ht="15.75" customHeight="1" s="182">
      <c r="A454" s="4" t="n"/>
      <c r="B454" s="4" t="n"/>
      <c r="C454" s="4" t="n"/>
      <c r="D454" s="4" t="n"/>
      <c r="E454" s="4" t="n"/>
      <c r="F454" s="4" t="n"/>
    </row>
    <row r="455" ht="15.75" customHeight="1" s="182">
      <c r="A455" s="4" t="n"/>
      <c r="B455" s="4" t="n"/>
      <c r="C455" s="4" t="n"/>
      <c r="D455" s="4" t="n"/>
      <c r="E455" s="4" t="n"/>
      <c r="F455" s="4" t="n"/>
    </row>
    <row r="456" ht="15.75" customHeight="1" s="182">
      <c r="A456" s="4" t="n"/>
      <c r="B456" s="4" t="n"/>
      <c r="C456" s="4" t="n"/>
      <c r="D456" s="4" t="n"/>
      <c r="E456" s="4" t="n"/>
      <c r="F456" s="4" t="n"/>
    </row>
    <row r="457" ht="15.75" customHeight="1" s="182">
      <c r="A457" s="4" t="n"/>
      <c r="B457" s="4" t="n"/>
      <c r="C457" s="4" t="n"/>
      <c r="D457" s="4" t="n"/>
      <c r="E457" s="4" t="n"/>
      <c r="F457" s="4" t="n"/>
    </row>
    <row r="458" ht="15.75" customHeight="1" s="182">
      <c r="A458" s="4" t="n"/>
      <c r="B458" s="4" t="n"/>
      <c r="C458" s="4" t="n"/>
      <c r="D458" s="4" t="n"/>
      <c r="E458" s="4" t="n"/>
      <c r="F458" s="4" t="n"/>
    </row>
    <row r="459" ht="15.75" customHeight="1" s="182">
      <c r="A459" s="4" t="n"/>
      <c r="B459" s="4" t="n"/>
      <c r="C459" s="4" t="n"/>
      <c r="D459" s="4" t="n"/>
      <c r="E459" s="4" t="n"/>
      <c r="F459" s="4" t="n"/>
    </row>
    <row r="460" ht="15.75" customHeight="1" s="182">
      <c r="A460" s="4" t="n"/>
      <c r="B460" s="4" t="n"/>
      <c r="C460" s="4" t="n"/>
      <c r="D460" s="4" t="n"/>
      <c r="E460" s="4" t="n"/>
      <c r="F460" s="4" t="n"/>
    </row>
    <row r="461" ht="15.75" customHeight="1" s="182">
      <c r="A461" s="4" t="n"/>
      <c r="B461" s="4" t="n"/>
      <c r="C461" s="4" t="n"/>
      <c r="D461" s="4" t="n"/>
      <c r="E461" s="4" t="n"/>
      <c r="F461" s="4" t="n"/>
    </row>
    <row r="462" ht="15.75" customHeight="1" s="182">
      <c r="A462" s="4" t="n"/>
      <c r="B462" s="4" t="n"/>
      <c r="C462" s="4" t="n"/>
      <c r="D462" s="4" t="n"/>
      <c r="E462" s="4" t="n"/>
      <c r="F462" s="4" t="n"/>
    </row>
    <row r="463" ht="15.75" customHeight="1" s="182">
      <c r="A463" s="4" t="n"/>
      <c r="B463" s="4" t="n"/>
      <c r="C463" s="4" t="n"/>
      <c r="D463" s="4" t="n"/>
      <c r="E463" s="4" t="n"/>
      <c r="F463" s="4" t="n"/>
    </row>
    <row r="464" ht="15.75" customHeight="1" s="182">
      <c r="A464" s="4" t="n"/>
      <c r="B464" s="4" t="n"/>
      <c r="C464" s="4" t="n"/>
      <c r="D464" s="4" t="n"/>
      <c r="E464" s="4" t="n"/>
      <c r="F464" s="4" t="n"/>
    </row>
    <row r="465" ht="15.75" customHeight="1" s="182">
      <c r="A465" s="4" t="n"/>
      <c r="B465" s="4" t="n"/>
      <c r="C465" s="4" t="n"/>
      <c r="D465" s="4" t="n"/>
      <c r="E465" s="4" t="n"/>
      <c r="F465" s="4" t="n"/>
    </row>
    <row r="466" ht="15.75" customHeight="1" s="182">
      <c r="A466" s="4" t="n"/>
      <c r="B466" s="4" t="n"/>
      <c r="C466" s="4" t="n"/>
      <c r="D466" s="4" t="n"/>
      <c r="E466" s="4" t="n"/>
      <c r="F466" s="4" t="n"/>
    </row>
    <row r="467" ht="15.75" customHeight="1" s="182">
      <c r="A467" s="4" t="n"/>
      <c r="B467" s="4" t="n"/>
      <c r="C467" s="4" t="n"/>
      <c r="D467" s="4" t="n"/>
      <c r="E467" s="4" t="n"/>
      <c r="F467" s="4" t="n"/>
    </row>
    <row r="468" ht="15.75" customHeight="1" s="182">
      <c r="A468" s="4" t="n"/>
      <c r="B468" s="4" t="n"/>
      <c r="C468" s="4" t="n"/>
      <c r="D468" s="4" t="n"/>
      <c r="E468" s="4" t="n"/>
      <c r="F468" s="4" t="n"/>
    </row>
    <row r="469" ht="15.75" customHeight="1" s="182">
      <c r="A469" s="4" t="n"/>
      <c r="B469" s="4" t="n"/>
      <c r="C469" s="4" t="n"/>
      <c r="D469" s="4" t="n"/>
      <c r="E469" s="4" t="n"/>
      <c r="F469" s="4" t="n"/>
    </row>
    <row r="470" ht="15.75" customHeight="1" s="182">
      <c r="A470" s="4" t="n"/>
      <c r="B470" s="4" t="n"/>
      <c r="C470" s="4" t="n"/>
      <c r="D470" s="4" t="n"/>
      <c r="E470" s="4" t="n"/>
      <c r="F470" s="4" t="n"/>
    </row>
    <row r="471" ht="15.75" customHeight="1" s="182">
      <c r="A471" s="4" t="n"/>
      <c r="B471" s="4" t="n"/>
      <c r="C471" s="4" t="n"/>
      <c r="D471" s="4" t="n"/>
      <c r="E471" s="4" t="n"/>
      <c r="F471" s="4" t="n"/>
    </row>
    <row r="472" ht="15.75" customHeight="1" s="182">
      <c r="A472" s="4" t="n"/>
      <c r="B472" s="4" t="n"/>
      <c r="C472" s="4" t="n"/>
      <c r="D472" s="4" t="n"/>
      <c r="E472" s="4" t="n"/>
      <c r="F472" s="4" t="n"/>
    </row>
    <row r="473" ht="15.75" customHeight="1" s="182">
      <c r="A473" s="4" t="n"/>
      <c r="B473" s="4" t="n"/>
      <c r="C473" s="4" t="n"/>
      <c r="D473" s="4" t="n"/>
      <c r="E473" s="4" t="n"/>
      <c r="F473" s="4" t="n"/>
    </row>
    <row r="474" ht="15.75" customHeight="1" s="182">
      <c r="A474" s="4" t="n"/>
      <c r="B474" s="4" t="n"/>
      <c r="C474" s="4" t="n"/>
      <c r="D474" s="4" t="n"/>
      <c r="E474" s="4" t="n"/>
      <c r="F474" s="4" t="n"/>
    </row>
    <row r="475" ht="15.75" customHeight="1" s="182">
      <c r="A475" s="4" t="n"/>
      <c r="B475" s="4" t="n"/>
      <c r="C475" s="4" t="n"/>
      <c r="D475" s="4" t="n"/>
      <c r="E475" s="4" t="n"/>
      <c r="F475" s="4" t="n"/>
    </row>
    <row r="476" ht="15.75" customHeight="1" s="182">
      <c r="A476" s="4" t="n"/>
      <c r="B476" s="4" t="n"/>
      <c r="C476" s="4" t="n"/>
      <c r="D476" s="4" t="n"/>
      <c r="E476" s="4" t="n"/>
      <c r="F476" s="4" t="n"/>
    </row>
    <row r="477" ht="15.75" customHeight="1" s="182">
      <c r="A477" s="4" t="n"/>
      <c r="B477" s="4" t="n"/>
      <c r="C477" s="4" t="n"/>
      <c r="D477" s="4" t="n"/>
      <c r="E477" s="4" t="n"/>
      <c r="F477" s="4" t="n"/>
    </row>
    <row r="478" ht="15.75" customHeight="1" s="182">
      <c r="A478" s="4" t="n"/>
      <c r="B478" s="4" t="n"/>
      <c r="C478" s="4" t="n"/>
      <c r="D478" s="4" t="n"/>
      <c r="E478" s="4" t="n"/>
      <c r="F478" s="4" t="n"/>
    </row>
    <row r="479" ht="15.75" customHeight="1" s="182">
      <c r="A479" s="4" t="n"/>
      <c r="B479" s="4" t="n"/>
      <c r="C479" s="4" t="n"/>
      <c r="D479" s="4" t="n"/>
      <c r="E479" s="4" t="n"/>
      <c r="F479" s="4" t="n"/>
    </row>
    <row r="480" ht="15.75" customHeight="1" s="182">
      <c r="A480" s="4" t="n"/>
      <c r="B480" s="4" t="n"/>
      <c r="C480" s="4" t="n"/>
      <c r="D480" s="4" t="n"/>
      <c r="E480" s="4" t="n"/>
      <c r="F480" s="4" t="n"/>
    </row>
    <row r="481" ht="15.75" customHeight="1" s="182">
      <c r="A481" s="4" t="n"/>
      <c r="B481" s="4" t="n"/>
      <c r="C481" s="4" t="n"/>
      <c r="D481" s="4" t="n"/>
      <c r="E481" s="4" t="n"/>
      <c r="F481" s="4" t="n"/>
    </row>
    <row r="482" ht="15.75" customHeight="1" s="182">
      <c r="A482" s="4" t="n"/>
      <c r="B482" s="4" t="n"/>
      <c r="C482" s="4" t="n"/>
      <c r="D482" s="4" t="n"/>
      <c r="E482" s="4" t="n"/>
      <c r="F482" s="4" t="n"/>
    </row>
    <row r="483" ht="15.75" customHeight="1" s="182">
      <c r="A483" s="4" t="n"/>
      <c r="B483" s="4" t="n"/>
      <c r="C483" s="4" t="n"/>
      <c r="D483" s="4" t="n"/>
      <c r="E483" s="4" t="n"/>
      <c r="F483" s="4" t="n"/>
    </row>
    <row r="484" ht="15.75" customHeight="1" s="182">
      <c r="A484" s="4" t="n"/>
      <c r="B484" s="4" t="n"/>
      <c r="C484" s="4" t="n"/>
      <c r="D484" s="4" t="n"/>
      <c r="E484" s="4" t="n"/>
      <c r="F484" s="4" t="n"/>
    </row>
    <row r="485" ht="15.75" customHeight="1" s="182">
      <c r="A485" s="4" t="n"/>
      <c r="B485" s="4" t="n"/>
      <c r="C485" s="4" t="n"/>
      <c r="D485" s="4" t="n"/>
      <c r="E485" s="4" t="n"/>
      <c r="F485" s="4" t="n"/>
    </row>
    <row r="486" ht="15.75" customHeight="1" s="182">
      <c r="A486" s="4" t="n"/>
      <c r="B486" s="4" t="n"/>
      <c r="C486" s="4" t="n"/>
      <c r="D486" s="4" t="n"/>
      <c r="E486" s="4" t="n"/>
      <c r="F486" s="4" t="n"/>
    </row>
    <row r="487" ht="15.75" customHeight="1" s="182">
      <c r="A487" s="4" t="n"/>
      <c r="B487" s="4" t="n"/>
      <c r="C487" s="4" t="n"/>
      <c r="D487" s="4" t="n"/>
      <c r="E487" s="4" t="n"/>
      <c r="F487" s="4" t="n"/>
    </row>
    <row r="488" ht="15.75" customHeight="1" s="182">
      <c r="A488" s="4" t="n"/>
      <c r="B488" s="4" t="n"/>
      <c r="C488" s="4" t="n"/>
      <c r="D488" s="4" t="n"/>
      <c r="E488" s="4" t="n"/>
      <c r="F488" s="4" t="n"/>
    </row>
    <row r="489" ht="15.75" customHeight="1" s="182">
      <c r="A489" s="4" t="n"/>
      <c r="B489" s="4" t="n"/>
      <c r="C489" s="4" t="n"/>
      <c r="D489" s="4" t="n"/>
      <c r="E489" s="4" t="n"/>
      <c r="F489" s="4" t="n"/>
    </row>
    <row r="490" ht="15.75" customHeight="1" s="182">
      <c r="A490" s="4" t="n"/>
      <c r="B490" s="4" t="n"/>
      <c r="C490" s="4" t="n"/>
      <c r="D490" s="4" t="n"/>
      <c r="E490" s="4" t="n"/>
      <c r="F490" s="4" t="n"/>
    </row>
    <row r="491" ht="15.75" customHeight="1" s="182">
      <c r="A491" s="4" t="n"/>
      <c r="B491" s="4" t="n"/>
      <c r="C491" s="4" t="n"/>
      <c r="D491" s="4" t="n"/>
      <c r="E491" s="4" t="n"/>
      <c r="F491" s="4" t="n"/>
    </row>
    <row r="492" ht="15.75" customHeight="1" s="182">
      <c r="A492" s="4" t="n"/>
      <c r="B492" s="4" t="n"/>
      <c r="C492" s="4" t="n"/>
      <c r="D492" s="4" t="n"/>
      <c r="E492" s="4" t="n"/>
      <c r="F492" s="4" t="n"/>
    </row>
    <row r="493" ht="15.75" customHeight="1" s="182">
      <c r="A493" s="4" t="n"/>
      <c r="B493" s="4" t="n"/>
      <c r="C493" s="4" t="n"/>
      <c r="D493" s="4" t="n"/>
      <c r="E493" s="4" t="n"/>
      <c r="F493" s="4" t="n"/>
    </row>
    <row r="494" ht="15.75" customHeight="1" s="182">
      <c r="A494" s="4" t="n"/>
      <c r="B494" s="4" t="n"/>
      <c r="C494" s="4" t="n"/>
      <c r="D494" s="4" t="n"/>
      <c r="E494" s="4" t="n"/>
      <c r="F494" s="4" t="n"/>
    </row>
    <row r="495" ht="15.75" customHeight="1" s="182">
      <c r="A495" s="4" t="n"/>
      <c r="B495" s="4" t="n"/>
      <c r="C495" s="4" t="n"/>
      <c r="D495" s="4" t="n"/>
      <c r="E495" s="4" t="n"/>
      <c r="F495" s="4" t="n"/>
    </row>
    <row r="496" ht="15.75" customHeight="1" s="182">
      <c r="A496" s="4" t="n"/>
      <c r="B496" s="4" t="n"/>
      <c r="C496" s="4" t="n"/>
      <c r="D496" s="4" t="n"/>
      <c r="E496" s="4" t="n"/>
      <c r="F496" s="4" t="n"/>
    </row>
    <row r="497" ht="15.75" customHeight="1" s="182">
      <c r="A497" s="4" t="n"/>
      <c r="B497" s="4" t="n"/>
      <c r="C497" s="4" t="n"/>
      <c r="D497" s="4" t="n"/>
      <c r="E497" s="4" t="n"/>
      <c r="F497" s="4" t="n"/>
    </row>
    <row r="498" ht="15.75" customHeight="1" s="182">
      <c r="A498" s="4" t="n"/>
      <c r="B498" s="4" t="n"/>
      <c r="C498" s="4" t="n"/>
      <c r="D498" s="4" t="n"/>
      <c r="E498" s="4" t="n"/>
      <c r="F498" s="4" t="n"/>
    </row>
    <row r="499" ht="15.75" customHeight="1" s="182">
      <c r="A499" s="4" t="n"/>
      <c r="B499" s="4" t="n"/>
      <c r="C499" s="4" t="n"/>
      <c r="D499" s="4" t="n"/>
      <c r="E499" s="4" t="n"/>
      <c r="F499" s="4" t="n"/>
    </row>
    <row r="500" ht="15.75" customHeight="1" s="182">
      <c r="A500" s="4" t="n"/>
      <c r="B500" s="4" t="n"/>
      <c r="C500" s="4" t="n"/>
      <c r="D500" s="4" t="n"/>
      <c r="E500" s="4" t="n"/>
      <c r="F500" s="4" t="n"/>
    </row>
    <row r="501" ht="15.75" customHeight="1" s="182">
      <c r="A501" s="4" t="n"/>
      <c r="B501" s="4" t="n"/>
      <c r="C501" s="4" t="n"/>
      <c r="D501" s="4" t="n"/>
      <c r="E501" s="4" t="n"/>
      <c r="F501" s="4" t="n"/>
    </row>
    <row r="502" ht="15.75" customHeight="1" s="182">
      <c r="A502" s="4" t="n"/>
      <c r="B502" s="4" t="n"/>
      <c r="C502" s="4" t="n"/>
      <c r="D502" s="4" t="n"/>
      <c r="E502" s="4" t="n"/>
      <c r="F502" s="4" t="n"/>
    </row>
    <row r="503" ht="15.75" customHeight="1" s="182">
      <c r="A503" s="4" t="n"/>
      <c r="B503" s="4" t="n"/>
      <c r="C503" s="4" t="n"/>
      <c r="D503" s="4" t="n"/>
      <c r="E503" s="4" t="n"/>
      <c r="F503" s="4" t="n"/>
    </row>
    <row r="504" ht="15.75" customHeight="1" s="182">
      <c r="A504" s="4" t="n"/>
      <c r="B504" s="4" t="n"/>
      <c r="C504" s="4" t="n"/>
      <c r="D504" s="4" t="n"/>
      <c r="E504" s="4" t="n"/>
      <c r="F504" s="4" t="n"/>
    </row>
    <row r="505" ht="15.75" customHeight="1" s="182">
      <c r="A505" s="4" t="n"/>
      <c r="B505" s="4" t="n"/>
      <c r="C505" s="4" t="n"/>
      <c r="D505" s="4" t="n"/>
      <c r="E505" s="4" t="n"/>
      <c r="F505" s="4" t="n"/>
    </row>
    <row r="506" ht="15.75" customHeight="1" s="182">
      <c r="A506" s="4" t="n"/>
      <c r="B506" s="4" t="n"/>
      <c r="C506" s="4" t="n"/>
      <c r="D506" s="4" t="n"/>
      <c r="E506" s="4" t="n"/>
      <c r="F506" s="4" t="n"/>
    </row>
    <row r="507" ht="15.75" customHeight="1" s="182">
      <c r="A507" s="4" t="n"/>
      <c r="B507" s="4" t="n"/>
      <c r="C507" s="4" t="n"/>
      <c r="D507" s="4" t="n"/>
      <c r="E507" s="4" t="n"/>
      <c r="F507" s="4" t="n"/>
    </row>
    <row r="508" ht="15.75" customHeight="1" s="182">
      <c r="A508" s="4" t="n"/>
      <c r="B508" s="4" t="n"/>
      <c r="C508" s="4" t="n"/>
      <c r="D508" s="4" t="n"/>
      <c r="E508" s="4" t="n"/>
      <c r="F508" s="4" t="n"/>
    </row>
    <row r="509" ht="15.75" customHeight="1" s="182">
      <c r="A509" s="4" t="n"/>
      <c r="B509" s="4" t="n"/>
      <c r="C509" s="4" t="n"/>
      <c r="D509" s="4" t="n"/>
      <c r="E509" s="4" t="n"/>
      <c r="F509" s="4" t="n"/>
    </row>
    <row r="510" ht="15.75" customHeight="1" s="182">
      <c r="A510" s="4" t="n"/>
      <c r="B510" s="4" t="n"/>
      <c r="C510" s="4" t="n"/>
      <c r="D510" s="4" t="n"/>
      <c r="E510" s="4" t="n"/>
      <c r="F510" s="4" t="n"/>
    </row>
    <row r="511" ht="15.75" customHeight="1" s="182">
      <c r="A511" s="4" t="n"/>
      <c r="B511" s="4" t="n"/>
      <c r="C511" s="4" t="n"/>
      <c r="D511" s="4" t="n"/>
      <c r="E511" s="4" t="n"/>
      <c r="F511" s="4" t="n"/>
    </row>
    <row r="512" ht="15.75" customHeight="1" s="182">
      <c r="A512" s="4" t="n"/>
      <c r="B512" s="4" t="n"/>
      <c r="C512" s="4" t="n"/>
      <c r="D512" s="4" t="n"/>
      <c r="E512" s="4" t="n"/>
      <c r="F512" s="4" t="n"/>
    </row>
    <row r="513" ht="15.75" customHeight="1" s="182">
      <c r="A513" s="4" t="n"/>
      <c r="B513" s="4" t="n"/>
      <c r="C513" s="4" t="n"/>
      <c r="D513" s="4" t="n"/>
      <c r="E513" s="4" t="n"/>
      <c r="F513" s="4" t="n"/>
    </row>
    <row r="514" ht="15.75" customHeight="1" s="182">
      <c r="A514" s="4" t="n"/>
      <c r="B514" s="4" t="n"/>
      <c r="C514" s="4" t="n"/>
      <c r="D514" s="4" t="n"/>
      <c r="E514" s="4" t="n"/>
      <c r="F514" s="4" t="n"/>
    </row>
    <row r="515" ht="15.75" customHeight="1" s="182">
      <c r="A515" s="4" t="n"/>
      <c r="B515" s="4" t="n"/>
      <c r="C515" s="4" t="n"/>
      <c r="D515" s="4" t="n"/>
      <c r="E515" s="4" t="n"/>
      <c r="F515" s="4" t="n"/>
    </row>
    <row r="516" ht="15.75" customHeight="1" s="182">
      <c r="A516" s="4" t="n"/>
      <c r="B516" s="4" t="n"/>
      <c r="C516" s="4" t="n"/>
      <c r="D516" s="4" t="n"/>
      <c r="E516" s="4" t="n"/>
      <c r="F516" s="4" t="n"/>
    </row>
    <row r="517" ht="15.75" customHeight="1" s="182">
      <c r="A517" s="4" t="n"/>
      <c r="B517" s="4" t="n"/>
      <c r="C517" s="4" t="n"/>
      <c r="D517" s="4" t="n"/>
      <c r="E517" s="4" t="n"/>
      <c r="F517" s="4" t="n"/>
    </row>
    <row r="518" ht="15.75" customHeight="1" s="182">
      <c r="A518" s="4" t="n"/>
      <c r="B518" s="4" t="n"/>
      <c r="C518" s="4" t="n"/>
      <c r="D518" s="4" t="n"/>
      <c r="E518" s="4" t="n"/>
      <c r="F518" s="4" t="n"/>
    </row>
    <row r="519" ht="15.75" customHeight="1" s="182">
      <c r="A519" s="4" t="n"/>
      <c r="B519" s="4" t="n"/>
      <c r="C519" s="4" t="n"/>
      <c r="D519" s="4" t="n"/>
      <c r="E519" s="4" t="n"/>
      <c r="F519" s="4" t="n"/>
    </row>
    <row r="520" ht="15.75" customHeight="1" s="182">
      <c r="A520" s="4" t="n"/>
      <c r="B520" s="4" t="n"/>
      <c r="C520" s="4" t="n"/>
      <c r="D520" s="4" t="n"/>
      <c r="E520" s="4" t="n"/>
      <c r="F520" s="4" t="n"/>
    </row>
    <row r="521" ht="15.75" customHeight="1" s="182">
      <c r="A521" s="4" t="n"/>
      <c r="B521" s="4" t="n"/>
      <c r="C521" s="4" t="n"/>
      <c r="D521" s="4" t="n"/>
      <c r="E521" s="4" t="n"/>
      <c r="F521" s="4" t="n"/>
    </row>
    <row r="522" ht="15.75" customHeight="1" s="182">
      <c r="A522" s="4" t="n"/>
      <c r="B522" s="4" t="n"/>
      <c r="C522" s="4" t="n"/>
      <c r="D522" s="4" t="n"/>
      <c r="E522" s="4" t="n"/>
      <c r="F522" s="4" t="n"/>
    </row>
    <row r="523" ht="15.75" customHeight="1" s="182">
      <c r="A523" s="4" t="n"/>
      <c r="B523" s="4" t="n"/>
      <c r="C523" s="4" t="n"/>
      <c r="D523" s="4" t="n"/>
      <c r="E523" s="4" t="n"/>
      <c r="F523" s="4" t="n"/>
    </row>
    <row r="524" ht="15.75" customHeight="1" s="182">
      <c r="A524" s="4" t="n"/>
      <c r="B524" s="4" t="n"/>
      <c r="C524" s="4" t="n"/>
      <c r="D524" s="4" t="n"/>
      <c r="E524" s="4" t="n"/>
      <c r="F524" s="4" t="n"/>
    </row>
    <row r="525" ht="15.75" customHeight="1" s="182">
      <c r="A525" s="4" t="n"/>
      <c r="B525" s="4" t="n"/>
      <c r="C525" s="4" t="n"/>
      <c r="D525" s="4" t="n"/>
      <c r="E525" s="4" t="n"/>
      <c r="F525" s="4" t="n"/>
    </row>
    <row r="526" ht="15.75" customHeight="1" s="182">
      <c r="A526" s="4" t="n"/>
      <c r="B526" s="4" t="n"/>
      <c r="C526" s="4" t="n"/>
      <c r="D526" s="4" t="n"/>
      <c r="E526" s="4" t="n"/>
      <c r="F526" s="4" t="n"/>
    </row>
    <row r="527" ht="15.75" customHeight="1" s="182">
      <c r="A527" s="4" t="n"/>
      <c r="B527" s="4" t="n"/>
      <c r="C527" s="4" t="n"/>
      <c r="D527" s="4" t="n"/>
      <c r="E527" s="4" t="n"/>
      <c r="F527" s="4" t="n"/>
    </row>
    <row r="528" ht="15.75" customHeight="1" s="182">
      <c r="A528" s="4" t="n"/>
      <c r="B528" s="4" t="n"/>
      <c r="C528" s="4" t="n"/>
      <c r="D528" s="4" t="n"/>
      <c r="E528" s="4" t="n"/>
      <c r="F528" s="4" t="n"/>
    </row>
    <row r="529" ht="15.75" customHeight="1" s="182">
      <c r="A529" s="4" t="n"/>
      <c r="B529" s="4" t="n"/>
      <c r="C529" s="4" t="n"/>
      <c r="D529" s="4" t="n"/>
      <c r="E529" s="4" t="n"/>
      <c r="F529" s="4" t="n"/>
    </row>
    <row r="530" ht="15.75" customHeight="1" s="182">
      <c r="A530" s="4" t="n"/>
      <c r="B530" s="4" t="n"/>
      <c r="C530" s="4" t="n"/>
      <c r="D530" s="4" t="n"/>
      <c r="E530" s="4" t="n"/>
      <c r="F530" s="4" t="n"/>
    </row>
    <row r="531" ht="15.75" customHeight="1" s="182">
      <c r="A531" s="4" t="n"/>
      <c r="B531" s="4" t="n"/>
      <c r="C531" s="4" t="n"/>
      <c r="D531" s="4" t="n"/>
      <c r="E531" s="4" t="n"/>
      <c r="F531" s="4" t="n"/>
    </row>
    <row r="532" ht="15.75" customHeight="1" s="182">
      <c r="A532" s="4" t="n"/>
      <c r="B532" s="4" t="n"/>
      <c r="C532" s="4" t="n"/>
      <c r="D532" s="4" t="n"/>
      <c r="E532" s="4" t="n"/>
      <c r="F532" s="4" t="n"/>
    </row>
    <row r="533" ht="15.75" customHeight="1" s="182">
      <c r="A533" s="4" t="n"/>
      <c r="B533" s="4" t="n"/>
      <c r="C533" s="4" t="n"/>
      <c r="D533" s="4" t="n"/>
      <c r="E533" s="4" t="n"/>
      <c r="F533" s="4" t="n"/>
    </row>
    <row r="534" ht="15.75" customHeight="1" s="182">
      <c r="A534" s="4" t="n"/>
      <c r="B534" s="4" t="n"/>
      <c r="C534" s="4" t="n"/>
      <c r="D534" s="4" t="n"/>
      <c r="E534" s="4" t="n"/>
      <c r="F534" s="4" t="n"/>
    </row>
    <row r="535" ht="15.75" customHeight="1" s="182">
      <c r="A535" s="4" t="n"/>
      <c r="B535" s="4" t="n"/>
      <c r="C535" s="4" t="n"/>
      <c r="D535" s="4" t="n"/>
      <c r="E535" s="4" t="n"/>
      <c r="F535" s="4" t="n"/>
    </row>
    <row r="536" ht="15.75" customHeight="1" s="182">
      <c r="A536" s="4" t="n"/>
      <c r="B536" s="4" t="n"/>
      <c r="C536" s="4" t="n"/>
      <c r="D536" s="4" t="n"/>
      <c r="E536" s="4" t="n"/>
      <c r="F536" s="4" t="n"/>
    </row>
    <row r="537" ht="15.75" customHeight="1" s="182">
      <c r="A537" s="4" t="n"/>
      <c r="B537" s="4" t="n"/>
      <c r="C537" s="4" t="n"/>
      <c r="D537" s="4" t="n"/>
      <c r="E537" s="4" t="n"/>
      <c r="F537" s="4" t="n"/>
    </row>
    <row r="538" ht="15.75" customHeight="1" s="182">
      <c r="A538" s="4" t="n"/>
      <c r="B538" s="4" t="n"/>
      <c r="C538" s="4" t="n"/>
      <c r="D538" s="4" t="n"/>
      <c r="E538" s="4" t="n"/>
      <c r="F538" s="4" t="n"/>
    </row>
    <row r="539" ht="15.75" customHeight="1" s="182">
      <c r="A539" s="4" t="n"/>
      <c r="B539" s="4" t="n"/>
      <c r="C539" s="4" t="n"/>
      <c r="D539" s="4" t="n"/>
      <c r="E539" s="4" t="n"/>
      <c r="F539" s="4" t="n"/>
    </row>
    <row r="540" ht="15.75" customHeight="1" s="182">
      <c r="A540" s="4" t="n"/>
      <c r="B540" s="4" t="n"/>
      <c r="C540" s="4" t="n"/>
      <c r="D540" s="4" t="n"/>
      <c r="E540" s="4" t="n"/>
      <c r="F540" s="4" t="n"/>
    </row>
    <row r="541" ht="15.75" customHeight="1" s="182">
      <c r="A541" s="4" t="n"/>
      <c r="B541" s="4" t="n"/>
      <c r="C541" s="4" t="n"/>
      <c r="D541" s="4" t="n"/>
      <c r="E541" s="4" t="n"/>
      <c r="F541" s="4" t="n"/>
    </row>
    <row r="542" ht="15.75" customHeight="1" s="182">
      <c r="A542" s="4" t="n"/>
      <c r="B542" s="4" t="n"/>
      <c r="C542" s="4" t="n"/>
      <c r="D542" s="4" t="n"/>
      <c r="E542" s="4" t="n"/>
      <c r="F542" s="4" t="n"/>
    </row>
    <row r="543" ht="15.75" customHeight="1" s="182">
      <c r="A543" s="4" t="n"/>
      <c r="B543" s="4" t="n"/>
      <c r="C543" s="4" t="n"/>
      <c r="D543" s="4" t="n"/>
      <c r="E543" s="4" t="n"/>
      <c r="F543" s="4" t="n"/>
    </row>
    <row r="544" ht="15.75" customHeight="1" s="182">
      <c r="A544" s="4" t="n"/>
      <c r="B544" s="4" t="n"/>
      <c r="C544" s="4" t="n"/>
      <c r="D544" s="4" t="n"/>
      <c r="E544" s="4" t="n"/>
      <c r="F544" s="4" t="n"/>
    </row>
    <row r="545" ht="15.75" customHeight="1" s="182">
      <c r="A545" s="4" t="n"/>
      <c r="B545" s="4" t="n"/>
      <c r="C545" s="4" t="n"/>
      <c r="D545" s="4" t="n"/>
      <c r="E545" s="4" t="n"/>
      <c r="F545" s="4" t="n"/>
    </row>
    <row r="546" ht="15.75" customHeight="1" s="182">
      <c r="A546" s="4" t="n"/>
      <c r="B546" s="4" t="n"/>
      <c r="C546" s="4" t="n"/>
      <c r="D546" s="4" t="n"/>
      <c r="E546" s="4" t="n"/>
      <c r="F546" s="4" t="n"/>
    </row>
    <row r="547" ht="15.75" customHeight="1" s="182">
      <c r="A547" s="4" t="n"/>
      <c r="B547" s="4" t="n"/>
      <c r="C547" s="4" t="n"/>
      <c r="D547" s="4" t="n"/>
      <c r="E547" s="4" t="n"/>
      <c r="F547" s="4" t="n"/>
    </row>
    <row r="548" ht="15.75" customHeight="1" s="182">
      <c r="A548" s="4" t="n"/>
      <c r="B548" s="4" t="n"/>
      <c r="C548" s="4" t="n"/>
      <c r="D548" s="4" t="n"/>
      <c r="E548" s="4" t="n"/>
      <c r="F548" s="4" t="n"/>
    </row>
    <row r="549" ht="15.75" customHeight="1" s="182">
      <c r="A549" s="4" t="n"/>
      <c r="B549" s="4" t="n"/>
      <c r="C549" s="4" t="n"/>
      <c r="D549" s="4" t="n"/>
      <c r="E549" s="4" t="n"/>
      <c r="F549" s="4" t="n"/>
    </row>
    <row r="550" ht="15.75" customHeight="1" s="182">
      <c r="A550" s="4" t="n"/>
      <c r="B550" s="4" t="n"/>
      <c r="C550" s="4" t="n"/>
      <c r="D550" s="4" t="n"/>
      <c r="E550" s="4" t="n"/>
      <c r="F550" s="4" t="n"/>
    </row>
    <row r="551" ht="15.75" customHeight="1" s="182">
      <c r="A551" s="4" t="n"/>
      <c r="B551" s="4" t="n"/>
      <c r="C551" s="4" t="n"/>
      <c r="D551" s="4" t="n"/>
      <c r="E551" s="4" t="n"/>
      <c r="F551" s="4" t="n"/>
    </row>
    <row r="552" ht="15.75" customHeight="1" s="182">
      <c r="A552" s="4" t="n"/>
      <c r="B552" s="4" t="n"/>
      <c r="C552" s="4" t="n"/>
      <c r="D552" s="4" t="n"/>
      <c r="E552" s="4" t="n"/>
      <c r="F552" s="4" t="n"/>
    </row>
    <row r="553" ht="15.75" customHeight="1" s="182">
      <c r="A553" s="4" t="n"/>
      <c r="B553" s="4" t="n"/>
      <c r="C553" s="4" t="n"/>
      <c r="D553" s="4" t="n"/>
      <c r="E553" s="4" t="n"/>
      <c r="F553" s="4" t="n"/>
    </row>
    <row r="554" ht="15.75" customHeight="1" s="182">
      <c r="A554" s="4" t="n"/>
      <c r="B554" s="4" t="n"/>
      <c r="C554" s="4" t="n"/>
      <c r="D554" s="4" t="n"/>
      <c r="E554" s="4" t="n"/>
      <c r="F554" s="4" t="n"/>
    </row>
    <row r="555" ht="15.75" customHeight="1" s="182">
      <c r="A555" s="4" t="n"/>
      <c r="B555" s="4" t="n"/>
      <c r="C555" s="4" t="n"/>
      <c r="D555" s="4" t="n"/>
      <c r="E555" s="4" t="n"/>
      <c r="F555" s="4" t="n"/>
    </row>
    <row r="556" ht="15.75" customHeight="1" s="182">
      <c r="A556" s="4" t="n"/>
      <c r="B556" s="4" t="n"/>
      <c r="C556" s="4" t="n"/>
      <c r="D556" s="4" t="n"/>
      <c r="E556" s="4" t="n"/>
      <c r="F556" s="4" t="n"/>
    </row>
    <row r="557" ht="15.75" customHeight="1" s="182">
      <c r="A557" s="4" t="n"/>
      <c r="B557" s="4" t="n"/>
      <c r="C557" s="4" t="n"/>
      <c r="D557" s="4" t="n"/>
      <c r="E557" s="4" t="n"/>
      <c r="F557" s="4" t="n"/>
    </row>
    <row r="558" ht="15.75" customHeight="1" s="182">
      <c r="A558" s="4" t="n"/>
      <c r="B558" s="4" t="n"/>
      <c r="C558" s="4" t="n"/>
      <c r="D558" s="4" t="n"/>
      <c r="E558" s="4" t="n"/>
      <c r="F558" s="4" t="n"/>
    </row>
    <row r="559" ht="15.75" customHeight="1" s="182">
      <c r="A559" s="4" t="n"/>
      <c r="B559" s="4" t="n"/>
      <c r="C559" s="4" t="n"/>
      <c r="D559" s="4" t="n"/>
      <c r="E559" s="4" t="n"/>
      <c r="F559" s="4" t="n"/>
    </row>
    <row r="560" ht="15.75" customHeight="1" s="182">
      <c r="A560" s="4" t="n"/>
      <c r="B560" s="4" t="n"/>
      <c r="C560" s="4" t="n"/>
      <c r="D560" s="4" t="n"/>
      <c r="E560" s="4" t="n"/>
      <c r="F560" s="4" t="n"/>
    </row>
    <row r="561" ht="15.75" customHeight="1" s="182">
      <c r="A561" s="4" t="n"/>
      <c r="B561" s="4" t="n"/>
      <c r="C561" s="4" t="n"/>
      <c r="D561" s="4" t="n"/>
      <c r="E561" s="4" t="n"/>
      <c r="F561" s="4" t="n"/>
    </row>
    <row r="562" ht="15.75" customHeight="1" s="182">
      <c r="A562" s="4" t="n"/>
      <c r="B562" s="4" t="n"/>
      <c r="C562" s="4" t="n"/>
      <c r="D562" s="4" t="n"/>
      <c r="E562" s="4" t="n"/>
      <c r="F562" s="4" t="n"/>
    </row>
    <row r="563" ht="15.75" customHeight="1" s="182">
      <c r="A563" s="4" t="n"/>
      <c r="B563" s="4" t="n"/>
      <c r="C563" s="4" t="n"/>
      <c r="D563" s="4" t="n"/>
      <c r="E563" s="4" t="n"/>
      <c r="F563" s="4" t="n"/>
    </row>
    <row r="564" ht="15.75" customHeight="1" s="182">
      <c r="A564" s="4" t="n"/>
      <c r="B564" s="4" t="n"/>
      <c r="C564" s="4" t="n"/>
      <c r="D564" s="4" t="n"/>
      <c r="E564" s="4" t="n"/>
      <c r="F564" s="4" t="n"/>
    </row>
    <row r="565" ht="15.75" customHeight="1" s="182">
      <c r="A565" s="4" t="n"/>
      <c r="B565" s="4" t="n"/>
      <c r="C565" s="4" t="n"/>
      <c r="D565" s="4" t="n"/>
      <c r="E565" s="4" t="n"/>
      <c r="F565" s="4" t="n"/>
    </row>
    <row r="566" ht="15.75" customHeight="1" s="182">
      <c r="A566" s="4" t="n"/>
      <c r="B566" s="4" t="n"/>
      <c r="C566" s="4" t="n"/>
      <c r="D566" s="4" t="n"/>
      <c r="E566" s="4" t="n"/>
      <c r="F566" s="4" t="n"/>
    </row>
    <row r="567" ht="15.75" customHeight="1" s="182">
      <c r="A567" s="4" t="n"/>
      <c r="B567" s="4" t="n"/>
      <c r="C567" s="4" t="n"/>
      <c r="D567" s="4" t="n"/>
      <c r="E567" s="4" t="n"/>
      <c r="F567" s="4" t="n"/>
    </row>
    <row r="568" ht="15.75" customHeight="1" s="182">
      <c r="A568" s="4" t="n"/>
      <c r="B568" s="4" t="n"/>
      <c r="C568" s="4" t="n"/>
      <c r="D568" s="4" t="n"/>
      <c r="E568" s="4" t="n"/>
      <c r="F568" s="4" t="n"/>
    </row>
    <row r="569" ht="15.75" customHeight="1" s="182">
      <c r="A569" s="4" t="n"/>
      <c r="B569" s="4" t="n"/>
      <c r="C569" s="4" t="n"/>
      <c r="D569" s="4" t="n"/>
      <c r="E569" s="4" t="n"/>
      <c r="F569" s="4" t="n"/>
    </row>
    <row r="570" ht="15.75" customHeight="1" s="182">
      <c r="A570" s="4" t="n"/>
      <c r="B570" s="4" t="n"/>
      <c r="C570" s="4" t="n"/>
      <c r="D570" s="4" t="n"/>
      <c r="E570" s="4" t="n"/>
      <c r="F570" s="4" t="n"/>
    </row>
    <row r="571" ht="15.75" customHeight="1" s="182">
      <c r="A571" s="4" t="n"/>
      <c r="B571" s="4" t="n"/>
      <c r="C571" s="4" t="n"/>
      <c r="D571" s="4" t="n"/>
      <c r="E571" s="4" t="n"/>
      <c r="F571" s="4" t="n"/>
    </row>
    <row r="572" ht="15.75" customHeight="1" s="182">
      <c r="A572" s="4" t="n"/>
      <c r="B572" s="4" t="n"/>
      <c r="C572" s="4" t="n"/>
      <c r="D572" s="4" t="n"/>
      <c r="E572" s="4" t="n"/>
      <c r="F572" s="4" t="n"/>
    </row>
    <row r="573" ht="15.75" customHeight="1" s="182">
      <c r="A573" s="4" t="n"/>
      <c r="B573" s="4" t="n"/>
      <c r="C573" s="4" t="n"/>
      <c r="D573" s="4" t="n"/>
      <c r="E573" s="4" t="n"/>
      <c r="F573" s="4" t="n"/>
    </row>
    <row r="574" ht="15.75" customHeight="1" s="182">
      <c r="A574" s="4" t="n"/>
      <c r="B574" s="4" t="n"/>
      <c r="C574" s="4" t="n"/>
      <c r="D574" s="4" t="n"/>
      <c r="E574" s="4" t="n"/>
      <c r="F574" s="4" t="n"/>
    </row>
    <row r="575" ht="15.75" customHeight="1" s="182">
      <c r="A575" s="4" t="n"/>
      <c r="B575" s="4" t="n"/>
      <c r="C575" s="4" t="n"/>
      <c r="D575" s="4" t="n"/>
      <c r="E575" s="4" t="n"/>
      <c r="F575" s="4" t="n"/>
    </row>
    <row r="576" ht="15.75" customHeight="1" s="182">
      <c r="A576" s="4" t="n"/>
      <c r="B576" s="4" t="n"/>
      <c r="C576" s="4" t="n"/>
      <c r="D576" s="4" t="n"/>
      <c r="E576" s="4" t="n"/>
      <c r="F576" s="4" t="n"/>
    </row>
    <row r="577" ht="15.75" customHeight="1" s="182">
      <c r="A577" s="4" t="n"/>
      <c r="B577" s="4" t="n"/>
      <c r="C577" s="4" t="n"/>
      <c r="D577" s="4" t="n"/>
      <c r="E577" s="4" t="n"/>
      <c r="F577" s="4" t="n"/>
    </row>
    <row r="578" ht="15.75" customHeight="1" s="182">
      <c r="A578" s="4" t="n"/>
      <c r="B578" s="4" t="n"/>
      <c r="C578" s="4" t="n"/>
      <c r="D578" s="4" t="n"/>
      <c r="E578" s="4" t="n"/>
      <c r="F578" s="4" t="n"/>
    </row>
    <row r="579" ht="15.75" customHeight="1" s="182">
      <c r="A579" s="4" t="n"/>
      <c r="B579" s="4" t="n"/>
      <c r="C579" s="4" t="n"/>
      <c r="D579" s="4" t="n"/>
      <c r="E579" s="4" t="n"/>
      <c r="F579" s="4" t="n"/>
    </row>
    <row r="580" ht="15.75" customHeight="1" s="182">
      <c r="A580" s="4" t="n"/>
      <c r="B580" s="4" t="n"/>
      <c r="C580" s="4" t="n"/>
      <c r="D580" s="4" t="n"/>
      <c r="E580" s="4" t="n"/>
      <c r="F580" s="4" t="n"/>
    </row>
    <row r="581" ht="15.75" customHeight="1" s="182">
      <c r="A581" s="4" t="n"/>
      <c r="B581" s="4" t="n"/>
      <c r="C581" s="4" t="n"/>
      <c r="D581" s="4" t="n"/>
      <c r="E581" s="4" t="n"/>
      <c r="F581" s="4" t="n"/>
    </row>
    <row r="582" ht="15.75" customHeight="1" s="182">
      <c r="A582" s="4" t="n"/>
      <c r="B582" s="4" t="n"/>
      <c r="C582" s="4" t="n"/>
      <c r="D582" s="4" t="n"/>
      <c r="E582" s="4" t="n"/>
      <c r="F582" s="4" t="n"/>
    </row>
    <row r="583" ht="15.75" customHeight="1" s="182">
      <c r="A583" s="4" t="n"/>
      <c r="B583" s="4" t="n"/>
      <c r="C583" s="4" t="n"/>
      <c r="D583" s="4" t="n"/>
      <c r="E583" s="4" t="n"/>
      <c r="F583" s="4" t="n"/>
    </row>
    <row r="584" ht="15.75" customHeight="1" s="182">
      <c r="A584" s="4" t="n"/>
      <c r="B584" s="4" t="n"/>
      <c r="C584" s="4" t="n"/>
      <c r="D584" s="4" t="n"/>
      <c r="E584" s="4" t="n"/>
      <c r="F584" s="4" t="n"/>
    </row>
    <row r="585" ht="15.75" customHeight="1" s="182">
      <c r="A585" s="4" t="n"/>
      <c r="B585" s="4" t="n"/>
      <c r="C585" s="4" t="n"/>
      <c r="D585" s="4" t="n"/>
      <c r="E585" s="4" t="n"/>
      <c r="F585" s="4" t="n"/>
    </row>
    <row r="586" ht="15.75" customHeight="1" s="182">
      <c r="A586" s="4" t="n"/>
      <c r="B586" s="4" t="n"/>
      <c r="C586" s="4" t="n"/>
      <c r="D586" s="4" t="n"/>
      <c r="E586" s="4" t="n"/>
      <c r="F586" s="4" t="n"/>
    </row>
    <row r="587" ht="15.75" customHeight="1" s="182">
      <c r="A587" s="4" t="n"/>
      <c r="B587" s="4" t="n"/>
      <c r="C587" s="4" t="n"/>
      <c r="D587" s="4" t="n"/>
      <c r="E587" s="4" t="n"/>
      <c r="F587" s="4" t="n"/>
    </row>
    <row r="588" ht="15.75" customHeight="1" s="182">
      <c r="A588" s="4" t="n"/>
      <c r="B588" s="4" t="n"/>
      <c r="C588" s="4" t="n"/>
      <c r="D588" s="4" t="n"/>
      <c r="E588" s="4" t="n"/>
      <c r="F588" s="4" t="n"/>
    </row>
    <row r="589" ht="15.75" customHeight="1" s="182">
      <c r="A589" s="4" t="n"/>
      <c r="B589" s="4" t="n"/>
      <c r="C589" s="4" t="n"/>
      <c r="D589" s="4" t="n"/>
      <c r="E589" s="4" t="n"/>
      <c r="F589" s="4" t="n"/>
    </row>
    <row r="590" ht="15.75" customHeight="1" s="182">
      <c r="A590" s="4" t="n"/>
      <c r="B590" s="4" t="n"/>
      <c r="C590" s="4" t="n"/>
      <c r="D590" s="4" t="n"/>
      <c r="E590" s="4" t="n"/>
      <c r="F590" s="4" t="n"/>
    </row>
    <row r="591" ht="15.75" customHeight="1" s="182">
      <c r="A591" s="4" t="n"/>
      <c r="B591" s="4" t="n"/>
      <c r="C591" s="4" t="n"/>
      <c r="D591" s="4" t="n"/>
      <c r="E591" s="4" t="n"/>
      <c r="F591" s="4" t="n"/>
    </row>
    <row r="592" ht="15.75" customHeight="1" s="182">
      <c r="A592" s="4" t="n"/>
      <c r="B592" s="4" t="n"/>
      <c r="C592" s="4" t="n"/>
      <c r="D592" s="4" t="n"/>
      <c r="E592" s="4" t="n"/>
      <c r="F592" s="4" t="n"/>
    </row>
    <row r="593" ht="15.75" customHeight="1" s="182">
      <c r="A593" s="4" t="n"/>
      <c r="B593" s="4" t="n"/>
      <c r="C593" s="4" t="n"/>
      <c r="D593" s="4" t="n"/>
      <c r="E593" s="4" t="n"/>
      <c r="F593" s="4" t="n"/>
    </row>
    <row r="594" ht="15.75" customHeight="1" s="182">
      <c r="A594" s="4" t="n"/>
      <c r="B594" s="4" t="n"/>
      <c r="C594" s="4" t="n"/>
      <c r="D594" s="4" t="n"/>
      <c r="E594" s="4" t="n"/>
      <c r="F594" s="4" t="n"/>
    </row>
    <row r="595" ht="15.75" customHeight="1" s="182">
      <c r="A595" s="4" t="n"/>
      <c r="B595" s="4" t="n"/>
      <c r="C595" s="4" t="n"/>
      <c r="D595" s="4" t="n"/>
      <c r="E595" s="4" t="n"/>
      <c r="F595" s="4" t="n"/>
    </row>
    <row r="596" ht="15.75" customHeight="1" s="182">
      <c r="A596" s="4" t="n"/>
      <c r="B596" s="4" t="n"/>
      <c r="C596" s="4" t="n"/>
      <c r="D596" s="4" t="n"/>
      <c r="E596" s="4" t="n"/>
      <c r="F596" s="4" t="n"/>
    </row>
    <row r="597" ht="15.75" customHeight="1" s="182">
      <c r="A597" s="4" t="n"/>
      <c r="B597" s="4" t="n"/>
      <c r="C597" s="4" t="n"/>
      <c r="D597" s="4" t="n"/>
      <c r="E597" s="4" t="n"/>
      <c r="F597" s="4" t="n"/>
    </row>
    <row r="598" ht="15.75" customHeight="1" s="182">
      <c r="A598" s="4" t="n"/>
      <c r="B598" s="4" t="n"/>
      <c r="C598" s="4" t="n"/>
      <c r="D598" s="4" t="n"/>
      <c r="E598" s="4" t="n"/>
      <c r="F598" s="4" t="n"/>
    </row>
    <row r="599" ht="15.75" customHeight="1" s="182">
      <c r="A599" s="4" t="n"/>
      <c r="B599" s="4" t="n"/>
      <c r="C599" s="4" t="n"/>
      <c r="D599" s="4" t="n"/>
      <c r="E599" s="4" t="n"/>
      <c r="F599" s="4" t="n"/>
    </row>
    <row r="600" ht="15.75" customHeight="1" s="182">
      <c r="A600" s="4" t="n"/>
      <c r="B600" s="4" t="n"/>
      <c r="C600" s="4" t="n"/>
      <c r="D600" s="4" t="n"/>
      <c r="E600" s="4" t="n"/>
      <c r="F600" s="4" t="n"/>
    </row>
    <row r="601" ht="15.75" customHeight="1" s="182">
      <c r="A601" s="4" t="n"/>
      <c r="B601" s="4" t="n"/>
      <c r="C601" s="4" t="n"/>
      <c r="D601" s="4" t="n"/>
      <c r="E601" s="4" t="n"/>
      <c r="F601" s="4" t="n"/>
    </row>
    <row r="602" ht="15.75" customHeight="1" s="182">
      <c r="A602" s="4" t="n"/>
      <c r="B602" s="4" t="n"/>
      <c r="C602" s="4" t="n"/>
      <c r="D602" s="4" t="n"/>
      <c r="E602" s="4" t="n"/>
      <c r="F602" s="4" t="n"/>
    </row>
    <row r="603" ht="15.75" customHeight="1" s="182">
      <c r="A603" s="4" t="n"/>
      <c r="B603" s="4" t="n"/>
      <c r="C603" s="4" t="n"/>
      <c r="D603" s="4" t="n"/>
      <c r="E603" s="4" t="n"/>
      <c r="F603" s="4" t="n"/>
    </row>
    <row r="604" ht="15.75" customHeight="1" s="182">
      <c r="A604" s="4" t="n"/>
      <c r="B604" s="4" t="n"/>
      <c r="C604" s="4" t="n"/>
      <c r="D604" s="4" t="n"/>
      <c r="E604" s="4" t="n"/>
      <c r="F604" s="4" t="n"/>
    </row>
    <row r="605" ht="15.75" customHeight="1" s="182">
      <c r="A605" s="4" t="n"/>
      <c r="B605" s="4" t="n"/>
      <c r="C605" s="4" t="n"/>
      <c r="D605" s="4" t="n"/>
      <c r="E605" s="4" t="n"/>
      <c r="F605" s="4" t="n"/>
    </row>
    <row r="606" ht="15.75" customHeight="1" s="182">
      <c r="A606" s="4" t="n"/>
      <c r="B606" s="4" t="n"/>
      <c r="C606" s="4" t="n"/>
      <c r="D606" s="4" t="n"/>
      <c r="E606" s="4" t="n"/>
      <c r="F606" s="4" t="n"/>
    </row>
    <row r="607" ht="15.75" customHeight="1" s="182">
      <c r="A607" s="4" t="n"/>
      <c r="B607" s="4" t="n"/>
      <c r="C607" s="4" t="n"/>
      <c r="D607" s="4" t="n"/>
      <c r="E607" s="4" t="n"/>
      <c r="F607" s="4" t="n"/>
    </row>
    <row r="608" ht="15.75" customHeight="1" s="182">
      <c r="A608" s="4" t="n"/>
      <c r="B608" s="4" t="n"/>
      <c r="C608" s="4" t="n"/>
      <c r="D608" s="4" t="n"/>
      <c r="E608" s="4" t="n"/>
      <c r="F608" s="4" t="n"/>
    </row>
    <row r="609" ht="15.75" customHeight="1" s="182">
      <c r="A609" s="4" t="n"/>
      <c r="B609" s="4" t="n"/>
      <c r="C609" s="4" t="n"/>
      <c r="D609" s="4" t="n"/>
      <c r="E609" s="4" t="n"/>
      <c r="F609" s="4" t="n"/>
    </row>
    <row r="610" ht="15.75" customHeight="1" s="182">
      <c r="A610" s="4" t="n"/>
      <c r="B610" s="4" t="n"/>
      <c r="C610" s="4" t="n"/>
      <c r="D610" s="4" t="n"/>
      <c r="E610" s="4" t="n"/>
      <c r="F610" s="4" t="n"/>
    </row>
    <row r="611" ht="15.75" customHeight="1" s="182">
      <c r="A611" s="4" t="n"/>
      <c r="B611" s="4" t="n"/>
      <c r="C611" s="4" t="n"/>
      <c r="D611" s="4" t="n"/>
      <c r="E611" s="4" t="n"/>
      <c r="F611" s="4" t="n"/>
    </row>
    <row r="612" ht="15.75" customHeight="1" s="182">
      <c r="A612" s="4" t="n"/>
      <c r="B612" s="4" t="n"/>
      <c r="C612" s="4" t="n"/>
      <c r="D612" s="4" t="n"/>
      <c r="E612" s="4" t="n"/>
      <c r="F612" s="4" t="n"/>
    </row>
    <row r="613" ht="15.75" customHeight="1" s="182">
      <c r="A613" s="4" t="n"/>
      <c r="B613" s="4" t="n"/>
      <c r="C613" s="4" t="n"/>
      <c r="D613" s="4" t="n"/>
      <c r="E613" s="4" t="n"/>
      <c r="F613" s="4" t="n"/>
    </row>
    <row r="614" ht="15.75" customHeight="1" s="182">
      <c r="A614" s="4" t="n"/>
      <c r="B614" s="4" t="n"/>
      <c r="C614" s="4" t="n"/>
      <c r="D614" s="4" t="n"/>
      <c r="E614" s="4" t="n"/>
      <c r="F614" s="4" t="n"/>
    </row>
    <row r="615" ht="15.75" customHeight="1" s="182">
      <c r="A615" s="4" t="n"/>
      <c r="B615" s="4" t="n"/>
      <c r="C615" s="4" t="n"/>
      <c r="D615" s="4" t="n"/>
      <c r="E615" s="4" t="n"/>
      <c r="F615" s="4" t="n"/>
    </row>
    <row r="616" ht="15.75" customHeight="1" s="182">
      <c r="A616" s="4" t="n"/>
      <c r="B616" s="4" t="n"/>
      <c r="C616" s="4" t="n"/>
      <c r="D616" s="4" t="n"/>
      <c r="E616" s="4" t="n"/>
      <c r="F616" s="4" t="n"/>
    </row>
    <row r="617" ht="15.75" customHeight="1" s="182">
      <c r="A617" s="4" t="n"/>
      <c r="B617" s="4" t="n"/>
      <c r="C617" s="4" t="n"/>
      <c r="D617" s="4" t="n"/>
      <c r="E617" s="4" t="n"/>
      <c r="F617" s="4" t="n"/>
    </row>
    <row r="618" ht="15.75" customHeight="1" s="182">
      <c r="A618" s="4" t="n"/>
      <c r="B618" s="4" t="n"/>
      <c r="C618" s="4" t="n"/>
      <c r="D618" s="4" t="n"/>
      <c r="E618" s="4" t="n"/>
      <c r="F618" s="4" t="n"/>
    </row>
    <row r="619" ht="15.75" customHeight="1" s="182">
      <c r="A619" s="4" t="n"/>
      <c r="B619" s="4" t="n"/>
      <c r="C619" s="4" t="n"/>
      <c r="D619" s="4" t="n"/>
      <c r="E619" s="4" t="n"/>
      <c r="F619" s="4" t="n"/>
    </row>
    <row r="620" ht="15.75" customHeight="1" s="182">
      <c r="A620" s="4" t="n"/>
      <c r="B620" s="4" t="n"/>
      <c r="C620" s="4" t="n"/>
      <c r="D620" s="4" t="n"/>
      <c r="E620" s="4" t="n"/>
      <c r="F620" s="4" t="n"/>
    </row>
    <row r="621" ht="15.75" customHeight="1" s="182">
      <c r="A621" s="4" t="n"/>
      <c r="B621" s="4" t="n"/>
      <c r="C621" s="4" t="n"/>
      <c r="D621" s="4" t="n"/>
      <c r="E621" s="4" t="n"/>
      <c r="F621" s="4" t="n"/>
    </row>
    <row r="622" ht="15.75" customHeight="1" s="182">
      <c r="A622" s="4" t="n"/>
      <c r="B622" s="4" t="n"/>
      <c r="C622" s="4" t="n"/>
      <c r="D622" s="4" t="n"/>
      <c r="E622" s="4" t="n"/>
      <c r="F622" s="4" t="n"/>
    </row>
    <row r="623" ht="15.75" customHeight="1" s="182">
      <c r="A623" s="4" t="n"/>
      <c r="B623" s="4" t="n"/>
      <c r="C623" s="4" t="n"/>
      <c r="D623" s="4" t="n"/>
      <c r="E623" s="4" t="n"/>
      <c r="F623" s="4" t="n"/>
    </row>
    <row r="624" ht="15.75" customHeight="1" s="182">
      <c r="A624" s="4" t="n"/>
      <c r="B624" s="4" t="n"/>
      <c r="C624" s="4" t="n"/>
      <c r="D624" s="4" t="n"/>
      <c r="E624" s="4" t="n"/>
      <c r="F624" s="4" t="n"/>
    </row>
    <row r="625" ht="15.75" customHeight="1" s="182">
      <c r="A625" s="4" t="n"/>
      <c r="B625" s="4" t="n"/>
      <c r="C625" s="4" t="n"/>
      <c r="D625" s="4" t="n"/>
      <c r="E625" s="4" t="n"/>
      <c r="F625" s="4" t="n"/>
    </row>
    <row r="626" ht="15.75" customHeight="1" s="182">
      <c r="A626" s="4" t="n"/>
      <c r="B626" s="4" t="n"/>
      <c r="C626" s="4" t="n"/>
      <c r="D626" s="4" t="n"/>
      <c r="E626" s="4" t="n"/>
      <c r="F626" s="4" t="n"/>
    </row>
    <row r="627" ht="15.75" customHeight="1" s="182">
      <c r="A627" s="4" t="n"/>
      <c r="B627" s="4" t="n"/>
      <c r="C627" s="4" t="n"/>
      <c r="D627" s="4" t="n"/>
      <c r="E627" s="4" t="n"/>
      <c r="F627" s="4" t="n"/>
    </row>
    <row r="628" ht="15.75" customHeight="1" s="182">
      <c r="A628" s="4" t="n"/>
      <c r="B628" s="4" t="n"/>
      <c r="C628" s="4" t="n"/>
      <c r="D628" s="4" t="n"/>
      <c r="E628" s="4" t="n"/>
      <c r="F628" s="4" t="n"/>
    </row>
    <row r="629" ht="15.75" customHeight="1" s="182">
      <c r="A629" s="4" t="n"/>
      <c r="B629" s="4" t="n"/>
      <c r="C629" s="4" t="n"/>
      <c r="D629" s="4" t="n"/>
      <c r="E629" s="4" t="n"/>
      <c r="F629" s="4" t="n"/>
    </row>
    <row r="630" ht="15.75" customHeight="1" s="182">
      <c r="A630" s="4" t="n"/>
      <c r="B630" s="4" t="n"/>
      <c r="C630" s="4" t="n"/>
      <c r="D630" s="4" t="n"/>
      <c r="E630" s="4" t="n"/>
      <c r="F630" s="4" t="n"/>
    </row>
    <row r="631" ht="15.75" customHeight="1" s="182">
      <c r="A631" s="4" t="n"/>
      <c r="B631" s="4" t="n"/>
      <c r="C631" s="4" t="n"/>
      <c r="D631" s="4" t="n"/>
      <c r="E631" s="4" t="n"/>
      <c r="F631" s="4" t="n"/>
    </row>
    <row r="632" ht="15.75" customHeight="1" s="182">
      <c r="A632" s="4" t="n"/>
      <c r="B632" s="4" t="n"/>
      <c r="C632" s="4" t="n"/>
      <c r="D632" s="4" t="n"/>
      <c r="E632" s="4" t="n"/>
      <c r="F632" s="4" t="n"/>
    </row>
    <row r="633" ht="15.75" customHeight="1" s="182">
      <c r="A633" s="4" t="n"/>
      <c r="B633" s="4" t="n"/>
      <c r="C633" s="4" t="n"/>
      <c r="D633" s="4" t="n"/>
      <c r="E633" s="4" t="n"/>
      <c r="F633" s="4" t="n"/>
    </row>
    <row r="634" ht="15.75" customHeight="1" s="182">
      <c r="A634" s="4" t="n"/>
      <c r="B634" s="4" t="n"/>
      <c r="C634" s="4" t="n"/>
      <c r="D634" s="4" t="n"/>
      <c r="E634" s="4" t="n"/>
      <c r="F634" s="4" t="n"/>
    </row>
    <row r="635" ht="15.75" customHeight="1" s="182">
      <c r="A635" s="4" t="n"/>
      <c r="B635" s="4" t="n"/>
      <c r="C635" s="4" t="n"/>
      <c r="D635" s="4" t="n"/>
      <c r="E635" s="4" t="n"/>
      <c r="F635" s="4" t="n"/>
    </row>
    <row r="636" ht="15.75" customHeight="1" s="182">
      <c r="A636" s="4" t="n"/>
      <c r="B636" s="4" t="n"/>
      <c r="C636" s="4" t="n"/>
      <c r="D636" s="4" t="n"/>
      <c r="E636" s="4" t="n"/>
      <c r="F636" s="4" t="n"/>
    </row>
    <row r="637" ht="15.75" customHeight="1" s="182">
      <c r="A637" s="4" t="n"/>
      <c r="B637" s="4" t="n"/>
      <c r="C637" s="4" t="n"/>
      <c r="D637" s="4" t="n"/>
      <c r="E637" s="4" t="n"/>
      <c r="F637" s="4" t="n"/>
    </row>
    <row r="638" ht="15.75" customHeight="1" s="182">
      <c r="A638" s="4" t="n"/>
      <c r="B638" s="4" t="n"/>
      <c r="C638" s="4" t="n"/>
      <c r="D638" s="4" t="n"/>
      <c r="E638" s="4" t="n"/>
      <c r="F638" s="4" t="n"/>
    </row>
    <row r="639" ht="15.75" customHeight="1" s="182">
      <c r="A639" s="4" t="n"/>
      <c r="B639" s="4" t="n"/>
      <c r="C639" s="4" t="n"/>
      <c r="D639" s="4" t="n"/>
      <c r="E639" s="4" t="n"/>
      <c r="F639" s="4" t="n"/>
    </row>
    <row r="640" ht="15.75" customHeight="1" s="182">
      <c r="A640" s="4" t="n"/>
      <c r="B640" s="4" t="n"/>
      <c r="C640" s="4" t="n"/>
      <c r="D640" s="4" t="n"/>
      <c r="E640" s="4" t="n"/>
      <c r="F640" s="4" t="n"/>
    </row>
    <row r="641" ht="15.75" customHeight="1" s="182">
      <c r="A641" s="4" t="n"/>
      <c r="B641" s="4" t="n"/>
      <c r="C641" s="4" t="n"/>
      <c r="D641" s="4" t="n"/>
      <c r="E641" s="4" t="n"/>
      <c r="F641" s="4" t="n"/>
    </row>
    <row r="642" ht="15.75" customHeight="1" s="182">
      <c r="A642" s="4" t="n"/>
      <c r="B642" s="4" t="n"/>
      <c r="C642" s="4" t="n"/>
      <c r="D642" s="4" t="n"/>
      <c r="E642" s="4" t="n"/>
      <c r="F642" s="4" t="n"/>
    </row>
    <row r="643" ht="15.75" customHeight="1" s="182">
      <c r="A643" s="4" t="n"/>
      <c r="B643" s="4" t="n"/>
      <c r="C643" s="4" t="n"/>
      <c r="D643" s="4" t="n"/>
      <c r="E643" s="4" t="n"/>
      <c r="F643" s="4" t="n"/>
    </row>
    <row r="644" ht="15.75" customHeight="1" s="182">
      <c r="A644" s="4" t="n"/>
      <c r="B644" s="4" t="n"/>
      <c r="C644" s="4" t="n"/>
      <c r="D644" s="4" t="n"/>
      <c r="E644" s="4" t="n"/>
      <c r="F644" s="4" t="n"/>
    </row>
    <row r="645" ht="15.75" customHeight="1" s="182">
      <c r="A645" s="4" t="n"/>
      <c r="B645" s="4" t="n"/>
      <c r="C645" s="4" t="n"/>
      <c r="D645" s="4" t="n"/>
      <c r="E645" s="4" t="n"/>
      <c r="F645" s="4" t="n"/>
    </row>
    <row r="646" ht="15.75" customHeight="1" s="182">
      <c r="A646" s="4" t="n"/>
      <c r="B646" s="4" t="n"/>
      <c r="C646" s="4" t="n"/>
      <c r="D646" s="4" t="n"/>
      <c r="E646" s="4" t="n"/>
      <c r="F646" s="4" t="n"/>
    </row>
    <row r="647" ht="15.75" customHeight="1" s="182">
      <c r="A647" s="4" t="n"/>
      <c r="B647" s="4" t="n"/>
      <c r="C647" s="4" t="n"/>
      <c r="D647" s="4" t="n"/>
      <c r="E647" s="4" t="n"/>
      <c r="F647" s="4" t="n"/>
    </row>
    <row r="648" ht="15.75" customHeight="1" s="182">
      <c r="A648" s="4" t="n"/>
      <c r="B648" s="4" t="n"/>
      <c r="C648" s="4" t="n"/>
      <c r="D648" s="4" t="n"/>
      <c r="E648" s="4" t="n"/>
      <c r="F648" s="4" t="n"/>
    </row>
    <row r="649" ht="15.75" customHeight="1" s="182">
      <c r="A649" s="4" t="n"/>
      <c r="B649" s="4" t="n"/>
      <c r="C649" s="4" t="n"/>
      <c r="D649" s="4" t="n"/>
      <c r="E649" s="4" t="n"/>
      <c r="F649" s="4" t="n"/>
    </row>
    <row r="650" ht="15.75" customHeight="1" s="182">
      <c r="A650" s="4" t="n"/>
      <c r="B650" s="4" t="n"/>
      <c r="C650" s="4" t="n"/>
      <c r="D650" s="4" t="n"/>
      <c r="E650" s="4" t="n"/>
      <c r="F650" s="4" t="n"/>
    </row>
    <row r="651" ht="15.75" customHeight="1" s="182">
      <c r="A651" s="4" t="n"/>
      <c r="B651" s="4" t="n"/>
      <c r="C651" s="4" t="n"/>
      <c r="D651" s="4" t="n"/>
      <c r="E651" s="4" t="n"/>
      <c r="F651" s="4" t="n"/>
    </row>
    <row r="652" ht="15.75" customHeight="1" s="182">
      <c r="A652" s="4" t="n"/>
      <c r="B652" s="4" t="n"/>
      <c r="C652" s="4" t="n"/>
      <c r="D652" s="4" t="n"/>
      <c r="E652" s="4" t="n"/>
      <c r="F652" s="4" t="n"/>
    </row>
    <row r="653" ht="15.75" customHeight="1" s="182">
      <c r="A653" s="4" t="n"/>
      <c r="B653" s="4" t="n"/>
      <c r="C653" s="4" t="n"/>
      <c r="D653" s="4" t="n"/>
      <c r="E653" s="4" t="n"/>
      <c r="F653" s="4" t="n"/>
    </row>
    <row r="654" ht="15.75" customHeight="1" s="182">
      <c r="A654" s="4" t="n"/>
      <c r="B654" s="4" t="n"/>
      <c r="C654" s="4" t="n"/>
      <c r="D654" s="4" t="n"/>
      <c r="E654" s="4" t="n"/>
      <c r="F654" s="4" t="n"/>
    </row>
    <row r="655" ht="15.75" customHeight="1" s="182">
      <c r="A655" s="4" t="n"/>
      <c r="B655" s="4" t="n"/>
      <c r="C655" s="4" t="n"/>
      <c r="D655" s="4" t="n"/>
      <c r="E655" s="4" t="n"/>
      <c r="F655" s="4" t="n"/>
    </row>
    <row r="656" ht="15.75" customHeight="1" s="182">
      <c r="A656" s="4" t="n"/>
      <c r="B656" s="4" t="n"/>
      <c r="C656" s="4" t="n"/>
      <c r="D656" s="4" t="n"/>
      <c r="E656" s="4" t="n"/>
      <c r="F656" s="4" t="n"/>
    </row>
    <row r="657" ht="15.75" customHeight="1" s="182">
      <c r="A657" s="4" t="n"/>
      <c r="B657" s="4" t="n"/>
      <c r="C657" s="4" t="n"/>
      <c r="D657" s="4" t="n"/>
      <c r="E657" s="4" t="n"/>
      <c r="F657" s="4" t="n"/>
    </row>
    <row r="658" ht="15.75" customHeight="1" s="182">
      <c r="A658" s="4" t="n"/>
      <c r="B658" s="4" t="n"/>
      <c r="C658" s="4" t="n"/>
      <c r="D658" s="4" t="n"/>
      <c r="E658" s="4" t="n"/>
      <c r="F658" s="4" t="n"/>
    </row>
    <row r="659" ht="15.75" customHeight="1" s="182">
      <c r="A659" s="4" t="n"/>
      <c r="B659" s="4" t="n"/>
      <c r="C659" s="4" t="n"/>
      <c r="D659" s="4" t="n"/>
      <c r="E659" s="4" t="n"/>
      <c r="F659" s="4" t="n"/>
    </row>
    <row r="660" ht="15.75" customHeight="1" s="182">
      <c r="A660" s="4" t="n"/>
      <c r="B660" s="4" t="n"/>
      <c r="C660" s="4" t="n"/>
      <c r="D660" s="4" t="n"/>
      <c r="E660" s="4" t="n"/>
      <c r="F660" s="4" t="n"/>
    </row>
    <row r="661" ht="15.75" customHeight="1" s="182">
      <c r="A661" s="4" t="n"/>
      <c r="B661" s="4" t="n"/>
      <c r="C661" s="4" t="n"/>
      <c r="D661" s="4" t="n"/>
      <c r="E661" s="4" t="n"/>
      <c r="F661" s="4" t="n"/>
    </row>
    <row r="662" ht="15.75" customHeight="1" s="182">
      <c r="A662" s="4" t="n"/>
      <c r="B662" s="4" t="n"/>
      <c r="C662" s="4" t="n"/>
      <c r="D662" s="4" t="n"/>
      <c r="E662" s="4" t="n"/>
      <c r="F662" s="4" t="n"/>
    </row>
    <row r="663" ht="15.75" customHeight="1" s="182">
      <c r="A663" s="4" t="n"/>
      <c r="B663" s="4" t="n"/>
      <c r="C663" s="4" t="n"/>
      <c r="D663" s="4" t="n"/>
      <c r="E663" s="4" t="n"/>
      <c r="F663" s="4" t="n"/>
    </row>
    <row r="664" ht="15.75" customHeight="1" s="182">
      <c r="A664" s="4" t="n"/>
      <c r="B664" s="4" t="n"/>
      <c r="C664" s="4" t="n"/>
      <c r="D664" s="4" t="n"/>
      <c r="E664" s="4" t="n"/>
      <c r="F664" s="4" t="n"/>
    </row>
    <row r="665" ht="15.75" customHeight="1" s="182">
      <c r="A665" s="4" t="n"/>
      <c r="B665" s="4" t="n"/>
      <c r="C665" s="4" t="n"/>
      <c r="D665" s="4" t="n"/>
      <c r="E665" s="4" t="n"/>
      <c r="F665" s="4" t="n"/>
    </row>
    <row r="666" ht="15.75" customHeight="1" s="182">
      <c r="A666" s="4" t="n"/>
      <c r="B666" s="4" t="n"/>
      <c r="C666" s="4" t="n"/>
      <c r="D666" s="4" t="n"/>
      <c r="E666" s="4" t="n"/>
      <c r="F666" s="4" t="n"/>
    </row>
    <row r="667" ht="15.75" customHeight="1" s="182">
      <c r="A667" s="4" t="n"/>
      <c r="B667" s="4" t="n"/>
      <c r="C667" s="4" t="n"/>
      <c r="D667" s="4" t="n"/>
      <c r="E667" s="4" t="n"/>
      <c r="F667" s="4" t="n"/>
    </row>
    <row r="668" ht="15.75" customHeight="1" s="182">
      <c r="A668" s="4" t="n"/>
      <c r="B668" s="4" t="n"/>
      <c r="C668" s="4" t="n"/>
      <c r="D668" s="4" t="n"/>
      <c r="E668" s="4" t="n"/>
      <c r="F668" s="4" t="n"/>
    </row>
    <row r="669" ht="15.75" customHeight="1" s="182">
      <c r="A669" s="4" t="n"/>
      <c r="B669" s="4" t="n"/>
      <c r="C669" s="4" t="n"/>
      <c r="D669" s="4" t="n"/>
      <c r="E669" s="4" t="n"/>
      <c r="F669" s="4" t="n"/>
    </row>
    <row r="670" ht="15.75" customHeight="1" s="182">
      <c r="A670" s="4" t="n"/>
      <c r="B670" s="4" t="n"/>
      <c r="C670" s="4" t="n"/>
      <c r="D670" s="4" t="n"/>
      <c r="E670" s="4" t="n"/>
      <c r="F670" s="4" t="n"/>
    </row>
    <row r="671" ht="15.75" customHeight="1" s="182">
      <c r="A671" s="4" t="n"/>
      <c r="B671" s="4" t="n"/>
      <c r="C671" s="4" t="n"/>
      <c r="D671" s="4" t="n"/>
      <c r="E671" s="4" t="n"/>
      <c r="F671" s="4" t="n"/>
    </row>
    <row r="672" ht="15.75" customHeight="1" s="182">
      <c r="A672" s="4" t="n"/>
      <c r="B672" s="4" t="n"/>
      <c r="C672" s="4" t="n"/>
      <c r="D672" s="4" t="n"/>
      <c r="E672" s="4" t="n"/>
      <c r="F672" s="4" t="n"/>
    </row>
    <row r="673" ht="15.75" customHeight="1" s="182">
      <c r="A673" s="4" t="n"/>
      <c r="B673" s="4" t="n"/>
      <c r="C673" s="4" t="n"/>
      <c r="D673" s="4" t="n"/>
      <c r="E673" s="4" t="n"/>
      <c r="F673" s="4" t="n"/>
    </row>
    <row r="674" ht="15.75" customHeight="1" s="182">
      <c r="A674" s="4" t="n"/>
      <c r="B674" s="4" t="n"/>
      <c r="C674" s="4" t="n"/>
      <c r="D674" s="4" t="n"/>
      <c r="E674" s="4" t="n"/>
      <c r="F674" s="4" t="n"/>
    </row>
    <row r="675" ht="15.75" customHeight="1" s="182">
      <c r="A675" s="4" t="n"/>
      <c r="B675" s="4" t="n"/>
      <c r="C675" s="4" t="n"/>
      <c r="D675" s="4" t="n"/>
      <c r="E675" s="4" t="n"/>
      <c r="F675" s="4" t="n"/>
    </row>
    <row r="676" ht="15.75" customHeight="1" s="182">
      <c r="A676" s="4" t="n"/>
      <c r="B676" s="4" t="n"/>
      <c r="C676" s="4" t="n"/>
      <c r="D676" s="4" t="n"/>
      <c r="E676" s="4" t="n"/>
      <c r="F676" s="4" t="n"/>
    </row>
    <row r="677" ht="15.75" customHeight="1" s="182">
      <c r="A677" s="4" t="n"/>
      <c r="B677" s="4" t="n"/>
      <c r="C677" s="4" t="n"/>
      <c r="D677" s="4" t="n"/>
      <c r="E677" s="4" t="n"/>
      <c r="F677" s="4" t="n"/>
    </row>
    <row r="678" ht="15.75" customHeight="1" s="182">
      <c r="A678" s="4" t="n"/>
      <c r="B678" s="4" t="n"/>
      <c r="C678" s="4" t="n"/>
      <c r="D678" s="4" t="n"/>
      <c r="E678" s="4" t="n"/>
      <c r="F678" s="4" t="n"/>
    </row>
    <row r="679" ht="15.75" customHeight="1" s="182">
      <c r="A679" s="4" t="n"/>
      <c r="B679" s="4" t="n"/>
      <c r="C679" s="4" t="n"/>
      <c r="D679" s="4" t="n"/>
      <c r="E679" s="4" t="n"/>
      <c r="F679" s="4" t="n"/>
    </row>
    <row r="680" ht="15.75" customHeight="1" s="182">
      <c r="A680" s="4" t="n"/>
      <c r="B680" s="4" t="n"/>
      <c r="C680" s="4" t="n"/>
      <c r="D680" s="4" t="n"/>
      <c r="E680" s="4" t="n"/>
      <c r="F680" s="4" t="n"/>
    </row>
    <row r="681" ht="15.75" customHeight="1" s="182">
      <c r="A681" s="4" t="n"/>
      <c r="B681" s="4" t="n"/>
      <c r="C681" s="4" t="n"/>
      <c r="D681" s="4" t="n"/>
      <c r="E681" s="4" t="n"/>
      <c r="F681" s="4" t="n"/>
    </row>
    <row r="682" ht="15.75" customHeight="1" s="182">
      <c r="A682" s="4" t="n"/>
      <c r="B682" s="4" t="n"/>
      <c r="C682" s="4" t="n"/>
      <c r="D682" s="4" t="n"/>
      <c r="E682" s="4" t="n"/>
      <c r="F682" s="4" t="n"/>
    </row>
    <row r="683" ht="15.75" customHeight="1" s="182">
      <c r="A683" s="4" t="n"/>
      <c r="B683" s="4" t="n"/>
      <c r="C683" s="4" t="n"/>
      <c r="D683" s="4" t="n"/>
      <c r="E683" s="4" t="n"/>
      <c r="F683" s="4" t="n"/>
    </row>
    <row r="684" ht="15.75" customHeight="1" s="182">
      <c r="A684" s="4" t="n"/>
      <c r="B684" s="4" t="n"/>
      <c r="C684" s="4" t="n"/>
      <c r="D684" s="4" t="n"/>
      <c r="E684" s="4" t="n"/>
      <c r="F684" s="4" t="n"/>
    </row>
    <row r="685" ht="15.75" customHeight="1" s="182">
      <c r="A685" s="4" t="n"/>
      <c r="B685" s="4" t="n"/>
      <c r="C685" s="4" t="n"/>
      <c r="D685" s="4" t="n"/>
      <c r="E685" s="4" t="n"/>
      <c r="F685" s="4" t="n"/>
    </row>
    <row r="686" ht="15.75" customHeight="1" s="182">
      <c r="A686" s="4" t="n"/>
      <c r="B686" s="4" t="n"/>
      <c r="C686" s="4" t="n"/>
      <c r="D686" s="4" t="n"/>
      <c r="E686" s="4" t="n"/>
      <c r="F686" s="4" t="n"/>
    </row>
    <row r="687" ht="15.75" customHeight="1" s="182">
      <c r="A687" s="4" t="n"/>
      <c r="B687" s="4" t="n"/>
      <c r="C687" s="4" t="n"/>
      <c r="D687" s="4" t="n"/>
      <c r="E687" s="4" t="n"/>
      <c r="F687" s="4" t="n"/>
    </row>
    <row r="688" ht="15.75" customHeight="1" s="182">
      <c r="A688" s="4" t="n"/>
      <c r="B688" s="4" t="n"/>
      <c r="C688" s="4" t="n"/>
      <c r="D688" s="4" t="n"/>
      <c r="E688" s="4" t="n"/>
      <c r="F688" s="4" t="n"/>
    </row>
    <row r="689" ht="15.75" customHeight="1" s="182">
      <c r="A689" s="4" t="n"/>
      <c r="B689" s="4" t="n"/>
      <c r="C689" s="4" t="n"/>
      <c r="D689" s="4" t="n"/>
      <c r="E689" s="4" t="n"/>
      <c r="F689" s="4" t="n"/>
    </row>
    <row r="690" ht="15.75" customHeight="1" s="182">
      <c r="A690" s="4" t="n"/>
      <c r="B690" s="4" t="n"/>
      <c r="C690" s="4" t="n"/>
      <c r="D690" s="4" t="n"/>
      <c r="E690" s="4" t="n"/>
      <c r="F690" s="4" t="n"/>
    </row>
    <row r="691" ht="15.75" customHeight="1" s="182">
      <c r="A691" s="4" t="n"/>
      <c r="B691" s="4" t="n"/>
      <c r="C691" s="4" t="n"/>
      <c r="D691" s="4" t="n"/>
      <c r="E691" s="4" t="n"/>
      <c r="F691" s="4" t="n"/>
    </row>
    <row r="692" ht="15.75" customHeight="1" s="182">
      <c r="A692" s="4" t="n"/>
      <c r="B692" s="4" t="n"/>
      <c r="C692" s="4" t="n"/>
      <c r="D692" s="4" t="n"/>
      <c r="E692" s="4" t="n"/>
      <c r="F692" s="4" t="n"/>
    </row>
    <row r="693" ht="15.75" customHeight="1" s="182">
      <c r="A693" s="4" t="n"/>
      <c r="B693" s="4" t="n"/>
      <c r="C693" s="4" t="n"/>
      <c r="D693" s="4" t="n"/>
      <c r="E693" s="4" t="n"/>
      <c r="F693" s="4" t="n"/>
    </row>
    <row r="694" ht="15.75" customHeight="1" s="182">
      <c r="A694" s="4" t="n"/>
      <c r="B694" s="4" t="n"/>
      <c r="C694" s="4" t="n"/>
      <c r="D694" s="4" t="n"/>
      <c r="E694" s="4" t="n"/>
      <c r="F694" s="4" t="n"/>
    </row>
    <row r="695" ht="15.75" customHeight="1" s="182">
      <c r="A695" s="4" t="n"/>
      <c r="B695" s="4" t="n"/>
      <c r="C695" s="4" t="n"/>
      <c r="D695" s="4" t="n"/>
      <c r="E695" s="4" t="n"/>
      <c r="F695" s="4" t="n"/>
    </row>
    <row r="696" ht="15.75" customHeight="1" s="182">
      <c r="A696" s="4" t="n"/>
      <c r="B696" s="4" t="n"/>
      <c r="C696" s="4" t="n"/>
      <c r="D696" s="4" t="n"/>
      <c r="E696" s="4" t="n"/>
      <c r="F696" s="4" t="n"/>
    </row>
    <row r="697" ht="15.75" customHeight="1" s="182">
      <c r="A697" s="4" t="n"/>
      <c r="B697" s="4" t="n"/>
      <c r="C697" s="4" t="n"/>
      <c r="D697" s="4" t="n"/>
      <c r="E697" s="4" t="n"/>
      <c r="F697" s="4" t="n"/>
    </row>
    <row r="698" ht="15.75" customHeight="1" s="182">
      <c r="A698" s="4" t="n"/>
      <c r="B698" s="4" t="n"/>
      <c r="C698" s="4" t="n"/>
      <c r="D698" s="4" t="n"/>
      <c r="E698" s="4" t="n"/>
      <c r="F698" s="4" t="n"/>
    </row>
    <row r="699" ht="15.75" customHeight="1" s="182">
      <c r="A699" s="4" t="n"/>
      <c r="B699" s="4" t="n"/>
      <c r="C699" s="4" t="n"/>
      <c r="D699" s="4" t="n"/>
      <c r="E699" s="4" t="n"/>
      <c r="F699" s="4" t="n"/>
    </row>
    <row r="700" ht="15.75" customHeight="1" s="182">
      <c r="A700" s="4" t="n"/>
      <c r="B700" s="4" t="n"/>
      <c r="C700" s="4" t="n"/>
      <c r="D700" s="4" t="n"/>
      <c r="E700" s="4" t="n"/>
      <c r="F700" s="4" t="n"/>
    </row>
    <row r="701" ht="15.75" customHeight="1" s="182">
      <c r="A701" s="4" t="n"/>
      <c r="B701" s="4" t="n"/>
      <c r="C701" s="4" t="n"/>
      <c r="D701" s="4" t="n"/>
      <c r="E701" s="4" t="n"/>
      <c r="F701" s="4" t="n"/>
    </row>
    <row r="702" ht="15.75" customHeight="1" s="182">
      <c r="A702" s="4" t="n"/>
      <c r="B702" s="4" t="n"/>
      <c r="C702" s="4" t="n"/>
      <c r="D702" s="4" t="n"/>
      <c r="E702" s="4" t="n"/>
      <c r="F702" s="4" t="n"/>
    </row>
    <row r="703" ht="15.75" customHeight="1" s="182">
      <c r="A703" s="4" t="n"/>
      <c r="B703" s="4" t="n"/>
      <c r="C703" s="4" t="n"/>
      <c r="D703" s="4" t="n"/>
      <c r="E703" s="4" t="n"/>
      <c r="F703" s="4" t="n"/>
    </row>
    <row r="704" ht="15.75" customHeight="1" s="182">
      <c r="A704" s="4" t="n"/>
      <c r="B704" s="4" t="n"/>
      <c r="C704" s="4" t="n"/>
      <c r="D704" s="4" t="n"/>
      <c r="E704" s="4" t="n"/>
      <c r="F704" s="4" t="n"/>
    </row>
    <row r="705" ht="15.75" customHeight="1" s="182">
      <c r="A705" s="4" t="n"/>
      <c r="B705" s="4" t="n"/>
      <c r="C705" s="4" t="n"/>
      <c r="D705" s="4" t="n"/>
      <c r="E705" s="4" t="n"/>
      <c r="F705" s="4" t="n"/>
    </row>
    <row r="706" ht="15.75" customHeight="1" s="182">
      <c r="A706" s="4" t="n"/>
      <c r="B706" s="4" t="n"/>
      <c r="C706" s="4" t="n"/>
      <c r="D706" s="4" t="n"/>
      <c r="E706" s="4" t="n"/>
      <c r="F706" s="4" t="n"/>
    </row>
    <row r="707" ht="15.75" customHeight="1" s="182">
      <c r="A707" s="4" t="n"/>
      <c r="B707" s="4" t="n"/>
      <c r="C707" s="4" t="n"/>
      <c r="D707" s="4" t="n"/>
      <c r="E707" s="4" t="n"/>
      <c r="F707" s="4" t="n"/>
    </row>
    <row r="708" ht="15.75" customHeight="1" s="182">
      <c r="A708" s="4" t="n"/>
      <c r="B708" s="4" t="n"/>
      <c r="C708" s="4" t="n"/>
      <c r="D708" s="4" t="n"/>
      <c r="E708" s="4" t="n"/>
      <c r="F708" s="4" t="n"/>
    </row>
    <row r="709" ht="15.75" customHeight="1" s="182">
      <c r="A709" s="4" t="n"/>
      <c r="B709" s="4" t="n"/>
      <c r="C709" s="4" t="n"/>
      <c r="D709" s="4" t="n"/>
      <c r="E709" s="4" t="n"/>
      <c r="F709" s="4" t="n"/>
    </row>
    <row r="710" ht="15.75" customHeight="1" s="182">
      <c r="A710" s="4" t="n"/>
      <c r="B710" s="4" t="n"/>
      <c r="C710" s="4" t="n"/>
      <c r="D710" s="4" t="n"/>
      <c r="E710" s="4" t="n"/>
      <c r="F710" s="4" t="n"/>
    </row>
    <row r="711" ht="15.75" customHeight="1" s="182">
      <c r="A711" s="4" t="n"/>
      <c r="B711" s="4" t="n"/>
      <c r="C711" s="4" t="n"/>
      <c r="D711" s="4" t="n"/>
      <c r="E711" s="4" t="n"/>
      <c r="F711" s="4" t="n"/>
    </row>
    <row r="712" ht="15.75" customHeight="1" s="182">
      <c r="A712" s="4" t="n"/>
      <c r="B712" s="4" t="n"/>
      <c r="C712" s="4" t="n"/>
      <c r="D712" s="4" t="n"/>
      <c r="E712" s="4" t="n"/>
      <c r="F712" s="4" t="n"/>
    </row>
    <row r="713" ht="15.75" customHeight="1" s="182">
      <c r="A713" s="4" t="n"/>
      <c r="B713" s="4" t="n"/>
      <c r="C713" s="4" t="n"/>
      <c r="D713" s="4" t="n"/>
      <c r="E713" s="4" t="n"/>
      <c r="F713" s="4" t="n"/>
    </row>
    <row r="714" ht="15.75" customHeight="1" s="182">
      <c r="A714" s="4" t="n"/>
      <c r="B714" s="4" t="n"/>
      <c r="C714" s="4" t="n"/>
      <c r="D714" s="4" t="n"/>
      <c r="E714" s="4" t="n"/>
      <c r="F714" s="4" t="n"/>
    </row>
    <row r="715" ht="15.75" customHeight="1" s="182">
      <c r="A715" s="4" t="n"/>
      <c r="B715" s="4" t="n"/>
      <c r="C715" s="4" t="n"/>
      <c r="D715" s="4" t="n"/>
      <c r="E715" s="4" t="n"/>
      <c r="F715" s="4" t="n"/>
    </row>
    <row r="716" ht="15.75" customHeight="1" s="182">
      <c r="A716" s="4" t="n"/>
      <c r="B716" s="4" t="n"/>
      <c r="C716" s="4" t="n"/>
      <c r="D716" s="4" t="n"/>
      <c r="E716" s="4" t="n"/>
      <c r="F716" s="4" t="n"/>
    </row>
    <row r="717" ht="15.75" customHeight="1" s="182">
      <c r="A717" s="4" t="n"/>
      <c r="B717" s="4" t="n"/>
      <c r="C717" s="4" t="n"/>
      <c r="D717" s="4" t="n"/>
      <c r="E717" s="4" t="n"/>
      <c r="F717" s="4" t="n"/>
    </row>
    <row r="718" ht="15.75" customHeight="1" s="182">
      <c r="A718" s="4" t="n"/>
      <c r="B718" s="4" t="n"/>
      <c r="C718" s="4" t="n"/>
      <c r="D718" s="4" t="n"/>
      <c r="E718" s="4" t="n"/>
      <c r="F718" s="4" t="n"/>
    </row>
    <row r="719" ht="15.75" customHeight="1" s="182">
      <c r="A719" s="4" t="n"/>
      <c r="B719" s="4" t="n"/>
      <c r="C719" s="4" t="n"/>
      <c r="D719" s="4" t="n"/>
      <c r="E719" s="4" t="n"/>
      <c r="F719" s="4" t="n"/>
    </row>
    <row r="720" ht="15.75" customHeight="1" s="182">
      <c r="A720" s="4" t="n"/>
      <c r="B720" s="4" t="n"/>
      <c r="C720" s="4" t="n"/>
      <c r="D720" s="4" t="n"/>
      <c r="E720" s="4" t="n"/>
      <c r="F720" s="4" t="n"/>
    </row>
    <row r="721" ht="15.75" customHeight="1" s="182">
      <c r="A721" s="4" t="n"/>
      <c r="B721" s="4" t="n"/>
      <c r="C721" s="4" t="n"/>
      <c r="D721" s="4" t="n"/>
      <c r="E721" s="4" t="n"/>
      <c r="F721" s="4" t="n"/>
    </row>
    <row r="722" ht="15.75" customHeight="1" s="182">
      <c r="A722" s="4" t="n"/>
      <c r="B722" s="4" t="n"/>
      <c r="C722" s="4" t="n"/>
      <c r="D722" s="4" t="n"/>
      <c r="E722" s="4" t="n"/>
      <c r="F722" s="4" t="n"/>
    </row>
    <row r="723" ht="15.75" customHeight="1" s="182">
      <c r="A723" s="4" t="n"/>
      <c r="B723" s="4" t="n"/>
      <c r="C723" s="4" t="n"/>
      <c r="D723" s="4" t="n"/>
      <c r="E723" s="4" t="n"/>
      <c r="F723" s="4" t="n"/>
    </row>
    <row r="724" ht="15.75" customHeight="1" s="182">
      <c r="A724" s="4" t="n"/>
      <c r="B724" s="4" t="n"/>
      <c r="C724" s="4" t="n"/>
      <c r="D724" s="4" t="n"/>
      <c r="E724" s="4" t="n"/>
      <c r="F724" s="4" t="n"/>
    </row>
    <row r="725" ht="15.75" customHeight="1" s="182">
      <c r="A725" s="4" t="n"/>
      <c r="B725" s="4" t="n"/>
      <c r="C725" s="4" t="n"/>
      <c r="D725" s="4" t="n"/>
      <c r="E725" s="4" t="n"/>
      <c r="F725" s="4" t="n"/>
    </row>
    <row r="726" ht="15.75" customHeight="1" s="182">
      <c r="A726" s="4" t="n"/>
      <c r="B726" s="4" t="n"/>
      <c r="C726" s="4" t="n"/>
      <c r="D726" s="4" t="n"/>
      <c r="E726" s="4" t="n"/>
      <c r="F726" s="4" t="n"/>
    </row>
    <row r="727" ht="15.75" customHeight="1" s="182">
      <c r="A727" s="4" t="n"/>
      <c r="B727" s="4" t="n"/>
      <c r="C727" s="4" t="n"/>
      <c r="D727" s="4" t="n"/>
      <c r="E727" s="4" t="n"/>
      <c r="F727" s="4" t="n"/>
    </row>
    <row r="728" ht="15.75" customHeight="1" s="182">
      <c r="A728" s="4" t="n"/>
      <c r="B728" s="4" t="n"/>
      <c r="C728" s="4" t="n"/>
      <c r="D728" s="4" t="n"/>
      <c r="E728" s="4" t="n"/>
      <c r="F728" s="4" t="n"/>
    </row>
    <row r="729" ht="15.75" customHeight="1" s="182">
      <c r="A729" s="4" t="n"/>
      <c r="B729" s="4" t="n"/>
      <c r="C729" s="4" t="n"/>
      <c r="D729" s="4" t="n"/>
      <c r="E729" s="4" t="n"/>
      <c r="F729" s="4" t="n"/>
    </row>
    <row r="730" ht="15.75" customHeight="1" s="182">
      <c r="A730" s="4" t="n"/>
      <c r="B730" s="4" t="n"/>
      <c r="C730" s="4" t="n"/>
      <c r="D730" s="4" t="n"/>
      <c r="E730" s="4" t="n"/>
      <c r="F730" s="4" t="n"/>
    </row>
    <row r="731" ht="15.75" customHeight="1" s="182">
      <c r="A731" s="4" t="n"/>
      <c r="B731" s="4" t="n"/>
      <c r="C731" s="4" t="n"/>
      <c r="D731" s="4" t="n"/>
      <c r="E731" s="4" t="n"/>
      <c r="F731" s="4" t="n"/>
    </row>
    <row r="732" ht="15.75" customHeight="1" s="182">
      <c r="A732" s="4" t="n"/>
      <c r="B732" s="4" t="n"/>
      <c r="C732" s="4" t="n"/>
      <c r="D732" s="4" t="n"/>
      <c r="E732" s="4" t="n"/>
      <c r="F732" s="4" t="n"/>
    </row>
    <row r="733" ht="15.75" customHeight="1" s="182">
      <c r="A733" s="4" t="n"/>
      <c r="B733" s="4" t="n"/>
      <c r="C733" s="4" t="n"/>
      <c r="D733" s="4" t="n"/>
      <c r="E733" s="4" t="n"/>
      <c r="F733" s="4" t="n"/>
    </row>
    <row r="734" ht="15.75" customHeight="1" s="182">
      <c r="A734" s="4" t="n"/>
      <c r="B734" s="4" t="n"/>
      <c r="C734" s="4" t="n"/>
      <c r="D734" s="4" t="n"/>
      <c r="E734" s="4" t="n"/>
      <c r="F734" s="4" t="n"/>
    </row>
    <row r="735" ht="15.75" customHeight="1" s="182">
      <c r="A735" s="4" t="n"/>
      <c r="B735" s="4" t="n"/>
      <c r="C735" s="4" t="n"/>
      <c r="D735" s="4" t="n"/>
      <c r="E735" s="4" t="n"/>
      <c r="F735" s="4" t="n"/>
    </row>
    <row r="736" ht="15.75" customHeight="1" s="182">
      <c r="A736" s="4" t="n"/>
      <c r="B736" s="4" t="n"/>
      <c r="C736" s="4" t="n"/>
      <c r="D736" s="4" t="n"/>
      <c r="E736" s="4" t="n"/>
      <c r="F736" s="4" t="n"/>
    </row>
    <row r="737" ht="15.75" customHeight="1" s="182">
      <c r="A737" s="4" t="n"/>
      <c r="B737" s="4" t="n"/>
      <c r="C737" s="4" t="n"/>
      <c r="D737" s="4" t="n"/>
      <c r="E737" s="4" t="n"/>
      <c r="F737" s="4" t="n"/>
    </row>
    <row r="738" ht="15.75" customHeight="1" s="182">
      <c r="A738" s="4" t="n"/>
      <c r="B738" s="4" t="n"/>
      <c r="C738" s="4" t="n"/>
      <c r="D738" s="4" t="n"/>
      <c r="E738" s="4" t="n"/>
      <c r="F738" s="4" t="n"/>
    </row>
    <row r="739" ht="15.75" customHeight="1" s="182">
      <c r="A739" s="4" t="n"/>
      <c r="B739" s="4" t="n"/>
      <c r="C739" s="4" t="n"/>
      <c r="D739" s="4" t="n"/>
      <c r="E739" s="4" t="n"/>
      <c r="F739" s="4" t="n"/>
    </row>
    <row r="740" ht="15.75" customHeight="1" s="182">
      <c r="A740" s="4" t="n"/>
      <c r="B740" s="4" t="n"/>
      <c r="C740" s="4" t="n"/>
      <c r="D740" s="4" t="n"/>
      <c r="E740" s="4" t="n"/>
      <c r="F740" s="4" t="n"/>
    </row>
    <row r="741" ht="15.75" customHeight="1" s="182">
      <c r="A741" s="4" t="n"/>
      <c r="B741" s="4" t="n"/>
      <c r="C741" s="4" t="n"/>
      <c r="D741" s="4" t="n"/>
      <c r="E741" s="4" t="n"/>
      <c r="F741" s="4" t="n"/>
    </row>
    <row r="742" ht="15.75" customHeight="1" s="182">
      <c r="A742" s="4" t="n"/>
      <c r="B742" s="4" t="n"/>
      <c r="C742" s="4" t="n"/>
      <c r="D742" s="4" t="n"/>
      <c r="E742" s="4" t="n"/>
      <c r="F742" s="4" t="n"/>
    </row>
    <row r="743" ht="15.75" customHeight="1" s="182">
      <c r="A743" s="4" t="n"/>
      <c r="B743" s="4" t="n"/>
      <c r="C743" s="4" t="n"/>
      <c r="D743" s="4" t="n"/>
      <c r="E743" s="4" t="n"/>
      <c r="F743" s="4" t="n"/>
    </row>
    <row r="744" ht="15.75" customHeight="1" s="182">
      <c r="A744" s="4" t="n"/>
      <c r="B744" s="4" t="n"/>
      <c r="C744" s="4" t="n"/>
      <c r="D744" s="4" t="n"/>
      <c r="E744" s="4" t="n"/>
      <c r="F744" s="4" t="n"/>
    </row>
    <row r="745" ht="15.75" customHeight="1" s="182">
      <c r="A745" s="4" t="n"/>
      <c r="B745" s="4" t="n"/>
      <c r="C745" s="4" t="n"/>
      <c r="D745" s="4" t="n"/>
      <c r="E745" s="4" t="n"/>
      <c r="F745" s="4" t="n"/>
    </row>
    <row r="746" ht="15.75" customHeight="1" s="182">
      <c r="A746" s="4" t="n"/>
      <c r="B746" s="4" t="n"/>
      <c r="C746" s="4" t="n"/>
      <c r="D746" s="4" t="n"/>
      <c r="E746" s="4" t="n"/>
      <c r="F746" s="4" t="n"/>
    </row>
    <row r="747" ht="15.75" customHeight="1" s="182">
      <c r="A747" s="4" t="n"/>
      <c r="B747" s="4" t="n"/>
      <c r="C747" s="4" t="n"/>
      <c r="D747" s="4" t="n"/>
      <c r="E747" s="4" t="n"/>
      <c r="F747" s="4" t="n"/>
    </row>
    <row r="748" ht="15.75" customHeight="1" s="182">
      <c r="A748" s="4" t="n"/>
      <c r="B748" s="4" t="n"/>
      <c r="C748" s="4" t="n"/>
      <c r="D748" s="4" t="n"/>
      <c r="E748" s="4" t="n"/>
      <c r="F748" s="4" t="n"/>
    </row>
    <row r="749" ht="15.75" customHeight="1" s="182">
      <c r="A749" s="4" t="n"/>
      <c r="B749" s="4" t="n"/>
      <c r="C749" s="4" t="n"/>
      <c r="D749" s="4" t="n"/>
      <c r="E749" s="4" t="n"/>
      <c r="F749" s="4" t="n"/>
    </row>
    <row r="750" ht="15.75" customHeight="1" s="182">
      <c r="A750" s="4" t="n"/>
      <c r="B750" s="4" t="n"/>
      <c r="C750" s="4" t="n"/>
      <c r="D750" s="4" t="n"/>
      <c r="E750" s="4" t="n"/>
      <c r="F750" s="4" t="n"/>
    </row>
    <row r="751" ht="15.75" customHeight="1" s="182">
      <c r="A751" s="4" t="n"/>
      <c r="B751" s="4" t="n"/>
      <c r="C751" s="4" t="n"/>
      <c r="D751" s="4" t="n"/>
      <c r="E751" s="4" t="n"/>
      <c r="F751" s="4" t="n"/>
    </row>
    <row r="752" ht="15.75" customHeight="1" s="182">
      <c r="A752" s="4" t="n"/>
      <c r="B752" s="4" t="n"/>
      <c r="C752" s="4" t="n"/>
      <c r="D752" s="4" t="n"/>
      <c r="E752" s="4" t="n"/>
      <c r="F752" s="4" t="n"/>
    </row>
    <row r="753" ht="15.75" customHeight="1" s="182">
      <c r="A753" s="4" t="n"/>
      <c r="B753" s="4" t="n"/>
      <c r="C753" s="4" t="n"/>
      <c r="D753" s="4" t="n"/>
      <c r="E753" s="4" t="n"/>
      <c r="F753" s="4" t="n"/>
    </row>
    <row r="754" ht="15.75" customHeight="1" s="182">
      <c r="A754" s="4" t="n"/>
      <c r="B754" s="4" t="n"/>
      <c r="C754" s="4" t="n"/>
      <c r="D754" s="4" t="n"/>
      <c r="E754" s="4" t="n"/>
      <c r="F754" s="4" t="n"/>
    </row>
    <row r="755" ht="15.75" customHeight="1" s="182">
      <c r="A755" s="4" t="n"/>
      <c r="B755" s="4" t="n"/>
      <c r="C755" s="4" t="n"/>
      <c r="D755" s="4" t="n"/>
      <c r="E755" s="4" t="n"/>
      <c r="F755" s="4" t="n"/>
    </row>
    <row r="756" ht="15.75" customHeight="1" s="182">
      <c r="A756" s="4" t="n"/>
      <c r="B756" s="4" t="n"/>
      <c r="C756" s="4" t="n"/>
      <c r="D756" s="4" t="n"/>
      <c r="E756" s="4" t="n"/>
      <c r="F756" s="4" t="n"/>
    </row>
    <row r="757" ht="15.75" customHeight="1" s="182">
      <c r="A757" s="4" t="n"/>
      <c r="B757" s="4" t="n"/>
      <c r="C757" s="4" t="n"/>
      <c r="D757" s="4" t="n"/>
      <c r="E757" s="4" t="n"/>
      <c r="F757" s="4" t="n"/>
    </row>
    <row r="758" ht="15.75" customHeight="1" s="182">
      <c r="A758" s="4" t="n"/>
      <c r="B758" s="4" t="n"/>
      <c r="C758" s="4" t="n"/>
      <c r="D758" s="4" t="n"/>
      <c r="E758" s="4" t="n"/>
      <c r="F758" s="4" t="n"/>
    </row>
    <row r="759" ht="15.75" customHeight="1" s="182">
      <c r="A759" s="4" t="n"/>
      <c r="B759" s="4" t="n"/>
      <c r="C759" s="4" t="n"/>
      <c r="D759" s="4" t="n"/>
      <c r="E759" s="4" t="n"/>
      <c r="F759" s="4" t="n"/>
    </row>
    <row r="760" ht="15.75" customHeight="1" s="182">
      <c r="A760" s="4" t="n"/>
      <c r="B760" s="4" t="n"/>
      <c r="C760" s="4" t="n"/>
      <c r="D760" s="4" t="n"/>
      <c r="E760" s="4" t="n"/>
      <c r="F760" s="4" t="n"/>
    </row>
    <row r="761" ht="15.75" customHeight="1" s="182">
      <c r="A761" s="4" t="n"/>
      <c r="B761" s="4" t="n"/>
      <c r="C761" s="4" t="n"/>
      <c r="D761" s="4" t="n"/>
      <c r="E761" s="4" t="n"/>
      <c r="F761" s="4" t="n"/>
    </row>
    <row r="762" ht="15.75" customHeight="1" s="182">
      <c r="A762" s="4" t="n"/>
      <c r="B762" s="4" t="n"/>
      <c r="C762" s="4" t="n"/>
      <c r="D762" s="4" t="n"/>
      <c r="E762" s="4" t="n"/>
      <c r="F762" s="4" t="n"/>
    </row>
    <row r="763" ht="15.75" customHeight="1" s="182">
      <c r="A763" s="4" t="n"/>
      <c r="B763" s="4" t="n"/>
      <c r="C763" s="4" t="n"/>
      <c r="D763" s="4" t="n"/>
      <c r="E763" s="4" t="n"/>
      <c r="F763" s="4" t="n"/>
    </row>
    <row r="764" ht="15.75" customHeight="1" s="182">
      <c r="A764" s="4" t="n"/>
      <c r="B764" s="4" t="n"/>
      <c r="C764" s="4" t="n"/>
      <c r="D764" s="4" t="n"/>
      <c r="E764" s="4" t="n"/>
      <c r="F764" s="4" t="n"/>
    </row>
    <row r="765" ht="15.75" customHeight="1" s="182">
      <c r="A765" s="4" t="n"/>
      <c r="B765" s="4" t="n"/>
      <c r="C765" s="4" t="n"/>
      <c r="D765" s="4" t="n"/>
      <c r="E765" s="4" t="n"/>
      <c r="F765" s="4" t="n"/>
    </row>
    <row r="766" ht="15.75" customHeight="1" s="182">
      <c r="A766" s="4" t="n"/>
      <c r="B766" s="4" t="n"/>
      <c r="C766" s="4" t="n"/>
      <c r="D766" s="4" t="n"/>
      <c r="E766" s="4" t="n"/>
      <c r="F766" s="4" t="n"/>
    </row>
    <row r="767" ht="15.75" customHeight="1" s="182">
      <c r="A767" s="4" t="n"/>
      <c r="B767" s="4" t="n"/>
      <c r="C767" s="4" t="n"/>
      <c r="D767" s="4" t="n"/>
      <c r="E767" s="4" t="n"/>
      <c r="F767" s="4" t="n"/>
    </row>
    <row r="768" ht="15.75" customHeight="1" s="182">
      <c r="A768" s="4" t="n"/>
      <c r="B768" s="4" t="n"/>
      <c r="C768" s="4" t="n"/>
      <c r="D768" s="4" t="n"/>
      <c r="E768" s="4" t="n"/>
      <c r="F768" s="4" t="n"/>
    </row>
    <row r="769" ht="15.75" customHeight="1" s="182">
      <c r="A769" s="4" t="n"/>
      <c r="B769" s="4" t="n"/>
      <c r="C769" s="4" t="n"/>
      <c r="D769" s="4" t="n"/>
      <c r="E769" s="4" t="n"/>
      <c r="F769" s="4" t="n"/>
    </row>
    <row r="770" ht="15.75" customHeight="1" s="182">
      <c r="A770" s="4" t="n"/>
      <c r="B770" s="4" t="n"/>
      <c r="C770" s="4" t="n"/>
      <c r="D770" s="4" t="n"/>
      <c r="E770" s="4" t="n"/>
      <c r="F770" s="4" t="n"/>
    </row>
    <row r="771" ht="15.75" customHeight="1" s="182">
      <c r="A771" s="4" t="n"/>
      <c r="B771" s="4" t="n"/>
      <c r="C771" s="4" t="n"/>
      <c r="D771" s="4" t="n"/>
      <c r="E771" s="4" t="n"/>
      <c r="F771" s="4" t="n"/>
    </row>
    <row r="772" ht="15.75" customHeight="1" s="182">
      <c r="A772" s="4" t="n"/>
      <c r="B772" s="4" t="n"/>
      <c r="C772" s="4" t="n"/>
      <c r="D772" s="4" t="n"/>
      <c r="E772" s="4" t="n"/>
      <c r="F772" s="4" t="n"/>
    </row>
    <row r="773" ht="15.75" customHeight="1" s="182">
      <c r="A773" s="4" t="n"/>
      <c r="B773" s="4" t="n"/>
      <c r="C773" s="4" t="n"/>
      <c r="D773" s="4" t="n"/>
      <c r="E773" s="4" t="n"/>
      <c r="F773" s="4" t="n"/>
    </row>
    <row r="774" ht="15.75" customHeight="1" s="182">
      <c r="A774" s="4" t="n"/>
      <c r="B774" s="4" t="n"/>
      <c r="C774" s="4" t="n"/>
      <c r="D774" s="4" t="n"/>
      <c r="E774" s="4" t="n"/>
      <c r="F774" s="4" t="n"/>
    </row>
    <row r="775" ht="15.75" customHeight="1" s="182">
      <c r="A775" s="4" t="n"/>
      <c r="B775" s="4" t="n"/>
      <c r="C775" s="4" t="n"/>
      <c r="D775" s="4" t="n"/>
      <c r="E775" s="4" t="n"/>
      <c r="F775" s="4" t="n"/>
    </row>
    <row r="776" ht="15.75" customHeight="1" s="182">
      <c r="A776" s="4" t="n"/>
      <c r="B776" s="4" t="n"/>
      <c r="C776" s="4" t="n"/>
      <c r="D776" s="4" t="n"/>
      <c r="E776" s="4" t="n"/>
      <c r="F776" s="4" t="n"/>
    </row>
    <row r="777" ht="15.75" customHeight="1" s="182">
      <c r="A777" s="4" t="n"/>
      <c r="B777" s="4" t="n"/>
      <c r="C777" s="4" t="n"/>
      <c r="D777" s="4" t="n"/>
      <c r="E777" s="4" t="n"/>
      <c r="F777" s="4" t="n"/>
    </row>
    <row r="778" ht="15.75" customHeight="1" s="182">
      <c r="A778" s="4" t="n"/>
      <c r="B778" s="4" t="n"/>
      <c r="C778" s="4" t="n"/>
      <c r="D778" s="4" t="n"/>
      <c r="E778" s="4" t="n"/>
      <c r="F778" s="4" t="n"/>
    </row>
    <row r="779" ht="15.75" customHeight="1" s="182">
      <c r="A779" s="4" t="n"/>
      <c r="B779" s="4" t="n"/>
      <c r="C779" s="4" t="n"/>
      <c r="D779" s="4" t="n"/>
      <c r="E779" s="4" t="n"/>
      <c r="F779" s="4" t="n"/>
    </row>
    <row r="780" ht="15.75" customHeight="1" s="182">
      <c r="A780" s="4" t="n"/>
      <c r="B780" s="4" t="n"/>
      <c r="C780" s="4" t="n"/>
      <c r="D780" s="4" t="n"/>
      <c r="E780" s="4" t="n"/>
      <c r="F780" s="4" t="n"/>
    </row>
    <row r="781" ht="15.75" customHeight="1" s="182">
      <c r="A781" s="4" t="n"/>
      <c r="B781" s="4" t="n"/>
      <c r="C781" s="4" t="n"/>
      <c r="D781" s="4" t="n"/>
      <c r="E781" s="4" t="n"/>
      <c r="F781" s="4" t="n"/>
    </row>
    <row r="782" ht="15.75" customHeight="1" s="182">
      <c r="A782" s="4" t="n"/>
      <c r="B782" s="4" t="n"/>
      <c r="C782" s="4" t="n"/>
      <c r="D782" s="4" t="n"/>
      <c r="E782" s="4" t="n"/>
      <c r="F782" s="4" t="n"/>
    </row>
    <row r="783" ht="15.75" customHeight="1" s="182">
      <c r="A783" s="4" t="n"/>
      <c r="B783" s="4" t="n"/>
      <c r="C783" s="4" t="n"/>
      <c r="D783" s="4" t="n"/>
      <c r="E783" s="4" t="n"/>
      <c r="F783" s="4" t="n"/>
    </row>
    <row r="784" ht="15.75" customHeight="1" s="182">
      <c r="A784" s="4" t="n"/>
      <c r="B784" s="4" t="n"/>
      <c r="C784" s="4" t="n"/>
      <c r="D784" s="4" t="n"/>
      <c r="E784" s="4" t="n"/>
      <c r="F784" s="4" t="n"/>
    </row>
    <row r="785" ht="15.75" customHeight="1" s="182">
      <c r="A785" s="4" t="n"/>
      <c r="B785" s="4" t="n"/>
      <c r="C785" s="4" t="n"/>
      <c r="D785" s="4" t="n"/>
      <c r="E785" s="4" t="n"/>
      <c r="F785" s="4" t="n"/>
    </row>
    <row r="786" ht="15.75" customHeight="1" s="182">
      <c r="A786" s="4" t="n"/>
      <c r="B786" s="4" t="n"/>
      <c r="C786" s="4" t="n"/>
      <c r="D786" s="4" t="n"/>
      <c r="E786" s="4" t="n"/>
      <c r="F786" s="4" t="n"/>
    </row>
    <row r="787" ht="15.75" customHeight="1" s="182">
      <c r="A787" s="4" t="n"/>
      <c r="B787" s="4" t="n"/>
      <c r="C787" s="4" t="n"/>
      <c r="D787" s="4" t="n"/>
      <c r="E787" s="4" t="n"/>
      <c r="F787" s="4" t="n"/>
    </row>
    <row r="788" ht="15.75" customHeight="1" s="182">
      <c r="A788" s="4" t="n"/>
      <c r="B788" s="4" t="n"/>
      <c r="C788" s="4" t="n"/>
      <c r="D788" s="4" t="n"/>
      <c r="E788" s="4" t="n"/>
      <c r="F788" s="4" t="n"/>
    </row>
    <row r="789" ht="15.75" customHeight="1" s="182">
      <c r="A789" s="4" t="n"/>
      <c r="B789" s="4" t="n"/>
      <c r="C789" s="4" t="n"/>
      <c r="D789" s="4" t="n"/>
      <c r="E789" s="4" t="n"/>
      <c r="F789" s="4" t="n"/>
    </row>
    <row r="790" ht="15.75" customHeight="1" s="182">
      <c r="A790" s="4" t="n"/>
      <c r="B790" s="4" t="n"/>
      <c r="C790" s="4" t="n"/>
      <c r="D790" s="4" t="n"/>
      <c r="E790" s="4" t="n"/>
      <c r="F790" s="4" t="n"/>
    </row>
    <row r="791" ht="15.75" customHeight="1" s="182">
      <c r="A791" s="4" t="n"/>
      <c r="B791" s="4" t="n"/>
      <c r="C791" s="4" t="n"/>
      <c r="D791" s="4" t="n"/>
      <c r="E791" s="4" t="n"/>
      <c r="F791" s="4" t="n"/>
    </row>
    <row r="792" ht="15.75" customHeight="1" s="182">
      <c r="A792" s="4" t="n"/>
      <c r="B792" s="4" t="n"/>
      <c r="C792" s="4" t="n"/>
      <c r="D792" s="4" t="n"/>
      <c r="E792" s="4" t="n"/>
      <c r="F792" s="4" t="n"/>
    </row>
    <row r="793" ht="15.75" customHeight="1" s="182">
      <c r="A793" s="4" t="n"/>
      <c r="B793" s="4" t="n"/>
      <c r="C793" s="4" t="n"/>
      <c r="D793" s="4" t="n"/>
      <c r="E793" s="4" t="n"/>
      <c r="F793" s="4" t="n"/>
    </row>
    <row r="794" ht="15.75" customHeight="1" s="182">
      <c r="A794" s="4" t="n"/>
      <c r="B794" s="4" t="n"/>
      <c r="C794" s="4" t="n"/>
      <c r="D794" s="4" t="n"/>
      <c r="E794" s="4" t="n"/>
      <c r="F794" s="4" t="n"/>
    </row>
    <row r="795" ht="15.75" customHeight="1" s="182">
      <c r="A795" s="4" t="n"/>
      <c r="B795" s="4" t="n"/>
      <c r="C795" s="4" t="n"/>
      <c r="D795" s="4" t="n"/>
      <c r="E795" s="4" t="n"/>
      <c r="F795" s="4" t="n"/>
    </row>
    <row r="796" ht="15.75" customHeight="1" s="182">
      <c r="A796" s="4" t="n"/>
      <c r="B796" s="4" t="n"/>
      <c r="C796" s="4" t="n"/>
      <c r="D796" s="4" t="n"/>
      <c r="E796" s="4" t="n"/>
      <c r="F796" s="4" t="n"/>
    </row>
    <row r="797" ht="15.75" customHeight="1" s="182">
      <c r="A797" s="4" t="n"/>
      <c r="B797" s="4" t="n"/>
      <c r="C797" s="4" t="n"/>
      <c r="D797" s="4" t="n"/>
      <c r="E797" s="4" t="n"/>
      <c r="F797" s="4" t="n"/>
    </row>
    <row r="798" ht="15.75" customHeight="1" s="182">
      <c r="A798" s="4" t="n"/>
      <c r="B798" s="4" t="n"/>
      <c r="C798" s="4" t="n"/>
      <c r="D798" s="4" t="n"/>
      <c r="E798" s="4" t="n"/>
      <c r="F798" s="4" t="n"/>
    </row>
    <row r="799" ht="15.75" customHeight="1" s="182">
      <c r="A799" s="4" t="n"/>
      <c r="B799" s="4" t="n"/>
      <c r="C799" s="4" t="n"/>
      <c r="D799" s="4" t="n"/>
      <c r="E799" s="4" t="n"/>
      <c r="F799" s="4" t="n"/>
    </row>
    <row r="800" ht="15.75" customHeight="1" s="182">
      <c r="A800" s="4" t="n"/>
      <c r="B800" s="4" t="n"/>
      <c r="C800" s="4" t="n"/>
      <c r="D800" s="4" t="n"/>
      <c r="E800" s="4" t="n"/>
      <c r="F800" s="4" t="n"/>
    </row>
    <row r="801" ht="15.75" customHeight="1" s="182">
      <c r="A801" s="4" t="n"/>
      <c r="B801" s="4" t="n"/>
      <c r="C801" s="4" t="n"/>
      <c r="D801" s="4" t="n"/>
      <c r="E801" s="4" t="n"/>
      <c r="F801" s="4" t="n"/>
    </row>
    <row r="802" ht="15.75" customHeight="1" s="182">
      <c r="A802" s="4" t="n"/>
      <c r="B802" s="4" t="n"/>
      <c r="C802" s="4" t="n"/>
      <c r="D802" s="4" t="n"/>
      <c r="E802" s="4" t="n"/>
      <c r="F802" s="4" t="n"/>
    </row>
    <row r="803" ht="15.75" customHeight="1" s="182">
      <c r="A803" s="4" t="n"/>
      <c r="B803" s="4" t="n"/>
      <c r="C803" s="4" t="n"/>
      <c r="D803" s="4" t="n"/>
      <c r="E803" s="4" t="n"/>
      <c r="F803" s="4" t="n"/>
    </row>
    <row r="804" ht="15.75" customHeight="1" s="182">
      <c r="A804" s="4" t="n"/>
      <c r="B804" s="4" t="n"/>
      <c r="C804" s="4" t="n"/>
      <c r="D804" s="4" t="n"/>
      <c r="E804" s="4" t="n"/>
      <c r="F804" s="4" t="n"/>
    </row>
    <row r="805" ht="15.75" customHeight="1" s="182">
      <c r="A805" s="4" t="n"/>
      <c r="B805" s="4" t="n"/>
      <c r="C805" s="4" t="n"/>
      <c r="D805" s="4" t="n"/>
      <c r="E805" s="4" t="n"/>
      <c r="F805" s="4" t="n"/>
    </row>
    <row r="806" ht="15.75" customHeight="1" s="182">
      <c r="A806" s="4" t="n"/>
      <c r="B806" s="4" t="n"/>
      <c r="C806" s="4" t="n"/>
      <c r="D806" s="4" t="n"/>
      <c r="E806" s="4" t="n"/>
      <c r="F806" s="4" t="n"/>
    </row>
    <row r="807" ht="15.75" customHeight="1" s="182">
      <c r="A807" s="4" t="n"/>
      <c r="B807" s="4" t="n"/>
      <c r="C807" s="4" t="n"/>
      <c r="D807" s="4" t="n"/>
      <c r="E807" s="4" t="n"/>
      <c r="F807" s="4" t="n"/>
    </row>
    <row r="808" ht="15.75" customHeight="1" s="182">
      <c r="A808" s="4" t="n"/>
      <c r="B808" s="4" t="n"/>
      <c r="C808" s="4" t="n"/>
      <c r="D808" s="4" t="n"/>
      <c r="E808" s="4" t="n"/>
      <c r="F808" s="4" t="n"/>
    </row>
    <row r="809" ht="15.75" customHeight="1" s="182">
      <c r="A809" s="4" t="n"/>
      <c r="B809" s="4" t="n"/>
      <c r="C809" s="4" t="n"/>
      <c r="D809" s="4" t="n"/>
      <c r="E809" s="4" t="n"/>
      <c r="F809" s="4" t="n"/>
    </row>
    <row r="810" ht="15.75" customHeight="1" s="182">
      <c r="A810" s="4" t="n"/>
      <c r="B810" s="4" t="n"/>
      <c r="C810" s="4" t="n"/>
      <c r="D810" s="4" t="n"/>
      <c r="E810" s="4" t="n"/>
      <c r="F810" s="4" t="n"/>
    </row>
    <row r="811" ht="15.75" customHeight="1" s="182">
      <c r="A811" s="4" t="n"/>
      <c r="B811" s="4" t="n"/>
      <c r="C811" s="4" t="n"/>
      <c r="D811" s="4" t="n"/>
      <c r="E811" s="4" t="n"/>
      <c r="F811" s="4" t="n"/>
    </row>
    <row r="812" ht="15.75" customHeight="1" s="182">
      <c r="A812" s="4" t="n"/>
      <c r="B812" s="4" t="n"/>
      <c r="C812" s="4" t="n"/>
      <c r="D812" s="4" t="n"/>
      <c r="E812" s="4" t="n"/>
      <c r="F812" s="4" t="n"/>
    </row>
    <row r="813" ht="15.75" customHeight="1" s="182">
      <c r="A813" s="4" t="n"/>
      <c r="B813" s="4" t="n"/>
      <c r="C813" s="4" t="n"/>
      <c r="D813" s="4" t="n"/>
      <c r="E813" s="4" t="n"/>
      <c r="F813" s="4" t="n"/>
    </row>
    <row r="814" ht="15.75" customHeight="1" s="182">
      <c r="A814" s="4" t="n"/>
      <c r="B814" s="4" t="n"/>
      <c r="C814" s="4" t="n"/>
      <c r="D814" s="4" t="n"/>
      <c r="E814" s="4" t="n"/>
      <c r="F814" s="4" t="n"/>
    </row>
    <row r="815" ht="15.75" customHeight="1" s="182">
      <c r="A815" s="4" t="n"/>
      <c r="B815" s="4" t="n"/>
      <c r="C815" s="4" t="n"/>
      <c r="D815" s="4" t="n"/>
      <c r="E815" s="4" t="n"/>
      <c r="F815" s="4" t="n"/>
    </row>
    <row r="816" ht="15.75" customHeight="1" s="182">
      <c r="A816" s="4" t="n"/>
      <c r="B816" s="4" t="n"/>
      <c r="C816" s="4" t="n"/>
      <c r="D816" s="4" t="n"/>
      <c r="E816" s="4" t="n"/>
      <c r="F816" s="4" t="n"/>
    </row>
    <row r="817" ht="15.75" customHeight="1" s="182">
      <c r="A817" s="4" t="n"/>
      <c r="B817" s="4" t="n"/>
      <c r="C817" s="4" t="n"/>
      <c r="D817" s="4" t="n"/>
      <c r="E817" s="4" t="n"/>
      <c r="F817" s="4" t="n"/>
    </row>
    <row r="818" ht="15.75" customHeight="1" s="182">
      <c r="A818" s="4" t="n"/>
      <c r="B818" s="4" t="n"/>
      <c r="C818" s="4" t="n"/>
      <c r="D818" s="4" t="n"/>
      <c r="E818" s="4" t="n"/>
      <c r="F818" s="4" t="n"/>
    </row>
    <row r="819" ht="15.75" customHeight="1" s="182">
      <c r="A819" s="4" t="n"/>
      <c r="B819" s="4" t="n"/>
      <c r="C819" s="4" t="n"/>
      <c r="D819" s="4" t="n"/>
      <c r="E819" s="4" t="n"/>
      <c r="F819" s="4" t="n"/>
    </row>
    <row r="820" ht="15.75" customHeight="1" s="182">
      <c r="A820" s="4" t="n"/>
      <c r="B820" s="4" t="n"/>
      <c r="C820" s="4" t="n"/>
      <c r="D820" s="4" t="n"/>
      <c r="E820" s="4" t="n"/>
      <c r="F820" s="4" t="n"/>
    </row>
    <row r="821" ht="15.75" customHeight="1" s="182">
      <c r="A821" s="4" t="n"/>
      <c r="B821" s="4" t="n"/>
      <c r="C821" s="4" t="n"/>
      <c r="D821" s="4" t="n"/>
      <c r="E821" s="4" t="n"/>
      <c r="F821" s="4" t="n"/>
    </row>
    <row r="822" ht="15.75" customHeight="1" s="182">
      <c r="A822" s="4" t="n"/>
      <c r="B822" s="4" t="n"/>
      <c r="C822" s="4" t="n"/>
      <c r="D822" s="4" t="n"/>
      <c r="E822" s="4" t="n"/>
      <c r="F822" s="4" t="n"/>
    </row>
    <row r="823" ht="15.75" customHeight="1" s="182">
      <c r="A823" s="4" t="n"/>
      <c r="B823" s="4" t="n"/>
      <c r="C823" s="4" t="n"/>
      <c r="D823" s="4" t="n"/>
      <c r="E823" s="4" t="n"/>
      <c r="F823" s="4" t="n"/>
    </row>
    <row r="824" ht="15.75" customHeight="1" s="182">
      <c r="A824" s="4" t="n"/>
      <c r="B824" s="4" t="n"/>
      <c r="C824" s="4" t="n"/>
      <c r="D824" s="4" t="n"/>
      <c r="E824" s="4" t="n"/>
      <c r="F824" s="4" t="n"/>
    </row>
    <row r="825" ht="15.75" customHeight="1" s="182">
      <c r="A825" s="4" t="n"/>
      <c r="B825" s="4" t="n"/>
      <c r="C825" s="4" t="n"/>
      <c r="D825" s="4" t="n"/>
      <c r="E825" s="4" t="n"/>
      <c r="F825" s="4" t="n"/>
    </row>
    <row r="826" ht="15.75" customHeight="1" s="182">
      <c r="A826" s="4" t="n"/>
      <c r="B826" s="4" t="n"/>
      <c r="C826" s="4" t="n"/>
      <c r="D826" s="4" t="n"/>
      <c r="E826" s="4" t="n"/>
      <c r="F826" s="4" t="n"/>
    </row>
    <row r="827" ht="15.75" customHeight="1" s="182">
      <c r="A827" s="4" t="n"/>
      <c r="B827" s="4" t="n"/>
      <c r="C827" s="4" t="n"/>
      <c r="D827" s="4" t="n"/>
      <c r="E827" s="4" t="n"/>
      <c r="F827" s="4" t="n"/>
    </row>
    <row r="828" ht="15.75" customHeight="1" s="182">
      <c r="A828" s="4" t="n"/>
      <c r="B828" s="4" t="n"/>
      <c r="C828" s="4" t="n"/>
      <c r="D828" s="4" t="n"/>
      <c r="E828" s="4" t="n"/>
      <c r="F828" s="4" t="n"/>
    </row>
    <row r="829" ht="15.75" customHeight="1" s="182">
      <c r="A829" s="4" t="n"/>
      <c r="B829" s="4" t="n"/>
      <c r="C829" s="4" t="n"/>
      <c r="D829" s="4" t="n"/>
      <c r="E829" s="4" t="n"/>
      <c r="F829" s="4" t="n"/>
    </row>
    <row r="830" ht="15.75" customHeight="1" s="182">
      <c r="A830" s="4" t="n"/>
      <c r="B830" s="4" t="n"/>
      <c r="C830" s="4" t="n"/>
      <c r="D830" s="4" t="n"/>
      <c r="E830" s="4" t="n"/>
      <c r="F830" s="4" t="n"/>
    </row>
    <row r="831" ht="15.75" customHeight="1" s="182">
      <c r="A831" s="4" t="n"/>
      <c r="B831" s="4" t="n"/>
      <c r="C831" s="4" t="n"/>
      <c r="D831" s="4" t="n"/>
      <c r="E831" s="4" t="n"/>
      <c r="F831" s="4" t="n"/>
    </row>
    <row r="832" ht="15.75" customHeight="1" s="182">
      <c r="A832" s="4" t="n"/>
      <c r="B832" s="4" t="n"/>
      <c r="C832" s="4" t="n"/>
      <c r="D832" s="4" t="n"/>
      <c r="E832" s="4" t="n"/>
      <c r="F832" s="4" t="n"/>
    </row>
    <row r="833" ht="15.75" customHeight="1" s="182">
      <c r="A833" s="4" t="n"/>
      <c r="B833" s="4" t="n"/>
      <c r="C833" s="4" t="n"/>
      <c r="D833" s="4" t="n"/>
      <c r="E833" s="4" t="n"/>
      <c r="F833" s="4" t="n"/>
    </row>
    <row r="834" ht="15.75" customHeight="1" s="182">
      <c r="A834" s="4" t="n"/>
      <c r="B834" s="4" t="n"/>
      <c r="C834" s="4" t="n"/>
      <c r="D834" s="4" t="n"/>
      <c r="E834" s="4" t="n"/>
      <c r="F834" s="4" t="n"/>
    </row>
    <row r="835" ht="15.75" customHeight="1" s="182">
      <c r="A835" s="4" t="n"/>
      <c r="B835" s="4" t="n"/>
      <c r="C835" s="4" t="n"/>
      <c r="D835" s="4" t="n"/>
      <c r="E835" s="4" t="n"/>
      <c r="F835" s="4" t="n"/>
    </row>
    <row r="836" ht="15.75" customHeight="1" s="182">
      <c r="A836" s="4" t="n"/>
      <c r="B836" s="4" t="n"/>
      <c r="C836" s="4" t="n"/>
      <c r="D836" s="4" t="n"/>
      <c r="E836" s="4" t="n"/>
      <c r="F836" s="4" t="n"/>
    </row>
    <row r="837" ht="15.75" customHeight="1" s="182">
      <c r="A837" s="4" t="n"/>
      <c r="B837" s="4" t="n"/>
      <c r="C837" s="4" t="n"/>
      <c r="D837" s="4" t="n"/>
      <c r="E837" s="4" t="n"/>
      <c r="F837" s="4" t="n"/>
    </row>
    <row r="838" ht="15.75" customHeight="1" s="182">
      <c r="A838" s="4" t="n"/>
      <c r="B838" s="4" t="n"/>
      <c r="C838" s="4" t="n"/>
      <c r="D838" s="4" t="n"/>
      <c r="E838" s="4" t="n"/>
      <c r="F838" s="4" t="n"/>
    </row>
    <row r="839" ht="15.75" customHeight="1" s="182">
      <c r="A839" s="4" t="n"/>
      <c r="B839" s="4" t="n"/>
      <c r="C839" s="4" t="n"/>
      <c r="D839" s="4" t="n"/>
      <c r="E839" s="4" t="n"/>
      <c r="F839" s="4" t="n"/>
    </row>
    <row r="840" ht="15.75" customHeight="1" s="182">
      <c r="A840" s="4" t="n"/>
      <c r="B840" s="4" t="n"/>
      <c r="C840" s="4" t="n"/>
      <c r="D840" s="4" t="n"/>
      <c r="E840" s="4" t="n"/>
      <c r="F840" s="4" t="n"/>
    </row>
    <row r="841" ht="15.75" customHeight="1" s="182">
      <c r="A841" s="4" t="n"/>
      <c r="B841" s="4" t="n"/>
      <c r="C841" s="4" t="n"/>
      <c r="D841" s="4" t="n"/>
      <c r="E841" s="4" t="n"/>
      <c r="F841" s="4" t="n"/>
    </row>
    <row r="842" ht="15.75" customHeight="1" s="182">
      <c r="A842" s="4" t="n"/>
      <c r="B842" s="4" t="n"/>
      <c r="C842" s="4" t="n"/>
      <c r="D842" s="4" t="n"/>
      <c r="E842" s="4" t="n"/>
      <c r="F842" s="4" t="n"/>
    </row>
    <row r="843" ht="15.75" customHeight="1" s="182">
      <c r="A843" s="4" t="n"/>
      <c r="B843" s="4" t="n"/>
      <c r="C843" s="4" t="n"/>
      <c r="D843" s="4" t="n"/>
      <c r="E843" s="4" t="n"/>
      <c r="F843" s="4" t="n"/>
    </row>
    <row r="844" ht="15.75" customHeight="1" s="182">
      <c r="A844" s="4" t="n"/>
      <c r="B844" s="4" t="n"/>
      <c r="C844" s="4" t="n"/>
      <c r="D844" s="4" t="n"/>
      <c r="E844" s="4" t="n"/>
      <c r="F844" s="4" t="n"/>
    </row>
    <row r="845" ht="15.75" customHeight="1" s="182">
      <c r="A845" s="4" t="n"/>
      <c r="B845" s="4" t="n"/>
      <c r="C845" s="4" t="n"/>
      <c r="D845" s="4" t="n"/>
      <c r="E845" s="4" t="n"/>
      <c r="F845" s="4" t="n"/>
    </row>
    <row r="846" ht="15.75" customHeight="1" s="182">
      <c r="A846" s="4" t="n"/>
      <c r="B846" s="4" t="n"/>
      <c r="C846" s="4" t="n"/>
      <c r="D846" s="4" t="n"/>
      <c r="E846" s="4" t="n"/>
      <c r="F846" s="4" t="n"/>
    </row>
    <row r="847" ht="15.75" customHeight="1" s="182">
      <c r="A847" s="4" t="n"/>
      <c r="B847" s="4" t="n"/>
      <c r="C847" s="4" t="n"/>
      <c r="D847" s="4" t="n"/>
      <c r="E847" s="4" t="n"/>
      <c r="F847" s="4" t="n"/>
    </row>
    <row r="848" ht="15.75" customHeight="1" s="182">
      <c r="A848" s="4" t="n"/>
      <c r="B848" s="4" t="n"/>
      <c r="C848" s="4" t="n"/>
      <c r="D848" s="4" t="n"/>
      <c r="E848" s="4" t="n"/>
      <c r="F848" s="4" t="n"/>
    </row>
    <row r="849" ht="15.75" customHeight="1" s="182">
      <c r="A849" s="4" t="n"/>
      <c r="B849" s="4" t="n"/>
      <c r="C849" s="4" t="n"/>
      <c r="D849" s="4" t="n"/>
      <c r="E849" s="4" t="n"/>
      <c r="F849" s="4" t="n"/>
    </row>
    <row r="850" ht="15.75" customHeight="1" s="182">
      <c r="A850" s="4" t="n"/>
      <c r="B850" s="4" t="n"/>
      <c r="C850" s="4" t="n"/>
      <c r="D850" s="4" t="n"/>
      <c r="E850" s="4" t="n"/>
      <c r="F850" s="4" t="n"/>
    </row>
    <row r="851" ht="15.75" customHeight="1" s="182">
      <c r="A851" s="4" t="n"/>
      <c r="B851" s="4" t="n"/>
      <c r="C851" s="4" t="n"/>
      <c r="D851" s="4" t="n"/>
      <c r="E851" s="4" t="n"/>
      <c r="F851" s="4" t="n"/>
    </row>
    <row r="852" ht="15.75" customHeight="1" s="182">
      <c r="A852" s="4" t="n"/>
      <c r="B852" s="4" t="n"/>
      <c r="C852" s="4" t="n"/>
      <c r="D852" s="4" t="n"/>
      <c r="E852" s="4" t="n"/>
      <c r="F852" s="4" t="n"/>
    </row>
    <row r="853" ht="15.75" customHeight="1" s="182">
      <c r="A853" s="4" t="n"/>
      <c r="B853" s="4" t="n"/>
      <c r="C853" s="4" t="n"/>
      <c r="D853" s="4" t="n"/>
      <c r="E853" s="4" t="n"/>
      <c r="F853" s="4" t="n"/>
    </row>
    <row r="854" ht="15.75" customHeight="1" s="182">
      <c r="A854" s="4" t="n"/>
      <c r="B854" s="4" t="n"/>
      <c r="C854" s="4" t="n"/>
      <c r="D854" s="4" t="n"/>
      <c r="E854" s="4" t="n"/>
      <c r="F854" s="4" t="n"/>
    </row>
    <row r="855" ht="15.75" customHeight="1" s="182">
      <c r="A855" s="4" t="n"/>
      <c r="B855" s="4" t="n"/>
      <c r="C855" s="4" t="n"/>
      <c r="D855" s="4" t="n"/>
      <c r="E855" s="4" t="n"/>
      <c r="F855" s="4" t="n"/>
    </row>
    <row r="856" ht="15.75" customHeight="1" s="182">
      <c r="A856" s="4" t="n"/>
      <c r="B856" s="4" t="n"/>
      <c r="C856" s="4" t="n"/>
      <c r="D856" s="4" t="n"/>
      <c r="E856" s="4" t="n"/>
      <c r="F856" s="4" t="n"/>
    </row>
    <row r="857" ht="15.75" customHeight="1" s="182">
      <c r="A857" s="4" t="n"/>
      <c r="B857" s="4" t="n"/>
      <c r="C857" s="4" t="n"/>
      <c r="D857" s="4" t="n"/>
      <c r="E857" s="4" t="n"/>
      <c r="F857" s="4" t="n"/>
    </row>
    <row r="858" ht="15.75" customHeight="1" s="182">
      <c r="A858" s="4" t="n"/>
      <c r="B858" s="4" t="n"/>
      <c r="C858" s="4" t="n"/>
      <c r="D858" s="4" t="n"/>
      <c r="E858" s="4" t="n"/>
      <c r="F858" s="4" t="n"/>
    </row>
    <row r="859" ht="15.75" customHeight="1" s="182">
      <c r="A859" s="4" t="n"/>
      <c r="B859" s="4" t="n"/>
      <c r="C859" s="4" t="n"/>
      <c r="D859" s="4" t="n"/>
      <c r="E859" s="4" t="n"/>
      <c r="F859" s="4" t="n"/>
    </row>
    <row r="860" ht="15.75" customHeight="1" s="182">
      <c r="A860" s="4" t="n"/>
      <c r="B860" s="4" t="n"/>
      <c r="C860" s="4" t="n"/>
      <c r="D860" s="4" t="n"/>
      <c r="E860" s="4" t="n"/>
      <c r="F860" s="4" t="n"/>
    </row>
    <row r="861" ht="15.75" customHeight="1" s="182">
      <c r="A861" s="4" t="n"/>
      <c r="B861" s="4" t="n"/>
      <c r="C861" s="4" t="n"/>
      <c r="D861" s="4" t="n"/>
      <c r="E861" s="4" t="n"/>
      <c r="F861" s="4" t="n"/>
    </row>
    <row r="862" ht="15.75" customHeight="1" s="182">
      <c r="A862" s="4" t="n"/>
      <c r="B862" s="4" t="n"/>
      <c r="C862" s="4" t="n"/>
      <c r="D862" s="4" t="n"/>
      <c r="E862" s="4" t="n"/>
      <c r="F862" s="4" t="n"/>
    </row>
    <row r="863" ht="15.75" customHeight="1" s="182">
      <c r="A863" s="4" t="n"/>
      <c r="B863" s="4" t="n"/>
      <c r="C863" s="4" t="n"/>
      <c r="D863" s="4" t="n"/>
      <c r="E863" s="4" t="n"/>
      <c r="F863" s="4" t="n"/>
    </row>
    <row r="864" ht="15.75" customHeight="1" s="182">
      <c r="A864" s="4" t="n"/>
      <c r="B864" s="4" t="n"/>
      <c r="C864" s="4" t="n"/>
      <c r="D864" s="4" t="n"/>
      <c r="E864" s="4" t="n"/>
      <c r="F864" s="4" t="n"/>
    </row>
    <row r="865" ht="15.75" customHeight="1" s="182">
      <c r="A865" s="4" t="n"/>
      <c r="B865" s="4" t="n"/>
      <c r="C865" s="4" t="n"/>
      <c r="D865" s="4" t="n"/>
      <c r="E865" s="4" t="n"/>
      <c r="F865" s="4" t="n"/>
    </row>
    <row r="866" ht="15.75" customHeight="1" s="182">
      <c r="A866" s="4" t="n"/>
      <c r="B866" s="4" t="n"/>
      <c r="C866" s="4" t="n"/>
      <c r="D866" s="4" t="n"/>
      <c r="E866" s="4" t="n"/>
      <c r="F866" s="4" t="n"/>
    </row>
    <row r="867" ht="15.75" customHeight="1" s="182">
      <c r="A867" s="4" t="n"/>
      <c r="B867" s="4" t="n"/>
      <c r="C867" s="4" t="n"/>
      <c r="D867" s="4" t="n"/>
      <c r="E867" s="4" t="n"/>
      <c r="F867" s="4" t="n"/>
    </row>
    <row r="868" ht="15.75" customHeight="1" s="182">
      <c r="A868" s="4" t="n"/>
      <c r="B868" s="4" t="n"/>
      <c r="C868" s="4" t="n"/>
      <c r="D868" s="4" t="n"/>
      <c r="E868" s="4" t="n"/>
      <c r="F868" s="4" t="n"/>
    </row>
    <row r="869" ht="15.75" customHeight="1" s="182">
      <c r="A869" s="4" t="n"/>
      <c r="B869" s="4" t="n"/>
      <c r="C869" s="4" t="n"/>
      <c r="D869" s="4" t="n"/>
      <c r="E869" s="4" t="n"/>
      <c r="F869" s="4" t="n"/>
    </row>
    <row r="870" ht="15.75" customHeight="1" s="182">
      <c r="A870" s="4" t="n"/>
      <c r="B870" s="4" t="n"/>
      <c r="C870" s="4" t="n"/>
      <c r="D870" s="4" t="n"/>
      <c r="E870" s="4" t="n"/>
      <c r="F870" s="4" t="n"/>
    </row>
    <row r="871" ht="15.75" customHeight="1" s="182">
      <c r="A871" s="4" t="n"/>
      <c r="B871" s="4" t="n"/>
      <c r="C871" s="4" t="n"/>
      <c r="D871" s="4" t="n"/>
      <c r="E871" s="4" t="n"/>
      <c r="F871" s="4" t="n"/>
    </row>
    <row r="872" ht="15.75" customHeight="1" s="182">
      <c r="A872" s="4" t="n"/>
      <c r="B872" s="4" t="n"/>
      <c r="C872" s="4" t="n"/>
      <c r="D872" s="4" t="n"/>
      <c r="E872" s="4" t="n"/>
      <c r="F872" s="4" t="n"/>
    </row>
    <row r="873" ht="15.75" customHeight="1" s="182">
      <c r="A873" s="4" t="n"/>
      <c r="B873" s="4" t="n"/>
      <c r="C873" s="4" t="n"/>
      <c r="D873" s="4" t="n"/>
      <c r="E873" s="4" t="n"/>
      <c r="F873" s="4" t="n"/>
    </row>
    <row r="874" ht="15.75" customHeight="1" s="182">
      <c r="A874" s="4" t="n"/>
      <c r="B874" s="4" t="n"/>
      <c r="C874" s="4" t="n"/>
      <c r="D874" s="4" t="n"/>
      <c r="E874" s="4" t="n"/>
      <c r="F874" s="4" t="n"/>
    </row>
    <row r="875" ht="15.75" customHeight="1" s="182">
      <c r="A875" s="4" t="n"/>
      <c r="B875" s="4" t="n"/>
      <c r="C875" s="4" t="n"/>
      <c r="D875" s="4" t="n"/>
      <c r="E875" s="4" t="n"/>
      <c r="F875" s="4" t="n"/>
    </row>
    <row r="876" ht="15.75" customHeight="1" s="182">
      <c r="A876" s="4" t="n"/>
      <c r="B876" s="4" t="n"/>
      <c r="C876" s="4" t="n"/>
      <c r="D876" s="4" t="n"/>
      <c r="E876" s="4" t="n"/>
      <c r="F876" s="4" t="n"/>
    </row>
    <row r="877" ht="15.75" customHeight="1" s="182">
      <c r="A877" s="4" t="n"/>
      <c r="B877" s="4" t="n"/>
      <c r="C877" s="4" t="n"/>
      <c r="D877" s="4" t="n"/>
      <c r="E877" s="4" t="n"/>
      <c r="F877" s="4" t="n"/>
    </row>
    <row r="878" ht="15.75" customHeight="1" s="182">
      <c r="A878" s="4" t="n"/>
      <c r="B878" s="4" t="n"/>
      <c r="C878" s="4" t="n"/>
      <c r="D878" s="4" t="n"/>
      <c r="E878" s="4" t="n"/>
      <c r="F878" s="4" t="n"/>
    </row>
    <row r="879" ht="15.75" customHeight="1" s="182">
      <c r="A879" s="4" t="n"/>
      <c r="B879" s="4" t="n"/>
      <c r="C879" s="4" t="n"/>
      <c r="D879" s="4" t="n"/>
      <c r="E879" s="4" t="n"/>
      <c r="F879" s="4" t="n"/>
    </row>
    <row r="880" ht="15.75" customHeight="1" s="182">
      <c r="A880" s="4" t="n"/>
      <c r="B880" s="4" t="n"/>
      <c r="C880" s="4" t="n"/>
      <c r="D880" s="4" t="n"/>
      <c r="E880" s="4" t="n"/>
      <c r="F880" s="4" t="n"/>
    </row>
    <row r="881" ht="15.75" customHeight="1" s="182">
      <c r="A881" s="4" t="n"/>
      <c r="B881" s="4" t="n"/>
      <c r="C881" s="4" t="n"/>
      <c r="D881" s="4" t="n"/>
      <c r="E881" s="4" t="n"/>
      <c r="F881" s="4" t="n"/>
    </row>
    <row r="882" ht="15.75" customHeight="1" s="182">
      <c r="A882" s="4" t="n"/>
      <c r="B882" s="4" t="n"/>
      <c r="C882" s="4" t="n"/>
      <c r="D882" s="4" t="n"/>
      <c r="E882" s="4" t="n"/>
      <c r="F882" s="4" t="n"/>
    </row>
    <row r="883" ht="15.75" customHeight="1" s="182">
      <c r="A883" s="4" t="n"/>
      <c r="B883" s="4" t="n"/>
      <c r="C883" s="4" t="n"/>
      <c r="D883" s="4" t="n"/>
      <c r="E883" s="4" t="n"/>
      <c r="F883" s="4" t="n"/>
    </row>
    <row r="884" ht="15.75" customHeight="1" s="182">
      <c r="A884" s="4" t="n"/>
      <c r="B884" s="4" t="n"/>
      <c r="C884" s="4" t="n"/>
      <c r="D884" s="4" t="n"/>
      <c r="E884" s="4" t="n"/>
      <c r="F884" s="4" t="n"/>
    </row>
    <row r="885" ht="15.75" customHeight="1" s="182">
      <c r="A885" s="4" t="n"/>
      <c r="B885" s="4" t="n"/>
      <c r="C885" s="4" t="n"/>
      <c r="D885" s="4" t="n"/>
      <c r="E885" s="4" t="n"/>
      <c r="F885" s="4" t="n"/>
    </row>
    <row r="886" ht="15.75" customHeight="1" s="182">
      <c r="A886" s="4" t="n"/>
      <c r="B886" s="4" t="n"/>
      <c r="C886" s="4" t="n"/>
      <c r="D886" s="4" t="n"/>
      <c r="E886" s="4" t="n"/>
      <c r="F886" s="4" t="n"/>
    </row>
    <row r="887" ht="15.75" customHeight="1" s="182">
      <c r="A887" s="4" t="n"/>
      <c r="B887" s="4" t="n"/>
      <c r="C887" s="4" t="n"/>
      <c r="D887" s="4" t="n"/>
      <c r="E887" s="4" t="n"/>
      <c r="F887" s="4" t="n"/>
    </row>
    <row r="888" ht="15.75" customHeight="1" s="182">
      <c r="A888" s="4" t="n"/>
      <c r="B888" s="4" t="n"/>
      <c r="C888" s="4" t="n"/>
      <c r="D888" s="4" t="n"/>
      <c r="E888" s="4" t="n"/>
      <c r="F888" s="4" t="n"/>
    </row>
    <row r="889" ht="15.75" customHeight="1" s="182">
      <c r="A889" s="4" t="n"/>
      <c r="B889" s="4" t="n"/>
      <c r="C889" s="4" t="n"/>
      <c r="D889" s="4" t="n"/>
      <c r="E889" s="4" t="n"/>
      <c r="F889" s="4" t="n"/>
    </row>
    <row r="890" ht="15.75" customHeight="1" s="182">
      <c r="A890" s="4" t="n"/>
      <c r="B890" s="4" t="n"/>
      <c r="C890" s="4" t="n"/>
      <c r="D890" s="4" t="n"/>
      <c r="E890" s="4" t="n"/>
      <c r="F890" s="4" t="n"/>
    </row>
    <row r="891" ht="15.75" customHeight="1" s="182">
      <c r="A891" s="4" t="n"/>
      <c r="B891" s="4" t="n"/>
      <c r="C891" s="4" t="n"/>
      <c r="D891" s="4" t="n"/>
      <c r="E891" s="4" t="n"/>
      <c r="F891" s="4" t="n"/>
    </row>
    <row r="892" ht="15.75" customHeight="1" s="182">
      <c r="A892" s="4" t="n"/>
      <c r="B892" s="4" t="n"/>
      <c r="C892" s="4" t="n"/>
      <c r="D892" s="4" t="n"/>
      <c r="E892" s="4" t="n"/>
      <c r="F892" s="4" t="n"/>
    </row>
    <row r="893" ht="15.75" customHeight="1" s="182">
      <c r="A893" s="4" t="n"/>
      <c r="B893" s="4" t="n"/>
      <c r="C893" s="4" t="n"/>
      <c r="D893" s="4" t="n"/>
      <c r="E893" s="4" t="n"/>
      <c r="F893" s="4" t="n"/>
    </row>
    <row r="894" ht="15.75" customHeight="1" s="182">
      <c r="A894" s="4" t="n"/>
      <c r="B894" s="4" t="n"/>
      <c r="C894" s="4" t="n"/>
      <c r="D894" s="4" t="n"/>
      <c r="E894" s="4" t="n"/>
      <c r="F894" s="4" t="n"/>
    </row>
    <row r="895" ht="15.75" customHeight="1" s="182">
      <c r="A895" s="4" t="n"/>
      <c r="B895" s="4" t="n"/>
      <c r="C895" s="4" t="n"/>
      <c r="D895" s="4" t="n"/>
      <c r="E895" s="4" t="n"/>
      <c r="F895" s="4" t="n"/>
    </row>
    <row r="896" ht="15.75" customHeight="1" s="182">
      <c r="A896" s="4" t="n"/>
      <c r="B896" s="4" t="n"/>
      <c r="C896" s="4" t="n"/>
      <c r="D896" s="4" t="n"/>
      <c r="E896" s="4" t="n"/>
      <c r="F896" s="4" t="n"/>
    </row>
    <row r="897" ht="15.75" customHeight="1" s="182">
      <c r="A897" s="4" t="n"/>
      <c r="B897" s="4" t="n"/>
      <c r="C897" s="4" t="n"/>
      <c r="D897" s="4" t="n"/>
      <c r="E897" s="4" t="n"/>
      <c r="F897" s="4" t="n"/>
    </row>
    <row r="898" ht="15.75" customHeight="1" s="182">
      <c r="A898" s="4" t="n"/>
      <c r="B898" s="4" t="n"/>
      <c r="C898" s="4" t="n"/>
      <c r="D898" s="4" t="n"/>
      <c r="E898" s="4" t="n"/>
      <c r="F898" s="4" t="n"/>
    </row>
    <row r="899" ht="15.75" customHeight="1" s="182">
      <c r="A899" s="4" t="n"/>
      <c r="B899" s="4" t="n"/>
      <c r="C899" s="4" t="n"/>
      <c r="D899" s="4" t="n"/>
      <c r="E899" s="4" t="n"/>
      <c r="F899" s="4" t="n"/>
    </row>
    <row r="900" ht="15.75" customHeight="1" s="182">
      <c r="A900" s="4" t="n"/>
      <c r="B900" s="4" t="n"/>
      <c r="C900" s="4" t="n"/>
      <c r="D900" s="4" t="n"/>
      <c r="E900" s="4" t="n"/>
      <c r="F900" s="4" t="n"/>
    </row>
    <row r="901" ht="15.75" customHeight="1" s="182">
      <c r="A901" s="4" t="n"/>
      <c r="B901" s="4" t="n"/>
      <c r="C901" s="4" t="n"/>
      <c r="D901" s="4" t="n"/>
      <c r="E901" s="4" t="n"/>
      <c r="F901" s="4" t="n"/>
    </row>
    <row r="902" ht="15.75" customHeight="1" s="182">
      <c r="A902" s="4" t="n"/>
      <c r="B902" s="4" t="n"/>
      <c r="C902" s="4" t="n"/>
      <c r="D902" s="4" t="n"/>
      <c r="E902" s="4" t="n"/>
      <c r="F902" s="4" t="n"/>
    </row>
    <row r="903" ht="15.75" customHeight="1" s="182">
      <c r="A903" s="4" t="n"/>
      <c r="B903" s="4" t="n"/>
      <c r="C903" s="4" t="n"/>
      <c r="D903" s="4" t="n"/>
      <c r="E903" s="4" t="n"/>
      <c r="F903" s="4" t="n"/>
    </row>
    <row r="904" ht="15.75" customHeight="1" s="182">
      <c r="A904" s="4" t="n"/>
      <c r="B904" s="4" t="n"/>
      <c r="C904" s="4" t="n"/>
      <c r="D904" s="4" t="n"/>
      <c r="E904" s="4" t="n"/>
      <c r="F904" s="4" t="n"/>
    </row>
    <row r="905" ht="15.75" customHeight="1" s="182">
      <c r="A905" s="4" t="n"/>
      <c r="B905" s="4" t="n"/>
      <c r="C905" s="4" t="n"/>
      <c r="D905" s="4" t="n"/>
      <c r="E905" s="4" t="n"/>
      <c r="F905" s="4" t="n"/>
    </row>
    <row r="906" ht="15.75" customHeight="1" s="182">
      <c r="A906" s="4" t="n"/>
      <c r="B906" s="4" t="n"/>
      <c r="C906" s="4" t="n"/>
      <c r="D906" s="4" t="n"/>
      <c r="E906" s="4" t="n"/>
      <c r="F906" s="4" t="n"/>
    </row>
    <row r="907" ht="15.75" customHeight="1" s="182">
      <c r="A907" s="4" t="n"/>
      <c r="B907" s="4" t="n"/>
      <c r="C907" s="4" t="n"/>
      <c r="D907" s="4" t="n"/>
      <c r="E907" s="4" t="n"/>
      <c r="F907" s="4" t="n"/>
    </row>
    <row r="908" ht="15.75" customHeight="1" s="182">
      <c r="A908" s="4" t="n"/>
      <c r="B908" s="4" t="n"/>
      <c r="C908" s="4" t="n"/>
      <c r="D908" s="4" t="n"/>
      <c r="E908" s="4" t="n"/>
      <c r="F908" s="4" t="n"/>
    </row>
    <row r="909" ht="15.75" customHeight="1" s="182">
      <c r="A909" s="4" t="n"/>
      <c r="B909" s="4" t="n"/>
      <c r="C909" s="4" t="n"/>
      <c r="D909" s="4" t="n"/>
      <c r="E909" s="4" t="n"/>
      <c r="F909" s="4" t="n"/>
    </row>
    <row r="910" ht="15.75" customHeight="1" s="182">
      <c r="A910" s="4" t="n"/>
      <c r="B910" s="4" t="n"/>
      <c r="C910" s="4" t="n"/>
      <c r="D910" s="4" t="n"/>
      <c r="E910" s="4" t="n"/>
      <c r="F910" s="4" t="n"/>
    </row>
    <row r="911" ht="15.75" customHeight="1" s="182">
      <c r="A911" s="4" t="n"/>
      <c r="B911" s="4" t="n"/>
      <c r="C911" s="4" t="n"/>
      <c r="D911" s="4" t="n"/>
      <c r="E911" s="4" t="n"/>
      <c r="F911" s="4" t="n"/>
    </row>
    <row r="912" ht="15.75" customHeight="1" s="182">
      <c r="A912" s="4" t="n"/>
      <c r="B912" s="4" t="n"/>
      <c r="C912" s="4" t="n"/>
      <c r="D912" s="4" t="n"/>
      <c r="E912" s="4" t="n"/>
      <c r="F912" s="4" t="n"/>
    </row>
    <row r="913" ht="15.75" customHeight="1" s="182">
      <c r="A913" s="4" t="n"/>
      <c r="B913" s="4" t="n"/>
      <c r="C913" s="4" t="n"/>
      <c r="D913" s="4" t="n"/>
      <c r="E913" s="4" t="n"/>
      <c r="F913" s="4" t="n"/>
    </row>
    <row r="914" ht="15.75" customHeight="1" s="182">
      <c r="A914" s="4" t="n"/>
      <c r="B914" s="4" t="n"/>
      <c r="C914" s="4" t="n"/>
      <c r="D914" s="4" t="n"/>
      <c r="E914" s="4" t="n"/>
      <c r="F914" s="4" t="n"/>
    </row>
    <row r="915" ht="15.75" customHeight="1" s="182">
      <c r="A915" s="4" t="n"/>
      <c r="B915" s="4" t="n"/>
      <c r="C915" s="4" t="n"/>
      <c r="D915" s="4" t="n"/>
      <c r="E915" s="4" t="n"/>
      <c r="F915" s="4" t="n"/>
    </row>
    <row r="916" ht="15.75" customHeight="1" s="182">
      <c r="A916" s="4" t="n"/>
      <c r="B916" s="4" t="n"/>
      <c r="C916" s="4" t="n"/>
      <c r="D916" s="4" t="n"/>
      <c r="E916" s="4" t="n"/>
      <c r="F916" s="4" t="n"/>
    </row>
    <row r="917" ht="15.75" customHeight="1" s="182">
      <c r="A917" s="4" t="n"/>
      <c r="B917" s="4" t="n"/>
      <c r="C917" s="4" t="n"/>
      <c r="D917" s="4" t="n"/>
      <c r="E917" s="4" t="n"/>
      <c r="F917" s="4" t="n"/>
    </row>
    <row r="918" ht="15.75" customHeight="1" s="182">
      <c r="A918" s="4" t="n"/>
      <c r="B918" s="4" t="n"/>
      <c r="C918" s="4" t="n"/>
      <c r="D918" s="4" t="n"/>
      <c r="E918" s="4" t="n"/>
      <c r="F918" s="4" t="n"/>
    </row>
    <row r="919" ht="15.75" customHeight="1" s="182">
      <c r="A919" s="4" t="n"/>
      <c r="B919" s="4" t="n"/>
      <c r="C919" s="4" t="n"/>
      <c r="D919" s="4" t="n"/>
      <c r="E919" s="4" t="n"/>
      <c r="F919" s="4" t="n"/>
    </row>
    <row r="920" ht="15.75" customHeight="1" s="182">
      <c r="A920" s="4" t="n"/>
      <c r="B920" s="4" t="n"/>
      <c r="C920" s="4" t="n"/>
      <c r="D920" s="4" t="n"/>
      <c r="E920" s="4" t="n"/>
      <c r="F920" s="4" t="n"/>
    </row>
    <row r="921" ht="15.75" customHeight="1" s="182">
      <c r="A921" s="4" t="n"/>
      <c r="B921" s="4" t="n"/>
      <c r="C921" s="4" t="n"/>
      <c r="D921" s="4" t="n"/>
      <c r="E921" s="4" t="n"/>
      <c r="F921" s="4" t="n"/>
    </row>
    <row r="922" ht="15.75" customHeight="1" s="182">
      <c r="A922" s="4" t="n"/>
      <c r="B922" s="4" t="n"/>
      <c r="C922" s="4" t="n"/>
      <c r="D922" s="4" t="n"/>
      <c r="E922" s="4" t="n"/>
      <c r="F922" s="4" t="n"/>
    </row>
    <row r="923" ht="15.75" customHeight="1" s="182">
      <c r="A923" s="4" t="n"/>
      <c r="B923" s="4" t="n"/>
      <c r="C923" s="4" t="n"/>
      <c r="D923" s="4" t="n"/>
      <c r="E923" s="4" t="n"/>
      <c r="F923" s="4" t="n"/>
    </row>
    <row r="924" ht="15.75" customHeight="1" s="182">
      <c r="A924" s="4" t="n"/>
      <c r="B924" s="4" t="n"/>
      <c r="C924" s="4" t="n"/>
      <c r="D924" s="4" t="n"/>
      <c r="E924" s="4" t="n"/>
      <c r="F924" s="4" t="n"/>
    </row>
    <row r="925" ht="15.75" customHeight="1" s="182">
      <c r="A925" s="4" t="n"/>
      <c r="B925" s="4" t="n"/>
      <c r="C925" s="4" t="n"/>
      <c r="D925" s="4" t="n"/>
      <c r="E925" s="4" t="n"/>
      <c r="F925" s="4" t="n"/>
    </row>
    <row r="926" ht="15.75" customHeight="1" s="182">
      <c r="A926" s="4" t="n"/>
      <c r="B926" s="4" t="n"/>
      <c r="C926" s="4" t="n"/>
      <c r="D926" s="4" t="n"/>
      <c r="E926" s="4" t="n"/>
      <c r="F926" s="4" t="n"/>
    </row>
    <row r="927" ht="15.75" customHeight="1" s="182">
      <c r="A927" s="4" t="n"/>
      <c r="B927" s="4" t="n"/>
      <c r="C927" s="4" t="n"/>
      <c r="D927" s="4" t="n"/>
      <c r="E927" s="4" t="n"/>
      <c r="F927" s="4" t="n"/>
    </row>
    <row r="928" ht="15.75" customHeight="1" s="182">
      <c r="A928" s="4" t="n"/>
      <c r="B928" s="4" t="n"/>
      <c r="C928" s="4" t="n"/>
      <c r="D928" s="4" t="n"/>
      <c r="E928" s="4" t="n"/>
      <c r="F928" s="4" t="n"/>
    </row>
    <row r="929" ht="15.75" customHeight="1" s="182">
      <c r="A929" s="4" t="n"/>
      <c r="B929" s="4" t="n"/>
      <c r="C929" s="4" t="n"/>
      <c r="D929" s="4" t="n"/>
      <c r="E929" s="4" t="n"/>
      <c r="F929" s="4" t="n"/>
    </row>
    <row r="930" ht="15.75" customHeight="1" s="182">
      <c r="A930" s="4" t="n"/>
      <c r="B930" s="4" t="n"/>
      <c r="C930" s="4" t="n"/>
      <c r="D930" s="4" t="n"/>
      <c r="E930" s="4" t="n"/>
      <c r="F930" s="4" t="n"/>
    </row>
    <row r="931" ht="15.75" customHeight="1" s="182">
      <c r="A931" s="4" t="n"/>
      <c r="B931" s="4" t="n"/>
      <c r="C931" s="4" t="n"/>
      <c r="D931" s="4" t="n"/>
      <c r="E931" s="4" t="n"/>
      <c r="F931" s="4" t="n"/>
    </row>
    <row r="932" ht="15.75" customHeight="1" s="182">
      <c r="A932" s="4" t="n"/>
      <c r="B932" s="4" t="n"/>
      <c r="C932" s="4" t="n"/>
      <c r="D932" s="4" t="n"/>
      <c r="E932" s="4" t="n"/>
      <c r="F932" s="4" t="n"/>
    </row>
    <row r="933" ht="15.75" customHeight="1" s="182">
      <c r="A933" s="4" t="n"/>
      <c r="B933" s="4" t="n"/>
      <c r="C933" s="4" t="n"/>
      <c r="D933" s="4" t="n"/>
      <c r="E933" s="4" t="n"/>
      <c r="F933" s="4" t="n"/>
    </row>
    <row r="934" ht="15.75" customHeight="1" s="182">
      <c r="A934" s="4" t="n"/>
      <c r="B934" s="4" t="n"/>
      <c r="C934" s="4" t="n"/>
      <c r="D934" s="4" t="n"/>
      <c r="E934" s="4" t="n"/>
      <c r="F934" s="4" t="n"/>
    </row>
    <row r="935" ht="15.75" customHeight="1" s="182">
      <c r="A935" s="4" t="n"/>
      <c r="B935" s="4" t="n"/>
      <c r="C935" s="4" t="n"/>
      <c r="D935" s="4" t="n"/>
      <c r="E935" s="4" t="n"/>
      <c r="F935" s="4" t="n"/>
    </row>
    <row r="936" ht="15.75" customHeight="1" s="182">
      <c r="A936" s="4" t="n"/>
      <c r="B936" s="4" t="n"/>
      <c r="C936" s="4" t="n"/>
      <c r="D936" s="4" t="n"/>
      <c r="E936" s="4" t="n"/>
      <c r="F936" s="4" t="n"/>
    </row>
    <row r="937" ht="15.75" customHeight="1" s="182">
      <c r="A937" s="4" t="n"/>
      <c r="B937" s="4" t="n"/>
      <c r="C937" s="4" t="n"/>
      <c r="D937" s="4" t="n"/>
      <c r="E937" s="4" t="n"/>
      <c r="F937" s="4" t="n"/>
    </row>
    <row r="938" ht="15.75" customHeight="1" s="182">
      <c r="A938" s="4" t="n"/>
      <c r="B938" s="4" t="n"/>
      <c r="C938" s="4" t="n"/>
      <c r="D938" s="4" t="n"/>
      <c r="E938" s="4" t="n"/>
      <c r="F938" s="4" t="n"/>
    </row>
    <row r="939" ht="15.75" customHeight="1" s="182">
      <c r="A939" s="4" t="n"/>
      <c r="B939" s="4" t="n"/>
      <c r="C939" s="4" t="n"/>
      <c r="D939" s="4" t="n"/>
      <c r="E939" s="4" t="n"/>
      <c r="F939" s="4" t="n"/>
    </row>
    <row r="940" ht="15.75" customHeight="1" s="182">
      <c r="A940" s="4" t="n"/>
      <c r="B940" s="4" t="n"/>
      <c r="C940" s="4" t="n"/>
      <c r="D940" s="4" t="n"/>
      <c r="E940" s="4" t="n"/>
      <c r="F940" s="4" t="n"/>
    </row>
    <row r="941" ht="15.75" customHeight="1" s="182">
      <c r="A941" s="4" t="n"/>
      <c r="B941" s="4" t="n"/>
      <c r="C941" s="4" t="n"/>
      <c r="D941" s="4" t="n"/>
      <c r="E941" s="4" t="n"/>
      <c r="F941" s="4" t="n"/>
    </row>
    <row r="942" ht="15.75" customHeight="1" s="182">
      <c r="A942" s="4" t="n"/>
      <c r="B942" s="4" t="n"/>
      <c r="C942" s="4" t="n"/>
      <c r="D942" s="4" t="n"/>
      <c r="E942" s="4" t="n"/>
      <c r="F942" s="4" t="n"/>
    </row>
    <row r="943" ht="15.75" customHeight="1" s="182">
      <c r="A943" s="4" t="n"/>
      <c r="B943" s="4" t="n"/>
      <c r="C943" s="4" t="n"/>
      <c r="D943" s="4" t="n"/>
      <c r="E943" s="4" t="n"/>
      <c r="F943" s="4" t="n"/>
    </row>
    <row r="944" ht="15.75" customHeight="1" s="182">
      <c r="A944" s="4" t="n"/>
      <c r="B944" s="4" t="n"/>
      <c r="C944" s="4" t="n"/>
      <c r="D944" s="4" t="n"/>
      <c r="E944" s="4" t="n"/>
      <c r="F944" s="4" t="n"/>
    </row>
    <row r="945" ht="15.75" customHeight="1" s="182">
      <c r="A945" s="4" t="n"/>
      <c r="B945" s="4" t="n"/>
      <c r="C945" s="4" t="n"/>
      <c r="D945" s="4" t="n"/>
      <c r="E945" s="4" t="n"/>
      <c r="F945" s="4" t="n"/>
    </row>
    <row r="946" ht="15.75" customHeight="1" s="182">
      <c r="A946" s="4" t="n"/>
      <c r="B946" s="4" t="n"/>
      <c r="C946" s="4" t="n"/>
      <c r="D946" s="4" t="n"/>
      <c r="E946" s="4" t="n"/>
      <c r="F946" s="4" t="n"/>
    </row>
    <row r="947" ht="15.75" customHeight="1" s="182">
      <c r="A947" s="4" t="n"/>
      <c r="B947" s="4" t="n"/>
      <c r="C947" s="4" t="n"/>
      <c r="D947" s="4" t="n"/>
      <c r="E947" s="4" t="n"/>
      <c r="F947" s="4" t="n"/>
    </row>
    <row r="948" ht="15.75" customHeight="1" s="182">
      <c r="A948" s="4" t="n"/>
      <c r="B948" s="4" t="n"/>
      <c r="C948" s="4" t="n"/>
      <c r="D948" s="4" t="n"/>
      <c r="E948" s="4" t="n"/>
      <c r="F948" s="4" t="n"/>
    </row>
    <row r="949" ht="15.75" customHeight="1" s="182">
      <c r="A949" s="4" t="n"/>
      <c r="B949" s="4" t="n"/>
      <c r="C949" s="4" t="n"/>
      <c r="D949" s="4" t="n"/>
      <c r="E949" s="4" t="n"/>
      <c r="F949" s="4" t="n"/>
    </row>
    <row r="950" ht="15.75" customHeight="1" s="182">
      <c r="A950" s="4" t="n"/>
      <c r="B950" s="4" t="n"/>
      <c r="C950" s="4" t="n"/>
      <c r="D950" s="4" t="n"/>
      <c r="E950" s="4" t="n"/>
      <c r="F950" s="4" t="n"/>
    </row>
    <row r="951" ht="15.75" customHeight="1" s="182">
      <c r="A951" s="4" t="n"/>
      <c r="B951" s="4" t="n"/>
      <c r="C951" s="4" t="n"/>
      <c r="D951" s="4" t="n"/>
      <c r="E951" s="4" t="n"/>
      <c r="F951" s="4" t="n"/>
    </row>
    <row r="952" ht="15.75" customHeight="1" s="182">
      <c r="A952" s="4" t="n"/>
      <c r="B952" s="4" t="n"/>
      <c r="C952" s="4" t="n"/>
      <c r="D952" s="4" t="n"/>
      <c r="E952" s="4" t="n"/>
      <c r="F952" s="4" t="n"/>
    </row>
    <row r="953" ht="15.75" customHeight="1" s="182">
      <c r="A953" s="4" t="n"/>
      <c r="B953" s="4" t="n"/>
      <c r="C953" s="4" t="n"/>
      <c r="D953" s="4" t="n"/>
      <c r="E953" s="4" t="n"/>
      <c r="F953" s="4" t="n"/>
    </row>
    <row r="954" ht="15.75" customHeight="1" s="182">
      <c r="A954" s="4" t="n"/>
      <c r="B954" s="4" t="n"/>
      <c r="C954" s="4" t="n"/>
      <c r="D954" s="4" t="n"/>
      <c r="E954" s="4" t="n"/>
      <c r="F954" s="4" t="n"/>
    </row>
    <row r="955" ht="15.75" customHeight="1" s="182">
      <c r="A955" s="4" t="n"/>
      <c r="B955" s="4" t="n"/>
      <c r="C955" s="4" t="n"/>
      <c r="D955" s="4" t="n"/>
      <c r="E955" s="4" t="n"/>
      <c r="F955" s="4" t="n"/>
    </row>
    <row r="956" ht="15.75" customHeight="1" s="182">
      <c r="A956" s="4" t="n"/>
      <c r="B956" s="4" t="n"/>
      <c r="C956" s="4" t="n"/>
      <c r="D956" s="4" t="n"/>
      <c r="E956" s="4" t="n"/>
      <c r="F956" s="4" t="n"/>
    </row>
    <row r="957" ht="15.75" customHeight="1" s="182">
      <c r="A957" s="4" t="n"/>
      <c r="B957" s="4" t="n"/>
      <c r="C957" s="4" t="n"/>
      <c r="D957" s="4" t="n"/>
      <c r="E957" s="4" t="n"/>
      <c r="F957" s="4" t="n"/>
    </row>
    <row r="958" ht="15.75" customHeight="1" s="182">
      <c r="A958" s="4" t="n"/>
      <c r="B958" s="4" t="n"/>
      <c r="C958" s="4" t="n"/>
      <c r="D958" s="4" t="n"/>
      <c r="E958" s="4" t="n"/>
      <c r="F958" s="4" t="n"/>
    </row>
    <row r="959" ht="15.75" customHeight="1" s="182">
      <c r="A959" s="4" t="n"/>
      <c r="B959" s="4" t="n"/>
      <c r="C959" s="4" t="n"/>
      <c r="D959" s="4" t="n"/>
      <c r="E959" s="4" t="n"/>
      <c r="F959" s="4" t="n"/>
    </row>
    <row r="960" ht="15.75" customHeight="1" s="182">
      <c r="A960" s="4" t="n"/>
      <c r="B960" s="4" t="n"/>
      <c r="C960" s="4" t="n"/>
      <c r="D960" s="4" t="n"/>
      <c r="E960" s="4" t="n"/>
      <c r="F960" s="4" t="n"/>
    </row>
    <row r="961" ht="15.75" customHeight="1" s="182">
      <c r="A961" s="4" t="n"/>
      <c r="B961" s="4" t="n"/>
      <c r="C961" s="4" t="n"/>
      <c r="D961" s="4" t="n"/>
      <c r="E961" s="4" t="n"/>
      <c r="F961" s="4" t="n"/>
    </row>
    <row r="962" ht="15.75" customHeight="1" s="182">
      <c r="A962" s="4" t="n"/>
      <c r="B962" s="4" t="n"/>
      <c r="C962" s="4" t="n"/>
      <c r="D962" s="4" t="n"/>
      <c r="E962" s="4" t="n"/>
      <c r="F962" s="4" t="n"/>
    </row>
    <row r="963" ht="15.75" customHeight="1" s="182">
      <c r="A963" s="4" t="n"/>
      <c r="B963" s="4" t="n"/>
      <c r="C963" s="4" t="n"/>
      <c r="D963" s="4" t="n"/>
      <c r="E963" s="4" t="n"/>
      <c r="F963" s="4" t="n"/>
    </row>
    <row r="964" ht="15.75" customHeight="1" s="182">
      <c r="A964" s="4" t="n"/>
      <c r="B964" s="4" t="n"/>
      <c r="C964" s="4" t="n"/>
      <c r="D964" s="4" t="n"/>
      <c r="E964" s="4" t="n"/>
      <c r="F964" s="4" t="n"/>
    </row>
    <row r="965" ht="15.75" customHeight="1" s="182">
      <c r="A965" s="4" t="n"/>
      <c r="B965" s="4" t="n"/>
      <c r="C965" s="4" t="n"/>
      <c r="D965" s="4" t="n"/>
      <c r="E965" s="4" t="n"/>
      <c r="F965" s="4" t="n"/>
    </row>
    <row r="966" ht="15.75" customHeight="1" s="182">
      <c r="A966" s="4" t="n"/>
      <c r="B966" s="4" t="n"/>
      <c r="C966" s="4" t="n"/>
      <c r="D966" s="4" t="n"/>
      <c r="E966" s="4" t="n"/>
      <c r="F966" s="4" t="n"/>
    </row>
    <row r="967" ht="15.75" customHeight="1" s="182">
      <c r="A967" s="4" t="n"/>
      <c r="B967" s="4" t="n"/>
      <c r="C967" s="4" t="n"/>
      <c r="D967" s="4" t="n"/>
      <c r="E967" s="4" t="n"/>
      <c r="F967" s="4" t="n"/>
    </row>
    <row r="968" ht="15.75" customHeight="1" s="182">
      <c r="A968" s="4" t="n"/>
      <c r="B968" s="4" t="n"/>
      <c r="C968" s="4" t="n"/>
      <c r="D968" s="4" t="n"/>
      <c r="E968" s="4" t="n"/>
      <c r="F968" s="4" t="n"/>
    </row>
    <row r="969" ht="15.75" customHeight="1" s="182">
      <c r="A969" s="4" t="n"/>
      <c r="B969" s="4" t="n"/>
      <c r="C969" s="4" t="n"/>
      <c r="D969" s="4" t="n"/>
      <c r="E969" s="4" t="n"/>
      <c r="F969" s="4" t="n"/>
    </row>
    <row r="970" ht="15.75" customHeight="1" s="182">
      <c r="A970" s="4" t="n"/>
      <c r="B970" s="4" t="n"/>
      <c r="C970" s="4" t="n"/>
      <c r="D970" s="4" t="n"/>
      <c r="E970" s="4" t="n"/>
      <c r="F970" s="4" t="n"/>
    </row>
    <row r="971" ht="15.75" customHeight="1" s="182">
      <c r="A971" s="4" t="n"/>
      <c r="B971" s="4" t="n"/>
      <c r="C971" s="4" t="n"/>
      <c r="D971" s="4" t="n"/>
      <c r="E971" s="4" t="n"/>
      <c r="F971" s="4" t="n"/>
    </row>
    <row r="972" ht="15.75" customHeight="1" s="182">
      <c r="A972" s="4" t="n"/>
      <c r="B972" s="4" t="n"/>
      <c r="C972" s="4" t="n"/>
      <c r="D972" s="4" t="n"/>
      <c r="E972" s="4" t="n"/>
      <c r="F972" s="4" t="n"/>
    </row>
    <row r="973" ht="15.75" customHeight="1" s="182">
      <c r="A973" s="4" t="n"/>
      <c r="B973" s="4" t="n"/>
      <c r="C973" s="4" t="n"/>
      <c r="D973" s="4" t="n"/>
      <c r="E973" s="4" t="n"/>
      <c r="F973" s="4" t="n"/>
    </row>
    <row r="974" ht="15.75" customHeight="1" s="182">
      <c r="A974" s="4" t="n"/>
      <c r="B974" s="4" t="n"/>
      <c r="C974" s="4" t="n"/>
      <c r="D974" s="4" t="n"/>
      <c r="E974" s="4" t="n"/>
      <c r="F974" s="4" t="n"/>
    </row>
    <row r="975" ht="15.75" customHeight="1" s="182">
      <c r="A975" s="4" t="n"/>
      <c r="B975" s="4" t="n"/>
      <c r="C975" s="4" t="n"/>
      <c r="D975" s="4" t="n"/>
      <c r="E975" s="4" t="n"/>
      <c r="F975" s="4" t="n"/>
    </row>
    <row r="976" ht="15.75" customHeight="1" s="182">
      <c r="A976" s="4" t="n"/>
      <c r="B976" s="4" t="n"/>
      <c r="C976" s="4" t="n"/>
      <c r="D976" s="4" t="n"/>
      <c r="E976" s="4" t="n"/>
      <c r="F976" s="4" t="n"/>
    </row>
    <row r="977" ht="15.75" customHeight="1" s="182">
      <c r="A977" s="4" t="n"/>
      <c r="B977" s="4" t="n"/>
      <c r="C977" s="4" t="n"/>
      <c r="D977" s="4" t="n"/>
      <c r="E977" s="4" t="n"/>
      <c r="F977" s="4" t="n"/>
    </row>
    <row r="978" ht="15.75" customHeight="1" s="182">
      <c r="A978" s="4" t="n"/>
      <c r="B978" s="4" t="n"/>
      <c r="C978" s="4" t="n"/>
      <c r="D978" s="4" t="n"/>
      <c r="E978" s="4" t="n"/>
      <c r="F978" s="4" t="n"/>
    </row>
    <row r="979" ht="15.75" customHeight="1" s="182">
      <c r="A979" s="4" t="n"/>
      <c r="B979" s="4" t="n"/>
      <c r="C979" s="4" t="n"/>
      <c r="D979" s="4" t="n"/>
      <c r="E979" s="4" t="n"/>
      <c r="F979" s="4" t="n"/>
    </row>
    <row r="980" ht="15.75" customHeight="1" s="182">
      <c r="A980" s="4" t="n"/>
      <c r="B980" s="4" t="n"/>
      <c r="C980" s="4" t="n"/>
      <c r="D980" s="4" t="n"/>
      <c r="E980" s="4" t="n"/>
      <c r="F980" s="4" t="n"/>
    </row>
    <row r="981" ht="15.75" customHeight="1" s="182">
      <c r="A981" s="4" t="n"/>
      <c r="B981" s="4" t="n"/>
      <c r="C981" s="4" t="n"/>
      <c r="D981" s="4" t="n"/>
      <c r="E981" s="4" t="n"/>
      <c r="F981" s="4" t="n"/>
    </row>
    <row r="982" ht="15.75" customHeight="1" s="182">
      <c r="A982" s="4" t="n"/>
      <c r="B982" s="4" t="n"/>
      <c r="C982" s="4" t="n"/>
      <c r="D982" s="4" t="n"/>
      <c r="E982" s="4" t="n"/>
      <c r="F982" s="4" t="n"/>
    </row>
    <row r="983" ht="15.75" customHeight="1" s="182">
      <c r="A983" s="4" t="n"/>
      <c r="B983" s="4" t="n"/>
      <c r="C983" s="4" t="n"/>
      <c r="D983" s="4" t="n"/>
      <c r="E983" s="4" t="n"/>
      <c r="F983" s="4" t="n"/>
    </row>
    <row r="984" ht="15.75" customHeight="1" s="182">
      <c r="A984" s="4" t="n"/>
      <c r="B984" s="4" t="n"/>
      <c r="C984" s="4" t="n"/>
      <c r="D984" s="4" t="n"/>
      <c r="E984" s="4" t="n"/>
      <c r="F984" s="4" t="n"/>
    </row>
    <row r="985" ht="15.75" customHeight="1" s="182">
      <c r="A985" s="4" t="n"/>
      <c r="B985" s="4" t="n"/>
      <c r="C985" s="4" t="n"/>
      <c r="D985" s="4" t="n"/>
      <c r="E985" s="4" t="n"/>
      <c r="F985" s="4" t="n"/>
    </row>
    <row r="986" ht="15.75" customHeight="1" s="182">
      <c r="A986" s="4" t="n"/>
      <c r="B986" s="4" t="n"/>
      <c r="C986" s="4" t="n"/>
      <c r="D986" s="4" t="n"/>
      <c r="E986" s="4" t="n"/>
      <c r="F986" s="4" t="n"/>
    </row>
    <row r="987" ht="15.75" customHeight="1" s="182">
      <c r="A987" s="4" t="n"/>
      <c r="B987" s="4" t="n"/>
      <c r="C987" s="4" t="n"/>
      <c r="D987" s="4" t="n"/>
      <c r="E987" s="4" t="n"/>
      <c r="F987" s="4" t="n"/>
    </row>
    <row r="988" ht="15.75" customHeight="1" s="182">
      <c r="A988" s="4" t="n"/>
      <c r="B988" s="4" t="n"/>
      <c r="C988" s="4" t="n"/>
      <c r="D988" s="4" t="n"/>
      <c r="E988" s="4" t="n"/>
      <c r="F988" s="4" t="n"/>
    </row>
    <row r="989" ht="15.75" customHeight="1" s="182">
      <c r="A989" s="4" t="n"/>
      <c r="B989" s="4" t="n"/>
      <c r="C989" s="4" t="n"/>
      <c r="D989" s="4" t="n"/>
      <c r="E989" s="4" t="n"/>
      <c r="F989" s="4" t="n"/>
    </row>
    <row r="990" ht="15.75" customHeight="1" s="182">
      <c r="A990" s="4" t="n"/>
      <c r="B990" s="4" t="n"/>
      <c r="C990" s="4" t="n"/>
      <c r="D990" s="4" t="n"/>
      <c r="E990" s="4" t="n"/>
      <c r="F990" s="4" t="n"/>
    </row>
    <row r="991" ht="15.75" customHeight="1" s="182">
      <c r="A991" s="4" t="n"/>
      <c r="B991" s="4" t="n"/>
      <c r="C991" s="4" t="n"/>
      <c r="D991" s="4" t="n"/>
      <c r="E991" s="4" t="n"/>
      <c r="F991" s="4" t="n"/>
    </row>
    <row r="992" ht="15.75" customHeight="1" s="182">
      <c r="A992" s="4" t="n"/>
      <c r="B992" s="4" t="n"/>
      <c r="C992" s="4" t="n"/>
      <c r="D992" s="4" t="n"/>
      <c r="E992" s="4" t="n"/>
      <c r="F992" s="4" t="n"/>
    </row>
    <row r="993" ht="15.75" customHeight="1" s="182">
      <c r="A993" s="4" t="n"/>
      <c r="B993" s="4" t="n"/>
      <c r="C993" s="4" t="n"/>
      <c r="D993" s="4" t="n"/>
      <c r="E993" s="4" t="n"/>
      <c r="F993" s="4" t="n"/>
    </row>
    <row r="994" ht="15.75" customHeight="1" s="182">
      <c r="A994" s="4" t="n"/>
      <c r="B994" s="4" t="n"/>
      <c r="C994" s="4" t="n"/>
      <c r="D994" s="4" t="n"/>
      <c r="E994" s="4" t="n"/>
      <c r="F994" s="4" t="n"/>
    </row>
    <row r="995" ht="15.75" customHeight="1" s="182">
      <c r="A995" s="4" t="n"/>
      <c r="B995" s="4" t="n"/>
      <c r="C995" s="4" t="n"/>
      <c r="D995" s="4" t="n"/>
      <c r="E995" s="4" t="n"/>
      <c r="F995" s="4" t="n"/>
    </row>
    <row r="996" ht="15.75" customHeight="1" s="182">
      <c r="A996" s="4" t="n"/>
      <c r="B996" s="4" t="n"/>
      <c r="C996" s="4" t="n"/>
      <c r="D996" s="4" t="n"/>
      <c r="E996" s="4" t="n"/>
      <c r="F996" s="4" t="n"/>
    </row>
    <row r="997" ht="15.75" customHeight="1" s="182">
      <c r="A997" s="4" t="n"/>
      <c r="B997" s="4" t="n"/>
      <c r="C997" s="4" t="n"/>
      <c r="D997" s="4" t="n"/>
      <c r="E997" s="4" t="n"/>
      <c r="F997" s="4" t="n"/>
    </row>
    <row r="998" ht="15.75" customHeight="1" s="182">
      <c r="A998" s="4" t="n"/>
      <c r="B998" s="4" t="n"/>
      <c r="C998" s="4" t="n"/>
      <c r="D998" s="4" t="n"/>
      <c r="E998" s="4" t="n"/>
      <c r="F998" s="4" t="n"/>
    </row>
    <row r="999" ht="15.75" customHeight="1" s="182">
      <c r="A999" s="4" t="n"/>
      <c r="B999" s="4" t="n"/>
      <c r="C999" s="4" t="n"/>
      <c r="D999" s="4" t="n"/>
      <c r="E999" s="4" t="n"/>
      <c r="F999" s="4" t="n"/>
    </row>
    <row r="1000" ht="15.75" customHeight="1" s="182">
      <c r="A1000" s="4" t="n"/>
      <c r="B1000" s="4" t="n"/>
      <c r="C1000" s="4" t="n"/>
      <c r="D1000" s="4" t="n"/>
      <c r="E1000" s="4" t="n"/>
      <c r="F1000" s="4" t="n"/>
    </row>
  </sheetData>
  <mergeCells count="2">
    <mergeCell ref="A1:C1"/>
    <mergeCell ref="A2:C2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tabColor rgb="FF114884"/>
    <outlinePr summaryBelow="1" summaryRight="1"/>
    <pageSetUpPr/>
  </sheetPr>
  <dimension ref="A1:AI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5" customWidth="1" style="182" min="1" max="1"/>
    <col width="11" customWidth="1" style="182" min="2" max="3"/>
    <col width="26" customWidth="1" style="182" min="4" max="4"/>
    <col width="22" customWidth="1" style="182" min="5" max="5"/>
    <col width="15" customWidth="1" style="182" min="6" max="6"/>
    <col width="12" customWidth="1" style="182" min="7" max="8"/>
    <col width="14" customWidth="1" style="182" min="9" max="9"/>
    <col width="6" customWidth="1" style="182" min="10" max="21"/>
    <col width="11" customWidth="1" style="182" min="22" max="33"/>
    <col width="12" customWidth="1" style="182" min="34" max="35"/>
  </cols>
  <sheetData>
    <row r="1" ht="39.75" customHeight="1" s="182">
      <c r="A1" s="212" t="inlineStr">
        <is>
          <t>⚓  Transaktionen  —  Wird automatisch durch das Apps Script befüllt</t>
        </is>
      </c>
    </row>
    <row r="2" ht="25.5" customHeight="1" s="182">
      <c r="A2" s="94" t="inlineStr">
        <is>
          <t>#</t>
        </is>
      </c>
      <c r="B2" s="94" t="inlineStr">
        <is>
          <t>Datum</t>
        </is>
      </c>
      <c r="C2" s="94" t="inlineStr">
        <is>
          <t>Typ</t>
        </is>
      </c>
      <c r="D2" s="94" t="inlineStr">
        <is>
          <t>Beschreibung</t>
        </is>
      </c>
      <c r="E2" s="94" t="inlineStr">
        <is>
          <t>Kategorie</t>
        </is>
      </c>
      <c r="F2" s="94" t="inlineStr">
        <is>
          <t>Bezahlt von</t>
        </is>
      </c>
      <c r="G2" s="94" t="inlineStr">
        <is>
          <t>Betrag €</t>
        </is>
      </c>
      <c r="H2" s="94" t="inlineStr">
        <is>
          <t>Alkohol €</t>
        </is>
      </c>
      <c r="I2" s="94" t="inlineStr">
        <is>
          <t>Aufteilung</t>
        </is>
      </c>
      <c r="J2" s="95">
        <f>IFERROR(LEFT(Besatzung!C11,5),"P1")</f>
        <v/>
      </c>
      <c r="K2" s="95">
        <f>IFERROR(LEFT(Besatzung!C12,5),"P2")</f>
        <v/>
      </c>
      <c r="L2" s="95">
        <f>IFERROR(LEFT(Besatzung!C13,5),"P3")</f>
        <v/>
      </c>
      <c r="M2" s="95">
        <f>IFERROR(LEFT(Besatzung!C14,5),"P4")</f>
        <v/>
      </c>
      <c r="N2" s="95">
        <f>IFERROR(LEFT(Besatzung!C15,5),"P5")</f>
        <v/>
      </c>
      <c r="O2" s="95">
        <f>IFERROR(LEFT(Besatzung!C16,5),"P6")</f>
        <v/>
      </c>
      <c r="P2" s="95">
        <f>IFERROR(LEFT(Besatzung!C17,5),"P7")</f>
        <v/>
      </c>
      <c r="Q2" s="95">
        <f>IFERROR(LEFT(Besatzung!C18,5),"P8")</f>
        <v/>
      </c>
      <c r="R2" s="95">
        <f>IFERROR(LEFT(Besatzung!C19,5),"P9")</f>
        <v/>
      </c>
      <c r="S2" s="95">
        <f>IFERROR(LEFT(Besatzung!C20,5),"P10")</f>
        <v/>
      </c>
      <c r="T2" s="95">
        <f>IFERROR(LEFT(Besatzung!C21,5),"P11")</f>
        <v/>
      </c>
      <c r="U2" s="95">
        <f>IFERROR(LEFT(Besatzung!C22,5),"P12")</f>
        <v/>
      </c>
      <c r="V2" s="96" t="inlineStr">
        <is>
          <t>P1 Anteil</t>
        </is>
      </c>
      <c r="W2" s="96" t="inlineStr">
        <is>
          <t>P2 Anteil</t>
        </is>
      </c>
      <c r="X2" s="96" t="inlineStr">
        <is>
          <t>P3 Anteil</t>
        </is>
      </c>
      <c r="Y2" s="96" t="inlineStr">
        <is>
          <t>P4 Anteil</t>
        </is>
      </c>
      <c r="Z2" s="96" t="inlineStr">
        <is>
          <t>P5 Anteil</t>
        </is>
      </c>
      <c r="AA2" s="96" t="inlineStr">
        <is>
          <t>P6 Anteil</t>
        </is>
      </c>
      <c r="AB2" s="96" t="inlineStr">
        <is>
          <t>P7 Anteil</t>
        </is>
      </c>
      <c r="AC2" s="96" t="inlineStr">
        <is>
          <t>P8 Anteil</t>
        </is>
      </c>
      <c r="AD2" s="96" t="inlineStr">
        <is>
          <t>P9 Anteil</t>
        </is>
      </c>
      <c r="AE2" s="96" t="inlineStr">
        <is>
          <t>P10 Anteil</t>
        </is>
      </c>
      <c r="AF2" s="96" t="inlineStr">
        <is>
          <t>P11 Anteil</t>
        </is>
      </c>
      <c r="AG2" s="96" t="inlineStr">
        <is>
          <t>P12 Anteil</t>
        </is>
      </c>
      <c r="AH2" s="96" t="inlineStr">
        <is>
          <t>Gut-Von</t>
        </is>
      </c>
      <c r="AI2" s="96" t="inlineStr">
        <is>
          <t>Gut-An</t>
        </is>
      </c>
    </row>
    <row r="3" ht="15" customHeight="1" s="182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</row>
    <row r="4" ht="21.75" customHeight="1" s="182">
      <c r="A4" s="97">
        <f>IF(AND(D4="",C4=""),"",1)</f>
        <v/>
      </c>
      <c r="B4" s="56" t="n"/>
      <c r="C4" s="98" t="n"/>
      <c r="D4" s="99" t="n"/>
      <c r="E4" s="100" t="n"/>
      <c r="F4" s="101" t="n"/>
      <c r="G4" s="102" t="n"/>
      <c r="H4" s="103" t="n"/>
      <c r="I4" s="104" t="n"/>
      <c r="J4" s="105" t="n"/>
      <c r="K4" s="105" t="n"/>
      <c r="L4" s="105" t="n"/>
      <c r="M4" s="105" t="n"/>
      <c r="N4" s="105" t="n"/>
      <c r="O4" s="105" t="n"/>
      <c r="P4" s="105" t="n"/>
      <c r="Q4" s="105" t="n"/>
      <c r="R4" s="105" t="n"/>
      <c r="S4" s="105" t="n"/>
      <c r="T4" s="105" t="n"/>
      <c r="U4" s="105" t="n"/>
      <c r="V4" s="106">
        <f>IF(C4="Gutschrift","",IF(G4="","",IF(Besatzung!$B$11="","",IFERROR(IF(I4="Zeitanteilig",(Besatzung!$G$11*(G4-IFERROR(H4,0))+((Besatzung!$B$11&lt;&gt;"")*IF(B4="",1,(IF(Besatzung!$C$11="",Besatzung!$B$5,Besatzung!$C$11)&lt;=B4)*(IF(Besatzung!$D$11="",Besatzung!$B$6,Besatzung!$D$11)&gt;=B4)))*(Besatzung!$F$11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$11&lt;&gt;"")*IF(B4="",1,(IF(Besatzung!$C$11="",Besatzung!$B$5,Besatzung!$C$11)&lt;=B4)*(IF(Besatzung!$D$11="",Besatzung!$B$6,Besatzung!$D$11)&gt;=B4)))*((G4-IFERROR(H4,0))/IFERROR(SUMPRODUCT((Besatzung!$B$11:$B$22&lt;&gt;"")*(IF(Besatzung!$C$11:$C$22="",Besatzung!$B$5,Besatzung!$C$11:$C$22)&lt;=B4)*(IF(Besatzung!$D$11:$D$22="",Besatzung!$B$6,Besatzung!$D$11:$D$22)&gt;=B4)),1)+(Besatzung!$F$11="x")*IFERROR(H4,0)/IFERROR(SUMPRODUCT((Besatzung!$B$11:$B$22&lt;&gt;"")*(Besatzung!$F$11:$F$22="x")*(IF(Besatzung!$C$11:$C$22="",Besatzung!$B$5,Besatzung!$C$11:$C$22)&lt;=B4)*(IF(Besatzung!$D$11:$D$22="",Besatzung!$B$6,Besatzung!$D$11:$D$22)&gt;=B4)),1))),IF(I4="Individuell",((J4="x")*((G4-IFERROR(H4,0))/IFERROR(COUNTIF(J4:U4,"x"),1)+(Besatzung!$F$11="x")*IFERROR(H4,0)/IFERROR(SUMPRODUCT((J4:U4="x")*(Besatzung!$F$11:$F$22="x")),1))),(IF(COUNTIF(J4:U4,"x")=0,IF(Besatzung!$B$11&lt;&gt;"",1,0),(J4="x"))*(G4-IFERROR(H4,0))/IFERROR(IF(COUNTIF(J4:U4,"x")=0,COUNTA(Besatzung!$B$11:$B$22),COUNTIF(J4:U4,"x")),1)+IF(COUNTIF(J4:U4,"x")=0,(Besatzung!$F$11="x"),(J4="x")*(Besatzung!$F$11="x"))*IFERROR(H4,0)/IFERROR(IF(COUNTIF(J4:U4,"x")=0,SUMPRODUCT((Besatzung!$B$11:$B$22&lt;&gt;"")*(Besatzung!$F$11:$F$22="x")),SUMPRODUCT((J4:U4="x")*(Besatzung!$F$11:$F$22="x"))),1))))),0))))</f>
        <v/>
      </c>
      <c r="W4" s="106">
        <f>IF(C4="Gutschrift","",IF(G4="","",IF(Besatzung!$B$12="","",IFERROR(IF(I4="Zeitanteilig",(Besatzung!$G$12*(G4-IFERROR(H4,0))+((Besatzung!$B$12&lt;&gt;"")*IF(B4="",1,(IF(Besatzung!$C$12="",Besatzung!$B$5,Besatzung!$C$12)&lt;=B4)*(IF(Besatzung!$D$12="",Besatzung!$B$6,Besatzung!$D$12)&gt;=B4)))*(Besatzung!$F$12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$12&lt;&gt;"")*IF(B4="",1,(IF(Besatzung!$C$12="",Besatzung!$B$5,Besatzung!$C$12)&lt;=B4)*(IF(Besatzung!$D$12="",Besatzung!$B$6,Besatzung!$D$12)&gt;=B4)))*((G4-IFERROR(H4,0))/IFERROR(SUMPRODUCT((Besatzung!$B$11:$B$22&lt;&gt;"")*(IF(Besatzung!$C$11:$C$22="",Besatzung!$B$5,Besatzung!$C$11:$C$22)&lt;=B4)*(IF(Besatzung!$D$11:$D$22="",Besatzung!$B$6,Besatzung!$D$11:$D$22)&gt;=B4)),1)+(Besatzung!$F$12="x")*IFERROR(H4,0)/IFERROR(SUMPRODUCT((Besatzung!$B$11:$B$22&lt;&gt;"")*(Besatzung!$F$11:$F$22="x")*(IF(Besatzung!$C$11:$C$22="",Besatzung!$B$5,Besatzung!$C$11:$C$22)&lt;=B4)*(IF(Besatzung!$D$11:$D$22="",Besatzung!$B$6,Besatzung!$D$11:$D$22)&gt;=B4)),1))),IF(I4="Individuell",((K4="x")*((G4-IFERROR(H4,0))/IFERROR(COUNTIF(J4:U4,"x"),1)+(Besatzung!$F$12="x")*IFERROR(H4,0)/IFERROR(SUMPRODUCT((J4:U4="x")*(Besatzung!$F$11:$F$22="x")),1))),(IF(COUNTIF(J4:U4,"x")=0,IF(Besatzung!$B$12&lt;&gt;"",1,0),(K4="x"))*(G4-IFERROR(H4,0))/IFERROR(IF(COUNTIF(J4:U4,"x")=0,COUNTA(Besatzung!$B$11:$B$22),COUNTIF(J4:U4,"x")),1)+IF(COUNTIF(J4:U4,"x")=0,(Besatzung!$F$12="x"),(K4="x")*(Besatzung!$F$12="x"))*IFERROR(H4,0)/IFERROR(IF(COUNTIF(J4:U4,"x")=0,SUMPRODUCT((Besatzung!$B$11:$B$22&lt;&gt;"")*(Besatzung!$F$11:$F$22="x")),SUMPRODUCT((J4:U4="x")*(Besatzung!$F$11:$F$22="x"))),1))))),0))))</f>
        <v/>
      </c>
      <c r="X4" s="106">
        <f>IF(C4="Gutschrift","",IF(G4="","",IF(Besatzung!$B$13="","",IFERROR(IF(I4="Zeitanteilig",(Besatzung!$G$13*(G4-IFERROR(H4,0))+((Besatzung!$B$13&lt;&gt;"")*IF(B4="",1,(IF(Besatzung!$C$13="",Besatzung!$B$5,Besatzung!$C$13)&lt;=B4)*(IF(Besatzung!$D$13="",Besatzung!$B$6,Besatzung!$D$13)&gt;=B4)))*(Besatzung!$F$13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$13&lt;&gt;"")*IF(B4="",1,(IF(Besatzung!$C$13="",Besatzung!$B$5,Besatzung!$C$13)&lt;=B4)*(IF(Besatzung!$D$13="",Besatzung!$B$6,Besatzung!$D$13)&gt;=B4)))*((G4-IFERROR(H4,0))/IFERROR(SUMPRODUCT((Besatzung!$B$11:$B$22&lt;&gt;"")*(IF(Besatzung!$C$11:$C$22="",Besatzung!$B$5,Besatzung!$C$11:$C$22)&lt;=B4)*(IF(Besatzung!$D$11:$D$22="",Besatzung!$B$6,Besatzung!$D$11:$D$22)&gt;=B4)),1)+(Besatzung!$F$13="x")*IFERROR(H4,0)/IFERROR(SUMPRODUCT((Besatzung!$B$11:$B$22&lt;&gt;"")*(Besatzung!$F$11:$F$22="x")*(IF(Besatzung!$C$11:$C$22="",Besatzung!$B$5,Besatzung!$C$11:$C$22)&lt;=B4)*(IF(Besatzung!$D$11:$D$22="",Besatzung!$B$6,Besatzung!$D$11:$D$22)&gt;=B4)),1))),IF(I4="Individuell",((K4="x")*((G4-IFERROR(H4,0))/IFERROR(COUNTIF(J4:U4,"x"),1)+(Besatzung!$F$13="x")*IFERROR(H4,0)/IFERROR(SUMPRODUCT((J4:U4="x")*(Besatzung!$F$11:$F$22="x")),1))),(IF(COUNTIF(J4:U4,"x")=0,IF(Besatzung!$B$13&lt;&gt;"",1,0),(K4="x"))*(G4-IFERROR(H4,0))/IFERROR(IF(COUNTIF(J4:U4,"x")=0,COUNTA(Besatzung!$B$11:$B$22),COUNTIF(J4:U4,"x")),1)+IF(COUNTIF(J4:U4,"x")=0,(Besatzung!$F$13="x"),(K4="x")*(Besatzung!$F$13="x"))*IFERROR(H4,0)/IFERROR(IF(COUNTIF(J4:U4,"x")=0,SUMPRODUCT((Besatzung!$B$11:$B$22&lt;&gt;"")*(Besatzung!$F$11:$F$22="x")),SUMPRODUCT((J4:U4="x")*(Besatzung!$F$11:$F$22="x"))),1))))),0))))</f>
        <v/>
      </c>
      <c r="Y4" s="106">
        <f>IF(C4="Gutschrift","",IF(G4="","",IF(Besatzung!$B$14="","",IFERROR(IF(I4="Zeitanteilig",(Besatzung!$G$14*(G4-IFERROR(H4,0))+((Besatzung!$B$14&lt;&gt;"")*IF(B4="",1,(IF(Besatzung!$C$14="",Besatzung!$B$5,Besatzung!$C$14)&lt;=B4)*(IF(Besatzung!$D$14="",Besatzung!$B$6,Besatzung!$D$14)&gt;=B4)))*(Besatzung!$F$14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$14&lt;&gt;"")*IF(B4="",1,(IF(Besatzung!$C$14="",Besatzung!$B$5,Besatzung!$C$14)&lt;=B4)*(IF(Besatzung!$D$14="",Besatzung!$B$6,Besatzung!$D$14)&gt;=B4)))*((G4-IFERROR(H4,0))/IFERROR(SUMPRODUCT((Besatzung!$B$11:$B$22&lt;&gt;"")*(IF(Besatzung!$C$11:$C$22="",Besatzung!$B$5,Besatzung!$C$11:$C$22)&lt;=B4)*(IF(Besatzung!$D$11:$D$22="",Besatzung!$B$6,Besatzung!$D$11:$D$22)&gt;=B4)),1)+(Besatzung!$F$14="x")*IFERROR(H4,0)/IFERROR(SUMPRODUCT((Besatzung!$B$11:$B$22&lt;&gt;"")*(Besatzung!$F$11:$F$22="x")*(IF(Besatzung!$C$11:$C$22="",Besatzung!$B$5,Besatzung!$C$11:$C$22)&lt;=B4)*(IF(Besatzung!$D$11:$D$22="",Besatzung!$B$6,Besatzung!$D$11:$D$22)&gt;=B4)),1))),IF(I4="Individuell",((M4="x")*((G4-IFERROR(H4,0))/IFERROR(COUNTIF(J4:U4,"x"),1)+(Besatzung!$F$14="x")*IFERROR(H4,0)/IFERROR(SUMPRODUCT((J4:U4="x")*(Besatzung!$F$11:$F$22="x")),1))),(IF(COUNTIF(J4:U4,"x")=0,IF(Besatzung!$B$14&lt;&gt;"",1,0),(M4="x"))*(G4-IFERROR(H4,0))/IFERROR(IF(COUNTIF(J4:U4,"x")=0,COUNTA(Besatzung!$B$11:$B$22),COUNTIF(J4:U4,"x")),1)+IF(COUNTIF(J4:U4,"x")=0,(Besatzung!$F$14="x"),(M4="x")*(Besatzung!$F$14="x"))*IFERROR(H4,0)/IFERROR(IF(COUNTIF(J4:U4,"x")=0,SUMPRODUCT((Besatzung!$B$11:$B$22&lt;&gt;"")*(Besatzung!$F$11:$F$22="x")),SUMPRODUCT((J4:U4="x")*(Besatzung!$F$11:$F$22="x"))),1))))),0))))</f>
        <v/>
      </c>
      <c r="Z4" s="106">
        <f>IF(C4="Gutschrift","",IF(G4="","",IF(Besatzung!$B$13="","",IFERROR(IF(I4="Zeitanteilig",(Besatzung!$G$15*(G4-IFERROR(H4,0))+((Besatzung!$B$13&lt;&gt;"")*IF(B4="",1,(IF(Besatzung!$C$15="",Besatzung!$B$5,Besatzung!$C$15)&lt;=B4)*(IF(Besatzung!$D$15="",Besatzung!$B$6,Besatzung!$D$15)&gt;=B4)))*(Besatzung!$F$15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$13&lt;&gt;"")*IF(B4="",1,(IF(Besatzung!$C$15="",Besatzung!$B$5,Besatzung!$C$15)&lt;=B4)*(IF(Besatzung!$D$15="",Besatzung!$B$6,Besatzung!$D$15)&gt;=B4)))*((G4-IFERROR(H4,0))/IFERROR(SUMPRODUCT((Besatzung!$B$11:$B$22&lt;&gt;"")*(IF(Besatzung!$C$11:$C$22="",Besatzung!$B$5,Besatzung!$C$11:$C$22)&lt;=B4)*(IF(Besatzung!$D$11:$D$22="",Besatzung!$B$6,Besatzung!$D$11:$D$22)&gt;=B4)),1)+(Besatzung!$F$15="x")*IFERROR(H4,0)/IFERROR(SUMPRODUCT((Besatzung!$B$11:$B$22&lt;&gt;"")*(Besatzung!$F$11:$F$22="x")*(IF(Besatzung!$C$11:$C$22="",Besatzung!$B$5,Besatzung!$C$11:$C$22)&lt;=B4)*(IF(Besatzung!$D$11:$D$22="",Besatzung!$B$6,Besatzung!$D$11:$D$22)&gt;=B4)),1))),IF(I4="Individuell",((N4="x")*((G4-IFERROR(H4,0))/IFERROR(COUNTIF(J4:U4,"x"),1)+(Besatzung!$F$15="x")*IFERROR(H4,0)/IFERROR(SUMPRODUCT((J4:U4="x")*(Besatzung!$F$11:$F$22="x")),1))),(IF(COUNTIF(J4:U4,"x")=0,IF(Besatzung!$B$13&lt;&gt;"",1,0),(N4="x"))*(G4-IFERROR(H4,0))/IFERROR(IF(COUNTIF(J4:U4,"x")=0,COUNTA(Besatzung!$B$11:$B$22),COUNTIF(J4:U4,"x")),1)+IF(COUNTIF(J4:U4,"x")=0,(Besatzung!$F$15="x"),(N4="x")*(Besatzung!$F$15="x"))*IFERROR(H4,0)/IFERROR(IF(COUNTIF(J4:U4,"x")=0,SUMPRODUCT((Besatzung!$B$11:$B$22&lt;&gt;"")*(Besatzung!$F$11:$F$22="x")),SUMPRODUCT((J4:U4="x")*(Besatzung!$F$11:$F$22="x"))),1))))),0))))</f>
        <v/>
      </c>
      <c r="AA4" s="106">
        <f>IF(C4="Gutschrift","",IF(G4="","",IF(Besatzung!$B$15="","",IFERROR(IF(I4="Zeitanteilig",(Besatzung!$G$16*(G4-IFERROR(H4,0))+((Besatzung!$B$15&lt;&gt;"")*IF(B4="",1,(IF(Besatzung!$C$16="",Besatzung!$B$5,Besatzung!$C$16)&lt;=B4)*(IF(Besatzung!$D$16="",Besatzung!$B$6,Besatzung!$D$16)&gt;=B4)))*(Besatzung!$F$16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$15&lt;&gt;"")*IF(B4="",1,(IF(Besatzung!$C$16="",Besatzung!$B$5,Besatzung!$C$16)&lt;=B4)*(IF(Besatzung!$D$16="",Besatzung!$B$6,Besatzung!$D$16)&gt;=B4)))*((G4-IFERROR(H4,0))/IFERROR(SUMPRODUCT((Besatzung!$B$11:$B$22&lt;&gt;"")*(IF(Besatzung!$C$11:$C$22="",Besatzung!$B$5,Besatzung!$C$11:$C$22)&lt;=B4)*(IF(Besatzung!$D$11:$D$22="",Besatzung!$B$6,Besatzung!$D$11:$D$22)&gt;=B4)),1)+(Besatzung!$F$16="x")*IFERROR(H4,0)/IFERROR(SUMPRODUCT((Besatzung!$B$11:$B$22&lt;&gt;"")*(Besatzung!$F$11:$F$22="x")*(IF(Besatzung!$C$11:$C$22="",Besatzung!$B$5,Besatzung!$C$11:$C$22)&lt;=B4)*(IF(Besatzung!$D$11:$D$22="",Besatzung!$B$6,Besatzung!$D$11:$D$22)&gt;=B4)),1))),IF(I4="Individuell",((O4="x")*((G4-IFERROR(H4,0))/IFERROR(COUNTIF(J4:U4,"x"),1)+(Besatzung!$F$16="x")*IFERROR(H4,0)/IFERROR(SUMPRODUCT((J4:U4="x")*(Besatzung!$F$11:$F$22="x")),1))),(IF(COUNTIF(J4:U4,"x")=0,IF(Besatzung!$B$15&lt;&gt;"",1,0),(O4="x"))*(G4-IFERROR(H4,0))/IFERROR(IF(COUNTIF(J4:U4,"x")=0,COUNTA(Besatzung!$B$11:$B$22),COUNTIF(J4:U4,"x")),1)+IF(COUNTIF(J4:U4,"x")=0,(Besatzung!$F$16="x"),(O4="x")*(Besatzung!$F$16="x"))*IFERROR(H4,0)/IFERROR(IF(COUNTIF(J4:U4,"x")=0,SUMPRODUCT((Besatzung!$B$11:$B$22&lt;&gt;"")*(Besatzung!$F$11:$F$22="x")),SUMPRODUCT((J4:U4="x")*(Besatzung!$F$11:$F$22="x"))),1))))),0))))</f>
        <v/>
      </c>
      <c r="AB4" s="106">
        <f>IF(C4="Gutschrift","",IF(G4="","",IF(Besatzung!$B$17="","",IFERROR(IF(I4="Zeitanteilig",(Besatzung!$G$17*(G4-IFERROR(H4,0))+((Besatzung!$B$17&lt;&gt;"")*IF(B4="",1,(IF(Besatzung!$C$17="",Besatzung!$B$5,Besatzung!$C$17)&lt;=B4)*(IF(Besatzung!$D$17="",Besatzung!$B$6,Besatzung!$D$17)&gt;=B4)))*(Besatzung!$F$17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$17&lt;&gt;"")*IF(B4="",1,(IF(Besatzung!$C$17="",Besatzung!$B$5,Besatzung!$C$17)&lt;=B4)*(IF(Besatzung!$D$17="",Besatzung!$B$6,Besatzung!$D$17)&gt;=B4)))*((G4-IFERROR(H4,0))/IFERROR(SUMPRODUCT((Besatzung!$B$11:$B$22&lt;&gt;"")*(IF(Besatzung!$C$11:$C$22="",Besatzung!$B$5,Besatzung!$C$11:$C$22)&lt;=B4)*(IF(Besatzung!$D$11:$D$22="",Besatzung!$B$6,Besatzung!$D$11:$D$22)&gt;=B4)),1)+(Besatzung!$F$17="x")*IFERROR(H4,0)/IFERROR(SUMPRODUCT((Besatzung!$B$11:$B$22&lt;&gt;"")*(Besatzung!$F$11:$F$22="x")*(IF(Besatzung!$C$11:$C$22="",Besatzung!$B$5,Besatzung!$C$11:$C$22)&lt;=B4)*(IF(Besatzung!$D$11:$D$22="",Besatzung!$B$6,Besatzung!$D$11:$D$22)&gt;=B4)),1))),IF(I4="Individuell",((P4="x")*((G4-IFERROR(H4,0))/IFERROR(COUNTIF(J4:U4,"x"),1)+(Besatzung!$F$17="x")*IFERROR(H4,0)/IFERROR(SUMPRODUCT((J4:U4="x")*(Besatzung!$F$11:$F$22="x")),1))),(IF(COUNTIF(J4:U4,"x")=0,IF(Besatzung!$B$17&lt;&gt;"",1,0),(P4="x"))*(G4-IFERROR(H4,0))/IFERROR(IF(COUNTIF(J4:U4,"x")=0,COUNTA(Besatzung!$B$11:$B$22),COUNTIF(J4:U4,"x")),1)+IF(COUNTIF(J4:U4,"x")=0,(Besatzung!$F$17="x"),(P4="x")*(Besatzung!$F$17="x"))*IFERROR(H4,0)/IFERROR(IF(COUNTIF(J4:U4,"x")=0,SUMPRODUCT((Besatzung!$B$11:$B$22&lt;&gt;"")*(Besatzung!$F$11:$F$22="x")),SUMPRODUCT((J4:U4="x")*(Besatzung!$F$11:$F$22="x"))),1))))),0))))</f>
        <v/>
      </c>
      <c r="AC4" s="106">
        <f>IF(C4="Gutschrift","",IF(G4="","",IF(Besatzung!$B$18="","",IFERROR(IF(I4="Zeitanteilig",(Besatzung!$G$18*(G4-IFERROR(H4,0))+((Besatzung!$B$18&lt;&gt;"")*IF(B4="",1,(IF(Besatzung!$C$18="",Besatzung!$B$5,Besatzung!$C$18)&lt;=B4)*(IF(Besatzung!$D$18="",Besatzung!$B$6,Besatzung!$D$18)&gt;=B4)))*(Besatzung!$F$18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$18&lt;&gt;"")*IF(B4="",1,(IF(Besatzung!$C$18="",Besatzung!$B$5,Besatzung!$C$18)&lt;=B4)*(IF(Besatzung!$D$18="",Besatzung!$B$6,Besatzung!$D$18)&gt;=B4)))*((G4-IFERROR(H4,0))/IFERROR(SUMPRODUCT((Besatzung!$B$11:$B$22&lt;&gt;"")*(IF(Besatzung!$C$11:$C$22="",Besatzung!$B$5,Besatzung!$C$11:$C$22)&lt;=B4)*(IF(Besatzung!$D$11:$D$22="",Besatzung!$B$6,Besatzung!$D$11:$D$22)&gt;=B4)),1)+(Besatzung!$F$18="x")*IFERROR(H4,0)/IFERROR(SUMPRODUCT((Besatzung!$B$11:$B$22&lt;&gt;"")*(Besatzung!$F$11:$F$22="x")*(IF(Besatzung!$C$11:$C$22="",Besatzung!$B$5,Besatzung!$C$11:$C$22)&lt;=B4)*(IF(Besatzung!$D$11:$D$22="",Besatzung!$B$6,Besatzung!$D$11:$D$22)&gt;=B4)),1))),IF(I4="Individuell",((Q4="x")*((G4-IFERROR(H4,0))/IFERROR(COUNTIF(J4:U4,"x"),1)+(Besatzung!$F$18="x")*IFERROR(H4,0)/IFERROR(SUMPRODUCT((J4:U4="x")*(Besatzung!$F$11:$F$22="x")),1))),(IF(COUNTIF(J4:U4,"x")=0,IF(Besatzung!$B$18&lt;&gt;"",1,0),(Q4="x"))*(G4-IFERROR(H4,0))/IFERROR(IF(COUNTIF(J4:U4,"x")=0,COUNTA(Besatzung!$B$11:$B$22),COUNTIF(J4:U4,"x")),1)+IF(COUNTIF(J4:U4,"x")=0,(Besatzung!$F$18="x"),(Q4="x")*(Besatzung!$F$18="x"))*IFERROR(H4,0)/IFERROR(IF(COUNTIF(J4:U4,"x")=0,SUMPRODUCT((Besatzung!$B$11:$B$22&lt;&gt;"")*(Besatzung!$F$11:$F$22="x")),SUMPRODUCT((J4:U4="x")*(Besatzung!$F$11:$F$22="x"))),1))))),0))))</f>
        <v/>
      </c>
      <c r="AD4" s="106">
        <f>IF(C4="Gutschrift","",IF(G4="","",IF(Besatzung!$B$19="","",IFERROR(IF(I4="Zeitanteilig",(Besatzung!$G$19*(G4-IFERROR(H4,0))+((Besatzung!$B$19&lt;&gt;"")*IF(B4="",1,(IF(Besatzung!$C$19="",Besatzung!$B$5,Besatzung!$C$19)&lt;=B4)*(IF(Besatzung!$D$19="",Besatzung!$B$6,Besatzung!$D$19)&gt;=B4)))*(Besatzung!$F$19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$19&lt;&gt;"")*IF(B4="",1,(IF(Besatzung!$C$19="",Besatzung!$B$5,Besatzung!$C$19)&lt;=B4)*(IF(Besatzung!$D$19="",Besatzung!$B$6,Besatzung!$D$19)&gt;=B4)))*((G4-IFERROR(H4,0))/IFERROR(SUMPRODUCT((Besatzung!$B$11:$B$22&lt;&gt;"")*(IF(Besatzung!$C$11:$C$22="",Besatzung!$B$5,Besatzung!$C$11:$C$22)&lt;=B4)*(IF(Besatzung!$D$11:$D$22="",Besatzung!$B$6,Besatzung!$D$11:$D$22)&gt;=B4)),1)+(Besatzung!$F$19="x")*IFERROR(H4,0)/IFERROR(SUMPRODUCT((Besatzung!$B$11:$B$22&lt;&gt;"")*(Besatzung!$F$11:$F$22="x")*(IF(Besatzung!$C$11:$C$22="",Besatzung!$B$5,Besatzung!$C$11:$C$22)&lt;=B4)*(IF(Besatzung!$D$11:$D$22="",Besatzung!$B$6,Besatzung!$D$11:$D$22)&gt;=B4)),1))),IF(I4="Individuell",((R4="x")*((G4-IFERROR(H4,0))/IFERROR(COUNTIF(J4:U4,"x"),1)+(Besatzung!$F$19="x")*IFERROR(H4,0)/IFERROR(SUMPRODUCT((J4:U4="x")*(Besatzung!$F$11:$F$22="x")),1))),(IF(COUNTIF(J4:U4,"x")=0,IF(Besatzung!$B$19&lt;&gt;"",1,0),(R4="x"))*(G4-IFERROR(H4,0))/IFERROR(IF(COUNTIF(J4:U4,"x")=0,COUNTA(Besatzung!$B$11:$B$22),COUNTIF(J4:U4,"x")),1)+IF(COUNTIF(J4:U4,"x")=0,(Besatzung!$F$19="x"),(R4="x")*(Besatzung!$F$19="x"))*IFERROR(H4,0)/IFERROR(IF(COUNTIF(J4:U4,"x")=0,SUMPRODUCT((Besatzung!$B$11:$B$22&lt;&gt;"")*(Besatzung!$F$11:$F$22="x")),SUMPRODUCT((J4:U4="x")*(Besatzung!$F$11:$F$22="x"))),1))))),0))))</f>
        <v/>
      </c>
      <c r="AE4" s="106">
        <f>IF(C4="Gutschrift","",IF(G4="","",IF(Besatzung!$B$20="","",IFERROR(IF(I4="Zeitanteilig",(Besatzung!$G$20*(G4-IFERROR(H4,0))+((Besatzung!$B$20&lt;&gt;"")*IF(B4="",1,(IF(Besatzung!$C$20="",Besatzung!$B$5,Besatzung!$C$20)&lt;=B4)*(IF(Besatzung!$D$20="",Besatzung!$B$6,Besatzung!$D$20)&gt;=B4)))*(Besatzung!$F$20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$20&lt;&gt;"")*IF(B4="",1,(IF(Besatzung!$C$20="",Besatzung!$B$5,Besatzung!$C$20)&lt;=B4)*(IF(Besatzung!$D$20="",Besatzung!$B$6,Besatzung!$D$20)&gt;=B4)))*((G4-IFERROR(H4,0))/IFERROR(SUMPRODUCT((Besatzung!$B$11:$B$22&lt;&gt;"")*(IF(Besatzung!$C$11:$C$22="",Besatzung!$B$5,Besatzung!$C$11:$C$22)&lt;=B4)*(IF(Besatzung!$D$11:$D$22="",Besatzung!$B$6,Besatzung!$D$11:$D$22)&gt;=B4)),1)+(Besatzung!$F$20="x")*IFERROR(H4,0)/IFERROR(SUMPRODUCT((Besatzung!$B$11:$B$22&lt;&gt;"")*(Besatzung!$F$11:$F$22="x")*(IF(Besatzung!$C$11:$C$22="",Besatzung!$B$5,Besatzung!$C$11:$C$22)&lt;=B4)*(IF(Besatzung!$D$11:$D$22="",Besatzung!$B$6,Besatzung!$D$11:$D$22)&gt;=B4)),1))),IF(I4="Individuell",((S4="x")*((G4-IFERROR(H4,0))/IFERROR(COUNTIF(J4:U4,"x"),1)+(Besatzung!$F$20="x")*IFERROR(H4,0)/IFERROR(SUMPRODUCT((J4:U4="x")*(Besatzung!$F$11:$F$22="x")),1))),(IF(COUNTIF(J4:U4,"x")=0,IF(Besatzung!$B$20&lt;&gt;"",1,0),(S4="x"))*(G4-IFERROR(H4,0))/IFERROR(IF(COUNTIF(J4:U4,"x")=0,COUNTA(Besatzung!$B$11:$B$22),COUNTIF(J4:U4,"x")),1)+IF(COUNTIF(J4:U4,"x")=0,(Besatzung!$F$20="x"),(S4="x")*(Besatzung!$F$20="x"))*IFERROR(H4,0)/IFERROR(IF(COUNTIF(J4:U4,"x")=0,SUMPRODUCT((Besatzung!$B$11:$B$22&lt;&gt;"")*(Besatzung!$F$11:$F$22="x")),SUMPRODUCT((J4:U4="x")*(Besatzung!$F$11:$F$22="x"))),1))))),0))))</f>
        <v/>
      </c>
      <c r="AF4" s="106">
        <f>IF(C4="Gutschrift","",IF(G4="","",IF(Besatzung!$B$21="","",IFERROR(IF(I4="Zeitanteilig",(Besatzung!$G$21*(G4-IFERROR(H4,0))+((Besatzung!$B$21&lt;&gt;"")*IF(B4="",1,(IF(Besatzung!$C$21="",Besatzung!$B$5,Besatzung!$C$21)&lt;=B4)*(IF(Besatzung!$D$21="",Besatzung!$B$6,Besatzung!$D$21)&gt;=B4)))*(Besatzung!$F$21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$21&lt;&gt;"")*IF(B4="",1,(IF(Besatzung!$C$21="",Besatzung!$B$5,Besatzung!$C$21)&lt;=B4)*(IF(Besatzung!$D$21="",Besatzung!$B$6,Besatzung!$D$21)&gt;=B4)))*((G4-IFERROR(H4,0))/IFERROR(SUMPRODUCT((Besatzung!$B$11:$B$22&lt;&gt;"")*(IF(Besatzung!$C$11:$C$22="",Besatzung!$B$5,Besatzung!$C$11:$C$22)&lt;=B4)*(IF(Besatzung!$D$11:$D$22="",Besatzung!$B$6,Besatzung!$D$11:$D$22)&gt;=B4)),1)+(Besatzung!$F$21="x")*IFERROR(H4,0)/IFERROR(SUMPRODUCT((Besatzung!$B$11:$B$22&lt;&gt;"")*(Besatzung!$F$11:$F$22="x")*(IF(Besatzung!$C$11:$C$22="",Besatzung!$B$5,Besatzung!$C$11:$C$22)&lt;=B4)*(IF(Besatzung!$D$11:$D$22="",Besatzung!$B$6,Besatzung!$D$11:$D$22)&gt;=B4)),1))),IF(I4="Individuell",((T4="x")*((G4-IFERROR(H4,0))/IFERROR(COUNTIF(J4:U4,"x"),1)+(Besatzung!$F$21="x")*IFERROR(H4,0)/IFERROR(SUMPRODUCT((J4:U4="x")*(Besatzung!$F$11:$F$22="x")),1))),(IF(COUNTIF(J4:U4,"x")=0,IF(Besatzung!$B$21&lt;&gt;"",1,0),(T4="x"))*(G4-IFERROR(H4,0))/IFERROR(IF(COUNTIF(J4:U4,"x")=0,COUNTA(Besatzung!$B$11:$B$22),COUNTIF(J4:U4,"x")),1)+IF(COUNTIF(J4:U4,"x")=0,(Besatzung!$F$21="x"),(T4="x")*(Besatzung!$F$21="x"))*IFERROR(H4,0)/IFERROR(IF(COUNTIF(J4:U4,"x")=0,SUMPRODUCT((Besatzung!$B$11:$B$22&lt;&gt;"")*(Besatzung!$F$11:$F$22="x")),SUMPRODUCT((J4:U4="x")*(Besatzung!$F$11:$F$22="x"))),1))))),0))))</f>
        <v/>
      </c>
      <c r="AG4" s="106">
        <f>IF(C4="Gutschrift","",IF(G4="","",IF(Besatzung!$B$22="","",IFERROR(IF(I4="Zeitanteilig",(Besatzung!$G$22*(G4-IFERROR(H4,0))+((Besatzung!$B$22&lt;&gt;"")*IF(B4="",1,(IF(Besatzung!$C$22="",Besatzung!$B$5,Besatzung!$C$22)&lt;=B4)*(IF(Besatzung!$D$22="",Besatzung!$B$6,Besatzung!$D$22)&gt;=B4)))*(Besatzung!$F$22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$22&lt;&gt;"")*IF(B4="",1,(IF(Besatzung!$C$22="",Besatzung!$B$5,Besatzung!$C$22)&lt;=B4)*(IF(Besatzung!$D$22="",Besatzung!$B$6,Besatzung!$D$22)&gt;=B4)))*((G4-IFERROR(H4,0))/IFERROR(SUMPRODUCT((Besatzung!$B$11:$B$22&lt;&gt;"")*(IF(Besatzung!$C$11:$C$22="",Besatzung!$B$5,Besatzung!$C$11:$C$22)&lt;=B4)*(IF(Besatzung!$D$11:$D$22="",Besatzung!$B$6,Besatzung!$D$11:$D$22)&gt;=B4)),1)+(Besatzung!$F$22="x")*IFERROR(H4,0)/IFERROR(SUMPRODUCT((Besatzung!$B$11:$B$22&lt;&gt;"")*(Besatzung!$F$11:$F$22="x")*(IF(Besatzung!$C$11:$C$22="",Besatzung!$B$5,Besatzung!$C$11:$C$22)&lt;=B4)*(IF(Besatzung!$D$11:$D$22="",Besatzung!$B$6,Besatzung!$D$11:$D$22)&gt;=B4)),1))),IF(I4="Individuell",((U4="x")*((G4-IFERROR(H4,0))/IFERROR(COUNTIF(J4:U4,"x"),1)+(Besatzung!$F$22="x")*IFERROR(H4,0)/IFERROR(SUMPRODUCT((J4:U4="x")*(Besatzung!$F$11:$F$22="x")),1))),(IF(COUNTIF(J4:U4,"x")=0,IF(Besatzung!$B$22&lt;&gt;"",1,0),(U4="x"))*(G4-IFERROR(H4,0))/IFERROR(IF(COUNTIF(J4:U4,"x")=0,COUNTA(Besatzung!$B$11:$B$22),COUNTIF(J4:U4,"x")),1)+IF(COUNTIF(J4:U4,"x")=0,(Besatzung!$F$22="x"),(U4="x")*(Besatzung!$F$22="x"))*IFERROR(H4,0)/IFERROR(IF(COUNTIF(J4:U4,"x")=0,SUMPRODUCT((Besatzung!$B$11:$B$22&lt;&gt;"")*(Besatzung!$F$11:$F$22="x")),SUMPRODUCT((J4:U4="x")*(Besatzung!$F$11:$F$22="x"))),1))))),0))))</f>
        <v/>
      </c>
      <c r="AH4" s="107" t="n"/>
      <c r="AI4" s="107" t="n"/>
    </row>
    <row r="5" ht="21.75" customHeight="1" s="182">
      <c r="A5" s="97">
        <f>IF(AND(D5="",C5=""),"",2)</f>
        <v/>
      </c>
      <c r="B5" s="63" t="n"/>
      <c r="C5" s="108" t="n"/>
      <c r="D5" s="109" t="n"/>
      <c r="E5" s="110" t="n"/>
      <c r="F5" s="111" t="n"/>
      <c r="G5" s="112" t="n"/>
      <c r="H5" s="113" t="n"/>
      <c r="I5" s="114" t="n"/>
      <c r="J5" s="115" t="n"/>
      <c r="K5" s="115" t="n"/>
      <c r="L5" s="115" t="n"/>
      <c r="M5" s="115" t="n"/>
      <c r="N5" s="115" t="n"/>
      <c r="O5" s="115" t="n"/>
      <c r="P5" s="115" t="n"/>
      <c r="Q5" s="115" t="n"/>
      <c r="R5" s="115" t="n"/>
      <c r="S5" s="115" t="n"/>
      <c r="T5" s="115" t="n"/>
      <c r="U5" s="115" t="n"/>
      <c r="V5" s="106">
        <f>IF(C5="Gutschrift","",IF(G5="","",IF(Besatzung!$B$11="","",IFERROR(IF(I5="Zeitanteilig",(Besatzung!$G$11*(G5-IFERROR(H5,0))+((Besatzung!$B$11&lt;&gt;"")*IF(B5="",1,(IF(Besatzung!$C$11="",Besatzung!$B$5,Besatzung!$C$11)&lt;=B5)*(IF(Besatzung!$D$11="",Besatzung!$B$6,Besatzung!$D$11)&gt;=B5)))*(Besatzung!$F$11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$11&lt;&gt;"")*IF(B5="",1,(IF(Besatzung!$C$11="",Besatzung!$B$5,Besatzung!$C$11)&lt;=B5)*(IF(Besatzung!$D$11="",Besatzung!$B$6,Besatzung!$D$11)&gt;=B5)))*((G5-IFERROR(H5,0))/IFERROR(SUMPRODUCT((Besatzung!$B$11:$B$22&lt;&gt;"")*(IF(Besatzung!$C$11:$C$22="",Besatzung!$B$5,Besatzung!$C$11:$C$22)&lt;=B5)*(IF(Besatzung!$D$11:$D$22="",Besatzung!$B$6,Besatzung!$D$11:$D$22)&gt;=B5)),1)+(Besatzung!$F$11="x")*IFERROR(H5,0)/IFERROR(SUMPRODUCT((Besatzung!$B$11:$B$22&lt;&gt;"")*(Besatzung!$F$11:$F$22="x")*(IF(Besatzung!$C$11:$C$22="",Besatzung!$B$5,Besatzung!$C$11:$C$22)&lt;=B5)*(IF(Besatzung!$D$11:$D$22="",Besatzung!$B$6,Besatzung!$D$11:$D$22)&gt;=B5)),1))),IF(I5="Individuell",((J5="x")*((G5-IFERROR(H5,0))/IFERROR(COUNTIF(J5:U5,"x"),1)+(Besatzung!$F$11="x")*IFERROR(H5,0)/IFERROR(SUMPRODUCT((J5:U5="x")*(Besatzung!$F$11:$F$22="x")),1))),(IF(COUNTIF(J5:U5,"x")=0,IF(Besatzung!$B$11&lt;&gt;"",1,0),(J5="x"))*(G5-IFERROR(H5,0))/IFERROR(IF(COUNTIF(J5:U5,"x")=0,COUNTA(Besatzung!$B$11:$B$22),COUNTIF(J5:U5,"x")),1)+IF(COUNTIF(J5:U5,"x")=0,(Besatzung!$F$11="x"),(J5="x")*(Besatzung!$F$11="x"))*IFERROR(H5,0)/IFERROR(IF(COUNTIF(J5:U5,"x")=0,SUMPRODUCT((Besatzung!$B$11:$B$22&lt;&gt;"")*(Besatzung!$F$11:$F$22="x")),SUMPRODUCT((J5:U5="x")*(Besatzung!$F$11:$F$22="x"))),1))))),0))))</f>
        <v/>
      </c>
      <c r="W5" s="106">
        <f>IF(C5="Gutschrift","",IF(G5="","",IF(Besatzung!$B$12="","",IFERROR(IF(I5="Zeitanteilig",(Besatzung!$G$12*(G5-IFERROR(H5,0))+((Besatzung!$B$12&lt;&gt;"")*IF(B5="",1,(IF(Besatzung!$C$12="",Besatzung!$B$5,Besatzung!$C$12)&lt;=B5)*(IF(Besatzung!$D$12="",Besatzung!$B$6,Besatzung!$D$12)&gt;=B5)))*(Besatzung!$F$12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$12&lt;&gt;"")*IF(B5="",1,(IF(Besatzung!$C$12="",Besatzung!$B$5,Besatzung!$C$12)&lt;=B5)*(IF(Besatzung!$D$12="",Besatzung!$B$6,Besatzung!$D$12)&gt;=B5)))*((G5-IFERROR(H5,0))/IFERROR(SUMPRODUCT((Besatzung!$B$11:$B$22&lt;&gt;"")*(IF(Besatzung!$C$11:$C$22="",Besatzung!$B$5,Besatzung!$C$11:$C$22)&lt;=B5)*(IF(Besatzung!$D$11:$D$22="",Besatzung!$B$6,Besatzung!$D$11:$D$22)&gt;=B5)),1)+(Besatzung!$F$12="x")*IFERROR(H5,0)/IFERROR(SUMPRODUCT((Besatzung!$B$11:$B$22&lt;&gt;"")*(Besatzung!$F$11:$F$22="x")*(IF(Besatzung!$C$11:$C$22="",Besatzung!$B$5,Besatzung!$C$11:$C$22)&lt;=B5)*(IF(Besatzung!$D$11:$D$22="",Besatzung!$B$6,Besatzung!$D$11:$D$22)&gt;=B5)),1))),IF(I5="Individuell",((K5="x")*((G5-IFERROR(H5,0))/IFERROR(COUNTIF(J5:U5,"x"),1)+(Besatzung!$F$12="x")*IFERROR(H5,0)/IFERROR(SUMPRODUCT((J5:U5="x")*(Besatzung!$F$11:$F$22="x")),1))),(IF(COUNTIF(J5:U5,"x")=0,IF(Besatzung!$B$12&lt;&gt;"",1,0),(K5="x"))*(G5-IFERROR(H5,0))/IFERROR(IF(COUNTIF(J5:U5,"x")=0,COUNTA(Besatzung!$B$11:$B$22),COUNTIF(J5:U5,"x")),1)+IF(COUNTIF(J5:U5,"x")=0,(Besatzung!$F$12="x"),(K5="x")*(Besatzung!$F$12="x"))*IFERROR(H5,0)/IFERROR(IF(COUNTIF(J5:U5,"x")=0,SUMPRODUCT((Besatzung!$B$11:$B$22&lt;&gt;"")*(Besatzung!$F$11:$F$22="x")),SUMPRODUCT((J5:U5="x")*(Besatzung!$F$11:$F$22="x"))),1))))),0))))</f>
        <v/>
      </c>
      <c r="X5" s="106">
        <f>IF(C5="Gutschrift","",IF(G5="","",IF(Besatzung!$B$13="","",IFERROR(IF(I5="Zeitanteilig",(Besatzung!$G$13*(G5-IFERROR(H5,0))+((Besatzung!$B$13&lt;&gt;"")*IF(B5="",1,(IF(Besatzung!$C$13="",Besatzung!$B$5,Besatzung!$C$13)&lt;=B5)*(IF(Besatzung!$D$13="",Besatzung!$B$6,Besatzung!$D$13)&gt;=B5)))*(Besatzung!$F$13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$13&lt;&gt;"")*IF(B5="",1,(IF(Besatzung!$C$13="",Besatzung!$B$5,Besatzung!$C$13)&lt;=B5)*(IF(Besatzung!$D$13="",Besatzung!$B$6,Besatzung!$D$13)&gt;=B5)))*((G5-IFERROR(H5,0))/IFERROR(SUMPRODUCT((Besatzung!$B$11:$B$22&lt;&gt;"")*(IF(Besatzung!$C$11:$C$22="",Besatzung!$B$5,Besatzung!$C$11:$C$22)&lt;=B5)*(IF(Besatzung!$D$11:$D$22="",Besatzung!$B$6,Besatzung!$D$11:$D$22)&gt;=B5)),1)+(Besatzung!$F$13="x")*IFERROR(H5,0)/IFERROR(SUMPRODUCT((Besatzung!$B$11:$B$22&lt;&gt;"")*(Besatzung!$F$11:$F$22="x")*(IF(Besatzung!$C$11:$C$22="",Besatzung!$B$5,Besatzung!$C$11:$C$22)&lt;=B5)*(IF(Besatzung!$D$11:$D$22="",Besatzung!$B$6,Besatzung!$D$11:$D$22)&gt;=B5)),1))),IF(I5="Individuell",((K5="x")*((G5-IFERROR(H5,0))/IFERROR(COUNTIF(J5:U5,"x"),1)+(Besatzung!$F$13="x")*IFERROR(H5,0)/IFERROR(SUMPRODUCT((J5:U5="x")*(Besatzung!$F$11:$F$22="x")),1))),(IF(COUNTIF(J5:U5,"x")=0,IF(Besatzung!$B$13&lt;&gt;"",1,0),(K5="x"))*(G5-IFERROR(H5,0))/IFERROR(IF(COUNTIF(J5:U5,"x")=0,COUNTA(Besatzung!$B$11:$B$22),COUNTIF(J5:U5,"x")),1)+IF(COUNTIF(J5:U5,"x")=0,(Besatzung!$F$13="x"),(K5="x")*(Besatzung!$F$13="x"))*IFERROR(H5,0)/IFERROR(IF(COUNTIF(J5:U5,"x")=0,SUMPRODUCT((Besatzung!$B$11:$B$22&lt;&gt;"")*(Besatzung!$F$11:$F$22="x")),SUMPRODUCT((J5:U5="x")*(Besatzung!$F$11:$F$22="x"))),1))))),0))))</f>
        <v/>
      </c>
      <c r="Y5" s="106">
        <f>IF(C5="Gutschrift","",IF(G5="","",IF(Besatzung!$B$14="","",IFERROR(IF(I5="Zeitanteilig",(Besatzung!$G$14*(G5-IFERROR(H5,0))+((Besatzung!$B$14&lt;&gt;"")*IF(B5="",1,(IF(Besatzung!$C$14="",Besatzung!$B$5,Besatzung!$C$14)&lt;=B5)*(IF(Besatzung!$D$14="",Besatzung!$B$6,Besatzung!$D$14)&gt;=B5)))*(Besatzung!$F$14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$14&lt;&gt;"")*IF(B5="",1,(IF(Besatzung!$C$14="",Besatzung!$B$5,Besatzung!$C$14)&lt;=B5)*(IF(Besatzung!$D$14="",Besatzung!$B$6,Besatzung!$D$14)&gt;=B5)))*((G5-IFERROR(H5,0))/IFERROR(SUMPRODUCT((Besatzung!$B$11:$B$22&lt;&gt;"")*(IF(Besatzung!$C$11:$C$22="",Besatzung!$B$5,Besatzung!$C$11:$C$22)&lt;=B5)*(IF(Besatzung!$D$11:$D$22="",Besatzung!$B$6,Besatzung!$D$11:$D$22)&gt;=B5)),1)+(Besatzung!$F$14="x")*IFERROR(H5,0)/IFERROR(SUMPRODUCT((Besatzung!$B$11:$B$22&lt;&gt;"")*(Besatzung!$F$11:$F$22="x")*(IF(Besatzung!$C$11:$C$22="",Besatzung!$B$5,Besatzung!$C$11:$C$22)&lt;=B5)*(IF(Besatzung!$D$11:$D$22="",Besatzung!$B$6,Besatzung!$D$11:$D$22)&gt;=B5)),1))),IF(I5="Individuell",((M5="x")*((G5-IFERROR(H5,0))/IFERROR(COUNTIF(J5:U5,"x"),1)+(Besatzung!$F$14="x")*IFERROR(H5,0)/IFERROR(SUMPRODUCT((J5:U5="x")*(Besatzung!$F$11:$F$22="x")),1))),(IF(COUNTIF(J5:U5,"x")=0,IF(Besatzung!$B$14&lt;&gt;"",1,0),(M5="x"))*(G5-IFERROR(H5,0))/IFERROR(IF(COUNTIF(J5:U5,"x")=0,COUNTA(Besatzung!$B$11:$B$22),COUNTIF(J5:U5,"x")),1)+IF(COUNTIF(J5:U5,"x")=0,(Besatzung!$F$14="x"),(M5="x")*(Besatzung!$F$14="x"))*IFERROR(H5,0)/IFERROR(IF(COUNTIF(J5:U5,"x")=0,SUMPRODUCT((Besatzung!$B$11:$B$22&lt;&gt;"")*(Besatzung!$F$11:$F$22="x")),SUMPRODUCT((J5:U5="x")*(Besatzung!$F$11:$F$22="x"))),1))))),0))))</f>
        <v/>
      </c>
      <c r="Z5" s="106">
        <f>IF(C5="Gutschrift","",IF(G5="","",IF(Besatzung!$B$13="","",IFERROR(IF(I5="Zeitanteilig",(Besatzung!$G$15*(G5-IFERROR(H5,0))+((Besatzung!$B$13&lt;&gt;"")*IF(B5="",1,(IF(Besatzung!$C$15="",Besatzung!$B$5,Besatzung!$C$15)&lt;=B5)*(IF(Besatzung!$D$15="",Besatzung!$B$6,Besatzung!$D$15)&gt;=B5)))*(Besatzung!$F$15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$13&lt;&gt;"")*IF(B5="",1,(IF(Besatzung!$C$15="",Besatzung!$B$5,Besatzung!$C$15)&lt;=B5)*(IF(Besatzung!$D$15="",Besatzung!$B$6,Besatzung!$D$15)&gt;=B5)))*((G5-IFERROR(H5,0))/IFERROR(SUMPRODUCT((Besatzung!$B$11:$B$22&lt;&gt;"")*(IF(Besatzung!$C$11:$C$22="",Besatzung!$B$5,Besatzung!$C$11:$C$22)&lt;=B5)*(IF(Besatzung!$D$11:$D$22="",Besatzung!$B$6,Besatzung!$D$11:$D$22)&gt;=B5)),1)+(Besatzung!$F$15="x")*IFERROR(H5,0)/IFERROR(SUMPRODUCT((Besatzung!$B$11:$B$22&lt;&gt;"")*(Besatzung!$F$11:$F$22="x")*(IF(Besatzung!$C$11:$C$22="",Besatzung!$B$5,Besatzung!$C$11:$C$22)&lt;=B5)*(IF(Besatzung!$D$11:$D$22="",Besatzung!$B$6,Besatzung!$D$11:$D$22)&gt;=B5)),1))),IF(I5="Individuell",((N5="x")*((G5-IFERROR(H5,0))/IFERROR(COUNTIF(J5:U5,"x"),1)+(Besatzung!$F$15="x")*IFERROR(H5,0)/IFERROR(SUMPRODUCT((J5:U5="x")*(Besatzung!$F$11:$F$22="x")),1))),(IF(COUNTIF(J5:U5,"x")=0,IF(Besatzung!$B$13&lt;&gt;"",1,0),(N5="x"))*(G5-IFERROR(H5,0))/IFERROR(IF(COUNTIF(J5:U5,"x")=0,COUNTA(Besatzung!$B$11:$B$22),COUNTIF(J5:U5,"x")),1)+IF(COUNTIF(J5:U5,"x")=0,(Besatzung!$F$15="x"),(N5="x")*(Besatzung!$F$15="x"))*IFERROR(H5,0)/IFERROR(IF(COUNTIF(J5:U5,"x")=0,SUMPRODUCT((Besatzung!$B$11:$B$22&lt;&gt;"")*(Besatzung!$F$11:$F$22="x")),SUMPRODUCT((J5:U5="x")*(Besatzung!$F$11:$F$22="x"))),1))))),0))))</f>
        <v/>
      </c>
      <c r="AA5" s="106">
        <f>IF(C5="Gutschrift","",IF(G5="","",IF(Besatzung!$B$15="","",IFERROR(IF(I5="Zeitanteilig",(Besatzung!$G$16*(G5-IFERROR(H5,0))+((Besatzung!$B$15&lt;&gt;"")*IF(B5="",1,(IF(Besatzung!$C$16="",Besatzung!$B$5,Besatzung!$C$16)&lt;=B5)*(IF(Besatzung!$D$16="",Besatzung!$B$6,Besatzung!$D$16)&gt;=B5)))*(Besatzung!$F$16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$15&lt;&gt;"")*IF(B5="",1,(IF(Besatzung!$C$16="",Besatzung!$B$5,Besatzung!$C$16)&lt;=B5)*(IF(Besatzung!$D$16="",Besatzung!$B$6,Besatzung!$D$16)&gt;=B5)))*((G5-IFERROR(H5,0))/IFERROR(SUMPRODUCT((Besatzung!$B$11:$B$22&lt;&gt;"")*(IF(Besatzung!$C$11:$C$22="",Besatzung!$B$5,Besatzung!$C$11:$C$22)&lt;=B5)*(IF(Besatzung!$D$11:$D$22="",Besatzung!$B$6,Besatzung!$D$11:$D$22)&gt;=B5)),1)+(Besatzung!$F$16="x")*IFERROR(H5,0)/IFERROR(SUMPRODUCT((Besatzung!$B$11:$B$22&lt;&gt;"")*(Besatzung!$F$11:$F$22="x")*(IF(Besatzung!$C$11:$C$22="",Besatzung!$B$5,Besatzung!$C$11:$C$22)&lt;=B5)*(IF(Besatzung!$D$11:$D$22="",Besatzung!$B$6,Besatzung!$D$11:$D$22)&gt;=B5)),1))),IF(I5="Individuell",((O5="x")*((G5-IFERROR(H5,0))/IFERROR(COUNTIF(J5:U5,"x"),1)+(Besatzung!$F$16="x")*IFERROR(H5,0)/IFERROR(SUMPRODUCT((J5:U5="x")*(Besatzung!$F$11:$F$22="x")),1))),(IF(COUNTIF(J5:U5,"x")=0,IF(Besatzung!$B$15&lt;&gt;"",1,0),(O5="x"))*(G5-IFERROR(H5,0))/IFERROR(IF(COUNTIF(J5:U5,"x")=0,COUNTA(Besatzung!$B$11:$B$22),COUNTIF(J5:U5,"x")),1)+IF(COUNTIF(J5:U5,"x")=0,(Besatzung!$F$16="x"),(O5="x")*(Besatzung!$F$16="x"))*IFERROR(H5,0)/IFERROR(IF(COUNTIF(J5:U5,"x")=0,SUMPRODUCT((Besatzung!$B$11:$B$22&lt;&gt;"")*(Besatzung!$F$11:$F$22="x")),SUMPRODUCT((J5:U5="x")*(Besatzung!$F$11:$F$22="x"))),1))))),0))))</f>
        <v/>
      </c>
      <c r="AB5" s="106">
        <f>IF(C5="Gutschrift","",IF(G5="","",IF(Besatzung!$B$17="","",IFERROR(IF(I5="Zeitanteilig",(Besatzung!$G$17*(G5-IFERROR(H5,0))+((Besatzung!$B$17&lt;&gt;"")*IF(B5="",1,(IF(Besatzung!$C$17="",Besatzung!$B$5,Besatzung!$C$17)&lt;=B5)*(IF(Besatzung!$D$17="",Besatzung!$B$6,Besatzung!$D$17)&gt;=B5)))*(Besatzung!$F$17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$17&lt;&gt;"")*IF(B5="",1,(IF(Besatzung!$C$17="",Besatzung!$B$5,Besatzung!$C$17)&lt;=B5)*(IF(Besatzung!$D$17="",Besatzung!$B$6,Besatzung!$D$17)&gt;=B5)))*((G5-IFERROR(H5,0))/IFERROR(SUMPRODUCT((Besatzung!$B$11:$B$22&lt;&gt;"")*(IF(Besatzung!$C$11:$C$22="",Besatzung!$B$5,Besatzung!$C$11:$C$22)&lt;=B5)*(IF(Besatzung!$D$11:$D$22="",Besatzung!$B$6,Besatzung!$D$11:$D$22)&gt;=B5)),1)+(Besatzung!$F$17="x")*IFERROR(H5,0)/IFERROR(SUMPRODUCT((Besatzung!$B$11:$B$22&lt;&gt;"")*(Besatzung!$F$11:$F$22="x")*(IF(Besatzung!$C$11:$C$22="",Besatzung!$B$5,Besatzung!$C$11:$C$22)&lt;=B5)*(IF(Besatzung!$D$11:$D$22="",Besatzung!$B$6,Besatzung!$D$11:$D$22)&gt;=B5)),1))),IF(I5="Individuell",((P5="x")*((G5-IFERROR(H5,0))/IFERROR(COUNTIF(J5:U5,"x"),1)+(Besatzung!$F$17="x")*IFERROR(H5,0)/IFERROR(SUMPRODUCT((J5:U5="x")*(Besatzung!$F$11:$F$22="x")),1))),(IF(COUNTIF(J5:U5,"x")=0,IF(Besatzung!$B$17&lt;&gt;"",1,0),(P5="x"))*(G5-IFERROR(H5,0))/IFERROR(IF(COUNTIF(J5:U5,"x")=0,COUNTA(Besatzung!$B$11:$B$22),COUNTIF(J5:U5,"x")),1)+IF(COUNTIF(J5:U5,"x")=0,(Besatzung!$F$17="x"),(P5="x")*(Besatzung!$F$17="x"))*IFERROR(H5,0)/IFERROR(IF(COUNTIF(J5:U5,"x")=0,SUMPRODUCT((Besatzung!$B$11:$B$22&lt;&gt;"")*(Besatzung!$F$11:$F$22="x")),SUMPRODUCT((J5:U5="x")*(Besatzung!$F$11:$F$22="x"))),1))))),0))))</f>
        <v/>
      </c>
      <c r="AC5" s="106">
        <f>IF(C5="Gutschrift","",IF(G5="","",IF(Besatzung!$B$18="","",IFERROR(IF(I5="Zeitanteilig",(Besatzung!$G$18*(G5-IFERROR(H5,0))+((Besatzung!$B$18&lt;&gt;"")*IF(B5="",1,(IF(Besatzung!$C$18="",Besatzung!$B$5,Besatzung!$C$18)&lt;=B5)*(IF(Besatzung!$D$18="",Besatzung!$B$6,Besatzung!$D$18)&gt;=B5)))*(Besatzung!$F$18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$18&lt;&gt;"")*IF(B5="",1,(IF(Besatzung!$C$18="",Besatzung!$B$5,Besatzung!$C$18)&lt;=B5)*(IF(Besatzung!$D$18="",Besatzung!$B$6,Besatzung!$D$18)&gt;=B5)))*((G5-IFERROR(H5,0))/IFERROR(SUMPRODUCT((Besatzung!$B$11:$B$22&lt;&gt;"")*(IF(Besatzung!$C$11:$C$22="",Besatzung!$B$5,Besatzung!$C$11:$C$22)&lt;=B5)*(IF(Besatzung!$D$11:$D$22="",Besatzung!$B$6,Besatzung!$D$11:$D$22)&gt;=B5)),1)+(Besatzung!$F$18="x")*IFERROR(H5,0)/IFERROR(SUMPRODUCT((Besatzung!$B$11:$B$22&lt;&gt;"")*(Besatzung!$F$11:$F$22="x")*(IF(Besatzung!$C$11:$C$22="",Besatzung!$B$5,Besatzung!$C$11:$C$22)&lt;=B5)*(IF(Besatzung!$D$11:$D$22="",Besatzung!$B$6,Besatzung!$D$11:$D$22)&gt;=B5)),1))),IF(I5="Individuell",((Q5="x")*((G5-IFERROR(H5,0))/IFERROR(COUNTIF(J5:U5,"x"),1)+(Besatzung!$F$18="x")*IFERROR(H5,0)/IFERROR(SUMPRODUCT((J5:U5="x")*(Besatzung!$F$11:$F$22="x")),1))),(IF(COUNTIF(J5:U5,"x")=0,IF(Besatzung!$B$18&lt;&gt;"",1,0),(Q5="x"))*(G5-IFERROR(H5,0))/IFERROR(IF(COUNTIF(J5:U5,"x")=0,COUNTA(Besatzung!$B$11:$B$22),COUNTIF(J5:U5,"x")),1)+IF(COUNTIF(J5:U5,"x")=0,(Besatzung!$F$18="x"),(Q5="x")*(Besatzung!$F$18="x"))*IFERROR(H5,0)/IFERROR(IF(COUNTIF(J5:U5,"x")=0,SUMPRODUCT((Besatzung!$B$11:$B$22&lt;&gt;"")*(Besatzung!$F$11:$F$22="x")),SUMPRODUCT((J5:U5="x")*(Besatzung!$F$11:$F$22="x"))),1))))),0))))</f>
        <v/>
      </c>
      <c r="AD5" s="106">
        <f>IF(C5="Gutschrift","",IF(G5="","",IF(Besatzung!$B$19="","",IFERROR(IF(I5="Zeitanteilig",(Besatzung!$G$19*(G5-IFERROR(H5,0))+((Besatzung!$B$19&lt;&gt;"")*IF(B5="",1,(IF(Besatzung!$C$19="",Besatzung!$B$5,Besatzung!$C$19)&lt;=B5)*(IF(Besatzung!$D$19="",Besatzung!$B$6,Besatzung!$D$19)&gt;=B5)))*(Besatzung!$F$19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$19&lt;&gt;"")*IF(B5="",1,(IF(Besatzung!$C$19="",Besatzung!$B$5,Besatzung!$C$19)&lt;=B5)*(IF(Besatzung!$D$19="",Besatzung!$B$6,Besatzung!$D$19)&gt;=B5)))*((G5-IFERROR(H5,0))/IFERROR(SUMPRODUCT((Besatzung!$B$11:$B$22&lt;&gt;"")*(IF(Besatzung!$C$11:$C$22="",Besatzung!$B$5,Besatzung!$C$11:$C$22)&lt;=B5)*(IF(Besatzung!$D$11:$D$22="",Besatzung!$B$6,Besatzung!$D$11:$D$22)&gt;=B5)),1)+(Besatzung!$F$19="x")*IFERROR(H5,0)/IFERROR(SUMPRODUCT((Besatzung!$B$11:$B$22&lt;&gt;"")*(Besatzung!$F$11:$F$22="x")*(IF(Besatzung!$C$11:$C$22="",Besatzung!$B$5,Besatzung!$C$11:$C$22)&lt;=B5)*(IF(Besatzung!$D$11:$D$22="",Besatzung!$B$6,Besatzung!$D$11:$D$22)&gt;=B5)),1))),IF(I5="Individuell",((R5="x")*((G5-IFERROR(H5,0))/IFERROR(COUNTIF(J5:U5,"x"),1)+(Besatzung!$F$19="x")*IFERROR(H5,0)/IFERROR(SUMPRODUCT((J5:U5="x")*(Besatzung!$F$11:$F$22="x")),1))),(IF(COUNTIF(J5:U5,"x")=0,IF(Besatzung!$B$19&lt;&gt;"",1,0),(R5="x"))*(G5-IFERROR(H5,0))/IFERROR(IF(COUNTIF(J5:U5,"x")=0,COUNTA(Besatzung!$B$11:$B$22),COUNTIF(J5:U5,"x")),1)+IF(COUNTIF(J5:U5,"x")=0,(Besatzung!$F$19="x"),(R5="x")*(Besatzung!$F$19="x"))*IFERROR(H5,0)/IFERROR(IF(COUNTIF(J5:U5,"x")=0,SUMPRODUCT((Besatzung!$B$11:$B$22&lt;&gt;"")*(Besatzung!$F$11:$F$22="x")),SUMPRODUCT((J5:U5="x")*(Besatzung!$F$11:$F$22="x"))),1))))),0))))</f>
        <v/>
      </c>
      <c r="AE5" s="106">
        <f>IF(C5="Gutschrift","",IF(G5="","",IF(Besatzung!$B$20="","",IFERROR(IF(I5="Zeitanteilig",(Besatzung!$G$20*(G5-IFERROR(H5,0))+((Besatzung!$B$20&lt;&gt;"")*IF(B5="",1,(IF(Besatzung!$C$20="",Besatzung!$B$5,Besatzung!$C$20)&lt;=B5)*(IF(Besatzung!$D$20="",Besatzung!$B$6,Besatzung!$D$20)&gt;=B5)))*(Besatzung!$F$20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$20&lt;&gt;"")*IF(B5="",1,(IF(Besatzung!$C$20="",Besatzung!$B$5,Besatzung!$C$20)&lt;=B5)*(IF(Besatzung!$D$20="",Besatzung!$B$6,Besatzung!$D$20)&gt;=B5)))*((G5-IFERROR(H5,0))/IFERROR(SUMPRODUCT((Besatzung!$B$11:$B$22&lt;&gt;"")*(IF(Besatzung!$C$11:$C$22="",Besatzung!$B$5,Besatzung!$C$11:$C$22)&lt;=B5)*(IF(Besatzung!$D$11:$D$22="",Besatzung!$B$6,Besatzung!$D$11:$D$22)&gt;=B5)),1)+(Besatzung!$F$20="x")*IFERROR(H5,0)/IFERROR(SUMPRODUCT((Besatzung!$B$11:$B$22&lt;&gt;"")*(Besatzung!$F$11:$F$22="x")*(IF(Besatzung!$C$11:$C$22="",Besatzung!$B$5,Besatzung!$C$11:$C$22)&lt;=B5)*(IF(Besatzung!$D$11:$D$22="",Besatzung!$B$6,Besatzung!$D$11:$D$22)&gt;=B5)),1))),IF(I5="Individuell",((S5="x")*((G5-IFERROR(H5,0))/IFERROR(COUNTIF(J5:U5,"x"),1)+(Besatzung!$F$20="x")*IFERROR(H5,0)/IFERROR(SUMPRODUCT((J5:U5="x")*(Besatzung!$F$11:$F$22="x")),1))),(IF(COUNTIF(J5:U5,"x")=0,IF(Besatzung!$B$20&lt;&gt;"",1,0),(S5="x"))*(G5-IFERROR(H5,0))/IFERROR(IF(COUNTIF(J5:U5,"x")=0,COUNTA(Besatzung!$B$11:$B$22),COUNTIF(J5:U5,"x")),1)+IF(COUNTIF(J5:U5,"x")=0,(Besatzung!$F$20="x"),(S5="x")*(Besatzung!$F$20="x"))*IFERROR(H5,0)/IFERROR(IF(COUNTIF(J5:U5,"x")=0,SUMPRODUCT((Besatzung!$B$11:$B$22&lt;&gt;"")*(Besatzung!$F$11:$F$22="x")),SUMPRODUCT((J5:U5="x")*(Besatzung!$F$11:$F$22="x"))),1))))),0))))</f>
        <v/>
      </c>
      <c r="AF5" s="106">
        <f>IF(C5="Gutschrift","",IF(G5="","",IF(Besatzung!$B$21="","",IFERROR(IF(I5="Zeitanteilig",(Besatzung!$G$21*(G5-IFERROR(H5,0))+((Besatzung!$B$21&lt;&gt;"")*IF(B5="",1,(IF(Besatzung!$C$21="",Besatzung!$B$5,Besatzung!$C$21)&lt;=B5)*(IF(Besatzung!$D$21="",Besatzung!$B$6,Besatzung!$D$21)&gt;=B5)))*(Besatzung!$F$21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$21&lt;&gt;"")*IF(B5="",1,(IF(Besatzung!$C$21="",Besatzung!$B$5,Besatzung!$C$21)&lt;=B5)*(IF(Besatzung!$D$21="",Besatzung!$B$6,Besatzung!$D$21)&gt;=B5)))*((G5-IFERROR(H5,0))/IFERROR(SUMPRODUCT((Besatzung!$B$11:$B$22&lt;&gt;"")*(IF(Besatzung!$C$11:$C$22="",Besatzung!$B$5,Besatzung!$C$11:$C$22)&lt;=B5)*(IF(Besatzung!$D$11:$D$22="",Besatzung!$B$6,Besatzung!$D$11:$D$22)&gt;=B5)),1)+(Besatzung!$F$21="x")*IFERROR(H5,0)/IFERROR(SUMPRODUCT((Besatzung!$B$11:$B$22&lt;&gt;"")*(Besatzung!$F$11:$F$22="x")*(IF(Besatzung!$C$11:$C$22="",Besatzung!$B$5,Besatzung!$C$11:$C$22)&lt;=B5)*(IF(Besatzung!$D$11:$D$22="",Besatzung!$B$6,Besatzung!$D$11:$D$22)&gt;=B5)),1))),IF(I5="Individuell",((T5="x")*((G5-IFERROR(H5,0))/IFERROR(COUNTIF(J5:U5,"x"),1)+(Besatzung!$F$21="x")*IFERROR(H5,0)/IFERROR(SUMPRODUCT((J5:U5="x")*(Besatzung!$F$11:$F$22="x")),1))),(IF(COUNTIF(J5:U5,"x")=0,IF(Besatzung!$B$21&lt;&gt;"",1,0),(T5="x"))*(G5-IFERROR(H5,0))/IFERROR(IF(COUNTIF(J5:U5,"x")=0,COUNTA(Besatzung!$B$11:$B$22),COUNTIF(J5:U5,"x")),1)+IF(COUNTIF(J5:U5,"x")=0,(Besatzung!$F$21="x"),(T5="x")*(Besatzung!$F$21="x"))*IFERROR(H5,0)/IFERROR(IF(COUNTIF(J5:U5,"x")=0,SUMPRODUCT((Besatzung!$B$11:$B$22&lt;&gt;"")*(Besatzung!$F$11:$F$22="x")),SUMPRODUCT((J5:U5="x")*(Besatzung!$F$11:$F$22="x"))),1))))),0))))</f>
        <v/>
      </c>
      <c r="AG5" s="106">
        <f>IF(C5="Gutschrift","",IF(G5="","",IF(Besatzung!$B$22="","",IFERROR(IF(I5="Zeitanteilig",(Besatzung!$G$22*(G5-IFERROR(H5,0))+((Besatzung!$B$22&lt;&gt;"")*IF(B5="",1,(IF(Besatzung!$C$22="",Besatzung!$B$5,Besatzung!$C$22)&lt;=B5)*(IF(Besatzung!$D$22="",Besatzung!$B$6,Besatzung!$D$22)&gt;=B5)))*(Besatzung!$F$22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$22&lt;&gt;"")*IF(B5="",1,(IF(Besatzung!$C$22="",Besatzung!$B$5,Besatzung!$C$22)&lt;=B5)*(IF(Besatzung!$D$22="",Besatzung!$B$6,Besatzung!$D$22)&gt;=B5)))*((G5-IFERROR(H5,0))/IFERROR(SUMPRODUCT((Besatzung!$B$11:$B$22&lt;&gt;"")*(IF(Besatzung!$C$11:$C$22="",Besatzung!$B$5,Besatzung!$C$11:$C$22)&lt;=B5)*(IF(Besatzung!$D$11:$D$22="",Besatzung!$B$6,Besatzung!$D$11:$D$22)&gt;=B5)),1)+(Besatzung!$F$22="x")*IFERROR(H5,0)/IFERROR(SUMPRODUCT((Besatzung!$B$11:$B$22&lt;&gt;"")*(Besatzung!$F$11:$F$22="x")*(IF(Besatzung!$C$11:$C$22="",Besatzung!$B$5,Besatzung!$C$11:$C$22)&lt;=B5)*(IF(Besatzung!$D$11:$D$22="",Besatzung!$B$6,Besatzung!$D$11:$D$22)&gt;=B5)),1))),IF(I5="Individuell",((U5="x")*((G5-IFERROR(H5,0))/IFERROR(COUNTIF(J5:U5,"x"),1)+(Besatzung!$F$22="x")*IFERROR(H5,0)/IFERROR(SUMPRODUCT((J5:U5="x")*(Besatzung!$F$11:$F$22="x")),1))),(IF(COUNTIF(J5:U5,"x")=0,IF(Besatzung!$B$22&lt;&gt;"",1,0),(U5="x"))*(G5-IFERROR(H5,0))/IFERROR(IF(COUNTIF(J5:U5,"x")=0,COUNTA(Besatzung!$B$11:$B$22),COUNTIF(J5:U5,"x")),1)+IF(COUNTIF(J5:U5,"x")=0,(Besatzung!$F$22="x"),(U5="x")*(Besatzung!$F$22="x"))*IFERROR(H5,0)/IFERROR(IF(COUNTIF(J5:U5,"x")=0,SUMPRODUCT((Besatzung!$B$11:$B$22&lt;&gt;"")*(Besatzung!$F$11:$F$22="x")),SUMPRODUCT((J5:U5="x")*(Besatzung!$F$11:$F$22="x"))),1))))),0))))</f>
        <v/>
      </c>
      <c r="AH5" s="107" t="n"/>
      <c r="AI5" s="107" t="n"/>
    </row>
    <row r="6" ht="21.75" customHeight="1" s="182">
      <c r="A6" s="97">
        <f>IF(AND(D6="",C6=""),"",3)</f>
        <v/>
      </c>
      <c r="B6" s="56" t="n"/>
      <c r="C6" s="98" t="n"/>
      <c r="D6" s="99" t="n"/>
      <c r="E6" s="100" t="n"/>
      <c r="F6" s="101" t="n"/>
      <c r="G6" s="102" t="n"/>
      <c r="H6" s="103" t="n"/>
      <c r="I6" s="104" t="n"/>
      <c r="J6" s="105" t="n"/>
      <c r="K6" s="105" t="n"/>
      <c r="L6" s="105" t="n"/>
      <c r="M6" s="105" t="n"/>
      <c r="N6" s="105" t="n"/>
      <c r="O6" s="105" t="n"/>
      <c r="P6" s="105" t="n"/>
      <c r="Q6" s="105" t="n"/>
      <c r="R6" s="105" t="n"/>
      <c r="S6" s="105" t="n"/>
      <c r="T6" s="105" t="n"/>
      <c r="U6" s="105" t="n"/>
      <c r="V6" s="106">
        <f>IF(C6="Gutschrift","",IF(G6="","",IF(Besatzung!$B$11="","",IFERROR(IF(I6="Zeitanteilig",(Besatzung!$G$11*(G6-IFERROR(H6,0))+((Besatzung!$B$11&lt;&gt;"")*IF(B6="",1,(IF(Besatzung!$C$11="",Besatzung!$B$5,Besatzung!$C$11)&lt;=B6)*(IF(Besatzung!$D$11="",Besatzung!$B$6,Besatzung!$D$11)&gt;=B6)))*(Besatzung!$F$11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$11&lt;&gt;"")*IF(B6="",1,(IF(Besatzung!$C$11="",Besatzung!$B$5,Besatzung!$C$11)&lt;=B6)*(IF(Besatzung!$D$11="",Besatzung!$B$6,Besatzung!$D$11)&gt;=B6)))*((G6-IFERROR(H6,0))/IFERROR(SUMPRODUCT((Besatzung!$B$11:$B$22&lt;&gt;"")*(IF(Besatzung!$C$11:$C$22="",Besatzung!$B$5,Besatzung!$C$11:$C$22)&lt;=B6)*(IF(Besatzung!$D$11:$D$22="",Besatzung!$B$6,Besatzung!$D$11:$D$22)&gt;=B6)),1)+(Besatzung!$F$11="x")*IFERROR(H6,0)/IFERROR(SUMPRODUCT((Besatzung!$B$11:$B$22&lt;&gt;"")*(Besatzung!$F$11:$F$22="x")*(IF(Besatzung!$C$11:$C$22="",Besatzung!$B$5,Besatzung!$C$11:$C$22)&lt;=B6)*(IF(Besatzung!$D$11:$D$22="",Besatzung!$B$6,Besatzung!$D$11:$D$22)&gt;=B6)),1))),IF(I6="Individuell",((J6="x")*((G6-IFERROR(H6,0))/IFERROR(COUNTIF(J6:U6,"x"),1)+(Besatzung!$F$11="x")*IFERROR(H6,0)/IFERROR(SUMPRODUCT((J6:U6="x")*(Besatzung!$F$11:$F$22="x")),1))),(IF(COUNTIF(J6:U6,"x")=0,IF(Besatzung!$B$11&lt;&gt;"",1,0),(J6="x"))*(G6-IFERROR(H6,0))/IFERROR(IF(COUNTIF(J6:U6,"x")=0,COUNTA(Besatzung!$B$11:$B$22),COUNTIF(J6:U6,"x")),1)+IF(COUNTIF(J6:U6,"x")=0,(Besatzung!$F$11="x"),(J6="x")*(Besatzung!$F$11="x"))*IFERROR(H6,0)/IFERROR(IF(COUNTIF(J6:U6,"x")=0,SUMPRODUCT((Besatzung!$B$11:$B$22&lt;&gt;"")*(Besatzung!$F$11:$F$22="x")),SUMPRODUCT((J6:U6="x")*(Besatzung!$F$11:$F$22="x"))),1))))),0))))</f>
        <v/>
      </c>
      <c r="W6" s="106">
        <f>IF(C6="Gutschrift","",IF(G6="","",IF(Besatzung!$B$12="","",IFERROR(IF(I6="Zeitanteilig",(Besatzung!$G$12*(G6-IFERROR(H6,0))+((Besatzung!$B$12&lt;&gt;"")*IF(B6="",1,(IF(Besatzung!$C$12="",Besatzung!$B$5,Besatzung!$C$12)&lt;=B6)*(IF(Besatzung!$D$12="",Besatzung!$B$6,Besatzung!$D$12)&gt;=B6)))*(Besatzung!$F$12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$12&lt;&gt;"")*IF(B6="",1,(IF(Besatzung!$C$12="",Besatzung!$B$5,Besatzung!$C$12)&lt;=B6)*(IF(Besatzung!$D$12="",Besatzung!$B$6,Besatzung!$D$12)&gt;=B6)))*((G6-IFERROR(H6,0))/IFERROR(SUMPRODUCT((Besatzung!$B$11:$B$22&lt;&gt;"")*(IF(Besatzung!$C$11:$C$22="",Besatzung!$B$5,Besatzung!$C$11:$C$22)&lt;=B6)*(IF(Besatzung!$D$11:$D$22="",Besatzung!$B$6,Besatzung!$D$11:$D$22)&gt;=B6)),1)+(Besatzung!$F$12="x")*IFERROR(H6,0)/IFERROR(SUMPRODUCT((Besatzung!$B$11:$B$22&lt;&gt;"")*(Besatzung!$F$11:$F$22="x")*(IF(Besatzung!$C$11:$C$22="",Besatzung!$B$5,Besatzung!$C$11:$C$22)&lt;=B6)*(IF(Besatzung!$D$11:$D$22="",Besatzung!$B$6,Besatzung!$D$11:$D$22)&gt;=B6)),1))),IF(I6="Individuell",((K6="x")*((G6-IFERROR(H6,0))/IFERROR(COUNTIF(J6:U6,"x"),1)+(Besatzung!$F$12="x")*IFERROR(H6,0)/IFERROR(SUMPRODUCT((J6:U6="x")*(Besatzung!$F$11:$F$22="x")),1))),(IF(COUNTIF(J6:U6,"x")=0,IF(Besatzung!$B$12&lt;&gt;"",1,0),(K6="x"))*(G6-IFERROR(H6,0))/IFERROR(IF(COUNTIF(J6:U6,"x")=0,COUNTA(Besatzung!$B$11:$B$22),COUNTIF(J6:U6,"x")),1)+IF(COUNTIF(J6:U6,"x")=0,(Besatzung!$F$12="x"),(K6="x")*(Besatzung!$F$12="x"))*IFERROR(H6,0)/IFERROR(IF(COUNTIF(J6:U6,"x")=0,SUMPRODUCT((Besatzung!$B$11:$B$22&lt;&gt;"")*(Besatzung!$F$11:$F$22="x")),SUMPRODUCT((J6:U6="x")*(Besatzung!$F$11:$F$22="x"))),1))))),0))))</f>
        <v/>
      </c>
      <c r="X6" s="106">
        <f>IF(C6="Gutschrift","",IF(G6="","",IF(Besatzung!$B$13="","",IFERROR(IF(I6="Zeitanteilig",(Besatzung!$G$13*(G6-IFERROR(H6,0))+((Besatzung!$B$13&lt;&gt;"")*IF(B6="",1,(IF(Besatzung!$C$13="",Besatzung!$B$5,Besatzung!$C$13)&lt;=B6)*(IF(Besatzung!$D$13="",Besatzung!$B$6,Besatzung!$D$13)&gt;=B6)))*(Besatzung!$F$13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$13&lt;&gt;"")*IF(B6="",1,(IF(Besatzung!$C$13="",Besatzung!$B$5,Besatzung!$C$13)&lt;=B6)*(IF(Besatzung!$D$13="",Besatzung!$B$6,Besatzung!$D$13)&gt;=B6)))*((G6-IFERROR(H6,0))/IFERROR(SUMPRODUCT((Besatzung!$B$11:$B$22&lt;&gt;"")*(IF(Besatzung!$C$11:$C$22="",Besatzung!$B$5,Besatzung!$C$11:$C$22)&lt;=B6)*(IF(Besatzung!$D$11:$D$22="",Besatzung!$B$6,Besatzung!$D$11:$D$22)&gt;=B6)),1)+(Besatzung!$F$13="x")*IFERROR(H6,0)/IFERROR(SUMPRODUCT((Besatzung!$B$11:$B$22&lt;&gt;"")*(Besatzung!$F$11:$F$22="x")*(IF(Besatzung!$C$11:$C$22="",Besatzung!$B$5,Besatzung!$C$11:$C$22)&lt;=B6)*(IF(Besatzung!$D$11:$D$22="",Besatzung!$B$6,Besatzung!$D$11:$D$22)&gt;=B6)),1))),IF(I6="Individuell",((K6="x")*((G6-IFERROR(H6,0))/IFERROR(COUNTIF(J6:U6,"x"),1)+(Besatzung!$F$13="x")*IFERROR(H6,0)/IFERROR(SUMPRODUCT((J6:U6="x")*(Besatzung!$F$11:$F$22="x")),1))),(IF(COUNTIF(J6:U6,"x")=0,IF(Besatzung!$B$13&lt;&gt;"",1,0),(K6="x"))*(G6-IFERROR(H6,0))/IFERROR(IF(COUNTIF(J6:U6,"x")=0,COUNTA(Besatzung!$B$11:$B$22),COUNTIF(J6:U6,"x")),1)+IF(COUNTIF(J6:U6,"x")=0,(Besatzung!$F$13="x"),(K6="x")*(Besatzung!$F$13="x"))*IFERROR(H6,0)/IFERROR(IF(COUNTIF(J6:U6,"x")=0,SUMPRODUCT((Besatzung!$B$11:$B$22&lt;&gt;"")*(Besatzung!$F$11:$F$22="x")),SUMPRODUCT((J6:U6="x")*(Besatzung!$F$11:$F$22="x"))),1))))),0))))</f>
        <v/>
      </c>
      <c r="Y6" s="106">
        <f>IF(C6="Gutschrift","",IF(G6="","",IF(Besatzung!$B$14="","",IFERROR(IF(I6="Zeitanteilig",(Besatzung!$G$14*(G6-IFERROR(H6,0))+((Besatzung!$B$14&lt;&gt;"")*IF(B6="",1,(IF(Besatzung!$C$14="",Besatzung!$B$5,Besatzung!$C$14)&lt;=B6)*(IF(Besatzung!$D$14="",Besatzung!$B$6,Besatzung!$D$14)&gt;=B6)))*(Besatzung!$F$14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$14&lt;&gt;"")*IF(B6="",1,(IF(Besatzung!$C$14="",Besatzung!$B$5,Besatzung!$C$14)&lt;=B6)*(IF(Besatzung!$D$14="",Besatzung!$B$6,Besatzung!$D$14)&gt;=B6)))*((G6-IFERROR(H6,0))/IFERROR(SUMPRODUCT((Besatzung!$B$11:$B$22&lt;&gt;"")*(IF(Besatzung!$C$11:$C$22="",Besatzung!$B$5,Besatzung!$C$11:$C$22)&lt;=B6)*(IF(Besatzung!$D$11:$D$22="",Besatzung!$B$6,Besatzung!$D$11:$D$22)&gt;=B6)),1)+(Besatzung!$F$14="x")*IFERROR(H6,0)/IFERROR(SUMPRODUCT((Besatzung!$B$11:$B$22&lt;&gt;"")*(Besatzung!$F$11:$F$22="x")*(IF(Besatzung!$C$11:$C$22="",Besatzung!$B$5,Besatzung!$C$11:$C$22)&lt;=B6)*(IF(Besatzung!$D$11:$D$22="",Besatzung!$B$6,Besatzung!$D$11:$D$22)&gt;=B6)),1))),IF(I6="Individuell",((M6="x")*((G6-IFERROR(H6,0))/IFERROR(COUNTIF(J6:U6,"x"),1)+(Besatzung!$F$14="x")*IFERROR(H6,0)/IFERROR(SUMPRODUCT((J6:U6="x")*(Besatzung!$F$11:$F$22="x")),1))),(IF(COUNTIF(J6:U6,"x")=0,IF(Besatzung!$B$14&lt;&gt;"",1,0),(M6="x"))*(G6-IFERROR(H6,0))/IFERROR(IF(COUNTIF(J6:U6,"x")=0,COUNTA(Besatzung!$B$11:$B$22),COUNTIF(J6:U6,"x")),1)+IF(COUNTIF(J6:U6,"x")=0,(Besatzung!$F$14="x"),(M6="x")*(Besatzung!$F$14="x"))*IFERROR(H6,0)/IFERROR(IF(COUNTIF(J6:U6,"x")=0,SUMPRODUCT((Besatzung!$B$11:$B$22&lt;&gt;"")*(Besatzung!$F$11:$F$22="x")),SUMPRODUCT((J6:U6="x")*(Besatzung!$F$11:$F$22="x"))),1))))),0))))</f>
        <v/>
      </c>
      <c r="Z6" s="106">
        <f>IF(C6="Gutschrift","",IF(G6="","",IF(Besatzung!$B$13="","",IFERROR(IF(I6="Zeitanteilig",(Besatzung!$G$15*(G6-IFERROR(H6,0))+((Besatzung!$B$13&lt;&gt;"")*IF(B6="",1,(IF(Besatzung!$C$15="",Besatzung!$B$5,Besatzung!$C$15)&lt;=B6)*(IF(Besatzung!$D$15="",Besatzung!$B$6,Besatzung!$D$15)&gt;=B6)))*(Besatzung!$F$15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$13&lt;&gt;"")*IF(B6="",1,(IF(Besatzung!$C$15="",Besatzung!$B$5,Besatzung!$C$15)&lt;=B6)*(IF(Besatzung!$D$15="",Besatzung!$B$6,Besatzung!$D$15)&gt;=B6)))*((G6-IFERROR(H6,0))/IFERROR(SUMPRODUCT((Besatzung!$B$11:$B$22&lt;&gt;"")*(IF(Besatzung!$C$11:$C$22="",Besatzung!$B$5,Besatzung!$C$11:$C$22)&lt;=B6)*(IF(Besatzung!$D$11:$D$22="",Besatzung!$B$6,Besatzung!$D$11:$D$22)&gt;=B6)),1)+(Besatzung!$F$15="x")*IFERROR(H6,0)/IFERROR(SUMPRODUCT((Besatzung!$B$11:$B$22&lt;&gt;"")*(Besatzung!$F$11:$F$22="x")*(IF(Besatzung!$C$11:$C$22="",Besatzung!$B$5,Besatzung!$C$11:$C$22)&lt;=B6)*(IF(Besatzung!$D$11:$D$22="",Besatzung!$B$6,Besatzung!$D$11:$D$22)&gt;=B6)),1))),IF(I6="Individuell",((N6="x")*((G6-IFERROR(H6,0))/IFERROR(COUNTIF(J6:U6,"x"),1)+(Besatzung!$F$15="x")*IFERROR(H6,0)/IFERROR(SUMPRODUCT((J6:U6="x")*(Besatzung!$F$11:$F$22="x")),1))),(IF(COUNTIF(J6:U6,"x")=0,IF(Besatzung!$B$13&lt;&gt;"",1,0),(N6="x"))*(G6-IFERROR(H6,0))/IFERROR(IF(COUNTIF(J6:U6,"x")=0,COUNTA(Besatzung!$B$11:$B$22),COUNTIF(J6:U6,"x")),1)+IF(COUNTIF(J6:U6,"x")=0,(Besatzung!$F$15="x"),(N6="x")*(Besatzung!$F$15="x"))*IFERROR(H6,0)/IFERROR(IF(COUNTIF(J6:U6,"x")=0,SUMPRODUCT((Besatzung!$B$11:$B$22&lt;&gt;"")*(Besatzung!$F$11:$F$22="x")),SUMPRODUCT((J6:U6="x")*(Besatzung!$F$11:$F$22="x"))),1))))),0))))</f>
        <v/>
      </c>
      <c r="AA6" s="106">
        <f>IF(C6="Gutschrift","",IF(G6="","",IF(Besatzung!$B$15="","",IFERROR(IF(I6="Zeitanteilig",(Besatzung!$G$16*(G6-IFERROR(H6,0))+((Besatzung!$B$15&lt;&gt;"")*IF(B6="",1,(IF(Besatzung!$C$16="",Besatzung!$B$5,Besatzung!$C$16)&lt;=B6)*(IF(Besatzung!$D$16="",Besatzung!$B$6,Besatzung!$D$16)&gt;=B6)))*(Besatzung!$F$16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$15&lt;&gt;"")*IF(B6="",1,(IF(Besatzung!$C$16="",Besatzung!$B$5,Besatzung!$C$16)&lt;=B6)*(IF(Besatzung!$D$16="",Besatzung!$B$6,Besatzung!$D$16)&gt;=B6)))*((G6-IFERROR(H6,0))/IFERROR(SUMPRODUCT((Besatzung!$B$11:$B$22&lt;&gt;"")*(IF(Besatzung!$C$11:$C$22="",Besatzung!$B$5,Besatzung!$C$11:$C$22)&lt;=B6)*(IF(Besatzung!$D$11:$D$22="",Besatzung!$B$6,Besatzung!$D$11:$D$22)&gt;=B6)),1)+(Besatzung!$F$16="x")*IFERROR(H6,0)/IFERROR(SUMPRODUCT((Besatzung!$B$11:$B$22&lt;&gt;"")*(Besatzung!$F$11:$F$22="x")*(IF(Besatzung!$C$11:$C$22="",Besatzung!$B$5,Besatzung!$C$11:$C$22)&lt;=B6)*(IF(Besatzung!$D$11:$D$22="",Besatzung!$B$6,Besatzung!$D$11:$D$22)&gt;=B6)),1))),IF(I6="Individuell",((O6="x")*((G6-IFERROR(H6,0))/IFERROR(COUNTIF(J6:U6,"x"),1)+(Besatzung!$F$16="x")*IFERROR(H6,0)/IFERROR(SUMPRODUCT((J6:U6="x")*(Besatzung!$F$11:$F$22="x")),1))),(IF(COUNTIF(J6:U6,"x")=0,IF(Besatzung!$B$15&lt;&gt;"",1,0),(O6="x"))*(G6-IFERROR(H6,0))/IFERROR(IF(COUNTIF(J6:U6,"x")=0,COUNTA(Besatzung!$B$11:$B$22),COUNTIF(J6:U6,"x")),1)+IF(COUNTIF(J6:U6,"x")=0,(Besatzung!$F$16="x"),(O6="x")*(Besatzung!$F$16="x"))*IFERROR(H6,0)/IFERROR(IF(COUNTIF(J6:U6,"x")=0,SUMPRODUCT((Besatzung!$B$11:$B$22&lt;&gt;"")*(Besatzung!$F$11:$F$22="x")),SUMPRODUCT((J6:U6="x")*(Besatzung!$F$11:$F$22="x"))),1))))),0))))</f>
        <v/>
      </c>
      <c r="AB6" s="106">
        <f>IF(C6="Gutschrift","",IF(G6="","",IF(Besatzung!$B$17="","",IFERROR(IF(I6="Zeitanteilig",(Besatzung!$G$17*(G6-IFERROR(H6,0))+((Besatzung!$B$17&lt;&gt;"")*IF(B6="",1,(IF(Besatzung!$C$17="",Besatzung!$B$5,Besatzung!$C$17)&lt;=B6)*(IF(Besatzung!$D$17="",Besatzung!$B$6,Besatzung!$D$17)&gt;=B6)))*(Besatzung!$F$17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$17&lt;&gt;"")*IF(B6="",1,(IF(Besatzung!$C$17="",Besatzung!$B$5,Besatzung!$C$17)&lt;=B6)*(IF(Besatzung!$D$17="",Besatzung!$B$6,Besatzung!$D$17)&gt;=B6)))*((G6-IFERROR(H6,0))/IFERROR(SUMPRODUCT((Besatzung!$B$11:$B$22&lt;&gt;"")*(IF(Besatzung!$C$11:$C$22="",Besatzung!$B$5,Besatzung!$C$11:$C$22)&lt;=B6)*(IF(Besatzung!$D$11:$D$22="",Besatzung!$B$6,Besatzung!$D$11:$D$22)&gt;=B6)),1)+(Besatzung!$F$17="x")*IFERROR(H6,0)/IFERROR(SUMPRODUCT((Besatzung!$B$11:$B$22&lt;&gt;"")*(Besatzung!$F$11:$F$22="x")*(IF(Besatzung!$C$11:$C$22="",Besatzung!$B$5,Besatzung!$C$11:$C$22)&lt;=B6)*(IF(Besatzung!$D$11:$D$22="",Besatzung!$B$6,Besatzung!$D$11:$D$22)&gt;=B6)),1))),IF(I6="Individuell",((P6="x")*((G6-IFERROR(H6,0))/IFERROR(COUNTIF(J6:U6,"x"),1)+(Besatzung!$F$17="x")*IFERROR(H6,0)/IFERROR(SUMPRODUCT((J6:U6="x")*(Besatzung!$F$11:$F$22="x")),1))),(IF(COUNTIF(J6:U6,"x")=0,IF(Besatzung!$B$17&lt;&gt;"",1,0),(P6="x"))*(G6-IFERROR(H6,0))/IFERROR(IF(COUNTIF(J6:U6,"x")=0,COUNTA(Besatzung!$B$11:$B$22),COUNTIF(J6:U6,"x")),1)+IF(COUNTIF(J6:U6,"x")=0,(Besatzung!$F$17="x"),(P6="x")*(Besatzung!$F$17="x"))*IFERROR(H6,0)/IFERROR(IF(COUNTIF(J6:U6,"x")=0,SUMPRODUCT((Besatzung!$B$11:$B$22&lt;&gt;"")*(Besatzung!$F$11:$F$22="x")),SUMPRODUCT((J6:U6="x")*(Besatzung!$F$11:$F$22="x"))),1))))),0))))</f>
        <v/>
      </c>
      <c r="AC6" s="106">
        <f>IF(C6="Gutschrift","",IF(G6="","",IF(Besatzung!$B$18="","",IFERROR(IF(I6="Zeitanteilig",(Besatzung!$G$18*(G6-IFERROR(H6,0))+((Besatzung!$B$18&lt;&gt;"")*IF(B6="",1,(IF(Besatzung!$C$18="",Besatzung!$B$5,Besatzung!$C$18)&lt;=B6)*(IF(Besatzung!$D$18="",Besatzung!$B$6,Besatzung!$D$18)&gt;=B6)))*(Besatzung!$F$18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$18&lt;&gt;"")*IF(B6="",1,(IF(Besatzung!$C$18="",Besatzung!$B$5,Besatzung!$C$18)&lt;=B6)*(IF(Besatzung!$D$18="",Besatzung!$B$6,Besatzung!$D$18)&gt;=B6)))*((G6-IFERROR(H6,0))/IFERROR(SUMPRODUCT((Besatzung!$B$11:$B$22&lt;&gt;"")*(IF(Besatzung!$C$11:$C$22="",Besatzung!$B$5,Besatzung!$C$11:$C$22)&lt;=B6)*(IF(Besatzung!$D$11:$D$22="",Besatzung!$B$6,Besatzung!$D$11:$D$22)&gt;=B6)),1)+(Besatzung!$F$18="x")*IFERROR(H6,0)/IFERROR(SUMPRODUCT((Besatzung!$B$11:$B$22&lt;&gt;"")*(Besatzung!$F$11:$F$22="x")*(IF(Besatzung!$C$11:$C$22="",Besatzung!$B$5,Besatzung!$C$11:$C$22)&lt;=B6)*(IF(Besatzung!$D$11:$D$22="",Besatzung!$B$6,Besatzung!$D$11:$D$22)&gt;=B6)),1))),IF(I6="Individuell",((Q6="x")*((G6-IFERROR(H6,0))/IFERROR(COUNTIF(J6:U6,"x"),1)+(Besatzung!$F$18="x")*IFERROR(H6,0)/IFERROR(SUMPRODUCT((J6:U6="x")*(Besatzung!$F$11:$F$22="x")),1))),(IF(COUNTIF(J6:U6,"x")=0,IF(Besatzung!$B$18&lt;&gt;"",1,0),(Q6="x"))*(G6-IFERROR(H6,0))/IFERROR(IF(COUNTIF(J6:U6,"x")=0,COUNTA(Besatzung!$B$11:$B$22),COUNTIF(J6:U6,"x")),1)+IF(COUNTIF(J6:U6,"x")=0,(Besatzung!$F$18="x"),(Q6="x")*(Besatzung!$F$18="x"))*IFERROR(H6,0)/IFERROR(IF(COUNTIF(J6:U6,"x")=0,SUMPRODUCT((Besatzung!$B$11:$B$22&lt;&gt;"")*(Besatzung!$F$11:$F$22="x")),SUMPRODUCT((J6:U6="x")*(Besatzung!$F$11:$F$22="x"))),1))))),0))))</f>
        <v/>
      </c>
      <c r="AD6" s="106">
        <f>IF(C6="Gutschrift","",IF(G6="","",IF(Besatzung!$B$19="","",IFERROR(IF(I6="Zeitanteilig",(Besatzung!$G$19*(G6-IFERROR(H6,0))+((Besatzung!$B$19&lt;&gt;"")*IF(B6="",1,(IF(Besatzung!$C$19="",Besatzung!$B$5,Besatzung!$C$19)&lt;=B6)*(IF(Besatzung!$D$19="",Besatzung!$B$6,Besatzung!$D$19)&gt;=B6)))*(Besatzung!$F$19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$19&lt;&gt;"")*IF(B6="",1,(IF(Besatzung!$C$19="",Besatzung!$B$5,Besatzung!$C$19)&lt;=B6)*(IF(Besatzung!$D$19="",Besatzung!$B$6,Besatzung!$D$19)&gt;=B6)))*((G6-IFERROR(H6,0))/IFERROR(SUMPRODUCT((Besatzung!$B$11:$B$22&lt;&gt;"")*(IF(Besatzung!$C$11:$C$22="",Besatzung!$B$5,Besatzung!$C$11:$C$22)&lt;=B6)*(IF(Besatzung!$D$11:$D$22="",Besatzung!$B$6,Besatzung!$D$11:$D$22)&gt;=B6)),1)+(Besatzung!$F$19="x")*IFERROR(H6,0)/IFERROR(SUMPRODUCT((Besatzung!$B$11:$B$22&lt;&gt;"")*(Besatzung!$F$11:$F$22="x")*(IF(Besatzung!$C$11:$C$22="",Besatzung!$B$5,Besatzung!$C$11:$C$22)&lt;=B6)*(IF(Besatzung!$D$11:$D$22="",Besatzung!$B$6,Besatzung!$D$11:$D$22)&gt;=B6)),1))),IF(I6="Individuell",((R6="x")*((G6-IFERROR(H6,0))/IFERROR(COUNTIF(J6:U6,"x"),1)+(Besatzung!$F$19="x")*IFERROR(H6,0)/IFERROR(SUMPRODUCT((J6:U6="x")*(Besatzung!$F$11:$F$22="x")),1))),(IF(COUNTIF(J6:U6,"x")=0,IF(Besatzung!$B$19&lt;&gt;"",1,0),(R6="x"))*(G6-IFERROR(H6,0))/IFERROR(IF(COUNTIF(J6:U6,"x")=0,COUNTA(Besatzung!$B$11:$B$22),COUNTIF(J6:U6,"x")),1)+IF(COUNTIF(J6:U6,"x")=0,(Besatzung!$F$19="x"),(R6="x")*(Besatzung!$F$19="x"))*IFERROR(H6,0)/IFERROR(IF(COUNTIF(J6:U6,"x")=0,SUMPRODUCT((Besatzung!$B$11:$B$22&lt;&gt;"")*(Besatzung!$F$11:$F$22="x")),SUMPRODUCT((J6:U6="x")*(Besatzung!$F$11:$F$22="x"))),1))))),0))))</f>
        <v/>
      </c>
      <c r="AE6" s="106">
        <f>IF(C6="Gutschrift","",IF(G6="","",IF(Besatzung!$B$20="","",IFERROR(IF(I6="Zeitanteilig",(Besatzung!$G$20*(G6-IFERROR(H6,0))+((Besatzung!$B$20&lt;&gt;"")*IF(B6="",1,(IF(Besatzung!$C$20="",Besatzung!$B$5,Besatzung!$C$20)&lt;=B6)*(IF(Besatzung!$D$20="",Besatzung!$B$6,Besatzung!$D$20)&gt;=B6)))*(Besatzung!$F$20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$20&lt;&gt;"")*IF(B6="",1,(IF(Besatzung!$C$20="",Besatzung!$B$5,Besatzung!$C$20)&lt;=B6)*(IF(Besatzung!$D$20="",Besatzung!$B$6,Besatzung!$D$20)&gt;=B6)))*((G6-IFERROR(H6,0))/IFERROR(SUMPRODUCT((Besatzung!$B$11:$B$22&lt;&gt;"")*(IF(Besatzung!$C$11:$C$22="",Besatzung!$B$5,Besatzung!$C$11:$C$22)&lt;=B6)*(IF(Besatzung!$D$11:$D$22="",Besatzung!$B$6,Besatzung!$D$11:$D$22)&gt;=B6)),1)+(Besatzung!$F$20="x")*IFERROR(H6,0)/IFERROR(SUMPRODUCT((Besatzung!$B$11:$B$22&lt;&gt;"")*(Besatzung!$F$11:$F$22="x")*(IF(Besatzung!$C$11:$C$22="",Besatzung!$B$5,Besatzung!$C$11:$C$22)&lt;=B6)*(IF(Besatzung!$D$11:$D$22="",Besatzung!$B$6,Besatzung!$D$11:$D$22)&gt;=B6)),1))),IF(I6="Individuell",((S6="x")*((G6-IFERROR(H6,0))/IFERROR(COUNTIF(J6:U6,"x"),1)+(Besatzung!$F$20="x")*IFERROR(H6,0)/IFERROR(SUMPRODUCT((J6:U6="x")*(Besatzung!$F$11:$F$22="x")),1))),(IF(COUNTIF(J6:U6,"x")=0,IF(Besatzung!$B$20&lt;&gt;"",1,0),(S6="x"))*(G6-IFERROR(H6,0))/IFERROR(IF(COUNTIF(J6:U6,"x")=0,COUNTA(Besatzung!$B$11:$B$22),COUNTIF(J6:U6,"x")),1)+IF(COUNTIF(J6:U6,"x")=0,(Besatzung!$F$20="x"),(S6="x")*(Besatzung!$F$20="x"))*IFERROR(H6,0)/IFERROR(IF(COUNTIF(J6:U6,"x")=0,SUMPRODUCT((Besatzung!$B$11:$B$22&lt;&gt;"")*(Besatzung!$F$11:$F$22="x")),SUMPRODUCT((J6:U6="x")*(Besatzung!$F$11:$F$22="x"))),1))))),0))))</f>
        <v/>
      </c>
      <c r="AF6" s="106">
        <f>IF(C6="Gutschrift","",IF(G6="","",IF(Besatzung!$B$21="","",IFERROR(IF(I6="Zeitanteilig",(Besatzung!$G$21*(G6-IFERROR(H6,0))+((Besatzung!$B$21&lt;&gt;"")*IF(B6="",1,(IF(Besatzung!$C$21="",Besatzung!$B$5,Besatzung!$C$21)&lt;=B6)*(IF(Besatzung!$D$21="",Besatzung!$B$6,Besatzung!$D$21)&gt;=B6)))*(Besatzung!$F$21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$21&lt;&gt;"")*IF(B6="",1,(IF(Besatzung!$C$21="",Besatzung!$B$5,Besatzung!$C$21)&lt;=B6)*(IF(Besatzung!$D$21="",Besatzung!$B$6,Besatzung!$D$21)&gt;=B6)))*((G6-IFERROR(H6,0))/IFERROR(SUMPRODUCT((Besatzung!$B$11:$B$22&lt;&gt;"")*(IF(Besatzung!$C$11:$C$22="",Besatzung!$B$5,Besatzung!$C$11:$C$22)&lt;=B6)*(IF(Besatzung!$D$11:$D$22="",Besatzung!$B$6,Besatzung!$D$11:$D$22)&gt;=B6)),1)+(Besatzung!$F$21="x")*IFERROR(H6,0)/IFERROR(SUMPRODUCT((Besatzung!$B$11:$B$22&lt;&gt;"")*(Besatzung!$F$11:$F$22="x")*(IF(Besatzung!$C$11:$C$22="",Besatzung!$B$5,Besatzung!$C$11:$C$22)&lt;=B6)*(IF(Besatzung!$D$11:$D$22="",Besatzung!$B$6,Besatzung!$D$11:$D$22)&gt;=B6)),1))),IF(I6="Individuell",((T6="x")*((G6-IFERROR(H6,0))/IFERROR(COUNTIF(J6:U6,"x"),1)+(Besatzung!$F$21="x")*IFERROR(H6,0)/IFERROR(SUMPRODUCT((J6:U6="x")*(Besatzung!$F$11:$F$22="x")),1))),(IF(COUNTIF(J6:U6,"x")=0,IF(Besatzung!$B$21&lt;&gt;"",1,0),(T6="x"))*(G6-IFERROR(H6,0))/IFERROR(IF(COUNTIF(J6:U6,"x")=0,COUNTA(Besatzung!$B$11:$B$22),COUNTIF(J6:U6,"x")),1)+IF(COUNTIF(J6:U6,"x")=0,(Besatzung!$F$21="x"),(T6="x")*(Besatzung!$F$21="x"))*IFERROR(H6,0)/IFERROR(IF(COUNTIF(J6:U6,"x")=0,SUMPRODUCT((Besatzung!$B$11:$B$22&lt;&gt;"")*(Besatzung!$F$11:$F$22="x")),SUMPRODUCT((J6:U6="x")*(Besatzung!$F$11:$F$22="x"))),1))))),0))))</f>
        <v/>
      </c>
      <c r="AG6" s="106">
        <f>IF(C6="Gutschrift","",IF(G6="","",IF(Besatzung!$B$22="","",IFERROR(IF(I6="Zeitanteilig",(Besatzung!$G$22*(G6-IFERROR(H6,0))+((Besatzung!$B$22&lt;&gt;"")*IF(B6="",1,(IF(Besatzung!$C$22="",Besatzung!$B$5,Besatzung!$C$22)&lt;=B6)*(IF(Besatzung!$D$22="",Besatzung!$B$6,Besatzung!$D$22)&gt;=B6)))*(Besatzung!$F$22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$22&lt;&gt;"")*IF(B6="",1,(IF(Besatzung!$C$22="",Besatzung!$B$5,Besatzung!$C$22)&lt;=B6)*(IF(Besatzung!$D$22="",Besatzung!$B$6,Besatzung!$D$22)&gt;=B6)))*((G6-IFERROR(H6,0))/IFERROR(SUMPRODUCT((Besatzung!$B$11:$B$22&lt;&gt;"")*(IF(Besatzung!$C$11:$C$22="",Besatzung!$B$5,Besatzung!$C$11:$C$22)&lt;=B6)*(IF(Besatzung!$D$11:$D$22="",Besatzung!$B$6,Besatzung!$D$11:$D$22)&gt;=B6)),1)+(Besatzung!$F$22="x")*IFERROR(H6,0)/IFERROR(SUMPRODUCT((Besatzung!$B$11:$B$22&lt;&gt;"")*(Besatzung!$F$11:$F$22="x")*(IF(Besatzung!$C$11:$C$22="",Besatzung!$B$5,Besatzung!$C$11:$C$22)&lt;=B6)*(IF(Besatzung!$D$11:$D$22="",Besatzung!$B$6,Besatzung!$D$11:$D$22)&gt;=B6)),1))),IF(I6="Individuell",((U6="x")*((G6-IFERROR(H6,0))/IFERROR(COUNTIF(J6:U6,"x"),1)+(Besatzung!$F$22="x")*IFERROR(H6,0)/IFERROR(SUMPRODUCT((J6:U6="x")*(Besatzung!$F$11:$F$22="x")),1))),(IF(COUNTIF(J6:U6,"x")=0,IF(Besatzung!$B$22&lt;&gt;"",1,0),(U6="x"))*(G6-IFERROR(H6,0))/IFERROR(IF(COUNTIF(J6:U6,"x")=0,COUNTA(Besatzung!$B$11:$B$22),COUNTIF(J6:U6,"x")),1)+IF(COUNTIF(J6:U6,"x")=0,(Besatzung!$F$22="x"),(U6="x")*(Besatzung!$F$22="x"))*IFERROR(H6,0)/IFERROR(IF(COUNTIF(J6:U6,"x")=0,SUMPRODUCT((Besatzung!$B$11:$B$22&lt;&gt;"")*(Besatzung!$F$11:$F$22="x")),SUMPRODUCT((J6:U6="x")*(Besatzung!$F$11:$F$22="x"))),1))))),0))))</f>
        <v/>
      </c>
      <c r="AH6" s="107" t="n"/>
      <c r="AI6" s="107" t="n"/>
    </row>
    <row r="7" ht="21.75" customHeight="1" s="182">
      <c r="A7" s="97">
        <f>IF(AND(D7="",C7=""),"",4)</f>
        <v/>
      </c>
      <c r="B7" s="63" t="n"/>
      <c r="C7" s="108" t="n"/>
      <c r="D7" s="109" t="n"/>
      <c r="E7" s="110" t="n"/>
      <c r="F7" s="111" t="n"/>
      <c r="G7" s="112" t="n"/>
      <c r="H7" s="113" t="n"/>
      <c r="I7" s="114" t="n"/>
      <c r="J7" s="115" t="n"/>
      <c r="K7" s="115" t="n"/>
      <c r="L7" s="115" t="n"/>
      <c r="M7" s="115" t="n"/>
      <c r="N7" s="115" t="n"/>
      <c r="O7" s="115" t="n"/>
      <c r="P7" s="115" t="n"/>
      <c r="Q7" s="115" t="n"/>
      <c r="R7" s="115" t="n"/>
      <c r="S7" s="115" t="n"/>
      <c r="T7" s="115" t="n"/>
      <c r="U7" s="115" t="n"/>
      <c r="V7" s="106">
        <f>IF(C7="Gutschrift","",IF(G7="","",IF(Besatzung!$B$11="","",IFERROR(IF(I7="Zeitanteilig",(Besatzung!$G$11*(G7-IFERROR(H7,0))+((Besatzung!$B$11&lt;&gt;"")*IF(B7="",1,(IF(Besatzung!$C$11="",Besatzung!$B$5,Besatzung!$C$11)&lt;=B7)*(IF(Besatzung!$D$11="",Besatzung!$B$6,Besatzung!$D$11)&gt;=B7)))*(Besatzung!$F$11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$11&lt;&gt;"")*IF(B7="",1,(IF(Besatzung!$C$11="",Besatzung!$B$5,Besatzung!$C$11)&lt;=B7)*(IF(Besatzung!$D$11="",Besatzung!$B$6,Besatzung!$D$11)&gt;=B7)))*((G7-IFERROR(H7,0))/IFERROR(SUMPRODUCT((Besatzung!$B$11:$B$22&lt;&gt;"")*(IF(Besatzung!$C$11:$C$22="",Besatzung!$B$5,Besatzung!$C$11:$C$22)&lt;=B7)*(IF(Besatzung!$D$11:$D$22="",Besatzung!$B$6,Besatzung!$D$11:$D$22)&gt;=B7)),1)+(Besatzung!$F$11="x")*IFERROR(H7,0)/IFERROR(SUMPRODUCT((Besatzung!$B$11:$B$22&lt;&gt;"")*(Besatzung!$F$11:$F$22="x")*(IF(Besatzung!$C$11:$C$22="",Besatzung!$B$5,Besatzung!$C$11:$C$22)&lt;=B7)*(IF(Besatzung!$D$11:$D$22="",Besatzung!$B$6,Besatzung!$D$11:$D$22)&gt;=B7)),1))),IF(I7="Individuell",((J7="x")*((G7-IFERROR(H7,0))/IFERROR(COUNTIF(J7:U7,"x"),1)+(Besatzung!$F$11="x")*IFERROR(H7,0)/IFERROR(SUMPRODUCT((J7:U7="x")*(Besatzung!$F$11:$F$22="x")),1))),(IF(COUNTIF(J7:U7,"x")=0,IF(Besatzung!$B$11&lt;&gt;"",1,0),(J7="x"))*(G7-IFERROR(H7,0))/IFERROR(IF(COUNTIF(J7:U7,"x")=0,COUNTA(Besatzung!$B$11:$B$22),COUNTIF(J7:U7,"x")),1)+IF(COUNTIF(J7:U7,"x")=0,(Besatzung!$F$11="x"),(J7="x")*(Besatzung!$F$11="x"))*IFERROR(H7,0)/IFERROR(IF(COUNTIF(J7:U7,"x")=0,SUMPRODUCT((Besatzung!$B$11:$B$22&lt;&gt;"")*(Besatzung!$F$11:$F$22="x")),SUMPRODUCT((J7:U7="x")*(Besatzung!$F$11:$F$22="x"))),1))))),0))))</f>
        <v/>
      </c>
      <c r="W7" s="106">
        <f>IF(C7="Gutschrift","",IF(G7="","",IF(Besatzung!$B$12="","",IFERROR(IF(I7="Zeitanteilig",(Besatzung!$G$12*(G7-IFERROR(H7,0))+((Besatzung!$B$12&lt;&gt;"")*IF(B7="",1,(IF(Besatzung!$C$12="",Besatzung!$B$5,Besatzung!$C$12)&lt;=B7)*(IF(Besatzung!$D$12="",Besatzung!$B$6,Besatzung!$D$12)&gt;=B7)))*(Besatzung!$F$12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$12&lt;&gt;"")*IF(B7="",1,(IF(Besatzung!$C$12="",Besatzung!$B$5,Besatzung!$C$12)&lt;=B7)*(IF(Besatzung!$D$12="",Besatzung!$B$6,Besatzung!$D$12)&gt;=B7)))*((G7-IFERROR(H7,0))/IFERROR(SUMPRODUCT((Besatzung!$B$11:$B$22&lt;&gt;"")*(IF(Besatzung!$C$11:$C$22="",Besatzung!$B$5,Besatzung!$C$11:$C$22)&lt;=B7)*(IF(Besatzung!$D$11:$D$22="",Besatzung!$B$6,Besatzung!$D$11:$D$22)&gt;=B7)),1)+(Besatzung!$F$12="x")*IFERROR(H7,0)/IFERROR(SUMPRODUCT((Besatzung!$B$11:$B$22&lt;&gt;"")*(Besatzung!$F$11:$F$22="x")*(IF(Besatzung!$C$11:$C$22="",Besatzung!$B$5,Besatzung!$C$11:$C$22)&lt;=B7)*(IF(Besatzung!$D$11:$D$22="",Besatzung!$B$6,Besatzung!$D$11:$D$22)&gt;=B7)),1))),IF(I7="Individuell",((K7="x")*((G7-IFERROR(H7,0))/IFERROR(COUNTIF(J7:U7,"x"),1)+(Besatzung!$F$12="x")*IFERROR(H7,0)/IFERROR(SUMPRODUCT((J7:U7="x")*(Besatzung!$F$11:$F$22="x")),1))),(IF(COUNTIF(J7:U7,"x")=0,IF(Besatzung!$B$12&lt;&gt;"",1,0),(K7="x"))*(G7-IFERROR(H7,0))/IFERROR(IF(COUNTIF(J7:U7,"x")=0,COUNTA(Besatzung!$B$11:$B$22),COUNTIF(J7:U7,"x")),1)+IF(COUNTIF(J7:U7,"x")=0,(Besatzung!$F$12="x"),(K7="x")*(Besatzung!$F$12="x"))*IFERROR(H7,0)/IFERROR(IF(COUNTIF(J7:U7,"x")=0,SUMPRODUCT((Besatzung!$B$11:$B$22&lt;&gt;"")*(Besatzung!$F$11:$F$22="x")),SUMPRODUCT((J7:U7="x")*(Besatzung!$F$11:$F$22="x"))),1))))),0))))</f>
        <v/>
      </c>
      <c r="X7" s="106">
        <f>IF(C7="Gutschrift","",IF(G7="","",IF(Besatzung!$B$13="","",IFERROR(IF(I7="Zeitanteilig",(Besatzung!$G$13*(G7-IFERROR(H7,0))+((Besatzung!$B$13&lt;&gt;"")*IF(B7="",1,(IF(Besatzung!$C$13="",Besatzung!$B$5,Besatzung!$C$13)&lt;=B7)*(IF(Besatzung!$D$13="",Besatzung!$B$6,Besatzung!$D$13)&gt;=B7)))*(Besatzung!$F$13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$13&lt;&gt;"")*IF(B7="",1,(IF(Besatzung!$C$13="",Besatzung!$B$5,Besatzung!$C$13)&lt;=B7)*(IF(Besatzung!$D$13="",Besatzung!$B$6,Besatzung!$D$13)&gt;=B7)))*((G7-IFERROR(H7,0))/IFERROR(SUMPRODUCT((Besatzung!$B$11:$B$22&lt;&gt;"")*(IF(Besatzung!$C$11:$C$22="",Besatzung!$B$5,Besatzung!$C$11:$C$22)&lt;=B7)*(IF(Besatzung!$D$11:$D$22="",Besatzung!$B$6,Besatzung!$D$11:$D$22)&gt;=B7)),1)+(Besatzung!$F$13="x")*IFERROR(H7,0)/IFERROR(SUMPRODUCT((Besatzung!$B$11:$B$22&lt;&gt;"")*(Besatzung!$F$11:$F$22="x")*(IF(Besatzung!$C$11:$C$22="",Besatzung!$B$5,Besatzung!$C$11:$C$22)&lt;=B7)*(IF(Besatzung!$D$11:$D$22="",Besatzung!$B$6,Besatzung!$D$11:$D$22)&gt;=B7)),1))),IF(I7="Individuell",((K7="x")*((G7-IFERROR(H7,0))/IFERROR(COUNTIF(J7:U7,"x"),1)+(Besatzung!$F$13="x")*IFERROR(H7,0)/IFERROR(SUMPRODUCT((J7:U7="x")*(Besatzung!$F$11:$F$22="x")),1))),(IF(COUNTIF(J7:U7,"x")=0,IF(Besatzung!$B$13&lt;&gt;"",1,0),(K7="x"))*(G7-IFERROR(H7,0))/IFERROR(IF(COUNTIF(J7:U7,"x")=0,COUNTA(Besatzung!$B$11:$B$22),COUNTIF(J7:U7,"x")),1)+IF(COUNTIF(J7:U7,"x")=0,(Besatzung!$F$13="x"),(K7="x")*(Besatzung!$F$13="x"))*IFERROR(H7,0)/IFERROR(IF(COUNTIF(J7:U7,"x")=0,SUMPRODUCT((Besatzung!$B$11:$B$22&lt;&gt;"")*(Besatzung!$F$11:$F$22="x")),SUMPRODUCT((J7:U7="x")*(Besatzung!$F$11:$F$22="x"))),1))))),0))))</f>
        <v/>
      </c>
      <c r="Y7" s="106">
        <f>IF(C7="Gutschrift","",IF(G7="","",IF(Besatzung!$B$14="","",IFERROR(IF(I7="Zeitanteilig",(Besatzung!$G$14*(G7-IFERROR(H7,0))+((Besatzung!$B$14&lt;&gt;"")*IF(B7="",1,(IF(Besatzung!$C$14="",Besatzung!$B$5,Besatzung!$C$14)&lt;=B7)*(IF(Besatzung!$D$14="",Besatzung!$B$6,Besatzung!$D$14)&gt;=B7)))*(Besatzung!$F$14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$14&lt;&gt;"")*IF(B7="",1,(IF(Besatzung!$C$14="",Besatzung!$B$5,Besatzung!$C$14)&lt;=B7)*(IF(Besatzung!$D$14="",Besatzung!$B$6,Besatzung!$D$14)&gt;=B7)))*((G7-IFERROR(H7,0))/IFERROR(SUMPRODUCT((Besatzung!$B$11:$B$22&lt;&gt;"")*(IF(Besatzung!$C$11:$C$22="",Besatzung!$B$5,Besatzung!$C$11:$C$22)&lt;=B7)*(IF(Besatzung!$D$11:$D$22="",Besatzung!$B$6,Besatzung!$D$11:$D$22)&gt;=B7)),1)+(Besatzung!$F$14="x")*IFERROR(H7,0)/IFERROR(SUMPRODUCT((Besatzung!$B$11:$B$22&lt;&gt;"")*(Besatzung!$F$11:$F$22="x")*(IF(Besatzung!$C$11:$C$22="",Besatzung!$B$5,Besatzung!$C$11:$C$22)&lt;=B7)*(IF(Besatzung!$D$11:$D$22="",Besatzung!$B$6,Besatzung!$D$11:$D$22)&gt;=B7)),1))),IF(I7="Individuell",((M7="x")*((G7-IFERROR(H7,0))/IFERROR(COUNTIF(J7:U7,"x"),1)+(Besatzung!$F$14="x")*IFERROR(H7,0)/IFERROR(SUMPRODUCT((J7:U7="x")*(Besatzung!$F$11:$F$22="x")),1))),(IF(COUNTIF(J7:U7,"x")=0,IF(Besatzung!$B$14&lt;&gt;"",1,0),(M7="x"))*(G7-IFERROR(H7,0))/IFERROR(IF(COUNTIF(J7:U7,"x")=0,COUNTA(Besatzung!$B$11:$B$22),COUNTIF(J7:U7,"x")),1)+IF(COUNTIF(J7:U7,"x")=0,(Besatzung!$F$14="x"),(M7="x")*(Besatzung!$F$14="x"))*IFERROR(H7,0)/IFERROR(IF(COUNTIF(J7:U7,"x")=0,SUMPRODUCT((Besatzung!$B$11:$B$22&lt;&gt;"")*(Besatzung!$F$11:$F$22="x")),SUMPRODUCT((J7:U7="x")*(Besatzung!$F$11:$F$22="x"))),1))))),0))))</f>
        <v/>
      </c>
      <c r="Z7" s="106">
        <f>IF(C7="Gutschrift","",IF(G7="","",IF(Besatzung!$B$13="","",IFERROR(IF(I7="Zeitanteilig",(Besatzung!$G$15*(G7-IFERROR(H7,0))+((Besatzung!$B$13&lt;&gt;"")*IF(B7="",1,(IF(Besatzung!$C$15="",Besatzung!$B$5,Besatzung!$C$15)&lt;=B7)*(IF(Besatzung!$D$15="",Besatzung!$B$6,Besatzung!$D$15)&gt;=B7)))*(Besatzung!$F$15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$13&lt;&gt;"")*IF(B7="",1,(IF(Besatzung!$C$15="",Besatzung!$B$5,Besatzung!$C$15)&lt;=B7)*(IF(Besatzung!$D$15="",Besatzung!$B$6,Besatzung!$D$15)&gt;=B7)))*((G7-IFERROR(H7,0))/IFERROR(SUMPRODUCT((Besatzung!$B$11:$B$22&lt;&gt;"")*(IF(Besatzung!$C$11:$C$22="",Besatzung!$B$5,Besatzung!$C$11:$C$22)&lt;=B7)*(IF(Besatzung!$D$11:$D$22="",Besatzung!$B$6,Besatzung!$D$11:$D$22)&gt;=B7)),1)+(Besatzung!$F$15="x")*IFERROR(H7,0)/IFERROR(SUMPRODUCT((Besatzung!$B$11:$B$22&lt;&gt;"")*(Besatzung!$F$11:$F$22="x")*(IF(Besatzung!$C$11:$C$22="",Besatzung!$B$5,Besatzung!$C$11:$C$22)&lt;=B7)*(IF(Besatzung!$D$11:$D$22="",Besatzung!$B$6,Besatzung!$D$11:$D$22)&gt;=B7)),1))),IF(I7="Individuell",((N7="x")*((G7-IFERROR(H7,0))/IFERROR(COUNTIF(J7:U7,"x"),1)+(Besatzung!$F$15="x")*IFERROR(H7,0)/IFERROR(SUMPRODUCT((J7:U7="x")*(Besatzung!$F$11:$F$22="x")),1))),(IF(COUNTIF(J7:U7,"x")=0,IF(Besatzung!$B$13&lt;&gt;"",1,0),(N7="x"))*(G7-IFERROR(H7,0))/IFERROR(IF(COUNTIF(J7:U7,"x")=0,COUNTA(Besatzung!$B$11:$B$22),COUNTIF(J7:U7,"x")),1)+IF(COUNTIF(J7:U7,"x")=0,(Besatzung!$F$15="x"),(N7="x")*(Besatzung!$F$15="x"))*IFERROR(H7,0)/IFERROR(IF(COUNTIF(J7:U7,"x")=0,SUMPRODUCT((Besatzung!$B$11:$B$22&lt;&gt;"")*(Besatzung!$F$11:$F$22="x")),SUMPRODUCT((J7:U7="x")*(Besatzung!$F$11:$F$22="x"))),1))))),0))))</f>
        <v/>
      </c>
      <c r="AA7" s="106">
        <f>IF(C7="Gutschrift","",IF(G7="","",IF(Besatzung!$B$15="","",IFERROR(IF(I7="Zeitanteilig",(Besatzung!$G$16*(G7-IFERROR(H7,0))+((Besatzung!$B$15&lt;&gt;"")*IF(B7="",1,(IF(Besatzung!$C$16="",Besatzung!$B$5,Besatzung!$C$16)&lt;=B7)*(IF(Besatzung!$D$16="",Besatzung!$B$6,Besatzung!$D$16)&gt;=B7)))*(Besatzung!$F$16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$15&lt;&gt;"")*IF(B7="",1,(IF(Besatzung!$C$16="",Besatzung!$B$5,Besatzung!$C$16)&lt;=B7)*(IF(Besatzung!$D$16="",Besatzung!$B$6,Besatzung!$D$16)&gt;=B7)))*((G7-IFERROR(H7,0))/IFERROR(SUMPRODUCT((Besatzung!$B$11:$B$22&lt;&gt;"")*(IF(Besatzung!$C$11:$C$22="",Besatzung!$B$5,Besatzung!$C$11:$C$22)&lt;=B7)*(IF(Besatzung!$D$11:$D$22="",Besatzung!$B$6,Besatzung!$D$11:$D$22)&gt;=B7)),1)+(Besatzung!$F$16="x")*IFERROR(H7,0)/IFERROR(SUMPRODUCT((Besatzung!$B$11:$B$22&lt;&gt;"")*(Besatzung!$F$11:$F$22="x")*(IF(Besatzung!$C$11:$C$22="",Besatzung!$B$5,Besatzung!$C$11:$C$22)&lt;=B7)*(IF(Besatzung!$D$11:$D$22="",Besatzung!$B$6,Besatzung!$D$11:$D$22)&gt;=B7)),1))),IF(I7="Individuell",((O7="x")*((G7-IFERROR(H7,0))/IFERROR(COUNTIF(J7:U7,"x"),1)+(Besatzung!$F$16="x")*IFERROR(H7,0)/IFERROR(SUMPRODUCT((J7:U7="x")*(Besatzung!$F$11:$F$22="x")),1))),(IF(COUNTIF(J7:U7,"x")=0,IF(Besatzung!$B$15&lt;&gt;"",1,0),(O7="x"))*(G7-IFERROR(H7,0))/IFERROR(IF(COUNTIF(J7:U7,"x")=0,COUNTA(Besatzung!$B$11:$B$22),COUNTIF(J7:U7,"x")),1)+IF(COUNTIF(J7:U7,"x")=0,(Besatzung!$F$16="x"),(O7="x")*(Besatzung!$F$16="x"))*IFERROR(H7,0)/IFERROR(IF(COUNTIF(J7:U7,"x")=0,SUMPRODUCT((Besatzung!$B$11:$B$22&lt;&gt;"")*(Besatzung!$F$11:$F$22="x")),SUMPRODUCT((J7:U7="x")*(Besatzung!$F$11:$F$22="x"))),1))))),0))))</f>
        <v/>
      </c>
      <c r="AB7" s="106">
        <f>IF(C7="Gutschrift","",IF(G7="","",IF(Besatzung!$B$17="","",IFERROR(IF(I7="Zeitanteilig",(Besatzung!$G$17*(G7-IFERROR(H7,0))+((Besatzung!$B$17&lt;&gt;"")*IF(B7="",1,(IF(Besatzung!$C$17="",Besatzung!$B$5,Besatzung!$C$17)&lt;=B7)*(IF(Besatzung!$D$17="",Besatzung!$B$6,Besatzung!$D$17)&gt;=B7)))*(Besatzung!$F$17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$17&lt;&gt;"")*IF(B7="",1,(IF(Besatzung!$C$17="",Besatzung!$B$5,Besatzung!$C$17)&lt;=B7)*(IF(Besatzung!$D$17="",Besatzung!$B$6,Besatzung!$D$17)&gt;=B7)))*((G7-IFERROR(H7,0))/IFERROR(SUMPRODUCT((Besatzung!$B$11:$B$22&lt;&gt;"")*(IF(Besatzung!$C$11:$C$22="",Besatzung!$B$5,Besatzung!$C$11:$C$22)&lt;=B7)*(IF(Besatzung!$D$11:$D$22="",Besatzung!$B$6,Besatzung!$D$11:$D$22)&gt;=B7)),1)+(Besatzung!$F$17="x")*IFERROR(H7,0)/IFERROR(SUMPRODUCT((Besatzung!$B$11:$B$22&lt;&gt;"")*(Besatzung!$F$11:$F$22="x")*(IF(Besatzung!$C$11:$C$22="",Besatzung!$B$5,Besatzung!$C$11:$C$22)&lt;=B7)*(IF(Besatzung!$D$11:$D$22="",Besatzung!$B$6,Besatzung!$D$11:$D$22)&gt;=B7)),1))),IF(I7="Individuell",((P7="x")*((G7-IFERROR(H7,0))/IFERROR(COUNTIF(J7:U7,"x"),1)+(Besatzung!$F$17="x")*IFERROR(H7,0)/IFERROR(SUMPRODUCT((J7:U7="x")*(Besatzung!$F$11:$F$22="x")),1))),(IF(COUNTIF(J7:U7,"x")=0,IF(Besatzung!$B$17&lt;&gt;"",1,0),(P7="x"))*(G7-IFERROR(H7,0))/IFERROR(IF(COUNTIF(J7:U7,"x")=0,COUNTA(Besatzung!$B$11:$B$22),COUNTIF(J7:U7,"x")),1)+IF(COUNTIF(J7:U7,"x")=0,(Besatzung!$F$17="x"),(P7="x")*(Besatzung!$F$17="x"))*IFERROR(H7,0)/IFERROR(IF(COUNTIF(J7:U7,"x")=0,SUMPRODUCT((Besatzung!$B$11:$B$22&lt;&gt;"")*(Besatzung!$F$11:$F$22="x")),SUMPRODUCT((J7:U7="x")*(Besatzung!$F$11:$F$22="x"))),1))))),0))))</f>
        <v/>
      </c>
      <c r="AC7" s="106">
        <f>IF(C7="Gutschrift","",IF(G7="","",IF(Besatzung!$B$18="","",IFERROR(IF(I7="Zeitanteilig",(Besatzung!$G$18*(G7-IFERROR(H7,0))+((Besatzung!$B$18&lt;&gt;"")*IF(B7="",1,(IF(Besatzung!$C$18="",Besatzung!$B$5,Besatzung!$C$18)&lt;=B7)*(IF(Besatzung!$D$18="",Besatzung!$B$6,Besatzung!$D$18)&gt;=B7)))*(Besatzung!$F$18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$18&lt;&gt;"")*IF(B7="",1,(IF(Besatzung!$C$18="",Besatzung!$B$5,Besatzung!$C$18)&lt;=B7)*(IF(Besatzung!$D$18="",Besatzung!$B$6,Besatzung!$D$18)&gt;=B7)))*((G7-IFERROR(H7,0))/IFERROR(SUMPRODUCT((Besatzung!$B$11:$B$22&lt;&gt;"")*(IF(Besatzung!$C$11:$C$22="",Besatzung!$B$5,Besatzung!$C$11:$C$22)&lt;=B7)*(IF(Besatzung!$D$11:$D$22="",Besatzung!$B$6,Besatzung!$D$11:$D$22)&gt;=B7)),1)+(Besatzung!$F$18="x")*IFERROR(H7,0)/IFERROR(SUMPRODUCT((Besatzung!$B$11:$B$22&lt;&gt;"")*(Besatzung!$F$11:$F$22="x")*(IF(Besatzung!$C$11:$C$22="",Besatzung!$B$5,Besatzung!$C$11:$C$22)&lt;=B7)*(IF(Besatzung!$D$11:$D$22="",Besatzung!$B$6,Besatzung!$D$11:$D$22)&gt;=B7)),1))),IF(I7="Individuell",((Q7="x")*((G7-IFERROR(H7,0))/IFERROR(COUNTIF(J7:U7,"x"),1)+(Besatzung!$F$18="x")*IFERROR(H7,0)/IFERROR(SUMPRODUCT((J7:U7="x")*(Besatzung!$F$11:$F$22="x")),1))),(IF(COUNTIF(J7:U7,"x")=0,IF(Besatzung!$B$18&lt;&gt;"",1,0),(Q7="x"))*(G7-IFERROR(H7,0))/IFERROR(IF(COUNTIF(J7:U7,"x")=0,COUNTA(Besatzung!$B$11:$B$22),COUNTIF(J7:U7,"x")),1)+IF(COUNTIF(J7:U7,"x")=0,(Besatzung!$F$18="x"),(Q7="x")*(Besatzung!$F$18="x"))*IFERROR(H7,0)/IFERROR(IF(COUNTIF(J7:U7,"x")=0,SUMPRODUCT((Besatzung!$B$11:$B$22&lt;&gt;"")*(Besatzung!$F$11:$F$22="x")),SUMPRODUCT((J7:U7="x")*(Besatzung!$F$11:$F$22="x"))),1))))),0))))</f>
        <v/>
      </c>
      <c r="AD7" s="106">
        <f>IF(C7="Gutschrift","",IF(G7="","",IF(Besatzung!$B$19="","",IFERROR(IF(I7="Zeitanteilig",(Besatzung!$G$19*(G7-IFERROR(H7,0))+((Besatzung!$B$19&lt;&gt;"")*IF(B7="",1,(IF(Besatzung!$C$19="",Besatzung!$B$5,Besatzung!$C$19)&lt;=B7)*(IF(Besatzung!$D$19="",Besatzung!$B$6,Besatzung!$D$19)&gt;=B7)))*(Besatzung!$F$19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$19&lt;&gt;"")*IF(B7="",1,(IF(Besatzung!$C$19="",Besatzung!$B$5,Besatzung!$C$19)&lt;=B7)*(IF(Besatzung!$D$19="",Besatzung!$B$6,Besatzung!$D$19)&gt;=B7)))*((G7-IFERROR(H7,0))/IFERROR(SUMPRODUCT((Besatzung!$B$11:$B$22&lt;&gt;"")*(IF(Besatzung!$C$11:$C$22="",Besatzung!$B$5,Besatzung!$C$11:$C$22)&lt;=B7)*(IF(Besatzung!$D$11:$D$22="",Besatzung!$B$6,Besatzung!$D$11:$D$22)&gt;=B7)),1)+(Besatzung!$F$19="x")*IFERROR(H7,0)/IFERROR(SUMPRODUCT((Besatzung!$B$11:$B$22&lt;&gt;"")*(Besatzung!$F$11:$F$22="x")*(IF(Besatzung!$C$11:$C$22="",Besatzung!$B$5,Besatzung!$C$11:$C$22)&lt;=B7)*(IF(Besatzung!$D$11:$D$22="",Besatzung!$B$6,Besatzung!$D$11:$D$22)&gt;=B7)),1))),IF(I7="Individuell",((R7="x")*((G7-IFERROR(H7,0))/IFERROR(COUNTIF(J7:U7,"x"),1)+(Besatzung!$F$19="x")*IFERROR(H7,0)/IFERROR(SUMPRODUCT((J7:U7="x")*(Besatzung!$F$11:$F$22="x")),1))),(IF(COUNTIF(J7:U7,"x")=0,IF(Besatzung!$B$19&lt;&gt;"",1,0),(R7="x"))*(G7-IFERROR(H7,0))/IFERROR(IF(COUNTIF(J7:U7,"x")=0,COUNTA(Besatzung!$B$11:$B$22),COUNTIF(J7:U7,"x")),1)+IF(COUNTIF(J7:U7,"x")=0,(Besatzung!$F$19="x"),(R7="x")*(Besatzung!$F$19="x"))*IFERROR(H7,0)/IFERROR(IF(COUNTIF(J7:U7,"x")=0,SUMPRODUCT((Besatzung!$B$11:$B$22&lt;&gt;"")*(Besatzung!$F$11:$F$22="x")),SUMPRODUCT((J7:U7="x")*(Besatzung!$F$11:$F$22="x"))),1))))),0))))</f>
        <v/>
      </c>
      <c r="AE7" s="106">
        <f>IF(C7="Gutschrift","",IF(G7="","",IF(Besatzung!$B$20="","",IFERROR(IF(I7="Zeitanteilig",(Besatzung!$G$20*(G7-IFERROR(H7,0))+((Besatzung!$B$20&lt;&gt;"")*IF(B7="",1,(IF(Besatzung!$C$20="",Besatzung!$B$5,Besatzung!$C$20)&lt;=B7)*(IF(Besatzung!$D$20="",Besatzung!$B$6,Besatzung!$D$20)&gt;=B7)))*(Besatzung!$F$20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$20&lt;&gt;"")*IF(B7="",1,(IF(Besatzung!$C$20="",Besatzung!$B$5,Besatzung!$C$20)&lt;=B7)*(IF(Besatzung!$D$20="",Besatzung!$B$6,Besatzung!$D$20)&gt;=B7)))*((G7-IFERROR(H7,0))/IFERROR(SUMPRODUCT((Besatzung!$B$11:$B$22&lt;&gt;"")*(IF(Besatzung!$C$11:$C$22="",Besatzung!$B$5,Besatzung!$C$11:$C$22)&lt;=B7)*(IF(Besatzung!$D$11:$D$22="",Besatzung!$B$6,Besatzung!$D$11:$D$22)&gt;=B7)),1)+(Besatzung!$F$20="x")*IFERROR(H7,0)/IFERROR(SUMPRODUCT((Besatzung!$B$11:$B$22&lt;&gt;"")*(Besatzung!$F$11:$F$22="x")*(IF(Besatzung!$C$11:$C$22="",Besatzung!$B$5,Besatzung!$C$11:$C$22)&lt;=B7)*(IF(Besatzung!$D$11:$D$22="",Besatzung!$B$6,Besatzung!$D$11:$D$22)&gt;=B7)),1))),IF(I7="Individuell",((S7="x")*((G7-IFERROR(H7,0))/IFERROR(COUNTIF(J7:U7,"x"),1)+(Besatzung!$F$20="x")*IFERROR(H7,0)/IFERROR(SUMPRODUCT((J7:U7="x")*(Besatzung!$F$11:$F$22="x")),1))),(IF(COUNTIF(J7:U7,"x")=0,IF(Besatzung!$B$20&lt;&gt;"",1,0),(S7="x"))*(G7-IFERROR(H7,0))/IFERROR(IF(COUNTIF(J7:U7,"x")=0,COUNTA(Besatzung!$B$11:$B$22),COUNTIF(J7:U7,"x")),1)+IF(COUNTIF(J7:U7,"x")=0,(Besatzung!$F$20="x"),(S7="x")*(Besatzung!$F$20="x"))*IFERROR(H7,0)/IFERROR(IF(COUNTIF(J7:U7,"x")=0,SUMPRODUCT((Besatzung!$B$11:$B$22&lt;&gt;"")*(Besatzung!$F$11:$F$22="x")),SUMPRODUCT((J7:U7="x")*(Besatzung!$F$11:$F$22="x"))),1))))),0))))</f>
        <v/>
      </c>
      <c r="AF7" s="106">
        <f>IF(C7="Gutschrift","",IF(G7="","",IF(Besatzung!$B$21="","",IFERROR(IF(I7="Zeitanteilig",(Besatzung!$G$21*(G7-IFERROR(H7,0))+((Besatzung!$B$21&lt;&gt;"")*IF(B7="",1,(IF(Besatzung!$C$21="",Besatzung!$B$5,Besatzung!$C$21)&lt;=B7)*(IF(Besatzung!$D$21="",Besatzung!$B$6,Besatzung!$D$21)&gt;=B7)))*(Besatzung!$F$21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$21&lt;&gt;"")*IF(B7="",1,(IF(Besatzung!$C$21="",Besatzung!$B$5,Besatzung!$C$21)&lt;=B7)*(IF(Besatzung!$D$21="",Besatzung!$B$6,Besatzung!$D$21)&gt;=B7)))*((G7-IFERROR(H7,0))/IFERROR(SUMPRODUCT((Besatzung!$B$11:$B$22&lt;&gt;"")*(IF(Besatzung!$C$11:$C$22="",Besatzung!$B$5,Besatzung!$C$11:$C$22)&lt;=B7)*(IF(Besatzung!$D$11:$D$22="",Besatzung!$B$6,Besatzung!$D$11:$D$22)&gt;=B7)),1)+(Besatzung!$F$21="x")*IFERROR(H7,0)/IFERROR(SUMPRODUCT((Besatzung!$B$11:$B$22&lt;&gt;"")*(Besatzung!$F$11:$F$22="x")*(IF(Besatzung!$C$11:$C$22="",Besatzung!$B$5,Besatzung!$C$11:$C$22)&lt;=B7)*(IF(Besatzung!$D$11:$D$22="",Besatzung!$B$6,Besatzung!$D$11:$D$22)&gt;=B7)),1))),IF(I7="Individuell",((T7="x")*((G7-IFERROR(H7,0))/IFERROR(COUNTIF(J7:U7,"x"),1)+(Besatzung!$F$21="x")*IFERROR(H7,0)/IFERROR(SUMPRODUCT((J7:U7="x")*(Besatzung!$F$11:$F$22="x")),1))),(IF(COUNTIF(J7:U7,"x")=0,IF(Besatzung!$B$21&lt;&gt;"",1,0),(T7="x"))*(G7-IFERROR(H7,0))/IFERROR(IF(COUNTIF(J7:U7,"x")=0,COUNTA(Besatzung!$B$11:$B$22),COUNTIF(J7:U7,"x")),1)+IF(COUNTIF(J7:U7,"x")=0,(Besatzung!$F$21="x"),(T7="x")*(Besatzung!$F$21="x"))*IFERROR(H7,0)/IFERROR(IF(COUNTIF(J7:U7,"x")=0,SUMPRODUCT((Besatzung!$B$11:$B$22&lt;&gt;"")*(Besatzung!$F$11:$F$22="x")),SUMPRODUCT((J7:U7="x")*(Besatzung!$F$11:$F$22="x"))),1))))),0))))</f>
        <v/>
      </c>
      <c r="AG7" s="106">
        <f>IF(C7="Gutschrift","",IF(G7="","",IF(Besatzung!$B$22="","",IFERROR(IF(I7="Zeitanteilig",(Besatzung!$G$22*(G7-IFERROR(H7,0))+((Besatzung!$B$22&lt;&gt;"")*IF(B7="",1,(IF(Besatzung!$C$22="",Besatzung!$B$5,Besatzung!$C$22)&lt;=B7)*(IF(Besatzung!$D$22="",Besatzung!$B$6,Besatzung!$D$22)&gt;=B7)))*(Besatzung!$F$22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$22&lt;&gt;"")*IF(B7="",1,(IF(Besatzung!$C$22="",Besatzung!$B$5,Besatzung!$C$22)&lt;=B7)*(IF(Besatzung!$D$22="",Besatzung!$B$6,Besatzung!$D$22)&gt;=B7)))*((G7-IFERROR(H7,0))/IFERROR(SUMPRODUCT((Besatzung!$B$11:$B$22&lt;&gt;"")*(IF(Besatzung!$C$11:$C$22="",Besatzung!$B$5,Besatzung!$C$11:$C$22)&lt;=B7)*(IF(Besatzung!$D$11:$D$22="",Besatzung!$B$6,Besatzung!$D$11:$D$22)&gt;=B7)),1)+(Besatzung!$F$22="x")*IFERROR(H7,0)/IFERROR(SUMPRODUCT((Besatzung!$B$11:$B$22&lt;&gt;"")*(Besatzung!$F$11:$F$22="x")*(IF(Besatzung!$C$11:$C$22="",Besatzung!$B$5,Besatzung!$C$11:$C$22)&lt;=B7)*(IF(Besatzung!$D$11:$D$22="",Besatzung!$B$6,Besatzung!$D$11:$D$22)&gt;=B7)),1))),IF(I7="Individuell",((U7="x")*((G7-IFERROR(H7,0))/IFERROR(COUNTIF(J7:U7,"x"),1)+(Besatzung!$F$22="x")*IFERROR(H7,0)/IFERROR(SUMPRODUCT((J7:U7="x")*(Besatzung!$F$11:$F$22="x")),1))),(IF(COUNTIF(J7:U7,"x")=0,IF(Besatzung!$B$22&lt;&gt;"",1,0),(U7="x"))*(G7-IFERROR(H7,0))/IFERROR(IF(COUNTIF(J7:U7,"x")=0,COUNTA(Besatzung!$B$11:$B$22),COUNTIF(J7:U7,"x")),1)+IF(COUNTIF(J7:U7,"x")=0,(Besatzung!$F$22="x"),(U7="x")*(Besatzung!$F$22="x"))*IFERROR(H7,0)/IFERROR(IF(COUNTIF(J7:U7,"x")=0,SUMPRODUCT((Besatzung!$B$11:$B$22&lt;&gt;"")*(Besatzung!$F$11:$F$22="x")),SUMPRODUCT((J7:U7="x")*(Besatzung!$F$11:$F$22="x"))),1))))),0))))</f>
        <v/>
      </c>
      <c r="AH7" s="107" t="n"/>
      <c r="AI7" s="107" t="n"/>
    </row>
    <row r="8" ht="21.75" customHeight="1" s="182">
      <c r="A8" s="97">
        <f>IF(AND(D8="",C8=""),"",5)</f>
        <v/>
      </c>
      <c r="B8" s="56" t="n"/>
      <c r="C8" s="98" t="n"/>
      <c r="D8" s="99" t="n"/>
      <c r="E8" s="100" t="n"/>
      <c r="F8" s="101" t="n"/>
      <c r="G8" s="102" t="n"/>
      <c r="H8" s="103" t="n"/>
      <c r="I8" s="104" t="n"/>
      <c r="J8" s="105" t="n"/>
      <c r="K8" s="105" t="n"/>
      <c r="L8" s="105" t="n"/>
      <c r="M8" s="105" t="n"/>
      <c r="N8" s="105" t="n"/>
      <c r="O8" s="105" t="n"/>
      <c r="P8" s="105" t="n"/>
      <c r="Q8" s="105" t="n"/>
      <c r="R8" s="105" t="n"/>
      <c r="S8" s="105" t="n"/>
      <c r="T8" s="105" t="n"/>
      <c r="U8" s="105" t="n"/>
      <c r="V8" s="106">
        <f>IF(C8="Gutschrift","",IF(G8="","",IF(Besatzung!$B$11="","",IFERROR(IF(I8="Zeitanteilig",(Besatzung!$G$11*(G8-IFERROR(H8,0))+((Besatzung!$B$11&lt;&gt;"")*IF(B8="",1,(IF(Besatzung!$C$11="",Besatzung!$B$5,Besatzung!$C$11)&lt;=B8)*(IF(Besatzung!$D$11="",Besatzung!$B$6,Besatzung!$D$11)&gt;=B8)))*(Besatzung!$F$11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$11&lt;&gt;"")*IF(B8="",1,(IF(Besatzung!$C$11="",Besatzung!$B$5,Besatzung!$C$11)&lt;=B8)*(IF(Besatzung!$D$11="",Besatzung!$B$6,Besatzung!$D$11)&gt;=B8)))*((G8-IFERROR(H8,0))/IFERROR(SUMPRODUCT((Besatzung!$B$11:$B$22&lt;&gt;"")*(IF(Besatzung!$C$11:$C$22="",Besatzung!$B$5,Besatzung!$C$11:$C$22)&lt;=B8)*(IF(Besatzung!$D$11:$D$22="",Besatzung!$B$6,Besatzung!$D$11:$D$22)&gt;=B8)),1)+(Besatzung!$F$11="x")*IFERROR(H8,0)/IFERROR(SUMPRODUCT((Besatzung!$B$11:$B$22&lt;&gt;"")*(Besatzung!$F$11:$F$22="x")*(IF(Besatzung!$C$11:$C$22="",Besatzung!$B$5,Besatzung!$C$11:$C$22)&lt;=B8)*(IF(Besatzung!$D$11:$D$22="",Besatzung!$B$6,Besatzung!$D$11:$D$22)&gt;=B8)),1))),IF(I8="Individuell",((J8="x")*((G8-IFERROR(H8,0))/IFERROR(COUNTIF(J8:U8,"x"),1)+(Besatzung!$F$11="x")*IFERROR(H8,0)/IFERROR(SUMPRODUCT((J8:U8="x")*(Besatzung!$F$11:$F$22="x")),1))),(IF(COUNTIF(J8:U8,"x")=0,IF(Besatzung!$B$11&lt;&gt;"",1,0),(J8="x"))*(G8-IFERROR(H8,0))/IFERROR(IF(COUNTIF(J8:U8,"x")=0,COUNTA(Besatzung!$B$11:$B$22),COUNTIF(J8:U8,"x")),1)+IF(COUNTIF(J8:U8,"x")=0,(Besatzung!$F$11="x"),(J8="x")*(Besatzung!$F$11="x"))*IFERROR(H8,0)/IFERROR(IF(COUNTIF(J8:U8,"x")=0,SUMPRODUCT((Besatzung!$B$11:$B$22&lt;&gt;"")*(Besatzung!$F$11:$F$22="x")),SUMPRODUCT((J8:U8="x")*(Besatzung!$F$11:$F$22="x"))),1))))),0))))</f>
        <v/>
      </c>
      <c r="W8" s="106">
        <f>IF(C8="Gutschrift","",IF(G8="","",IF(Besatzung!$B$12="","",IFERROR(IF(I8="Zeitanteilig",(Besatzung!$G$12*(G8-IFERROR(H8,0))+((Besatzung!$B$12&lt;&gt;"")*IF(B8="",1,(IF(Besatzung!$C$12="",Besatzung!$B$5,Besatzung!$C$12)&lt;=B8)*(IF(Besatzung!$D$12="",Besatzung!$B$6,Besatzung!$D$12)&gt;=B8)))*(Besatzung!$F$12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$12&lt;&gt;"")*IF(B8="",1,(IF(Besatzung!$C$12="",Besatzung!$B$5,Besatzung!$C$12)&lt;=B8)*(IF(Besatzung!$D$12="",Besatzung!$B$6,Besatzung!$D$12)&gt;=B8)))*((G8-IFERROR(H8,0))/IFERROR(SUMPRODUCT((Besatzung!$B$11:$B$22&lt;&gt;"")*(IF(Besatzung!$C$11:$C$22="",Besatzung!$B$5,Besatzung!$C$11:$C$22)&lt;=B8)*(IF(Besatzung!$D$11:$D$22="",Besatzung!$B$6,Besatzung!$D$11:$D$22)&gt;=B8)),1)+(Besatzung!$F$12="x")*IFERROR(H8,0)/IFERROR(SUMPRODUCT((Besatzung!$B$11:$B$22&lt;&gt;"")*(Besatzung!$F$11:$F$22="x")*(IF(Besatzung!$C$11:$C$22="",Besatzung!$B$5,Besatzung!$C$11:$C$22)&lt;=B8)*(IF(Besatzung!$D$11:$D$22="",Besatzung!$B$6,Besatzung!$D$11:$D$22)&gt;=B8)),1))),IF(I8="Individuell",((K8="x")*((G8-IFERROR(H8,0))/IFERROR(COUNTIF(J8:U8,"x"),1)+(Besatzung!$F$12="x")*IFERROR(H8,0)/IFERROR(SUMPRODUCT((J8:U8="x")*(Besatzung!$F$11:$F$22="x")),1))),(IF(COUNTIF(J8:U8,"x")=0,IF(Besatzung!$B$12&lt;&gt;"",1,0),(K8="x"))*(G8-IFERROR(H8,0))/IFERROR(IF(COUNTIF(J8:U8,"x")=0,COUNTA(Besatzung!$B$11:$B$22),COUNTIF(J8:U8,"x")),1)+IF(COUNTIF(J8:U8,"x")=0,(Besatzung!$F$12="x"),(K8="x")*(Besatzung!$F$12="x"))*IFERROR(H8,0)/IFERROR(IF(COUNTIF(J8:U8,"x")=0,SUMPRODUCT((Besatzung!$B$11:$B$22&lt;&gt;"")*(Besatzung!$F$11:$F$22="x")),SUMPRODUCT((J8:U8="x")*(Besatzung!$F$11:$F$22="x"))),1))))),0))))</f>
        <v/>
      </c>
      <c r="X8" s="106">
        <f>IF(C8="Gutschrift","",IF(G8="","",IF(Besatzung!$B$13="","",IFERROR(IF(I8="Zeitanteilig",(Besatzung!$G$13*(G8-IFERROR(H8,0))+((Besatzung!$B$13&lt;&gt;"")*IF(B8="",1,(IF(Besatzung!$C$13="",Besatzung!$B$5,Besatzung!$C$13)&lt;=B8)*(IF(Besatzung!$D$13="",Besatzung!$B$6,Besatzung!$D$13)&gt;=B8)))*(Besatzung!$F$13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$13&lt;&gt;"")*IF(B8="",1,(IF(Besatzung!$C$13="",Besatzung!$B$5,Besatzung!$C$13)&lt;=B8)*(IF(Besatzung!$D$13="",Besatzung!$B$6,Besatzung!$D$13)&gt;=B8)))*((G8-IFERROR(H8,0))/IFERROR(SUMPRODUCT((Besatzung!$B$11:$B$22&lt;&gt;"")*(IF(Besatzung!$C$11:$C$22="",Besatzung!$B$5,Besatzung!$C$11:$C$22)&lt;=B8)*(IF(Besatzung!$D$11:$D$22="",Besatzung!$B$6,Besatzung!$D$11:$D$22)&gt;=B8)),1)+(Besatzung!$F$13="x")*IFERROR(H8,0)/IFERROR(SUMPRODUCT((Besatzung!$B$11:$B$22&lt;&gt;"")*(Besatzung!$F$11:$F$22="x")*(IF(Besatzung!$C$11:$C$22="",Besatzung!$B$5,Besatzung!$C$11:$C$22)&lt;=B8)*(IF(Besatzung!$D$11:$D$22="",Besatzung!$B$6,Besatzung!$D$11:$D$22)&gt;=B8)),1))),IF(I8="Individuell",((K8="x")*((G8-IFERROR(H8,0))/IFERROR(COUNTIF(J8:U8,"x"),1)+(Besatzung!$F$13="x")*IFERROR(H8,0)/IFERROR(SUMPRODUCT((J8:U8="x")*(Besatzung!$F$11:$F$22="x")),1))),(IF(COUNTIF(J8:U8,"x")=0,IF(Besatzung!$B$13&lt;&gt;"",1,0),(K8="x"))*(G8-IFERROR(H8,0))/IFERROR(IF(COUNTIF(J8:U8,"x")=0,COUNTA(Besatzung!$B$11:$B$22),COUNTIF(J8:U8,"x")),1)+IF(COUNTIF(J8:U8,"x")=0,(Besatzung!$F$13="x"),(K8="x")*(Besatzung!$F$13="x"))*IFERROR(H8,0)/IFERROR(IF(COUNTIF(J8:U8,"x")=0,SUMPRODUCT((Besatzung!$B$11:$B$22&lt;&gt;"")*(Besatzung!$F$11:$F$22="x")),SUMPRODUCT((J8:U8="x")*(Besatzung!$F$11:$F$22="x"))),1))))),0))))</f>
        <v/>
      </c>
      <c r="Y8" s="106">
        <f>IF(C8="Gutschrift","",IF(G8="","",IF(Besatzung!$B$14="","",IFERROR(IF(I8="Zeitanteilig",(Besatzung!$G$14*(G8-IFERROR(H8,0))+((Besatzung!$B$14&lt;&gt;"")*IF(B8="",1,(IF(Besatzung!$C$14="",Besatzung!$B$5,Besatzung!$C$14)&lt;=B8)*(IF(Besatzung!$D$14="",Besatzung!$B$6,Besatzung!$D$14)&gt;=B8)))*(Besatzung!$F$14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$14&lt;&gt;"")*IF(B8="",1,(IF(Besatzung!$C$14="",Besatzung!$B$5,Besatzung!$C$14)&lt;=B8)*(IF(Besatzung!$D$14="",Besatzung!$B$6,Besatzung!$D$14)&gt;=B8)))*((G8-IFERROR(H8,0))/IFERROR(SUMPRODUCT((Besatzung!$B$11:$B$22&lt;&gt;"")*(IF(Besatzung!$C$11:$C$22="",Besatzung!$B$5,Besatzung!$C$11:$C$22)&lt;=B8)*(IF(Besatzung!$D$11:$D$22="",Besatzung!$B$6,Besatzung!$D$11:$D$22)&gt;=B8)),1)+(Besatzung!$F$14="x")*IFERROR(H8,0)/IFERROR(SUMPRODUCT((Besatzung!$B$11:$B$22&lt;&gt;"")*(Besatzung!$F$11:$F$22="x")*(IF(Besatzung!$C$11:$C$22="",Besatzung!$B$5,Besatzung!$C$11:$C$22)&lt;=B8)*(IF(Besatzung!$D$11:$D$22="",Besatzung!$B$6,Besatzung!$D$11:$D$22)&gt;=B8)),1))),IF(I8="Individuell",((M8="x")*((G8-IFERROR(H8,0))/IFERROR(COUNTIF(J8:U8,"x"),1)+(Besatzung!$F$14="x")*IFERROR(H8,0)/IFERROR(SUMPRODUCT((J8:U8="x")*(Besatzung!$F$11:$F$22="x")),1))),(IF(COUNTIF(J8:U8,"x")=0,IF(Besatzung!$B$14&lt;&gt;"",1,0),(M8="x"))*(G8-IFERROR(H8,0))/IFERROR(IF(COUNTIF(J8:U8,"x")=0,COUNTA(Besatzung!$B$11:$B$22),COUNTIF(J8:U8,"x")),1)+IF(COUNTIF(J8:U8,"x")=0,(Besatzung!$F$14="x"),(M8="x")*(Besatzung!$F$14="x"))*IFERROR(H8,0)/IFERROR(IF(COUNTIF(J8:U8,"x")=0,SUMPRODUCT((Besatzung!$B$11:$B$22&lt;&gt;"")*(Besatzung!$F$11:$F$22="x")),SUMPRODUCT((J8:U8="x")*(Besatzung!$F$11:$F$22="x"))),1))))),0))))</f>
        <v/>
      </c>
      <c r="Z8" s="106">
        <f>IF(C8="Gutschrift","",IF(G8="","",IF(Besatzung!$B$13="","",IFERROR(IF(I8="Zeitanteilig",(Besatzung!$G$15*(G8-IFERROR(H8,0))+((Besatzung!$B$13&lt;&gt;"")*IF(B8="",1,(IF(Besatzung!$C$15="",Besatzung!$B$5,Besatzung!$C$15)&lt;=B8)*(IF(Besatzung!$D$15="",Besatzung!$B$6,Besatzung!$D$15)&gt;=B8)))*(Besatzung!$F$15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$13&lt;&gt;"")*IF(B8="",1,(IF(Besatzung!$C$15="",Besatzung!$B$5,Besatzung!$C$15)&lt;=B8)*(IF(Besatzung!$D$15="",Besatzung!$B$6,Besatzung!$D$15)&gt;=B8)))*((G8-IFERROR(H8,0))/IFERROR(SUMPRODUCT((Besatzung!$B$11:$B$22&lt;&gt;"")*(IF(Besatzung!$C$11:$C$22="",Besatzung!$B$5,Besatzung!$C$11:$C$22)&lt;=B8)*(IF(Besatzung!$D$11:$D$22="",Besatzung!$B$6,Besatzung!$D$11:$D$22)&gt;=B8)),1)+(Besatzung!$F$15="x")*IFERROR(H8,0)/IFERROR(SUMPRODUCT((Besatzung!$B$11:$B$22&lt;&gt;"")*(Besatzung!$F$11:$F$22="x")*(IF(Besatzung!$C$11:$C$22="",Besatzung!$B$5,Besatzung!$C$11:$C$22)&lt;=B8)*(IF(Besatzung!$D$11:$D$22="",Besatzung!$B$6,Besatzung!$D$11:$D$22)&gt;=B8)),1))),IF(I8="Individuell",((N8="x")*((G8-IFERROR(H8,0))/IFERROR(COUNTIF(J8:U8,"x"),1)+(Besatzung!$F$15="x")*IFERROR(H8,0)/IFERROR(SUMPRODUCT((J8:U8="x")*(Besatzung!$F$11:$F$22="x")),1))),(IF(COUNTIF(J8:U8,"x")=0,IF(Besatzung!$B$13&lt;&gt;"",1,0),(N8="x"))*(G8-IFERROR(H8,0))/IFERROR(IF(COUNTIF(J8:U8,"x")=0,COUNTA(Besatzung!$B$11:$B$22),COUNTIF(J8:U8,"x")),1)+IF(COUNTIF(J8:U8,"x")=0,(Besatzung!$F$15="x"),(N8="x")*(Besatzung!$F$15="x"))*IFERROR(H8,0)/IFERROR(IF(COUNTIF(J8:U8,"x")=0,SUMPRODUCT((Besatzung!$B$11:$B$22&lt;&gt;"")*(Besatzung!$F$11:$F$22="x")),SUMPRODUCT((J8:U8="x")*(Besatzung!$F$11:$F$22="x"))),1))))),0))))</f>
        <v/>
      </c>
      <c r="AA8" s="106">
        <f>IF(C8="Gutschrift","",IF(G8="","",IF(Besatzung!$B$15="","",IFERROR(IF(I8="Zeitanteilig",(Besatzung!$G$16*(G8-IFERROR(H8,0))+((Besatzung!$B$15&lt;&gt;"")*IF(B8="",1,(IF(Besatzung!$C$16="",Besatzung!$B$5,Besatzung!$C$16)&lt;=B8)*(IF(Besatzung!$D$16="",Besatzung!$B$6,Besatzung!$D$16)&gt;=B8)))*(Besatzung!$F$16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$15&lt;&gt;"")*IF(B8="",1,(IF(Besatzung!$C$16="",Besatzung!$B$5,Besatzung!$C$16)&lt;=B8)*(IF(Besatzung!$D$16="",Besatzung!$B$6,Besatzung!$D$16)&gt;=B8)))*((G8-IFERROR(H8,0))/IFERROR(SUMPRODUCT((Besatzung!$B$11:$B$22&lt;&gt;"")*(IF(Besatzung!$C$11:$C$22="",Besatzung!$B$5,Besatzung!$C$11:$C$22)&lt;=B8)*(IF(Besatzung!$D$11:$D$22="",Besatzung!$B$6,Besatzung!$D$11:$D$22)&gt;=B8)),1)+(Besatzung!$F$16="x")*IFERROR(H8,0)/IFERROR(SUMPRODUCT((Besatzung!$B$11:$B$22&lt;&gt;"")*(Besatzung!$F$11:$F$22="x")*(IF(Besatzung!$C$11:$C$22="",Besatzung!$B$5,Besatzung!$C$11:$C$22)&lt;=B8)*(IF(Besatzung!$D$11:$D$22="",Besatzung!$B$6,Besatzung!$D$11:$D$22)&gt;=B8)),1))),IF(I8="Individuell",((O8="x")*((G8-IFERROR(H8,0))/IFERROR(COUNTIF(J8:U8,"x"),1)+(Besatzung!$F$16="x")*IFERROR(H8,0)/IFERROR(SUMPRODUCT((J8:U8="x")*(Besatzung!$F$11:$F$22="x")),1))),(IF(COUNTIF(J8:U8,"x")=0,IF(Besatzung!$B$15&lt;&gt;"",1,0),(O8="x"))*(G8-IFERROR(H8,0))/IFERROR(IF(COUNTIF(J8:U8,"x")=0,COUNTA(Besatzung!$B$11:$B$22),COUNTIF(J8:U8,"x")),1)+IF(COUNTIF(J8:U8,"x")=0,(Besatzung!$F$16="x"),(O8="x")*(Besatzung!$F$16="x"))*IFERROR(H8,0)/IFERROR(IF(COUNTIF(J8:U8,"x")=0,SUMPRODUCT((Besatzung!$B$11:$B$22&lt;&gt;"")*(Besatzung!$F$11:$F$22="x")),SUMPRODUCT((J8:U8="x")*(Besatzung!$F$11:$F$22="x"))),1))))),0))))</f>
        <v/>
      </c>
      <c r="AB8" s="106">
        <f>IF(C8="Gutschrift","",IF(G8="","",IF(Besatzung!$B$17="","",IFERROR(IF(I8="Zeitanteilig",(Besatzung!$G$17*(G8-IFERROR(H8,0))+((Besatzung!$B$17&lt;&gt;"")*IF(B8="",1,(IF(Besatzung!$C$17="",Besatzung!$B$5,Besatzung!$C$17)&lt;=B8)*(IF(Besatzung!$D$17="",Besatzung!$B$6,Besatzung!$D$17)&gt;=B8)))*(Besatzung!$F$17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$17&lt;&gt;"")*IF(B8="",1,(IF(Besatzung!$C$17="",Besatzung!$B$5,Besatzung!$C$17)&lt;=B8)*(IF(Besatzung!$D$17="",Besatzung!$B$6,Besatzung!$D$17)&gt;=B8)))*((G8-IFERROR(H8,0))/IFERROR(SUMPRODUCT((Besatzung!$B$11:$B$22&lt;&gt;"")*(IF(Besatzung!$C$11:$C$22="",Besatzung!$B$5,Besatzung!$C$11:$C$22)&lt;=B8)*(IF(Besatzung!$D$11:$D$22="",Besatzung!$B$6,Besatzung!$D$11:$D$22)&gt;=B8)),1)+(Besatzung!$F$17="x")*IFERROR(H8,0)/IFERROR(SUMPRODUCT((Besatzung!$B$11:$B$22&lt;&gt;"")*(Besatzung!$F$11:$F$22="x")*(IF(Besatzung!$C$11:$C$22="",Besatzung!$B$5,Besatzung!$C$11:$C$22)&lt;=B8)*(IF(Besatzung!$D$11:$D$22="",Besatzung!$B$6,Besatzung!$D$11:$D$22)&gt;=B8)),1))),IF(I8="Individuell",((P8="x")*((G8-IFERROR(H8,0))/IFERROR(COUNTIF(J8:U8,"x"),1)+(Besatzung!$F$17="x")*IFERROR(H8,0)/IFERROR(SUMPRODUCT((J8:U8="x")*(Besatzung!$F$11:$F$22="x")),1))),(IF(COUNTIF(J8:U8,"x")=0,IF(Besatzung!$B$17&lt;&gt;"",1,0),(P8="x"))*(G8-IFERROR(H8,0))/IFERROR(IF(COUNTIF(J8:U8,"x")=0,COUNTA(Besatzung!$B$11:$B$22),COUNTIF(J8:U8,"x")),1)+IF(COUNTIF(J8:U8,"x")=0,(Besatzung!$F$17="x"),(P8="x")*(Besatzung!$F$17="x"))*IFERROR(H8,0)/IFERROR(IF(COUNTIF(J8:U8,"x")=0,SUMPRODUCT((Besatzung!$B$11:$B$22&lt;&gt;"")*(Besatzung!$F$11:$F$22="x")),SUMPRODUCT((J8:U8="x")*(Besatzung!$F$11:$F$22="x"))),1))))),0))))</f>
        <v/>
      </c>
      <c r="AC8" s="106">
        <f>IF(C8="Gutschrift","",IF(G8="","",IF(Besatzung!$B$18="","",IFERROR(IF(I8="Zeitanteilig",(Besatzung!$G$18*(G8-IFERROR(H8,0))+((Besatzung!$B$18&lt;&gt;"")*IF(B8="",1,(IF(Besatzung!$C$18="",Besatzung!$B$5,Besatzung!$C$18)&lt;=B8)*(IF(Besatzung!$D$18="",Besatzung!$B$6,Besatzung!$D$18)&gt;=B8)))*(Besatzung!$F$18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$18&lt;&gt;"")*IF(B8="",1,(IF(Besatzung!$C$18="",Besatzung!$B$5,Besatzung!$C$18)&lt;=B8)*(IF(Besatzung!$D$18="",Besatzung!$B$6,Besatzung!$D$18)&gt;=B8)))*((G8-IFERROR(H8,0))/IFERROR(SUMPRODUCT((Besatzung!$B$11:$B$22&lt;&gt;"")*(IF(Besatzung!$C$11:$C$22="",Besatzung!$B$5,Besatzung!$C$11:$C$22)&lt;=B8)*(IF(Besatzung!$D$11:$D$22="",Besatzung!$B$6,Besatzung!$D$11:$D$22)&gt;=B8)),1)+(Besatzung!$F$18="x")*IFERROR(H8,0)/IFERROR(SUMPRODUCT((Besatzung!$B$11:$B$22&lt;&gt;"")*(Besatzung!$F$11:$F$22="x")*(IF(Besatzung!$C$11:$C$22="",Besatzung!$B$5,Besatzung!$C$11:$C$22)&lt;=B8)*(IF(Besatzung!$D$11:$D$22="",Besatzung!$B$6,Besatzung!$D$11:$D$22)&gt;=B8)),1))),IF(I8="Individuell",((Q8="x")*((G8-IFERROR(H8,0))/IFERROR(COUNTIF(J8:U8,"x"),1)+(Besatzung!$F$18="x")*IFERROR(H8,0)/IFERROR(SUMPRODUCT((J8:U8="x")*(Besatzung!$F$11:$F$22="x")),1))),(IF(COUNTIF(J8:U8,"x")=0,IF(Besatzung!$B$18&lt;&gt;"",1,0),(Q8="x"))*(G8-IFERROR(H8,0))/IFERROR(IF(COUNTIF(J8:U8,"x")=0,COUNTA(Besatzung!$B$11:$B$22),COUNTIF(J8:U8,"x")),1)+IF(COUNTIF(J8:U8,"x")=0,(Besatzung!$F$18="x"),(Q8="x")*(Besatzung!$F$18="x"))*IFERROR(H8,0)/IFERROR(IF(COUNTIF(J8:U8,"x")=0,SUMPRODUCT((Besatzung!$B$11:$B$22&lt;&gt;"")*(Besatzung!$F$11:$F$22="x")),SUMPRODUCT((J8:U8="x")*(Besatzung!$F$11:$F$22="x"))),1))))),0))))</f>
        <v/>
      </c>
      <c r="AD8" s="106">
        <f>IF(C8="Gutschrift","",IF(G8="","",IF(Besatzung!$B$19="","",IFERROR(IF(I8="Zeitanteilig",(Besatzung!$G$19*(G8-IFERROR(H8,0))+((Besatzung!$B$19&lt;&gt;"")*IF(B8="",1,(IF(Besatzung!$C$19="",Besatzung!$B$5,Besatzung!$C$19)&lt;=B8)*(IF(Besatzung!$D$19="",Besatzung!$B$6,Besatzung!$D$19)&gt;=B8)))*(Besatzung!$F$19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$19&lt;&gt;"")*IF(B8="",1,(IF(Besatzung!$C$19="",Besatzung!$B$5,Besatzung!$C$19)&lt;=B8)*(IF(Besatzung!$D$19="",Besatzung!$B$6,Besatzung!$D$19)&gt;=B8)))*((G8-IFERROR(H8,0))/IFERROR(SUMPRODUCT((Besatzung!$B$11:$B$22&lt;&gt;"")*(IF(Besatzung!$C$11:$C$22="",Besatzung!$B$5,Besatzung!$C$11:$C$22)&lt;=B8)*(IF(Besatzung!$D$11:$D$22="",Besatzung!$B$6,Besatzung!$D$11:$D$22)&gt;=B8)),1)+(Besatzung!$F$19="x")*IFERROR(H8,0)/IFERROR(SUMPRODUCT((Besatzung!$B$11:$B$22&lt;&gt;"")*(Besatzung!$F$11:$F$22="x")*(IF(Besatzung!$C$11:$C$22="",Besatzung!$B$5,Besatzung!$C$11:$C$22)&lt;=B8)*(IF(Besatzung!$D$11:$D$22="",Besatzung!$B$6,Besatzung!$D$11:$D$22)&gt;=B8)),1))),IF(I8="Individuell",((R8="x")*((G8-IFERROR(H8,0))/IFERROR(COUNTIF(J8:U8,"x"),1)+(Besatzung!$F$19="x")*IFERROR(H8,0)/IFERROR(SUMPRODUCT((J8:U8="x")*(Besatzung!$F$11:$F$22="x")),1))),(IF(COUNTIF(J8:U8,"x")=0,IF(Besatzung!$B$19&lt;&gt;"",1,0),(R8="x"))*(G8-IFERROR(H8,0))/IFERROR(IF(COUNTIF(J8:U8,"x")=0,COUNTA(Besatzung!$B$11:$B$22),COUNTIF(J8:U8,"x")),1)+IF(COUNTIF(J8:U8,"x")=0,(Besatzung!$F$19="x"),(R8="x")*(Besatzung!$F$19="x"))*IFERROR(H8,0)/IFERROR(IF(COUNTIF(J8:U8,"x")=0,SUMPRODUCT((Besatzung!$B$11:$B$22&lt;&gt;"")*(Besatzung!$F$11:$F$22="x")),SUMPRODUCT((J8:U8="x")*(Besatzung!$F$11:$F$22="x"))),1))))),0))))</f>
        <v/>
      </c>
      <c r="AE8" s="106">
        <f>IF(C8="Gutschrift","",IF(G8="","",IF(Besatzung!$B$20="","",IFERROR(IF(I8="Zeitanteilig",(Besatzung!$G$20*(G8-IFERROR(H8,0))+((Besatzung!$B$20&lt;&gt;"")*IF(B8="",1,(IF(Besatzung!$C$20="",Besatzung!$B$5,Besatzung!$C$20)&lt;=B8)*(IF(Besatzung!$D$20="",Besatzung!$B$6,Besatzung!$D$20)&gt;=B8)))*(Besatzung!$F$20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$20&lt;&gt;"")*IF(B8="",1,(IF(Besatzung!$C$20="",Besatzung!$B$5,Besatzung!$C$20)&lt;=B8)*(IF(Besatzung!$D$20="",Besatzung!$B$6,Besatzung!$D$20)&gt;=B8)))*((G8-IFERROR(H8,0))/IFERROR(SUMPRODUCT((Besatzung!$B$11:$B$22&lt;&gt;"")*(IF(Besatzung!$C$11:$C$22="",Besatzung!$B$5,Besatzung!$C$11:$C$22)&lt;=B8)*(IF(Besatzung!$D$11:$D$22="",Besatzung!$B$6,Besatzung!$D$11:$D$22)&gt;=B8)),1)+(Besatzung!$F$20="x")*IFERROR(H8,0)/IFERROR(SUMPRODUCT((Besatzung!$B$11:$B$22&lt;&gt;"")*(Besatzung!$F$11:$F$22="x")*(IF(Besatzung!$C$11:$C$22="",Besatzung!$B$5,Besatzung!$C$11:$C$22)&lt;=B8)*(IF(Besatzung!$D$11:$D$22="",Besatzung!$B$6,Besatzung!$D$11:$D$22)&gt;=B8)),1))),IF(I8="Individuell",((S8="x")*((G8-IFERROR(H8,0))/IFERROR(COUNTIF(J8:U8,"x"),1)+(Besatzung!$F$20="x")*IFERROR(H8,0)/IFERROR(SUMPRODUCT((J8:U8="x")*(Besatzung!$F$11:$F$22="x")),1))),(IF(COUNTIF(J8:U8,"x")=0,IF(Besatzung!$B$20&lt;&gt;"",1,0),(S8="x"))*(G8-IFERROR(H8,0))/IFERROR(IF(COUNTIF(J8:U8,"x")=0,COUNTA(Besatzung!$B$11:$B$22),COUNTIF(J8:U8,"x")),1)+IF(COUNTIF(J8:U8,"x")=0,(Besatzung!$F$20="x"),(S8="x")*(Besatzung!$F$20="x"))*IFERROR(H8,0)/IFERROR(IF(COUNTIF(J8:U8,"x")=0,SUMPRODUCT((Besatzung!$B$11:$B$22&lt;&gt;"")*(Besatzung!$F$11:$F$22="x")),SUMPRODUCT((J8:U8="x")*(Besatzung!$F$11:$F$22="x"))),1))))),0))))</f>
        <v/>
      </c>
      <c r="AF8" s="106">
        <f>IF(C8="Gutschrift","",IF(G8="","",IF(Besatzung!$B$21="","",IFERROR(IF(I8="Zeitanteilig",(Besatzung!$G$21*(G8-IFERROR(H8,0))+((Besatzung!$B$21&lt;&gt;"")*IF(B8="",1,(IF(Besatzung!$C$21="",Besatzung!$B$5,Besatzung!$C$21)&lt;=B8)*(IF(Besatzung!$D$21="",Besatzung!$B$6,Besatzung!$D$21)&gt;=B8)))*(Besatzung!$F$21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$21&lt;&gt;"")*IF(B8="",1,(IF(Besatzung!$C$21="",Besatzung!$B$5,Besatzung!$C$21)&lt;=B8)*(IF(Besatzung!$D$21="",Besatzung!$B$6,Besatzung!$D$21)&gt;=B8)))*((G8-IFERROR(H8,0))/IFERROR(SUMPRODUCT((Besatzung!$B$11:$B$22&lt;&gt;"")*(IF(Besatzung!$C$11:$C$22="",Besatzung!$B$5,Besatzung!$C$11:$C$22)&lt;=B8)*(IF(Besatzung!$D$11:$D$22="",Besatzung!$B$6,Besatzung!$D$11:$D$22)&gt;=B8)),1)+(Besatzung!$F$21="x")*IFERROR(H8,0)/IFERROR(SUMPRODUCT((Besatzung!$B$11:$B$22&lt;&gt;"")*(Besatzung!$F$11:$F$22="x")*(IF(Besatzung!$C$11:$C$22="",Besatzung!$B$5,Besatzung!$C$11:$C$22)&lt;=B8)*(IF(Besatzung!$D$11:$D$22="",Besatzung!$B$6,Besatzung!$D$11:$D$22)&gt;=B8)),1))),IF(I8="Individuell",((T8="x")*((G8-IFERROR(H8,0))/IFERROR(COUNTIF(J8:U8,"x"),1)+(Besatzung!$F$21="x")*IFERROR(H8,0)/IFERROR(SUMPRODUCT((J8:U8="x")*(Besatzung!$F$11:$F$22="x")),1))),(IF(COUNTIF(J8:U8,"x")=0,IF(Besatzung!$B$21&lt;&gt;"",1,0),(T8="x"))*(G8-IFERROR(H8,0))/IFERROR(IF(COUNTIF(J8:U8,"x")=0,COUNTA(Besatzung!$B$11:$B$22),COUNTIF(J8:U8,"x")),1)+IF(COUNTIF(J8:U8,"x")=0,(Besatzung!$F$21="x"),(T8="x")*(Besatzung!$F$21="x"))*IFERROR(H8,0)/IFERROR(IF(COUNTIF(J8:U8,"x")=0,SUMPRODUCT((Besatzung!$B$11:$B$22&lt;&gt;"")*(Besatzung!$F$11:$F$22="x")),SUMPRODUCT((J8:U8="x")*(Besatzung!$F$11:$F$22="x"))),1))))),0))))</f>
        <v/>
      </c>
      <c r="AG8" s="106">
        <f>IF(C8="Gutschrift","",IF(G8="","",IF(Besatzung!$B$22="","",IFERROR(IF(I8="Zeitanteilig",(Besatzung!$G$22*(G8-IFERROR(H8,0))+((Besatzung!$B$22&lt;&gt;"")*IF(B8="",1,(IF(Besatzung!$C$22="",Besatzung!$B$5,Besatzung!$C$22)&lt;=B8)*(IF(Besatzung!$D$22="",Besatzung!$B$6,Besatzung!$D$22)&gt;=B8)))*(Besatzung!$F$22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$22&lt;&gt;"")*IF(B8="",1,(IF(Besatzung!$C$22="",Besatzung!$B$5,Besatzung!$C$22)&lt;=B8)*(IF(Besatzung!$D$22="",Besatzung!$B$6,Besatzung!$D$22)&gt;=B8)))*((G8-IFERROR(H8,0))/IFERROR(SUMPRODUCT((Besatzung!$B$11:$B$22&lt;&gt;"")*(IF(Besatzung!$C$11:$C$22="",Besatzung!$B$5,Besatzung!$C$11:$C$22)&lt;=B8)*(IF(Besatzung!$D$11:$D$22="",Besatzung!$B$6,Besatzung!$D$11:$D$22)&gt;=B8)),1)+(Besatzung!$F$22="x")*IFERROR(H8,0)/IFERROR(SUMPRODUCT((Besatzung!$B$11:$B$22&lt;&gt;"")*(Besatzung!$F$11:$F$22="x")*(IF(Besatzung!$C$11:$C$22="",Besatzung!$B$5,Besatzung!$C$11:$C$22)&lt;=B8)*(IF(Besatzung!$D$11:$D$22="",Besatzung!$B$6,Besatzung!$D$11:$D$22)&gt;=B8)),1))),IF(I8="Individuell",((U8="x")*((G8-IFERROR(H8,0))/IFERROR(COUNTIF(J8:U8,"x"),1)+(Besatzung!$F$22="x")*IFERROR(H8,0)/IFERROR(SUMPRODUCT((J8:U8="x")*(Besatzung!$F$11:$F$22="x")),1))),(IF(COUNTIF(J8:U8,"x")=0,IF(Besatzung!$B$22&lt;&gt;"",1,0),(U8="x"))*(G8-IFERROR(H8,0))/IFERROR(IF(COUNTIF(J8:U8,"x")=0,COUNTA(Besatzung!$B$11:$B$22),COUNTIF(J8:U8,"x")),1)+IF(COUNTIF(J8:U8,"x")=0,(Besatzung!$F$22="x"),(U8="x")*(Besatzung!$F$22="x"))*IFERROR(H8,0)/IFERROR(IF(COUNTIF(J8:U8,"x")=0,SUMPRODUCT((Besatzung!$B$11:$B$22&lt;&gt;"")*(Besatzung!$F$11:$F$22="x")),SUMPRODUCT((J8:U8="x")*(Besatzung!$F$11:$F$22="x"))),1))))),0))))</f>
        <v/>
      </c>
      <c r="AH8" s="107" t="n"/>
      <c r="AI8" s="107" t="n"/>
    </row>
    <row r="9" ht="21.75" customHeight="1" s="182">
      <c r="A9" s="97">
        <f>IF(AND(D9="",C9=""),"",6)</f>
        <v/>
      </c>
      <c r="B9" s="63" t="n"/>
      <c r="C9" s="108" t="n"/>
      <c r="D9" s="109" t="n"/>
      <c r="E9" s="110" t="n"/>
      <c r="F9" s="111" t="n"/>
      <c r="G9" s="112" t="n"/>
      <c r="H9" s="113" t="n"/>
      <c r="I9" s="114" t="n"/>
      <c r="J9" s="115" t="n"/>
      <c r="K9" s="115" t="n"/>
      <c r="L9" s="115" t="n"/>
      <c r="M9" s="115" t="n"/>
      <c r="N9" s="115" t="n"/>
      <c r="O9" s="115" t="n"/>
      <c r="P9" s="115" t="n"/>
      <c r="Q9" s="115" t="n"/>
      <c r="R9" s="115" t="n"/>
      <c r="S9" s="115" t="n"/>
      <c r="T9" s="115" t="n"/>
      <c r="U9" s="115" t="n"/>
      <c r="V9" s="106">
        <f>IF(C9="Gutschrift","",IF(G9="","",IF(Besatzung!$B$11="","",IFERROR(IF(I9="Zeitanteilig",(Besatzung!$G$11*(G9-IFERROR(H9,0))+((Besatzung!$B$11&lt;&gt;"")*IF(B9="",1,(IF(Besatzung!$C$11="",Besatzung!$B$5,Besatzung!$C$11)&lt;=B9)*(IF(Besatzung!$D$11="",Besatzung!$B$6,Besatzung!$D$11)&gt;=B9)))*(Besatzung!$F$11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$11&lt;&gt;"")*IF(B9="",1,(IF(Besatzung!$C$11="",Besatzung!$B$5,Besatzung!$C$11)&lt;=B9)*(IF(Besatzung!$D$11="",Besatzung!$B$6,Besatzung!$D$11)&gt;=B9)))*((G9-IFERROR(H9,0))/IFERROR(SUMPRODUCT((Besatzung!$B$11:$B$22&lt;&gt;"")*(IF(Besatzung!$C$11:$C$22="",Besatzung!$B$5,Besatzung!$C$11:$C$22)&lt;=B9)*(IF(Besatzung!$D$11:$D$22="",Besatzung!$B$6,Besatzung!$D$11:$D$22)&gt;=B9)),1)+(Besatzung!$F$11="x")*IFERROR(H9,0)/IFERROR(SUMPRODUCT((Besatzung!$B$11:$B$22&lt;&gt;"")*(Besatzung!$F$11:$F$22="x")*(IF(Besatzung!$C$11:$C$22="",Besatzung!$B$5,Besatzung!$C$11:$C$22)&lt;=B9)*(IF(Besatzung!$D$11:$D$22="",Besatzung!$B$6,Besatzung!$D$11:$D$22)&gt;=B9)),1))),IF(I9="Individuell",((J9="x")*((G9-IFERROR(H9,0))/IFERROR(COUNTIF(J9:U9,"x"),1)+(Besatzung!$F$11="x")*IFERROR(H9,0)/IFERROR(SUMPRODUCT((J9:U9="x")*(Besatzung!$F$11:$F$22="x")),1))),(IF(COUNTIF(J9:U9,"x")=0,IF(Besatzung!$B$11&lt;&gt;"",1,0),(J9="x"))*(G9-IFERROR(H9,0))/IFERROR(IF(COUNTIF(J9:U9,"x")=0,COUNTA(Besatzung!$B$11:$B$22),COUNTIF(J9:U9,"x")),1)+IF(COUNTIF(J9:U9,"x")=0,(Besatzung!$F$11="x"),(J9="x")*(Besatzung!$F$11="x"))*IFERROR(H9,0)/IFERROR(IF(COUNTIF(J9:U9,"x")=0,SUMPRODUCT((Besatzung!$B$11:$B$22&lt;&gt;"")*(Besatzung!$F$11:$F$22="x")),SUMPRODUCT((J9:U9="x")*(Besatzung!$F$11:$F$22="x"))),1))))),0))))</f>
        <v/>
      </c>
      <c r="W9" s="106">
        <f>IF(C9="Gutschrift","",IF(G9="","",IF(Besatzung!$B$12="","",IFERROR(IF(I9="Zeitanteilig",(Besatzung!$G$12*(G9-IFERROR(H9,0))+((Besatzung!$B$12&lt;&gt;"")*IF(B9="",1,(IF(Besatzung!$C$12="",Besatzung!$B$5,Besatzung!$C$12)&lt;=B9)*(IF(Besatzung!$D$12="",Besatzung!$B$6,Besatzung!$D$12)&gt;=B9)))*(Besatzung!$F$12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$12&lt;&gt;"")*IF(B9="",1,(IF(Besatzung!$C$12="",Besatzung!$B$5,Besatzung!$C$12)&lt;=B9)*(IF(Besatzung!$D$12="",Besatzung!$B$6,Besatzung!$D$12)&gt;=B9)))*((G9-IFERROR(H9,0))/IFERROR(SUMPRODUCT((Besatzung!$B$11:$B$22&lt;&gt;"")*(IF(Besatzung!$C$11:$C$22="",Besatzung!$B$5,Besatzung!$C$11:$C$22)&lt;=B9)*(IF(Besatzung!$D$11:$D$22="",Besatzung!$B$6,Besatzung!$D$11:$D$22)&gt;=B9)),1)+(Besatzung!$F$12="x")*IFERROR(H9,0)/IFERROR(SUMPRODUCT((Besatzung!$B$11:$B$22&lt;&gt;"")*(Besatzung!$F$11:$F$22="x")*(IF(Besatzung!$C$11:$C$22="",Besatzung!$B$5,Besatzung!$C$11:$C$22)&lt;=B9)*(IF(Besatzung!$D$11:$D$22="",Besatzung!$B$6,Besatzung!$D$11:$D$22)&gt;=B9)),1))),IF(I9="Individuell",((K9="x")*((G9-IFERROR(H9,0))/IFERROR(COUNTIF(J9:U9,"x"),1)+(Besatzung!$F$12="x")*IFERROR(H9,0)/IFERROR(SUMPRODUCT((J9:U9="x")*(Besatzung!$F$11:$F$22="x")),1))),(IF(COUNTIF(J9:U9,"x")=0,IF(Besatzung!$B$12&lt;&gt;"",1,0),(K9="x"))*(G9-IFERROR(H9,0))/IFERROR(IF(COUNTIF(J9:U9,"x")=0,COUNTA(Besatzung!$B$11:$B$22),COUNTIF(J9:U9,"x")),1)+IF(COUNTIF(J9:U9,"x")=0,(Besatzung!$F$12="x"),(K9="x")*(Besatzung!$F$12="x"))*IFERROR(H9,0)/IFERROR(IF(COUNTIF(J9:U9,"x")=0,SUMPRODUCT((Besatzung!$B$11:$B$22&lt;&gt;"")*(Besatzung!$F$11:$F$22="x")),SUMPRODUCT((J9:U9="x")*(Besatzung!$F$11:$F$22="x"))),1))))),0))))</f>
        <v/>
      </c>
      <c r="X9" s="106">
        <f>IF(C9="Gutschrift","",IF(G9="","",IF(Besatzung!$B$13="","",IFERROR(IF(I9="Zeitanteilig",(Besatzung!$G$13*(G9-IFERROR(H9,0))+((Besatzung!$B$13&lt;&gt;"")*IF(B9="",1,(IF(Besatzung!$C$13="",Besatzung!$B$5,Besatzung!$C$13)&lt;=B9)*(IF(Besatzung!$D$13="",Besatzung!$B$6,Besatzung!$D$13)&gt;=B9)))*(Besatzung!$F$13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$13&lt;&gt;"")*IF(B9="",1,(IF(Besatzung!$C$13="",Besatzung!$B$5,Besatzung!$C$13)&lt;=B9)*(IF(Besatzung!$D$13="",Besatzung!$B$6,Besatzung!$D$13)&gt;=B9)))*((G9-IFERROR(H9,0))/IFERROR(SUMPRODUCT((Besatzung!$B$11:$B$22&lt;&gt;"")*(IF(Besatzung!$C$11:$C$22="",Besatzung!$B$5,Besatzung!$C$11:$C$22)&lt;=B9)*(IF(Besatzung!$D$11:$D$22="",Besatzung!$B$6,Besatzung!$D$11:$D$22)&gt;=B9)),1)+(Besatzung!$F$13="x")*IFERROR(H9,0)/IFERROR(SUMPRODUCT((Besatzung!$B$11:$B$22&lt;&gt;"")*(Besatzung!$F$11:$F$22="x")*(IF(Besatzung!$C$11:$C$22="",Besatzung!$B$5,Besatzung!$C$11:$C$22)&lt;=B9)*(IF(Besatzung!$D$11:$D$22="",Besatzung!$B$6,Besatzung!$D$11:$D$22)&gt;=B9)),1))),IF(I9="Individuell",((K9="x")*((G9-IFERROR(H9,0))/IFERROR(COUNTIF(J9:U9,"x"),1)+(Besatzung!$F$13="x")*IFERROR(H9,0)/IFERROR(SUMPRODUCT((J9:U9="x")*(Besatzung!$F$11:$F$22="x")),1))),(IF(COUNTIF(J9:U9,"x")=0,IF(Besatzung!$B$13&lt;&gt;"",1,0),(K9="x"))*(G9-IFERROR(H9,0))/IFERROR(IF(COUNTIF(J9:U9,"x")=0,COUNTA(Besatzung!$B$11:$B$22),COUNTIF(J9:U9,"x")),1)+IF(COUNTIF(J9:U9,"x")=0,(Besatzung!$F$13="x"),(K9="x")*(Besatzung!$F$13="x"))*IFERROR(H9,0)/IFERROR(IF(COUNTIF(J9:U9,"x")=0,SUMPRODUCT((Besatzung!$B$11:$B$22&lt;&gt;"")*(Besatzung!$F$11:$F$22="x")),SUMPRODUCT((J9:U9="x")*(Besatzung!$F$11:$F$22="x"))),1))))),0))))</f>
        <v/>
      </c>
      <c r="Y9" s="106">
        <f>IF(C9="Gutschrift","",IF(G9="","",IF(Besatzung!$B$14="","",IFERROR(IF(I9="Zeitanteilig",(Besatzung!$G$14*(G9-IFERROR(H9,0))+((Besatzung!$B$14&lt;&gt;"")*IF(B9="",1,(IF(Besatzung!$C$14="",Besatzung!$B$5,Besatzung!$C$14)&lt;=B9)*(IF(Besatzung!$D$14="",Besatzung!$B$6,Besatzung!$D$14)&gt;=B9)))*(Besatzung!$F$14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$14&lt;&gt;"")*IF(B9="",1,(IF(Besatzung!$C$14="",Besatzung!$B$5,Besatzung!$C$14)&lt;=B9)*(IF(Besatzung!$D$14="",Besatzung!$B$6,Besatzung!$D$14)&gt;=B9)))*((G9-IFERROR(H9,0))/IFERROR(SUMPRODUCT((Besatzung!$B$11:$B$22&lt;&gt;"")*(IF(Besatzung!$C$11:$C$22="",Besatzung!$B$5,Besatzung!$C$11:$C$22)&lt;=B9)*(IF(Besatzung!$D$11:$D$22="",Besatzung!$B$6,Besatzung!$D$11:$D$22)&gt;=B9)),1)+(Besatzung!$F$14="x")*IFERROR(H9,0)/IFERROR(SUMPRODUCT((Besatzung!$B$11:$B$22&lt;&gt;"")*(Besatzung!$F$11:$F$22="x")*(IF(Besatzung!$C$11:$C$22="",Besatzung!$B$5,Besatzung!$C$11:$C$22)&lt;=B9)*(IF(Besatzung!$D$11:$D$22="",Besatzung!$B$6,Besatzung!$D$11:$D$22)&gt;=B9)),1))),IF(I9="Individuell",((M9="x")*((G9-IFERROR(H9,0))/IFERROR(COUNTIF(J9:U9,"x"),1)+(Besatzung!$F$14="x")*IFERROR(H9,0)/IFERROR(SUMPRODUCT((J9:U9="x")*(Besatzung!$F$11:$F$22="x")),1))),(IF(COUNTIF(J9:U9,"x")=0,IF(Besatzung!$B$14&lt;&gt;"",1,0),(M9="x"))*(G9-IFERROR(H9,0))/IFERROR(IF(COUNTIF(J9:U9,"x")=0,COUNTA(Besatzung!$B$11:$B$22),COUNTIF(J9:U9,"x")),1)+IF(COUNTIF(J9:U9,"x")=0,(Besatzung!$F$14="x"),(M9="x")*(Besatzung!$F$14="x"))*IFERROR(H9,0)/IFERROR(IF(COUNTIF(J9:U9,"x")=0,SUMPRODUCT((Besatzung!$B$11:$B$22&lt;&gt;"")*(Besatzung!$F$11:$F$22="x")),SUMPRODUCT((J9:U9="x")*(Besatzung!$F$11:$F$22="x"))),1))))),0))))</f>
        <v/>
      </c>
      <c r="Z9" s="106">
        <f>IF(C9="Gutschrift","",IF(G9="","",IF(Besatzung!$B$13="","",IFERROR(IF(I9="Zeitanteilig",(Besatzung!$G$15*(G9-IFERROR(H9,0))+((Besatzung!$B$13&lt;&gt;"")*IF(B9="",1,(IF(Besatzung!$C$15="",Besatzung!$B$5,Besatzung!$C$15)&lt;=B9)*(IF(Besatzung!$D$15="",Besatzung!$B$6,Besatzung!$D$15)&gt;=B9)))*(Besatzung!$F$15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$13&lt;&gt;"")*IF(B9="",1,(IF(Besatzung!$C$15="",Besatzung!$B$5,Besatzung!$C$15)&lt;=B9)*(IF(Besatzung!$D$15="",Besatzung!$B$6,Besatzung!$D$15)&gt;=B9)))*((G9-IFERROR(H9,0))/IFERROR(SUMPRODUCT((Besatzung!$B$11:$B$22&lt;&gt;"")*(IF(Besatzung!$C$11:$C$22="",Besatzung!$B$5,Besatzung!$C$11:$C$22)&lt;=B9)*(IF(Besatzung!$D$11:$D$22="",Besatzung!$B$6,Besatzung!$D$11:$D$22)&gt;=B9)),1)+(Besatzung!$F$15="x")*IFERROR(H9,0)/IFERROR(SUMPRODUCT((Besatzung!$B$11:$B$22&lt;&gt;"")*(Besatzung!$F$11:$F$22="x")*(IF(Besatzung!$C$11:$C$22="",Besatzung!$B$5,Besatzung!$C$11:$C$22)&lt;=B9)*(IF(Besatzung!$D$11:$D$22="",Besatzung!$B$6,Besatzung!$D$11:$D$22)&gt;=B9)),1))),IF(I9="Individuell",((N9="x")*((G9-IFERROR(H9,0))/IFERROR(COUNTIF(J9:U9,"x"),1)+(Besatzung!$F$15="x")*IFERROR(H9,0)/IFERROR(SUMPRODUCT((J9:U9="x")*(Besatzung!$F$11:$F$22="x")),1))),(IF(COUNTIF(J9:U9,"x")=0,IF(Besatzung!$B$13&lt;&gt;"",1,0),(N9="x"))*(G9-IFERROR(H9,0))/IFERROR(IF(COUNTIF(J9:U9,"x")=0,COUNTA(Besatzung!$B$11:$B$22),COUNTIF(J9:U9,"x")),1)+IF(COUNTIF(J9:U9,"x")=0,(Besatzung!$F$15="x"),(N9="x")*(Besatzung!$F$15="x"))*IFERROR(H9,0)/IFERROR(IF(COUNTIF(J9:U9,"x")=0,SUMPRODUCT((Besatzung!$B$11:$B$22&lt;&gt;"")*(Besatzung!$F$11:$F$22="x")),SUMPRODUCT((J9:U9="x")*(Besatzung!$F$11:$F$22="x"))),1))))),0))))</f>
        <v/>
      </c>
      <c r="AA9" s="106">
        <f>IF(C9="Gutschrift","",IF(G9="","",IF(Besatzung!$B$15="","",IFERROR(IF(I9="Zeitanteilig",(Besatzung!$G$16*(G9-IFERROR(H9,0))+((Besatzung!$B$15&lt;&gt;"")*IF(B9="",1,(IF(Besatzung!$C$16="",Besatzung!$B$5,Besatzung!$C$16)&lt;=B9)*(IF(Besatzung!$D$16="",Besatzung!$B$6,Besatzung!$D$16)&gt;=B9)))*(Besatzung!$F$16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$15&lt;&gt;"")*IF(B9="",1,(IF(Besatzung!$C$16="",Besatzung!$B$5,Besatzung!$C$16)&lt;=B9)*(IF(Besatzung!$D$16="",Besatzung!$B$6,Besatzung!$D$16)&gt;=B9)))*((G9-IFERROR(H9,0))/IFERROR(SUMPRODUCT((Besatzung!$B$11:$B$22&lt;&gt;"")*(IF(Besatzung!$C$11:$C$22="",Besatzung!$B$5,Besatzung!$C$11:$C$22)&lt;=B9)*(IF(Besatzung!$D$11:$D$22="",Besatzung!$B$6,Besatzung!$D$11:$D$22)&gt;=B9)),1)+(Besatzung!$F$16="x")*IFERROR(H9,0)/IFERROR(SUMPRODUCT((Besatzung!$B$11:$B$22&lt;&gt;"")*(Besatzung!$F$11:$F$22="x")*(IF(Besatzung!$C$11:$C$22="",Besatzung!$B$5,Besatzung!$C$11:$C$22)&lt;=B9)*(IF(Besatzung!$D$11:$D$22="",Besatzung!$B$6,Besatzung!$D$11:$D$22)&gt;=B9)),1))),IF(I9="Individuell",((O9="x")*((G9-IFERROR(H9,0))/IFERROR(COUNTIF(J9:U9,"x"),1)+(Besatzung!$F$16="x")*IFERROR(H9,0)/IFERROR(SUMPRODUCT((J9:U9="x")*(Besatzung!$F$11:$F$22="x")),1))),(IF(COUNTIF(J9:U9,"x")=0,IF(Besatzung!$B$15&lt;&gt;"",1,0),(O9="x"))*(G9-IFERROR(H9,0))/IFERROR(IF(COUNTIF(J9:U9,"x")=0,COUNTA(Besatzung!$B$11:$B$22),COUNTIF(J9:U9,"x")),1)+IF(COUNTIF(J9:U9,"x")=0,(Besatzung!$F$16="x"),(O9="x")*(Besatzung!$F$16="x"))*IFERROR(H9,0)/IFERROR(IF(COUNTIF(J9:U9,"x")=0,SUMPRODUCT((Besatzung!$B$11:$B$22&lt;&gt;"")*(Besatzung!$F$11:$F$22="x")),SUMPRODUCT((J9:U9="x")*(Besatzung!$F$11:$F$22="x"))),1))))),0))))</f>
        <v/>
      </c>
      <c r="AB9" s="106">
        <f>IF(C9="Gutschrift","",IF(G9="","",IF(Besatzung!$B$17="","",IFERROR(IF(I9="Zeitanteilig",(Besatzung!$G$17*(G9-IFERROR(H9,0))+((Besatzung!$B$17&lt;&gt;"")*IF(B9="",1,(IF(Besatzung!$C$17="",Besatzung!$B$5,Besatzung!$C$17)&lt;=B9)*(IF(Besatzung!$D$17="",Besatzung!$B$6,Besatzung!$D$17)&gt;=B9)))*(Besatzung!$F$17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$17&lt;&gt;"")*IF(B9="",1,(IF(Besatzung!$C$17="",Besatzung!$B$5,Besatzung!$C$17)&lt;=B9)*(IF(Besatzung!$D$17="",Besatzung!$B$6,Besatzung!$D$17)&gt;=B9)))*((G9-IFERROR(H9,0))/IFERROR(SUMPRODUCT((Besatzung!$B$11:$B$22&lt;&gt;"")*(IF(Besatzung!$C$11:$C$22="",Besatzung!$B$5,Besatzung!$C$11:$C$22)&lt;=B9)*(IF(Besatzung!$D$11:$D$22="",Besatzung!$B$6,Besatzung!$D$11:$D$22)&gt;=B9)),1)+(Besatzung!$F$17="x")*IFERROR(H9,0)/IFERROR(SUMPRODUCT((Besatzung!$B$11:$B$22&lt;&gt;"")*(Besatzung!$F$11:$F$22="x")*(IF(Besatzung!$C$11:$C$22="",Besatzung!$B$5,Besatzung!$C$11:$C$22)&lt;=B9)*(IF(Besatzung!$D$11:$D$22="",Besatzung!$B$6,Besatzung!$D$11:$D$22)&gt;=B9)),1))),IF(I9="Individuell",((P9="x")*((G9-IFERROR(H9,0))/IFERROR(COUNTIF(J9:U9,"x"),1)+(Besatzung!$F$17="x")*IFERROR(H9,0)/IFERROR(SUMPRODUCT((J9:U9="x")*(Besatzung!$F$11:$F$22="x")),1))),(IF(COUNTIF(J9:U9,"x")=0,IF(Besatzung!$B$17&lt;&gt;"",1,0),(P9="x"))*(G9-IFERROR(H9,0))/IFERROR(IF(COUNTIF(J9:U9,"x")=0,COUNTA(Besatzung!$B$11:$B$22),COUNTIF(J9:U9,"x")),1)+IF(COUNTIF(J9:U9,"x")=0,(Besatzung!$F$17="x"),(P9="x")*(Besatzung!$F$17="x"))*IFERROR(H9,0)/IFERROR(IF(COUNTIF(J9:U9,"x")=0,SUMPRODUCT((Besatzung!$B$11:$B$22&lt;&gt;"")*(Besatzung!$F$11:$F$22="x")),SUMPRODUCT((J9:U9="x")*(Besatzung!$F$11:$F$22="x"))),1))))),0))))</f>
        <v/>
      </c>
      <c r="AC9" s="106">
        <f>IF(C9="Gutschrift","",IF(G9="","",IF(Besatzung!$B$18="","",IFERROR(IF(I9="Zeitanteilig",(Besatzung!$G$18*(G9-IFERROR(H9,0))+((Besatzung!$B$18&lt;&gt;"")*IF(B9="",1,(IF(Besatzung!$C$18="",Besatzung!$B$5,Besatzung!$C$18)&lt;=B9)*(IF(Besatzung!$D$18="",Besatzung!$B$6,Besatzung!$D$18)&gt;=B9)))*(Besatzung!$F$18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$18&lt;&gt;"")*IF(B9="",1,(IF(Besatzung!$C$18="",Besatzung!$B$5,Besatzung!$C$18)&lt;=B9)*(IF(Besatzung!$D$18="",Besatzung!$B$6,Besatzung!$D$18)&gt;=B9)))*((G9-IFERROR(H9,0))/IFERROR(SUMPRODUCT((Besatzung!$B$11:$B$22&lt;&gt;"")*(IF(Besatzung!$C$11:$C$22="",Besatzung!$B$5,Besatzung!$C$11:$C$22)&lt;=B9)*(IF(Besatzung!$D$11:$D$22="",Besatzung!$B$6,Besatzung!$D$11:$D$22)&gt;=B9)),1)+(Besatzung!$F$18="x")*IFERROR(H9,0)/IFERROR(SUMPRODUCT((Besatzung!$B$11:$B$22&lt;&gt;"")*(Besatzung!$F$11:$F$22="x")*(IF(Besatzung!$C$11:$C$22="",Besatzung!$B$5,Besatzung!$C$11:$C$22)&lt;=B9)*(IF(Besatzung!$D$11:$D$22="",Besatzung!$B$6,Besatzung!$D$11:$D$22)&gt;=B9)),1))),IF(I9="Individuell",((Q9="x")*((G9-IFERROR(H9,0))/IFERROR(COUNTIF(J9:U9,"x"),1)+(Besatzung!$F$18="x")*IFERROR(H9,0)/IFERROR(SUMPRODUCT((J9:U9="x")*(Besatzung!$F$11:$F$22="x")),1))),(IF(COUNTIF(J9:U9,"x")=0,IF(Besatzung!$B$18&lt;&gt;"",1,0),(Q9="x"))*(G9-IFERROR(H9,0))/IFERROR(IF(COUNTIF(J9:U9,"x")=0,COUNTA(Besatzung!$B$11:$B$22),COUNTIF(J9:U9,"x")),1)+IF(COUNTIF(J9:U9,"x")=0,(Besatzung!$F$18="x"),(Q9="x")*(Besatzung!$F$18="x"))*IFERROR(H9,0)/IFERROR(IF(COUNTIF(J9:U9,"x")=0,SUMPRODUCT((Besatzung!$B$11:$B$22&lt;&gt;"")*(Besatzung!$F$11:$F$22="x")),SUMPRODUCT((J9:U9="x")*(Besatzung!$F$11:$F$22="x"))),1))))),0))))</f>
        <v/>
      </c>
      <c r="AD9" s="106">
        <f>IF(C9="Gutschrift","",IF(G9="","",IF(Besatzung!$B$19="","",IFERROR(IF(I9="Zeitanteilig",(Besatzung!$G$19*(G9-IFERROR(H9,0))+((Besatzung!$B$19&lt;&gt;"")*IF(B9="",1,(IF(Besatzung!$C$19="",Besatzung!$B$5,Besatzung!$C$19)&lt;=B9)*(IF(Besatzung!$D$19="",Besatzung!$B$6,Besatzung!$D$19)&gt;=B9)))*(Besatzung!$F$19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$19&lt;&gt;"")*IF(B9="",1,(IF(Besatzung!$C$19="",Besatzung!$B$5,Besatzung!$C$19)&lt;=B9)*(IF(Besatzung!$D$19="",Besatzung!$B$6,Besatzung!$D$19)&gt;=B9)))*((G9-IFERROR(H9,0))/IFERROR(SUMPRODUCT((Besatzung!$B$11:$B$22&lt;&gt;"")*(IF(Besatzung!$C$11:$C$22="",Besatzung!$B$5,Besatzung!$C$11:$C$22)&lt;=B9)*(IF(Besatzung!$D$11:$D$22="",Besatzung!$B$6,Besatzung!$D$11:$D$22)&gt;=B9)),1)+(Besatzung!$F$19="x")*IFERROR(H9,0)/IFERROR(SUMPRODUCT((Besatzung!$B$11:$B$22&lt;&gt;"")*(Besatzung!$F$11:$F$22="x")*(IF(Besatzung!$C$11:$C$22="",Besatzung!$B$5,Besatzung!$C$11:$C$22)&lt;=B9)*(IF(Besatzung!$D$11:$D$22="",Besatzung!$B$6,Besatzung!$D$11:$D$22)&gt;=B9)),1))),IF(I9="Individuell",((R9="x")*((G9-IFERROR(H9,0))/IFERROR(COUNTIF(J9:U9,"x"),1)+(Besatzung!$F$19="x")*IFERROR(H9,0)/IFERROR(SUMPRODUCT((J9:U9="x")*(Besatzung!$F$11:$F$22="x")),1))),(IF(COUNTIF(J9:U9,"x")=0,IF(Besatzung!$B$19&lt;&gt;"",1,0),(R9="x"))*(G9-IFERROR(H9,0))/IFERROR(IF(COUNTIF(J9:U9,"x")=0,COUNTA(Besatzung!$B$11:$B$22),COUNTIF(J9:U9,"x")),1)+IF(COUNTIF(J9:U9,"x")=0,(Besatzung!$F$19="x"),(R9="x")*(Besatzung!$F$19="x"))*IFERROR(H9,0)/IFERROR(IF(COUNTIF(J9:U9,"x")=0,SUMPRODUCT((Besatzung!$B$11:$B$22&lt;&gt;"")*(Besatzung!$F$11:$F$22="x")),SUMPRODUCT((J9:U9="x")*(Besatzung!$F$11:$F$22="x"))),1))))),0))))</f>
        <v/>
      </c>
      <c r="AE9" s="106">
        <f>IF(C9="Gutschrift","",IF(G9="","",IF(Besatzung!$B$20="","",IFERROR(IF(I9="Zeitanteilig",(Besatzung!$G$20*(G9-IFERROR(H9,0))+((Besatzung!$B$20&lt;&gt;"")*IF(B9="",1,(IF(Besatzung!$C$20="",Besatzung!$B$5,Besatzung!$C$20)&lt;=B9)*(IF(Besatzung!$D$20="",Besatzung!$B$6,Besatzung!$D$20)&gt;=B9)))*(Besatzung!$F$20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$20&lt;&gt;"")*IF(B9="",1,(IF(Besatzung!$C$20="",Besatzung!$B$5,Besatzung!$C$20)&lt;=B9)*(IF(Besatzung!$D$20="",Besatzung!$B$6,Besatzung!$D$20)&gt;=B9)))*((G9-IFERROR(H9,0))/IFERROR(SUMPRODUCT((Besatzung!$B$11:$B$22&lt;&gt;"")*(IF(Besatzung!$C$11:$C$22="",Besatzung!$B$5,Besatzung!$C$11:$C$22)&lt;=B9)*(IF(Besatzung!$D$11:$D$22="",Besatzung!$B$6,Besatzung!$D$11:$D$22)&gt;=B9)),1)+(Besatzung!$F$20="x")*IFERROR(H9,0)/IFERROR(SUMPRODUCT((Besatzung!$B$11:$B$22&lt;&gt;"")*(Besatzung!$F$11:$F$22="x")*(IF(Besatzung!$C$11:$C$22="",Besatzung!$B$5,Besatzung!$C$11:$C$22)&lt;=B9)*(IF(Besatzung!$D$11:$D$22="",Besatzung!$B$6,Besatzung!$D$11:$D$22)&gt;=B9)),1))),IF(I9="Individuell",((S9="x")*((G9-IFERROR(H9,0))/IFERROR(COUNTIF(J9:U9,"x"),1)+(Besatzung!$F$20="x")*IFERROR(H9,0)/IFERROR(SUMPRODUCT((J9:U9="x")*(Besatzung!$F$11:$F$22="x")),1))),(IF(COUNTIF(J9:U9,"x")=0,IF(Besatzung!$B$20&lt;&gt;"",1,0),(S9="x"))*(G9-IFERROR(H9,0))/IFERROR(IF(COUNTIF(J9:U9,"x")=0,COUNTA(Besatzung!$B$11:$B$22),COUNTIF(J9:U9,"x")),1)+IF(COUNTIF(J9:U9,"x")=0,(Besatzung!$F$20="x"),(S9="x")*(Besatzung!$F$20="x"))*IFERROR(H9,0)/IFERROR(IF(COUNTIF(J9:U9,"x")=0,SUMPRODUCT((Besatzung!$B$11:$B$22&lt;&gt;"")*(Besatzung!$F$11:$F$22="x")),SUMPRODUCT((J9:U9="x")*(Besatzung!$F$11:$F$22="x"))),1))))),0))))</f>
        <v/>
      </c>
      <c r="AF9" s="106">
        <f>IF(C9="Gutschrift","",IF(G9="","",IF(Besatzung!$B$21="","",IFERROR(IF(I9="Zeitanteilig",(Besatzung!$G$21*(G9-IFERROR(H9,0))+((Besatzung!$B$21&lt;&gt;"")*IF(B9="",1,(IF(Besatzung!$C$21="",Besatzung!$B$5,Besatzung!$C$21)&lt;=B9)*(IF(Besatzung!$D$21="",Besatzung!$B$6,Besatzung!$D$21)&gt;=B9)))*(Besatzung!$F$21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$21&lt;&gt;"")*IF(B9="",1,(IF(Besatzung!$C$21="",Besatzung!$B$5,Besatzung!$C$21)&lt;=B9)*(IF(Besatzung!$D$21="",Besatzung!$B$6,Besatzung!$D$21)&gt;=B9)))*((G9-IFERROR(H9,0))/IFERROR(SUMPRODUCT((Besatzung!$B$11:$B$22&lt;&gt;"")*(IF(Besatzung!$C$11:$C$22="",Besatzung!$B$5,Besatzung!$C$11:$C$22)&lt;=B9)*(IF(Besatzung!$D$11:$D$22="",Besatzung!$B$6,Besatzung!$D$11:$D$22)&gt;=B9)),1)+(Besatzung!$F$21="x")*IFERROR(H9,0)/IFERROR(SUMPRODUCT((Besatzung!$B$11:$B$22&lt;&gt;"")*(Besatzung!$F$11:$F$22="x")*(IF(Besatzung!$C$11:$C$22="",Besatzung!$B$5,Besatzung!$C$11:$C$22)&lt;=B9)*(IF(Besatzung!$D$11:$D$22="",Besatzung!$B$6,Besatzung!$D$11:$D$22)&gt;=B9)),1))),IF(I9="Individuell",((T9="x")*((G9-IFERROR(H9,0))/IFERROR(COUNTIF(J9:U9,"x"),1)+(Besatzung!$F$21="x")*IFERROR(H9,0)/IFERROR(SUMPRODUCT((J9:U9="x")*(Besatzung!$F$11:$F$22="x")),1))),(IF(COUNTIF(J9:U9,"x")=0,IF(Besatzung!$B$21&lt;&gt;"",1,0),(T9="x"))*(G9-IFERROR(H9,0))/IFERROR(IF(COUNTIF(J9:U9,"x")=0,COUNTA(Besatzung!$B$11:$B$22),COUNTIF(J9:U9,"x")),1)+IF(COUNTIF(J9:U9,"x")=0,(Besatzung!$F$21="x"),(T9="x")*(Besatzung!$F$21="x"))*IFERROR(H9,0)/IFERROR(IF(COUNTIF(J9:U9,"x")=0,SUMPRODUCT((Besatzung!$B$11:$B$22&lt;&gt;"")*(Besatzung!$F$11:$F$22="x")),SUMPRODUCT((J9:U9="x")*(Besatzung!$F$11:$F$22="x"))),1))))),0))))</f>
        <v/>
      </c>
      <c r="AG9" s="106">
        <f>IF(C9="Gutschrift","",IF(G9="","",IF(Besatzung!$B$22="","",IFERROR(IF(I9="Zeitanteilig",(Besatzung!$G$22*(G9-IFERROR(H9,0))+((Besatzung!$B$22&lt;&gt;"")*IF(B9="",1,(IF(Besatzung!$C$22="",Besatzung!$B$5,Besatzung!$C$22)&lt;=B9)*(IF(Besatzung!$D$22="",Besatzung!$B$6,Besatzung!$D$22)&gt;=B9)))*(Besatzung!$F$22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$22&lt;&gt;"")*IF(B9="",1,(IF(Besatzung!$C$22="",Besatzung!$B$5,Besatzung!$C$22)&lt;=B9)*(IF(Besatzung!$D$22="",Besatzung!$B$6,Besatzung!$D$22)&gt;=B9)))*((G9-IFERROR(H9,0))/IFERROR(SUMPRODUCT((Besatzung!$B$11:$B$22&lt;&gt;"")*(IF(Besatzung!$C$11:$C$22="",Besatzung!$B$5,Besatzung!$C$11:$C$22)&lt;=B9)*(IF(Besatzung!$D$11:$D$22="",Besatzung!$B$6,Besatzung!$D$11:$D$22)&gt;=B9)),1)+(Besatzung!$F$22="x")*IFERROR(H9,0)/IFERROR(SUMPRODUCT((Besatzung!$B$11:$B$22&lt;&gt;"")*(Besatzung!$F$11:$F$22="x")*(IF(Besatzung!$C$11:$C$22="",Besatzung!$B$5,Besatzung!$C$11:$C$22)&lt;=B9)*(IF(Besatzung!$D$11:$D$22="",Besatzung!$B$6,Besatzung!$D$11:$D$22)&gt;=B9)),1))),IF(I9="Individuell",((U9="x")*((G9-IFERROR(H9,0))/IFERROR(COUNTIF(J9:U9,"x"),1)+(Besatzung!$F$22="x")*IFERROR(H9,0)/IFERROR(SUMPRODUCT((J9:U9="x")*(Besatzung!$F$11:$F$22="x")),1))),(IF(COUNTIF(J9:U9,"x")=0,IF(Besatzung!$B$22&lt;&gt;"",1,0),(U9="x"))*(G9-IFERROR(H9,0))/IFERROR(IF(COUNTIF(J9:U9,"x")=0,COUNTA(Besatzung!$B$11:$B$22),COUNTIF(J9:U9,"x")),1)+IF(COUNTIF(J9:U9,"x")=0,(Besatzung!$F$22="x"),(U9="x")*(Besatzung!$F$22="x"))*IFERROR(H9,0)/IFERROR(IF(COUNTIF(J9:U9,"x")=0,SUMPRODUCT((Besatzung!$B$11:$B$22&lt;&gt;"")*(Besatzung!$F$11:$F$22="x")),SUMPRODUCT((J9:U9="x")*(Besatzung!$F$11:$F$22="x"))),1))))),0))))</f>
        <v/>
      </c>
      <c r="AH9" s="107" t="n"/>
      <c r="AI9" s="107" t="n"/>
    </row>
    <row r="10" ht="21.75" customHeight="1" s="182">
      <c r="A10" s="97">
        <f>IF(AND(D10="",C10=""),"",7)</f>
        <v/>
      </c>
      <c r="B10" s="56" t="n"/>
      <c r="C10" s="98" t="n"/>
      <c r="D10" s="99" t="n"/>
      <c r="E10" s="100" t="n"/>
      <c r="F10" s="101" t="n"/>
      <c r="G10" s="102" t="n"/>
      <c r="H10" s="103" t="n"/>
      <c r="I10" s="104" t="n"/>
      <c r="J10" s="105" t="n"/>
      <c r="K10" s="105" t="n"/>
      <c r="L10" s="105" t="n"/>
      <c r="M10" s="105" t="n"/>
      <c r="N10" s="105" t="n"/>
      <c r="O10" s="105" t="n"/>
      <c r="P10" s="105" t="n"/>
      <c r="Q10" s="105" t="n"/>
      <c r="R10" s="105" t="n"/>
      <c r="S10" s="105" t="n"/>
      <c r="T10" s="105" t="n"/>
      <c r="U10" s="105" t="n"/>
      <c r="V10" s="106">
        <f>IF(C10="Gutschrift","",IF(G10="","",IF(Besatzung!$B$11="","",IFERROR(IF(I10="Zeitanteilig",(Besatzung!$G$11*(G10-IFERROR(H10,0))+((Besatzung!$B$11&lt;&gt;"")*IF(B10="",1,(IF(Besatzung!$C$11="",Besatzung!$B$5,Besatzung!$C$11)&lt;=B10)*(IF(Besatzung!$D$11="",Besatzung!$B$6,Besatzung!$D$11)&gt;=B10)))*(Besatzung!$F$11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$11&lt;&gt;"")*IF(B10="",1,(IF(Besatzung!$C$11="",Besatzung!$B$5,Besatzung!$C$11)&lt;=B10)*(IF(Besatzung!$D$11="",Besatzung!$B$6,Besatzung!$D$11)&gt;=B10)))*((G10-IFERROR(H10,0))/IFERROR(SUMPRODUCT((Besatzung!$B$11:$B$22&lt;&gt;"")*(IF(Besatzung!$C$11:$C$22="",Besatzung!$B$5,Besatzung!$C$11:$C$22)&lt;=B10)*(IF(Besatzung!$D$11:$D$22="",Besatzung!$B$6,Besatzung!$D$11:$D$22)&gt;=B10)),1)+(Besatzung!$F$11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J10="x")*((G10-IFERROR(H10,0))/IFERROR(COUNTIF(J10:U10,"x"),1)+(Besatzung!$F$11="x")*IFERROR(H10,0)/IFERROR(SUMPRODUCT((J10:U10="x")*(Besatzung!$F$11:$F$22="x")),1))),(IF(COUNTIF(J10:U10,"x")=0,IF(Besatzung!$B$11&lt;&gt;"",1,0),(J10="x"))*(G10-IFERROR(H10,0))/IFERROR(IF(COUNTIF(J10:U10,"x")=0,COUNTA(Besatzung!$B$11:$B$22),COUNTIF(J10:U10,"x")),1)+IF(COUNTIF(J10:U10,"x")=0,(Besatzung!$F$11="x"),(J10="x")*(Besatzung!$F$11="x"))*IFERROR(H10,0)/IFERROR(IF(COUNTIF(J10:U10,"x")=0,SUMPRODUCT((Besatzung!$B$11:$B$22&lt;&gt;"")*(Besatzung!$F$11:$F$22="x")),SUMPRODUCT((J10:U10="x")*(Besatzung!$F$11:$F$22="x"))),1))))),0))))</f>
        <v/>
      </c>
      <c r="W10" s="106">
        <f>IF(C10="Gutschrift","",IF(G10="","",IF(Besatzung!$B$12="","",IFERROR(IF(I10="Zeitanteilig",(Besatzung!$G$12*(G10-IFERROR(H10,0))+((Besatzung!$B$12&lt;&gt;"")*IF(B10="",1,(IF(Besatzung!$C$12="",Besatzung!$B$5,Besatzung!$C$12)&lt;=B10)*(IF(Besatzung!$D$12="",Besatzung!$B$6,Besatzung!$D$12)&gt;=B10)))*(Besatzung!$F$12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$12&lt;&gt;"")*IF(B10="",1,(IF(Besatzung!$C$12="",Besatzung!$B$5,Besatzung!$C$12)&lt;=B10)*(IF(Besatzung!$D$12="",Besatzung!$B$6,Besatzung!$D$12)&gt;=B10)))*((G10-IFERROR(H10,0))/IFERROR(SUMPRODUCT((Besatzung!$B$11:$B$22&lt;&gt;"")*(IF(Besatzung!$C$11:$C$22="",Besatzung!$B$5,Besatzung!$C$11:$C$22)&lt;=B10)*(IF(Besatzung!$D$11:$D$22="",Besatzung!$B$6,Besatzung!$D$11:$D$22)&gt;=B10)),1)+(Besatzung!$F$12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K10="x")*((G10-IFERROR(H10,0))/IFERROR(COUNTIF(J10:U10,"x"),1)+(Besatzung!$F$12="x")*IFERROR(H10,0)/IFERROR(SUMPRODUCT((J10:U10="x")*(Besatzung!$F$11:$F$22="x")),1))),(IF(COUNTIF(J10:U10,"x")=0,IF(Besatzung!$B$12&lt;&gt;"",1,0),(K10="x"))*(G10-IFERROR(H10,0))/IFERROR(IF(COUNTIF(J10:U10,"x")=0,COUNTA(Besatzung!$B$11:$B$22),COUNTIF(J10:U10,"x")),1)+IF(COUNTIF(J10:U10,"x")=0,(Besatzung!$F$12="x"),(K10="x")*(Besatzung!$F$12="x"))*IFERROR(H10,0)/IFERROR(IF(COUNTIF(J10:U10,"x")=0,SUMPRODUCT((Besatzung!$B$11:$B$22&lt;&gt;"")*(Besatzung!$F$11:$F$22="x")),SUMPRODUCT((J10:U10="x")*(Besatzung!$F$11:$F$22="x"))),1))))),0))))</f>
        <v/>
      </c>
      <c r="X10" s="106">
        <f>IF(C10="Gutschrift","",IF(G10="","",IF(Besatzung!$B$13="","",IFERROR(IF(I10="Zeitanteilig",(Besatzung!$G$13*(G10-IFERROR(H10,0))+((Besatzung!$B$13&lt;&gt;"")*IF(B10="",1,(IF(Besatzung!$C$13="",Besatzung!$B$5,Besatzung!$C$13)&lt;=B10)*(IF(Besatzung!$D$13="",Besatzung!$B$6,Besatzung!$D$13)&gt;=B10)))*(Besatzung!$F$13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$13&lt;&gt;"")*IF(B10="",1,(IF(Besatzung!$C$13="",Besatzung!$B$5,Besatzung!$C$13)&lt;=B10)*(IF(Besatzung!$D$13="",Besatzung!$B$6,Besatzung!$D$13)&gt;=B10)))*((G10-IFERROR(H10,0))/IFERROR(SUMPRODUCT((Besatzung!$B$11:$B$22&lt;&gt;"")*(IF(Besatzung!$C$11:$C$22="",Besatzung!$B$5,Besatzung!$C$11:$C$22)&lt;=B10)*(IF(Besatzung!$D$11:$D$22="",Besatzung!$B$6,Besatzung!$D$11:$D$22)&gt;=B10)),1)+(Besatzung!$F$13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K10="x")*((G10-IFERROR(H10,0))/IFERROR(COUNTIF(J10:U10,"x"),1)+(Besatzung!$F$13="x")*IFERROR(H10,0)/IFERROR(SUMPRODUCT((J10:U10="x")*(Besatzung!$F$11:$F$22="x")),1))),(IF(COUNTIF(J10:U10,"x")=0,IF(Besatzung!$B$13&lt;&gt;"",1,0),(K10="x"))*(G10-IFERROR(H10,0))/IFERROR(IF(COUNTIF(J10:U10,"x")=0,COUNTA(Besatzung!$B$11:$B$22),COUNTIF(J10:U10,"x")),1)+IF(COUNTIF(J10:U10,"x")=0,(Besatzung!$F$13="x"),(K10="x")*(Besatzung!$F$13="x"))*IFERROR(H10,0)/IFERROR(IF(COUNTIF(J10:U10,"x")=0,SUMPRODUCT((Besatzung!$B$11:$B$22&lt;&gt;"")*(Besatzung!$F$11:$F$22="x")),SUMPRODUCT((J10:U10="x")*(Besatzung!$F$11:$F$22="x"))),1))))),0))))</f>
        <v/>
      </c>
      <c r="Y10" s="106">
        <f>IF(C10="Gutschrift","",IF(G10="","",IF(Besatzung!$B$14="","",IFERROR(IF(I10="Zeitanteilig",(Besatzung!$G$14*(G10-IFERROR(H10,0))+((Besatzung!$B$14&lt;&gt;"")*IF(B10="",1,(IF(Besatzung!$C$14="",Besatzung!$B$5,Besatzung!$C$14)&lt;=B10)*(IF(Besatzung!$D$14="",Besatzung!$B$6,Besatzung!$D$14)&gt;=B10)))*(Besatzung!$F$14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$14&lt;&gt;"")*IF(B10="",1,(IF(Besatzung!$C$14="",Besatzung!$B$5,Besatzung!$C$14)&lt;=B10)*(IF(Besatzung!$D$14="",Besatzung!$B$6,Besatzung!$D$14)&gt;=B10)))*((G10-IFERROR(H10,0))/IFERROR(SUMPRODUCT((Besatzung!$B$11:$B$22&lt;&gt;"")*(IF(Besatzung!$C$11:$C$22="",Besatzung!$B$5,Besatzung!$C$11:$C$22)&lt;=B10)*(IF(Besatzung!$D$11:$D$22="",Besatzung!$B$6,Besatzung!$D$11:$D$22)&gt;=B10)),1)+(Besatzung!$F$14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M10="x")*((G10-IFERROR(H10,0))/IFERROR(COUNTIF(J10:U10,"x"),1)+(Besatzung!$F$14="x")*IFERROR(H10,0)/IFERROR(SUMPRODUCT((J10:U10="x")*(Besatzung!$F$11:$F$22="x")),1))),(IF(COUNTIF(J10:U10,"x")=0,IF(Besatzung!$B$14&lt;&gt;"",1,0),(M10="x"))*(G10-IFERROR(H10,0))/IFERROR(IF(COUNTIF(J10:U10,"x")=0,COUNTA(Besatzung!$B$11:$B$22),COUNTIF(J10:U10,"x")),1)+IF(COUNTIF(J10:U10,"x")=0,(Besatzung!$F$14="x"),(M10="x")*(Besatzung!$F$14="x"))*IFERROR(H10,0)/IFERROR(IF(COUNTIF(J10:U10,"x")=0,SUMPRODUCT((Besatzung!$B$11:$B$22&lt;&gt;"")*(Besatzung!$F$11:$F$22="x")),SUMPRODUCT((J10:U10="x")*(Besatzung!$F$11:$F$22="x"))),1))))),0))))</f>
        <v/>
      </c>
      <c r="Z10" s="106">
        <f>IF(C10="Gutschrift","",IF(G10="","",IF(Besatzung!$B$13="","",IFERROR(IF(I10="Zeitanteilig",(Besatzung!$G$15*(G10-IFERROR(H10,0))+((Besatzung!$B$13&lt;&gt;"")*IF(B10="",1,(IF(Besatzung!$C$15="",Besatzung!$B$5,Besatzung!$C$15)&lt;=B10)*(IF(Besatzung!$D$15="",Besatzung!$B$6,Besatzung!$D$15)&gt;=B10)))*(Besatzung!$F$15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$13&lt;&gt;"")*IF(B10="",1,(IF(Besatzung!$C$15="",Besatzung!$B$5,Besatzung!$C$15)&lt;=B10)*(IF(Besatzung!$D$15="",Besatzung!$B$6,Besatzung!$D$15)&gt;=B10)))*((G10-IFERROR(H10,0))/IFERROR(SUMPRODUCT((Besatzung!$B$11:$B$22&lt;&gt;"")*(IF(Besatzung!$C$11:$C$22="",Besatzung!$B$5,Besatzung!$C$11:$C$22)&lt;=B10)*(IF(Besatzung!$D$11:$D$22="",Besatzung!$B$6,Besatzung!$D$11:$D$22)&gt;=B10)),1)+(Besatzung!$F$15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N10="x")*((G10-IFERROR(H10,0))/IFERROR(COUNTIF(J10:U10,"x"),1)+(Besatzung!$F$15="x")*IFERROR(H10,0)/IFERROR(SUMPRODUCT((J10:U10="x")*(Besatzung!$F$11:$F$22="x")),1))),(IF(COUNTIF(J10:U10,"x")=0,IF(Besatzung!$B$13&lt;&gt;"",1,0),(N10="x"))*(G10-IFERROR(H10,0))/IFERROR(IF(COUNTIF(J10:U10,"x")=0,COUNTA(Besatzung!$B$11:$B$22),COUNTIF(J10:U10,"x")),1)+IF(COUNTIF(J10:U10,"x")=0,(Besatzung!$F$15="x"),(N10="x")*(Besatzung!$F$15="x"))*IFERROR(H10,0)/IFERROR(IF(COUNTIF(J10:U10,"x")=0,SUMPRODUCT((Besatzung!$B$11:$B$22&lt;&gt;"")*(Besatzung!$F$11:$F$22="x")),SUMPRODUCT((J10:U10="x")*(Besatzung!$F$11:$F$22="x"))),1))))),0))))</f>
        <v/>
      </c>
      <c r="AA10" s="106">
        <f>IF(C10="Gutschrift","",IF(G10="","",IF(Besatzung!$B$15="","",IFERROR(IF(I10="Zeitanteilig",(Besatzung!$G$16*(G10-IFERROR(H10,0))+((Besatzung!$B$15&lt;&gt;"")*IF(B10="",1,(IF(Besatzung!$C$16="",Besatzung!$B$5,Besatzung!$C$16)&lt;=B10)*(IF(Besatzung!$D$16="",Besatzung!$B$6,Besatzung!$D$16)&gt;=B10)))*(Besatzung!$F$16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$15&lt;&gt;"")*IF(B10="",1,(IF(Besatzung!$C$16="",Besatzung!$B$5,Besatzung!$C$16)&lt;=B10)*(IF(Besatzung!$D$16="",Besatzung!$B$6,Besatzung!$D$16)&gt;=B10)))*((G10-IFERROR(H10,0))/IFERROR(SUMPRODUCT((Besatzung!$B$11:$B$22&lt;&gt;"")*(IF(Besatzung!$C$11:$C$22="",Besatzung!$B$5,Besatzung!$C$11:$C$22)&lt;=B10)*(IF(Besatzung!$D$11:$D$22="",Besatzung!$B$6,Besatzung!$D$11:$D$22)&gt;=B10)),1)+(Besatzung!$F$16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O10="x")*((G10-IFERROR(H10,0))/IFERROR(COUNTIF(J10:U10,"x"),1)+(Besatzung!$F$16="x")*IFERROR(H10,0)/IFERROR(SUMPRODUCT((J10:U10="x")*(Besatzung!$F$11:$F$22="x")),1))),(IF(COUNTIF(J10:U10,"x")=0,IF(Besatzung!$B$15&lt;&gt;"",1,0),(O10="x"))*(G10-IFERROR(H10,0))/IFERROR(IF(COUNTIF(J10:U10,"x")=0,COUNTA(Besatzung!$B$11:$B$22),COUNTIF(J10:U10,"x")),1)+IF(COUNTIF(J10:U10,"x")=0,(Besatzung!$F$16="x"),(O10="x")*(Besatzung!$F$16="x"))*IFERROR(H10,0)/IFERROR(IF(COUNTIF(J10:U10,"x")=0,SUMPRODUCT((Besatzung!$B$11:$B$22&lt;&gt;"")*(Besatzung!$F$11:$F$22="x")),SUMPRODUCT((J10:U10="x")*(Besatzung!$F$11:$F$22="x"))),1))))),0))))</f>
        <v/>
      </c>
      <c r="AB10" s="106">
        <f>IF(C10="Gutschrift","",IF(G10="","",IF(Besatzung!$B$17="","",IFERROR(IF(I10="Zeitanteilig",(Besatzung!$G$17*(G10-IFERROR(H10,0))+((Besatzung!$B$17&lt;&gt;"")*IF(B10="",1,(IF(Besatzung!$C$17="",Besatzung!$B$5,Besatzung!$C$17)&lt;=B10)*(IF(Besatzung!$D$17="",Besatzung!$B$6,Besatzung!$D$17)&gt;=B10)))*(Besatzung!$F$17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$17&lt;&gt;"")*IF(B10="",1,(IF(Besatzung!$C$17="",Besatzung!$B$5,Besatzung!$C$17)&lt;=B10)*(IF(Besatzung!$D$17="",Besatzung!$B$6,Besatzung!$D$17)&gt;=B10)))*((G10-IFERROR(H10,0))/IFERROR(SUMPRODUCT((Besatzung!$B$11:$B$22&lt;&gt;"")*(IF(Besatzung!$C$11:$C$22="",Besatzung!$B$5,Besatzung!$C$11:$C$22)&lt;=B10)*(IF(Besatzung!$D$11:$D$22="",Besatzung!$B$6,Besatzung!$D$11:$D$22)&gt;=B10)),1)+(Besatzung!$F$17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P10="x")*((G10-IFERROR(H10,0))/IFERROR(COUNTIF(J10:U10,"x"),1)+(Besatzung!$F$17="x")*IFERROR(H10,0)/IFERROR(SUMPRODUCT((J10:U10="x")*(Besatzung!$F$11:$F$22="x")),1))),(IF(COUNTIF(J10:U10,"x")=0,IF(Besatzung!$B$17&lt;&gt;"",1,0),(P10="x"))*(G10-IFERROR(H10,0))/IFERROR(IF(COUNTIF(J10:U10,"x")=0,COUNTA(Besatzung!$B$11:$B$22),COUNTIF(J10:U10,"x")),1)+IF(COUNTIF(J10:U10,"x")=0,(Besatzung!$F$17="x"),(P10="x")*(Besatzung!$F$17="x"))*IFERROR(H10,0)/IFERROR(IF(COUNTIF(J10:U10,"x")=0,SUMPRODUCT((Besatzung!$B$11:$B$22&lt;&gt;"")*(Besatzung!$F$11:$F$22="x")),SUMPRODUCT((J10:U10="x")*(Besatzung!$F$11:$F$22="x"))),1))))),0))))</f>
        <v/>
      </c>
      <c r="AC10" s="106">
        <f>IF(C10="Gutschrift","",IF(G10="","",IF(Besatzung!$B$18="","",IFERROR(IF(I10="Zeitanteilig",(Besatzung!$G$18*(G10-IFERROR(H10,0))+((Besatzung!$B$18&lt;&gt;"")*IF(B10="",1,(IF(Besatzung!$C$18="",Besatzung!$B$5,Besatzung!$C$18)&lt;=B10)*(IF(Besatzung!$D$18="",Besatzung!$B$6,Besatzung!$D$18)&gt;=B10)))*(Besatzung!$F$18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$18&lt;&gt;"")*IF(B10="",1,(IF(Besatzung!$C$18="",Besatzung!$B$5,Besatzung!$C$18)&lt;=B10)*(IF(Besatzung!$D$18="",Besatzung!$B$6,Besatzung!$D$18)&gt;=B10)))*((G10-IFERROR(H10,0))/IFERROR(SUMPRODUCT((Besatzung!$B$11:$B$22&lt;&gt;"")*(IF(Besatzung!$C$11:$C$22="",Besatzung!$B$5,Besatzung!$C$11:$C$22)&lt;=B10)*(IF(Besatzung!$D$11:$D$22="",Besatzung!$B$6,Besatzung!$D$11:$D$22)&gt;=B10)),1)+(Besatzung!$F$18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Q10="x")*((G10-IFERROR(H10,0))/IFERROR(COUNTIF(J10:U10,"x"),1)+(Besatzung!$F$18="x")*IFERROR(H10,0)/IFERROR(SUMPRODUCT((J10:U10="x")*(Besatzung!$F$11:$F$22="x")),1))),(IF(COUNTIF(J10:U10,"x")=0,IF(Besatzung!$B$18&lt;&gt;"",1,0),(Q10="x"))*(G10-IFERROR(H10,0))/IFERROR(IF(COUNTIF(J10:U10,"x")=0,COUNTA(Besatzung!$B$11:$B$22),COUNTIF(J10:U10,"x")),1)+IF(COUNTIF(J10:U10,"x")=0,(Besatzung!$F$18="x"),(Q10="x")*(Besatzung!$F$18="x"))*IFERROR(H10,0)/IFERROR(IF(COUNTIF(J10:U10,"x")=0,SUMPRODUCT((Besatzung!$B$11:$B$22&lt;&gt;"")*(Besatzung!$F$11:$F$22="x")),SUMPRODUCT((J10:U10="x")*(Besatzung!$F$11:$F$22="x"))),1))))),0))))</f>
        <v/>
      </c>
      <c r="AD10" s="106">
        <f>IF(C10="Gutschrift","",IF(G10="","",IF(Besatzung!$B$19="","",IFERROR(IF(I10="Zeitanteilig",(Besatzung!$G$19*(G10-IFERROR(H10,0))+((Besatzung!$B$19&lt;&gt;"")*IF(B10="",1,(IF(Besatzung!$C$19="",Besatzung!$B$5,Besatzung!$C$19)&lt;=B10)*(IF(Besatzung!$D$19="",Besatzung!$B$6,Besatzung!$D$19)&gt;=B10)))*(Besatzung!$F$19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$19&lt;&gt;"")*IF(B10="",1,(IF(Besatzung!$C$19="",Besatzung!$B$5,Besatzung!$C$19)&lt;=B10)*(IF(Besatzung!$D$19="",Besatzung!$B$6,Besatzung!$D$19)&gt;=B10)))*((G10-IFERROR(H10,0))/IFERROR(SUMPRODUCT((Besatzung!$B$11:$B$22&lt;&gt;"")*(IF(Besatzung!$C$11:$C$22="",Besatzung!$B$5,Besatzung!$C$11:$C$22)&lt;=B10)*(IF(Besatzung!$D$11:$D$22="",Besatzung!$B$6,Besatzung!$D$11:$D$22)&gt;=B10)),1)+(Besatzung!$F$19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R10="x")*((G10-IFERROR(H10,0))/IFERROR(COUNTIF(J10:U10,"x"),1)+(Besatzung!$F$19="x")*IFERROR(H10,0)/IFERROR(SUMPRODUCT((J10:U10="x")*(Besatzung!$F$11:$F$22="x")),1))),(IF(COUNTIF(J10:U10,"x")=0,IF(Besatzung!$B$19&lt;&gt;"",1,0),(R10="x"))*(G10-IFERROR(H10,0))/IFERROR(IF(COUNTIF(J10:U10,"x")=0,COUNTA(Besatzung!$B$11:$B$22),COUNTIF(J10:U10,"x")),1)+IF(COUNTIF(J10:U10,"x")=0,(Besatzung!$F$19="x"),(R10="x")*(Besatzung!$F$19="x"))*IFERROR(H10,0)/IFERROR(IF(COUNTIF(J10:U10,"x")=0,SUMPRODUCT((Besatzung!$B$11:$B$22&lt;&gt;"")*(Besatzung!$F$11:$F$22="x")),SUMPRODUCT((J10:U10="x")*(Besatzung!$F$11:$F$22="x"))),1))))),0))))</f>
        <v/>
      </c>
      <c r="AE10" s="106">
        <f>IF(C10="Gutschrift","",IF(G10="","",IF(Besatzung!$B$20="","",IFERROR(IF(I10="Zeitanteilig",(Besatzung!$G$20*(G10-IFERROR(H10,0))+((Besatzung!$B$20&lt;&gt;"")*IF(B10="",1,(IF(Besatzung!$C$20="",Besatzung!$B$5,Besatzung!$C$20)&lt;=B10)*(IF(Besatzung!$D$20="",Besatzung!$B$6,Besatzung!$D$20)&gt;=B10)))*(Besatzung!$F$20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$20&lt;&gt;"")*IF(B10="",1,(IF(Besatzung!$C$20="",Besatzung!$B$5,Besatzung!$C$20)&lt;=B10)*(IF(Besatzung!$D$20="",Besatzung!$B$6,Besatzung!$D$20)&gt;=B10)))*((G10-IFERROR(H10,0))/IFERROR(SUMPRODUCT((Besatzung!$B$11:$B$22&lt;&gt;"")*(IF(Besatzung!$C$11:$C$22="",Besatzung!$B$5,Besatzung!$C$11:$C$22)&lt;=B10)*(IF(Besatzung!$D$11:$D$22="",Besatzung!$B$6,Besatzung!$D$11:$D$22)&gt;=B10)),1)+(Besatzung!$F$20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S10="x")*((G10-IFERROR(H10,0))/IFERROR(COUNTIF(J10:U10,"x"),1)+(Besatzung!$F$20="x")*IFERROR(H10,0)/IFERROR(SUMPRODUCT((J10:U10="x")*(Besatzung!$F$11:$F$22="x")),1))),(IF(COUNTIF(J10:U10,"x")=0,IF(Besatzung!$B$20&lt;&gt;"",1,0),(S10="x"))*(G10-IFERROR(H10,0))/IFERROR(IF(COUNTIF(J10:U10,"x")=0,COUNTA(Besatzung!$B$11:$B$22),COUNTIF(J10:U10,"x")),1)+IF(COUNTIF(J10:U10,"x")=0,(Besatzung!$F$20="x"),(S10="x")*(Besatzung!$F$20="x"))*IFERROR(H10,0)/IFERROR(IF(COUNTIF(J10:U10,"x")=0,SUMPRODUCT((Besatzung!$B$11:$B$22&lt;&gt;"")*(Besatzung!$F$11:$F$22="x")),SUMPRODUCT((J10:U10="x")*(Besatzung!$F$11:$F$22="x"))),1))))),0))))</f>
        <v/>
      </c>
      <c r="AF10" s="106">
        <f>IF(C10="Gutschrift","",IF(G10="","",IF(Besatzung!$B$21="","",IFERROR(IF(I10="Zeitanteilig",(Besatzung!$G$21*(G10-IFERROR(H10,0))+((Besatzung!$B$21&lt;&gt;"")*IF(B10="",1,(IF(Besatzung!$C$21="",Besatzung!$B$5,Besatzung!$C$21)&lt;=B10)*(IF(Besatzung!$D$21="",Besatzung!$B$6,Besatzung!$D$21)&gt;=B10)))*(Besatzung!$F$21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$21&lt;&gt;"")*IF(B10="",1,(IF(Besatzung!$C$21="",Besatzung!$B$5,Besatzung!$C$21)&lt;=B10)*(IF(Besatzung!$D$21="",Besatzung!$B$6,Besatzung!$D$21)&gt;=B10)))*((G10-IFERROR(H10,0))/IFERROR(SUMPRODUCT((Besatzung!$B$11:$B$22&lt;&gt;"")*(IF(Besatzung!$C$11:$C$22="",Besatzung!$B$5,Besatzung!$C$11:$C$22)&lt;=B10)*(IF(Besatzung!$D$11:$D$22="",Besatzung!$B$6,Besatzung!$D$11:$D$22)&gt;=B10)),1)+(Besatzung!$F$21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T10="x")*((G10-IFERROR(H10,0))/IFERROR(COUNTIF(J10:U10,"x"),1)+(Besatzung!$F$21="x")*IFERROR(H10,0)/IFERROR(SUMPRODUCT((J10:U10="x")*(Besatzung!$F$11:$F$22="x")),1))),(IF(COUNTIF(J10:U10,"x")=0,IF(Besatzung!$B$21&lt;&gt;"",1,0),(T10="x"))*(G10-IFERROR(H10,0))/IFERROR(IF(COUNTIF(J10:U10,"x")=0,COUNTA(Besatzung!$B$11:$B$22),COUNTIF(J10:U10,"x")),1)+IF(COUNTIF(J10:U10,"x")=0,(Besatzung!$F$21="x"),(T10="x")*(Besatzung!$F$21="x"))*IFERROR(H10,0)/IFERROR(IF(COUNTIF(J10:U10,"x")=0,SUMPRODUCT((Besatzung!$B$11:$B$22&lt;&gt;"")*(Besatzung!$F$11:$F$22="x")),SUMPRODUCT((J10:U10="x")*(Besatzung!$F$11:$F$22="x"))),1))))),0))))</f>
        <v/>
      </c>
      <c r="AG10" s="106">
        <f>IF(C10="Gutschrift","",IF(G10="","",IF(Besatzung!$B$22="","",IFERROR(IF(I10="Zeitanteilig",(Besatzung!$G$22*(G10-IFERROR(H10,0))+((Besatzung!$B$22&lt;&gt;"")*IF(B10="",1,(IF(Besatzung!$C$22="",Besatzung!$B$5,Besatzung!$C$22)&lt;=B10)*(IF(Besatzung!$D$22="",Besatzung!$B$6,Besatzung!$D$22)&gt;=B10)))*(Besatzung!$F$22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$22&lt;&gt;"")*IF(B10="",1,(IF(Besatzung!$C$22="",Besatzung!$B$5,Besatzung!$C$22)&lt;=B10)*(IF(Besatzung!$D$22="",Besatzung!$B$6,Besatzung!$D$22)&gt;=B10)))*((G10-IFERROR(H10,0))/IFERROR(SUMPRODUCT((Besatzung!$B$11:$B$22&lt;&gt;"")*(IF(Besatzung!$C$11:$C$22="",Besatzung!$B$5,Besatzung!$C$11:$C$22)&lt;=B10)*(IF(Besatzung!$D$11:$D$22="",Besatzung!$B$6,Besatzung!$D$11:$D$22)&gt;=B10)),1)+(Besatzung!$F$22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U10="x")*((G10-IFERROR(H10,0))/IFERROR(COUNTIF(J10:U10,"x"),1)+(Besatzung!$F$22="x")*IFERROR(H10,0)/IFERROR(SUMPRODUCT((J10:U10="x")*(Besatzung!$F$11:$F$22="x")),1))),(IF(COUNTIF(J10:U10,"x")=0,IF(Besatzung!$B$22&lt;&gt;"",1,0),(U10="x"))*(G10-IFERROR(H10,0))/IFERROR(IF(COUNTIF(J10:U10,"x")=0,COUNTA(Besatzung!$B$11:$B$22),COUNTIF(J10:U10,"x")),1)+IF(COUNTIF(J10:U10,"x")=0,(Besatzung!$F$22="x"),(U10="x")*(Besatzung!$F$22="x"))*IFERROR(H10,0)/IFERROR(IF(COUNTIF(J10:U10,"x")=0,SUMPRODUCT((Besatzung!$B$11:$B$22&lt;&gt;"")*(Besatzung!$F$11:$F$22="x")),SUMPRODUCT((J10:U10="x")*(Besatzung!$F$11:$F$22="x"))),1))))),0))))</f>
        <v/>
      </c>
      <c r="AH10" s="107" t="n"/>
      <c r="AI10" s="107" t="n"/>
    </row>
    <row r="11" ht="21.75" customHeight="1" s="182">
      <c r="A11" s="97">
        <f>IF(AND(D11="",C11=""),"",8)</f>
        <v/>
      </c>
      <c r="B11" s="63" t="n"/>
      <c r="C11" s="108" t="n"/>
      <c r="D11" s="109" t="n"/>
      <c r="E11" s="110" t="n"/>
      <c r="F11" s="111" t="n"/>
      <c r="G11" s="112" t="n"/>
      <c r="H11" s="113" t="n"/>
      <c r="I11" s="114" t="n"/>
      <c r="J11" s="115" t="n"/>
      <c r="K11" s="115" t="n"/>
      <c r="L11" s="115" t="n"/>
      <c r="M11" s="115" t="n"/>
      <c r="N11" s="115" t="n"/>
      <c r="O11" s="115" t="n"/>
      <c r="P11" s="115" t="n"/>
      <c r="Q11" s="115" t="n"/>
      <c r="R11" s="115" t="n"/>
      <c r="S11" s="115" t="n"/>
      <c r="T11" s="115" t="n"/>
      <c r="U11" s="115" t="n"/>
      <c r="V11" s="106">
        <f>IF(C11="Gutschrift","",IF(G11="","",IF(Besatzung!$B$11="","",IFERROR(IF(I11="Zeitanteilig",(Besatzung!$G$11*(G11-IFERROR(H11,0))+((Besatzung!$B$11&lt;&gt;"")*IF(B11="",1,(IF(Besatzung!$C$11="",Besatzung!$B$5,Besatzung!$C$11)&lt;=B11)*(IF(Besatzung!$D$11="",Besatzung!$B$6,Besatzung!$D$11)&gt;=B11)))*(Besatzung!$F$11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$11&lt;&gt;"")*IF(B11="",1,(IF(Besatzung!$C$11="",Besatzung!$B$5,Besatzung!$C$11)&lt;=B11)*(IF(Besatzung!$D$11="",Besatzung!$B$6,Besatzung!$D$11)&gt;=B11)))*((G11-IFERROR(H11,0))/IFERROR(SUMPRODUCT((Besatzung!$B$11:$B$22&lt;&gt;"")*(IF(Besatzung!$C$11:$C$22="",Besatzung!$B$5,Besatzung!$C$11:$C$22)&lt;=B11)*(IF(Besatzung!$D$11:$D$22="",Besatzung!$B$6,Besatzung!$D$11:$D$22)&gt;=B11)),1)+(Besatzung!$F$11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J11="x")*((G11-IFERROR(H11,0))/IFERROR(COUNTIF(J11:U11,"x"),1)+(Besatzung!$F$11="x")*IFERROR(H11,0)/IFERROR(SUMPRODUCT((J11:U11="x")*(Besatzung!$F$11:$F$22="x")),1))),(IF(COUNTIF(J11:U11,"x")=0,IF(Besatzung!$B$11&lt;&gt;"",1,0),(J11="x"))*(G11-IFERROR(H11,0))/IFERROR(IF(COUNTIF(J11:U11,"x")=0,COUNTA(Besatzung!$B$11:$B$22),COUNTIF(J11:U11,"x")),1)+IF(COUNTIF(J11:U11,"x")=0,(Besatzung!$F$11="x"),(J11="x")*(Besatzung!$F$11="x"))*IFERROR(H11,0)/IFERROR(IF(COUNTIF(J11:U11,"x")=0,SUMPRODUCT((Besatzung!$B$11:$B$22&lt;&gt;"")*(Besatzung!$F$11:$F$22="x")),SUMPRODUCT((J11:U11="x")*(Besatzung!$F$11:$F$22="x"))),1))))),0))))</f>
        <v/>
      </c>
      <c r="W11" s="106">
        <f>IF(C11="Gutschrift","",IF(G11="","",IF(Besatzung!$B$12="","",IFERROR(IF(I11="Zeitanteilig",(Besatzung!$G$12*(G11-IFERROR(H11,0))+((Besatzung!$B$12&lt;&gt;"")*IF(B11="",1,(IF(Besatzung!$C$12="",Besatzung!$B$5,Besatzung!$C$12)&lt;=B11)*(IF(Besatzung!$D$12="",Besatzung!$B$6,Besatzung!$D$12)&gt;=B11)))*(Besatzung!$F$12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$12&lt;&gt;"")*IF(B11="",1,(IF(Besatzung!$C$12="",Besatzung!$B$5,Besatzung!$C$12)&lt;=B11)*(IF(Besatzung!$D$12="",Besatzung!$B$6,Besatzung!$D$12)&gt;=B11)))*((G11-IFERROR(H11,0))/IFERROR(SUMPRODUCT((Besatzung!$B$11:$B$22&lt;&gt;"")*(IF(Besatzung!$C$11:$C$22="",Besatzung!$B$5,Besatzung!$C$11:$C$22)&lt;=B11)*(IF(Besatzung!$D$11:$D$22="",Besatzung!$B$6,Besatzung!$D$11:$D$22)&gt;=B11)),1)+(Besatzung!$F$12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K11="x")*((G11-IFERROR(H11,0))/IFERROR(COUNTIF(J11:U11,"x"),1)+(Besatzung!$F$12="x")*IFERROR(H11,0)/IFERROR(SUMPRODUCT((J11:U11="x")*(Besatzung!$F$11:$F$22="x")),1))),(IF(COUNTIF(J11:U11,"x")=0,IF(Besatzung!$B$12&lt;&gt;"",1,0),(K11="x"))*(G11-IFERROR(H11,0))/IFERROR(IF(COUNTIF(J11:U11,"x")=0,COUNTA(Besatzung!$B$11:$B$22),COUNTIF(J11:U11,"x")),1)+IF(COUNTIF(J11:U11,"x")=0,(Besatzung!$F$12="x"),(K11="x")*(Besatzung!$F$12="x"))*IFERROR(H11,0)/IFERROR(IF(COUNTIF(J11:U11,"x")=0,SUMPRODUCT((Besatzung!$B$11:$B$22&lt;&gt;"")*(Besatzung!$F$11:$F$22="x")),SUMPRODUCT((J11:U11="x")*(Besatzung!$F$11:$F$22="x"))),1))))),0))))</f>
        <v/>
      </c>
      <c r="X11" s="106">
        <f>IF(C11="Gutschrift","",IF(G11="","",IF(Besatzung!$B$13="","",IFERROR(IF(I11="Zeitanteilig",(Besatzung!$G$13*(G11-IFERROR(H11,0))+((Besatzung!$B$13&lt;&gt;"")*IF(B11="",1,(IF(Besatzung!$C$13="",Besatzung!$B$5,Besatzung!$C$13)&lt;=B11)*(IF(Besatzung!$D$13="",Besatzung!$B$6,Besatzung!$D$13)&gt;=B11)))*(Besatzung!$F$13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$13&lt;&gt;"")*IF(B11="",1,(IF(Besatzung!$C$13="",Besatzung!$B$5,Besatzung!$C$13)&lt;=B11)*(IF(Besatzung!$D$13="",Besatzung!$B$6,Besatzung!$D$13)&gt;=B11)))*((G11-IFERROR(H11,0))/IFERROR(SUMPRODUCT((Besatzung!$B$11:$B$22&lt;&gt;"")*(IF(Besatzung!$C$11:$C$22="",Besatzung!$B$5,Besatzung!$C$11:$C$22)&lt;=B11)*(IF(Besatzung!$D$11:$D$22="",Besatzung!$B$6,Besatzung!$D$11:$D$22)&gt;=B11)),1)+(Besatzung!$F$13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K11="x")*((G11-IFERROR(H11,0))/IFERROR(COUNTIF(J11:U11,"x"),1)+(Besatzung!$F$13="x")*IFERROR(H11,0)/IFERROR(SUMPRODUCT((J11:U11="x")*(Besatzung!$F$11:$F$22="x")),1))),(IF(COUNTIF(J11:U11,"x")=0,IF(Besatzung!$B$13&lt;&gt;"",1,0),(K11="x"))*(G11-IFERROR(H11,0))/IFERROR(IF(COUNTIF(J11:U11,"x")=0,COUNTA(Besatzung!$B$11:$B$22),COUNTIF(J11:U11,"x")),1)+IF(COUNTIF(J11:U11,"x")=0,(Besatzung!$F$13="x"),(K11="x")*(Besatzung!$F$13="x"))*IFERROR(H11,0)/IFERROR(IF(COUNTIF(J11:U11,"x")=0,SUMPRODUCT((Besatzung!$B$11:$B$22&lt;&gt;"")*(Besatzung!$F$11:$F$22="x")),SUMPRODUCT((J11:U11="x")*(Besatzung!$F$11:$F$22="x"))),1))))),0))))</f>
        <v/>
      </c>
      <c r="Y11" s="106">
        <f>IF(C11="Gutschrift","",IF(G11="","",IF(Besatzung!$B$14="","",IFERROR(IF(I11="Zeitanteilig",(Besatzung!$G$14*(G11-IFERROR(H11,0))+((Besatzung!$B$14&lt;&gt;"")*IF(B11="",1,(IF(Besatzung!$C$14="",Besatzung!$B$5,Besatzung!$C$14)&lt;=B11)*(IF(Besatzung!$D$14="",Besatzung!$B$6,Besatzung!$D$14)&gt;=B11)))*(Besatzung!$F$14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$14&lt;&gt;"")*IF(B11="",1,(IF(Besatzung!$C$14="",Besatzung!$B$5,Besatzung!$C$14)&lt;=B11)*(IF(Besatzung!$D$14="",Besatzung!$B$6,Besatzung!$D$14)&gt;=B11)))*((G11-IFERROR(H11,0))/IFERROR(SUMPRODUCT((Besatzung!$B$11:$B$22&lt;&gt;"")*(IF(Besatzung!$C$11:$C$22="",Besatzung!$B$5,Besatzung!$C$11:$C$22)&lt;=B11)*(IF(Besatzung!$D$11:$D$22="",Besatzung!$B$6,Besatzung!$D$11:$D$22)&gt;=B11)),1)+(Besatzung!$F$14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M11="x")*((G11-IFERROR(H11,0))/IFERROR(COUNTIF(J11:U11,"x"),1)+(Besatzung!$F$14="x")*IFERROR(H11,0)/IFERROR(SUMPRODUCT((J11:U11="x")*(Besatzung!$F$11:$F$22="x")),1))),(IF(COUNTIF(J11:U11,"x")=0,IF(Besatzung!$B$14&lt;&gt;"",1,0),(M11="x"))*(G11-IFERROR(H11,0))/IFERROR(IF(COUNTIF(J11:U11,"x")=0,COUNTA(Besatzung!$B$11:$B$22),COUNTIF(J11:U11,"x")),1)+IF(COUNTIF(J11:U11,"x")=0,(Besatzung!$F$14="x"),(M11="x")*(Besatzung!$F$14="x"))*IFERROR(H11,0)/IFERROR(IF(COUNTIF(J11:U11,"x")=0,SUMPRODUCT((Besatzung!$B$11:$B$22&lt;&gt;"")*(Besatzung!$F$11:$F$22="x")),SUMPRODUCT((J11:U11="x")*(Besatzung!$F$11:$F$22="x"))),1))))),0))))</f>
        <v/>
      </c>
      <c r="Z11" s="106">
        <f>IF(C11="Gutschrift","",IF(G11="","",IF(Besatzung!$B$13="","",IFERROR(IF(I11="Zeitanteilig",(Besatzung!$G$15*(G11-IFERROR(H11,0))+((Besatzung!$B$13&lt;&gt;"")*IF(B11="",1,(IF(Besatzung!$C$15="",Besatzung!$B$5,Besatzung!$C$15)&lt;=B11)*(IF(Besatzung!$D$15="",Besatzung!$B$6,Besatzung!$D$15)&gt;=B11)))*(Besatzung!$F$15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$13&lt;&gt;"")*IF(B11="",1,(IF(Besatzung!$C$15="",Besatzung!$B$5,Besatzung!$C$15)&lt;=B11)*(IF(Besatzung!$D$15="",Besatzung!$B$6,Besatzung!$D$15)&gt;=B11)))*((G11-IFERROR(H11,0))/IFERROR(SUMPRODUCT((Besatzung!$B$11:$B$22&lt;&gt;"")*(IF(Besatzung!$C$11:$C$22="",Besatzung!$B$5,Besatzung!$C$11:$C$22)&lt;=B11)*(IF(Besatzung!$D$11:$D$22="",Besatzung!$B$6,Besatzung!$D$11:$D$22)&gt;=B11)),1)+(Besatzung!$F$15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N11="x")*((G11-IFERROR(H11,0))/IFERROR(COUNTIF(J11:U11,"x"),1)+(Besatzung!$F$15="x")*IFERROR(H11,0)/IFERROR(SUMPRODUCT((J11:U11="x")*(Besatzung!$F$11:$F$22="x")),1))),(IF(COUNTIF(J11:U11,"x")=0,IF(Besatzung!$B$13&lt;&gt;"",1,0),(N11="x"))*(G11-IFERROR(H11,0))/IFERROR(IF(COUNTIF(J11:U11,"x")=0,COUNTA(Besatzung!$B$11:$B$22),COUNTIF(J11:U11,"x")),1)+IF(COUNTIF(J11:U11,"x")=0,(Besatzung!$F$15="x"),(N11="x")*(Besatzung!$F$15="x"))*IFERROR(H11,0)/IFERROR(IF(COUNTIF(J11:U11,"x")=0,SUMPRODUCT((Besatzung!$B$11:$B$22&lt;&gt;"")*(Besatzung!$F$11:$F$22="x")),SUMPRODUCT((J11:U11="x")*(Besatzung!$F$11:$F$22="x"))),1))))),0))))</f>
        <v/>
      </c>
      <c r="AA11" s="106">
        <f>IF(C11="Gutschrift","",IF(G11="","",IF(Besatzung!$B$15="","",IFERROR(IF(I11="Zeitanteilig",(Besatzung!$G$16*(G11-IFERROR(H11,0))+((Besatzung!$B$15&lt;&gt;"")*IF(B11="",1,(IF(Besatzung!$C$16="",Besatzung!$B$5,Besatzung!$C$16)&lt;=B11)*(IF(Besatzung!$D$16="",Besatzung!$B$6,Besatzung!$D$16)&gt;=B11)))*(Besatzung!$F$16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$15&lt;&gt;"")*IF(B11="",1,(IF(Besatzung!$C$16="",Besatzung!$B$5,Besatzung!$C$16)&lt;=B11)*(IF(Besatzung!$D$16="",Besatzung!$B$6,Besatzung!$D$16)&gt;=B11)))*((G11-IFERROR(H11,0))/IFERROR(SUMPRODUCT((Besatzung!$B$11:$B$22&lt;&gt;"")*(IF(Besatzung!$C$11:$C$22="",Besatzung!$B$5,Besatzung!$C$11:$C$22)&lt;=B11)*(IF(Besatzung!$D$11:$D$22="",Besatzung!$B$6,Besatzung!$D$11:$D$22)&gt;=B11)),1)+(Besatzung!$F$16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O11="x")*((G11-IFERROR(H11,0))/IFERROR(COUNTIF(J11:U11,"x"),1)+(Besatzung!$F$16="x")*IFERROR(H11,0)/IFERROR(SUMPRODUCT((J11:U11="x")*(Besatzung!$F$11:$F$22="x")),1))),(IF(COUNTIF(J11:U11,"x")=0,IF(Besatzung!$B$15&lt;&gt;"",1,0),(O11="x"))*(G11-IFERROR(H11,0))/IFERROR(IF(COUNTIF(J11:U11,"x")=0,COUNTA(Besatzung!$B$11:$B$22),COUNTIF(J11:U11,"x")),1)+IF(COUNTIF(J11:U11,"x")=0,(Besatzung!$F$16="x"),(O11="x")*(Besatzung!$F$16="x"))*IFERROR(H11,0)/IFERROR(IF(COUNTIF(J11:U11,"x")=0,SUMPRODUCT((Besatzung!$B$11:$B$22&lt;&gt;"")*(Besatzung!$F$11:$F$22="x")),SUMPRODUCT((J11:U11="x")*(Besatzung!$F$11:$F$22="x"))),1))))),0))))</f>
        <v/>
      </c>
      <c r="AB11" s="106">
        <f>IF(C11="Gutschrift","",IF(G11="","",IF(Besatzung!$B$17="","",IFERROR(IF(I11="Zeitanteilig",(Besatzung!$G$17*(G11-IFERROR(H11,0))+((Besatzung!$B$17&lt;&gt;"")*IF(B11="",1,(IF(Besatzung!$C$17="",Besatzung!$B$5,Besatzung!$C$17)&lt;=B11)*(IF(Besatzung!$D$17="",Besatzung!$B$6,Besatzung!$D$17)&gt;=B11)))*(Besatzung!$F$17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$17&lt;&gt;"")*IF(B11="",1,(IF(Besatzung!$C$17="",Besatzung!$B$5,Besatzung!$C$17)&lt;=B11)*(IF(Besatzung!$D$17="",Besatzung!$B$6,Besatzung!$D$17)&gt;=B11)))*((G11-IFERROR(H11,0))/IFERROR(SUMPRODUCT((Besatzung!$B$11:$B$22&lt;&gt;"")*(IF(Besatzung!$C$11:$C$22="",Besatzung!$B$5,Besatzung!$C$11:$C$22)&lt;=B11)*(IF(Besatzung!$D$11:$D$22="",Besatzung!$B$6,Besatzung!$D$11:$D$22)&gt;=B11)),1)+(Besatzung!$F$17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P11="x")*((G11-IFERROR(H11,0))/IFERROR(COUNTIF(J11:U11,"x"),1)+(Besatzung!$F$17="x")*IFERROR(H11,0)/IFERROR(SUMPRODUCT((J11:U11="x")*(Besatzung!$F$11:$F$22="x")),1))),(IF(COUNTIF(J11:U11,"x")=0,IF(Besatzung!$B$17&lt;&gt;"",1,0),(P11="x"))*(G11-IFERROR(H11,0))/IFERROR(IF(COUNTIF(J11:U11,"x")=0,COUNTA(Besatzung!$B$11:$B$22),COUNTIF(J11:U11,"x")),1)+IF(COUNTIF(J11:U11,"x")=0,(Besatzung!$F$17="x"),(P11="x")*(Besatzung!$F$17="x"))*IFERROR(H11,0)/IFERROR(IF(COUNTIF(J11:U11,"x")=0,SUMPRODUCT((Besatzung!$B$11:$B$22&lt;&gt;"")*(Besatzung!$F$11:$F$22="x")),SUMPRODUCT((J11:U11="x")*(Besatzung!$F$11:$F$22="x"))),1))))),0))))</f>
        <v/>
      </c>
      <c r="AC11" s="106">
        <f>IF(C11="Gutschrift","",IF(G11="","",IF(Besatzung!$B$18="","",IFERROR(IF(I11="Zeitanteilig",(Besatzung!$G$18*(G11-IFERROR(H11,0))+((Besatzung!$B$18&lt;&gt;"")*IF(B11="",1,(IF(Besatzung!$C$18="",Besatzung!$B$5,Besatzung!$C$18)&lt;=B11)*(IF(Besatzung!$D$18="",Besatzung!$B$6,Besatzung!$D$18)&gt;=B11)))*(Besatzung!$F$18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$18&lt;&gt;"")*IF(B11="",1,(IF(Besatzung!$C$18="",Besatzung!$B$5,Besatzung!$C$18)&lt;=B11)*(IF(Besatzung!$D$18="",Besatzung!$B$6,Besatzung!$D$18)&gt;=B11)))*((G11-IFERROR(H11,0))/IFERROR(SUMPRODUCT((Besatzung!$B$11:$B$22&lt;&gt;"")*(IF(Besatzung!$C$11:$C$22="",Besatzung!$B$5,Besatzung!$C$11:$C$22)&lt;=B11)*(IF(Besatzung!$D$11:$D$22="",Besatzung!$B$6,Besatzung!$D$11:$D$22)&gt;=B11)),1)+(Besatzung!$F$18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Q11="x")*((G11-IFERROR(H11,0))/IFERROR(COUNTIF(J11:U11,"x"),1)+(Besatzung!$F$18="x")*IFERROR(H11,0)/IFERROR(SUMPRODUCT((J11:U11="x")*(Besatzung!$F$11:$F$22="x")),1))),(IF(COUNTIF(J11:U11,"x")=0,IF(Besatzung!$B$18&lt;&gt;"",1,0),(Q11="x"))*(G11-IFERROR(H11,0))/IFERROR(IF(COUNTIF(J11:U11,"x")=0,COUNTA(Besatzung!$B$11:$B$22),COUNTIF(J11:U11,"x")),1)+IF(COUNTIF(J11:U11,"x")=0,(Besatzung!$F$18="x"),(Q11="x")*(Besatzung!$F$18="x"))*IFERROR(H11,0)/IFERROR(IF(COUNTIF(J11:U11,"x")=0,SUMPRODUCT((Besatzung!$B$11:$B$22&lt;&gt;"")*(Besatzung!$F$11:$F$22="x")),SUMPRODUCT((J11:U11="x")*(Besatzung!$F$11:$F$22="x"))),1))))),0))))</f>
        <v/>
      </c>
      <c r="AD11" s="106">
        <f>IF(C11="Gutschrift","",IF(G11="","",IF(Besatzung!$B$19="","",IFERROR(IF(I11="Zeitanteilig",(Besatzung!$G$19*(G11-IFERROR(H11,0))+((Besatzung!$B$19&lt;&gt;"")*IF(B11="",1,(IF(Besatzung!$C$19="",Besatzung!$B$5,Besatzung!$C$19)&lt;=B11)*(IF(Besatzung!$D$19="",Besatzung!$B$6,Besatzung!$D$19)&gt;=B11)))*(Besatzung!$F$19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$19&lt;&gt;"")*IF(B11="",1,(IF(Besatzung!$C$19="",Besatzung!$B$5,Besatzung!$C$19)&lt;=B11)*(IF(Besatzung!$D$19="",Besatzung!$B$6,Besatzung!$D$19)&gt;=B11)))*((G11-IFERROR(H11,0))/IFERROR(SUMPRODUCT((Besatzung!$B$11:$B$22&lt;&gt;"")*(IF(Besatzung!$C$11:$C$22="",Besatzung!$B$5,Besatzung!$C$11:$C$22)&lt;=B11)*(IF(Besatzung!$D$11:$D$22="",Besatzung!$B$6,Besatzung!$D$11:$D$22)&gt;=B11)),1)+(Besatzung!$F$19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R11="x")*((G11-IFERROR(H11,0))/IFERROR(COUNTIF(J11:U11,"x"),1)+(Besatzung!$F$19="x")*IFERROR(H11,0)/IFERROR(SUMPRODUCT((J11:U11="x")*(Besatzung!$F$11:$F$22="x")),1))),(IF(COUNTIF(J11:U11,"x")=0,IF(Besatzung!$B$19&lt;&gt;"",1,0),(R11="x"))*(G11-IFERROR(H11,0))/IFERROR(IF(COUNTIF(J11:U11,"x")=0,COUNTA(Besatzung!$B$11:$B$22),COUNTIF(J11:U11,"x")),1)+IF(COUNTIF(J11:U11,"x")=0,(Besatzung!$F$19="x"),(R11="x")*(Besatzung!$F$19="x"))*IFERROR(H11,0)/IFERROR(IF(COUNTIF(J11:U11,"x")=0,SUMPRODUCT((Besatzung!$B$11:$B$22&lt;&gt;"")*(Besatzung!$F$11:$F$22="x")),SUMPRODUCT((J11:U11="x")*(Besatzung!$F$11:$F$22="x"))),1))))),0))))</f>
        <v/>
      </c>
      <c r="AE11" s="106">
        <f>IF(C11="Gutschrift","",IF(G11="","",IF(Besatzung!$B$20="","",IFERROR(IF(I11="Zeitanteilig",(Besatzung!$G$20*(G11-IFERROR(H11,0))+((Besatzung!$B$20&lt;&gt;"")*IF(B11="",1,(IF(Besatzung!$C$20="",Besatzung!$B$5,Besatzung!$C$20)&lt;=B11)*(IF(Besatzung!$D$20="",Besatzung!$B$6,Besatzung!$D$20)&gt;=B11)))*(Besatzung!$F$20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$20&lt;&gt;"")*IF(B11="",1,(IF(Besatzung!$C$20="",Besatzung!$B$5,Besatzung!$C$20)&lt;=B11)*(IF(Besatzung!$D$20="",Besatzung!$B$6,Besatzung!$D$20)&gt;=B11)))*((G11-IFERROR(H11,0))/IFERROR(SUMPRODUCT((Besatzung!$B$11:$B$22&lt;&gt;"")*(IF(Besatzung!$C$11:$C$22="",Besatzung!$B$5,Besatzung!$C$11:$C$22)&lt;=B11)*(IF(Besatzung!$D$11:$D$22="",Besatzung!$B$6,Besatzung!$D$11:$D$22)&gt;=B11)),1)+(Besatzung!$F$20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S11="x")*((G11-IFERROR(H11,0))/IFERROR(COUNTIF(J11:U11,"x"),1)+(Besatzung!$F$20="x")*IFERROR(H11,0)/IFERROR(SUMPRODUCT((J11:U11="x")*(Besatzung!$F$11:$F$22="x")),1))),(IF(COUNTIF(J11:U11,"x")=0,IF(Besatzung!$B$20&lt;&gt;"",1,0),(S11="x"))*(G11-IFERROR(H11,0))/IFERROR(IF(COUNTIF(J11:U11,"x")=0,COUNTA(Besatzung!$B$11:$B$22),COUNTIF(J11:U11,"x")),1)+IF(COUNTIF(J11:U11,"x")=0,(Besatzung!$F$20="x"),(S11="x")*(Besatzung!$F$20="x"))*IFERROR(H11,0)/IFERROR(IF(COUNTIF(J11:U11,"x")=0,SUMPRODUCT((Besatzung!$B$11:$B$22&lt;&gt;"")*(Besatzung!$F$11:$F$22="x")),SUMPRODUCT((J11:U11="x")*(Besatzung!$F$11:$F$22="x"))),1))))),0))))</f>
        <v/>
      </c>
      <c r="AF11" s="106">
        <f>IF(C11="Gutschrift","",IF(G11="","",IF(Besatzung!$B$21="","",IFERROR(IF(I11="Zeitanteilig",(Besatzung!$G$21*(G11-IFERROR(H11,0))+((Besatzung!$B$21&lt;&gt;"")*IF(B11="",1,(IF(Besatzung!$C$21="",Besatzung!$B$5,Besatzung!$C$21)&lt;=B11)*(IF(Besatzung!$D$21="",Besatzung!$B$6,Besatzung!$D$21)&gt;=B11)))*(Besatzung!$F$21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$21&lt;&gt;"")*IF(B11="",1,(IF(Besatzung!$C$21="",Besatzung!$B$5,Besatzung!$C$21)&lt;=B11)*(IF(Besatzung!$D$21="",Besatzung!$B$6,Besatzung!$D$21)&gt;=B11)))*((G11-IFERROR(H11,0))/IFERROR(SUMPRODUCT((Besatzung!$B$11:$B$22&lt;&gt;"")*(IF(Besatzung!$C$11:$C$22="",Besatzung!$B$5,Besatzung!$C$11:$C$22)&lt;=B11)*(IF(Besatzung!$D$11:$D$22="",Besatzung!$B$6,Besatzung!$D$11:$D$22)&gt;=B11)),1)+(Besatzung!$F$21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T11="x")*((G11-IFERROR(H11,0))/IFERROR(COUNTIF(J11:U11,"x"),1)+(Besatzung!$F$21="x")*IFERROR(H11,0)/IFERROR(SUMPRODUCT((J11:U11="x")*(Besatzung!$F$11:$F$22="x")),1))),(IF(COUNTIF(J11:U11,"x")=0,IF(Besatzung!$B$21&lt;&gt;"",1,0),(T11="x"))*(G11-IFERROR(H11,0))/IFERROR(IF(COUNTIF(J11:U11,"x")=0,COUNTA(Besatzung!$B$11:$B$22),COUNTIF(J11:U11,"x")),1)+IF(COUNTIF(J11:U11,"x")=0,(Besatzung!$F$21="x"),(T11="x")*(Besatzung!$F$21="x"))*IFERROR(H11,0)/IFERROR(IF(COUNTIF(J11:U11,"x")=0,SUMPRODUCT((Besatzung!$B$11:$B$22&lt;&gt;"")*(Besatzung!$F$11:$F$22="x")),SUMPRODUCT((J11:U11="x")*(Besatzung!$F$11:$F$22="x"))),1))))),0))))</f>
        <v/>
      </c>
      <c r="AG11" s="106">
        <f>IF(C11="Gutschrift","",IF(G11="","",IF(Besatzung!$B$22="","",IFERROR(IF(I11="Zeitanteilig",(Besatzung!$G$22*(G11-IFERROR(H11,0))+((Besatzung!$B$22&lt;&gt;"")*IF(B11="",1,(IF(Besatzung!$C$22="",Besatzung!$B$5,Besatzung!$C$22)&lt;=B11)*(IF(Besatzung!$D$22="",Besatzung!$B$6,Besatzung!$D$22)&gt;=B11)))*(Besatzung!$F$22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$22&lt;&gt;"")*IF(B11="",1,(IF(Besatzung!$C$22="",Besatzung!$B$5,Besatzung!$C$22)&lt;=B11)*(IF(Besatzung!$D$22="",Besatzung!$B$6,Besatzung!$D$22)&gt;=B11)))*((G11-IFERROR(H11,0))/IFERROR(SUMPRODUCT((Besatzung!$B$11:$B$22&lt;&gt;"")*(IF(Besatzung!$C$11:$C$22="",Besatzung!$B$5,Besatzung!$C$11:$C$22)&lt;=B11)*(IF(Besatzung!$D$11:$D$22="",Besatzung!$B$6,Besatzung!$D$11:$D$22)&gt;=B11)),1)+(Besatzung!$F$22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U11="x")*((G11-IFERROR(H11,0))/IFERROR(COUNTIF(J11:U11,"x"),1)+(Besatzung!$F$22="x")*IFERROR(H11,0)/IFERROR(SUMPRODUCT((J11:U11="x")*(Besatzung!$F$11:$F$22="x")),1))),(IF(COUNTIF(J11:U11,"x")=0,IF(Besatzung!$B$22&lt;&gt;"",1,0),(U11="x"))*(G11-IFERROR(H11,0))/IFERROR(IF(COUNTIF(J11:U11,"x")=0,COUNTA(Besatzung!$B$11:$B$22),COUNTIF(J11:U11,"x")),1)+IF(COUNTIF(J11:U11,"x")=0,(Besatzung!$F$22="x"),(U11="x")*(Besatzung!$F$22="x"))*IFERROR(H11,0)/IFERROR(IF(COUNTIF(J11:U11,"x")=0,SUMPRODUCT((Besatzung!$B$11:$B$22&lt;&gt;"")*(Besatzung!$F$11:$F$22="x")),SUMPRODUCT((J11:U11="x")*(Besatzung!$F$11:$F$22="x"))),1))))),0))))</f>
        <v/>
      </c>
      <c r="AH11" s="107" t="n"/>
      <c r="AI11" s="107" t="n"/>
    </row>
    <row r="12" ht="21.75" customHeight="1" s="182">
      <c r="A12" s="97">
        <f>IF(AND(D12="",C12=""),"",9)</f>
        <v/>
      </c>
      <c r="B12" s="56" t="n"/>
      <c r="C12" s="98" t="n"/>
      <c r="D12" s="99" t="n"/>
      <c r="E12" s="100" t="n"/>
      <c r="F12" s="101" t="n"/>
      <c r="G12" s="102" t="n"/>
      <c r="H12" s="103" t="n"/>
      <c r="I12" s="104" t="n"/>
      <c r="J12" s="105" t="n"/>
      <c r="K12" s="105" t="n"/>
      <c r="L12" s="105" t="n"/>
      <c r="M12" s="105" t="n"/>
      <c r="N12" s="105" t="n"/>
      <c r="O12" s="105" t="n"/>
      <c r="P12" s="105" t="n"/>
      <c r="Q12" s="105" t="n"/>
      <c r="R12" s="105" t="n"/>
      <c r="S12" s="105" t="n"/>
      <c r="T12" s="105" t="n"/>
      <c r="U12" s="105" t="n"/>
      <c r="V12" s="106">
        <f>IF(C12="Gutschrift","",IF(G12="","",IF(Besatzung!$B$11="","",IFERROR(IF(I12="Zeitanteilig",(Besatzung!$G$11*(G12-IFERROR(H12,0))+((Besatzung!$B$11&lt;&gt;"")*IF(B12="",1,(IF(Besatzung!$C$11="",Besatzung!$B$5,Besatzung!$C$11)&lt;=B12)*(IF(Besatzung!$D$11="",Besatzung!$B$6,Besatzung!$D$11)&gt;=B12)))*(Besatzung!$F$11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$11&lt;&gt;"")*IF(B12="",1,(IF(Besatzung!$C$11="",Besatzung!$B$5,Besatzung!$C$11)&lt;=B12)*(IF(Besatzung!$D$11="",Besatzung!$B$6,Besatzung!$D$11)&gt;=B12)))*((G12-IFERROR(H12,0))/IFERROR(SUMPRODUCT((Besatzung!$B$11:$B$22&lt;&gt;"")*(IF(Besatzung!$C$11:$C$22="",Besatzung!$B$5,Besatzung!$C$11:$C$22)&lt;=B12)*(IF(Besatzung!$D$11:$D$22="",Besatzung!$B$6,Besatzung!$D$11:$D$22)&gt;=B12)),1)+(Besatzung!$F$11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J12="x")*((G12-IFERROR(H12,0))/IFERROR(COUNTIF(J12:U12,"x"),1)+(Besatzung!$F$11="x")*IFERROR(H12,0)/IFERROR(SUMPRODUCT((J12:U12="x")*(Besatzung!$F$11:$F$22="x")),1))),(IF(COUNTIF(J12:U12,"x")=0,IF(Besatzung!$B$11&lt;&gt;"",1,0),(J12="x"))*(G12-IFERROR(H12,0))/IFERROR(IF(COUNTIF(J12:U12,"x")=0,COUNTA(Besatzung!$B$11:$B$22),COUNTIF(J12:U12,"x")),1)+IF(COUNTIF(J12:U12,"x")=0,(Besatzung!$F$11="x"),(J12="x")*(Besatzung!$F$11="x"))*IFERROR(H12,0)/IFERROR(IF(COUNTIF(J12:U12,"x")=0,SUMPRODUCT((Besatzung!$B$11:$B$22&lt;&gt;"")*(Besatzung!$F$11:$F$22="x")),SUMPRODUCT((J12:U12="x")*(Besatzung!$F$11:$F$22="x"))),1))))),0))))</f>
        <v/>
      </c>
      <c r="W12" s="106">
        <f>IF(C12="Gutschrift","",IF(G12="","",IF(Besatzung!$B$12="","",IFERROR(IF(I12="Zeitanteilig",(Besatzung!$G$12*(G12-IFERROR(H12,0))+((Besatzung!$B$12&lt;&gt;"")*IF(B12="",1,(IF(Besatzung!$C$12="",Besatzung!$B$5,Besatzung!$C$12)&lt;=B12)*(IF(Besatzung!$D$12="",Besatzung!$B$6,Besatzung!$D$12)&gt;=B12)))*(Besatzung!$F$12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$12&lt;&gt;"")*IF(B12="",1,(IF(Besatzung!$C$12="",Besatzung!$B$5,Besatzung!$C$12)&lt;=B12)*(IF(Besatzung!$D$12="",Besatzung!$B$6,Besatzung!$D$12)&gt;=B12)))*((G12-IFERROR(H12,0))/IFERROR(SUMPRODUCT((Besatzung!$B$11:$B$22&lt;&gt;"")*(IF(Besatzung!$C$11:$C$22="",Besatzung!$B$5,Besatzung!$C$11:$C$22)&lt;=B12)*(IF(Besatzung!$D$11:$D$22="",Besatzung!$B$6,Besatzung!$D$11:$D$22)&gt;=B12)),1)+(Besatzung!$F$12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K12="x")*((G12-IFERROR(H12,0))/IFERROR(COUNTIF(J12:U12,"x"),1)+(Besatzung!$F$12="x")*IFERROR(H12,0)/IFERROR(SUMPRODUCT((J12:U12="x")*(Besatzung!$F$11:$F$22="x")),1))),(IF(COUNTIF(J12:U12,"x")=0,IF(Besatzung!$B$12&lt;&gt;"",1,0),(K12="x"))*(G12-IFERROR(H12,0))/IFERROR(IF(COUNTIF(J12:U12,"x")=0,COUNTA(Besatzung!$B$11:$B$22),COUNTIF(J12:U12,"x")),1)+IF(COUNTIF(J12:U12,"x")=0,(Besatzung!$F$12="x"),(K12="x")*(Besatzung!$F$12="x"))*IFERROR(H12,0)/IFERROR(IF(COUNTIF(J12:U12,"x")=0,SUMPRODUCT((Besatzung!$B$11:$B$22&lt;&gt;"")*(Besatzung!$F$11:$F$22="x")),SUMPRODUCT((J12:U12="x")*(Besatzung!$F$11:$F$22="x"))),1))))),0))))</f>
        <v/>
      </c>
      <c r="X12" s="106">
        <f>IF(C12="Gutschrift","",IF(G12="","",IF(Besatzung!$B$13="","",IFERROR(IF(I12="Zeitanteilig",(Besatzung!$G$13*(G12-IFERROR(H12,0))+((Besatzung!$B$13&lt;&gt;"")*IF(B12="",1,(IF(Besatzung!$C$13="",Besatzung!$B$5,Besatzung!$C$13)&lt;=B12)*(IF(Besatzung!$D$13="",Besatzung!$B$6,Besatzung!$D$13)&gt;=B12)))*(Besatzung!$F$13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$13&lt;&gt;"")*IF(B12="",1,(IF(Besatzung!$C$13="",Besatzung!$B$5,Besatzung!$C$13)&lt;=B12)*(IF(Besatzung!$D$13="",Besatzung!$B$6,Besatzung!$D$13)&gt;=B12)))*((G12-IFERROR(H12,0))/IFERROR(SUMPRODUCT((Besatzung!$B$11:$B$22&lt;&gt;"")*(IF(Besatzung!$C$11:$C$22="",Besatzung!$B$5,Besatzung!$C$11:$C$22)&lt;=B12)*(IF(Besatzung!$D$11:$D$22="",Besatzung!$B$6,Besatzung!$D$11:$D$22)&gt;=B12)),1)+(Besatzung!$F$13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K12="x")*((G12-IFERROR(H12,0))/IFERROR(COUNTIF(J12:U12,"x"),1)+(Besatzung!$F$13="x")*IFERROR(H12,0)/IFERROR(SUMPRODUCT((J12:U12="x")*(Besatzung!$F$11:$F$22="x")),1))),(IF(COUNTIF(J12:U12,"x")=0,IF(Besatzung!$B$13&lt;&gt;"",1,0),(K12="x"))*(G12-IFERROR(H12,0))/IFERROR(IF(COUNTIF(J12:U12,"x")=0,COUNTA(Besatzung!$B$11:$B$22),COUNTIF(J12:U12,"x")),1)+IF(COUNTIF(J12:U12,"x")=0,(Besatzung!$F$13="x"),(K12="x")*(Besatzung!$F$13="x"))*IFERROR(H12,0)/IFERROR(IF(COUNTIF(J12:U12,"x")=0,SUMPRODUCT((Besatzung!$B$11:$B$22&lt;&gt;"")*(Besatzung!$F$11:$F$22="x")),SUMPRODUCT((J12:U12="x")*(Besatzung!$F$11:$F$22="x"))),1))))),0))))</f>
        <v/>
      </c>
      <c r="Y12" s="106">
        <f>IF(C12="Gutschrift","",IF(G12="","",IF(Besatzung!$B$14="","",IFERROR(IF(I12="Zeitanteilig",(Besatzung!$G$14*(G12-IFERROR(H12,0))+((Besatzung!$B$14&lt;&gt;"")*IF(B12="",1,(IF(Besatzung!$C$14="",Besatzung!$B$5,Besatzung!$C$14)&lt;=B12)*(IF(Besatzung!$D$14="",Besatzung!$B$6,Besatzung!$D$14)&gt;=B12)))*(Besatzung!$F$14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$14&lt;&gt;"")*IF(B12="",1,(IF(Besatzung!$C$14="",Besatzung!$B$5,Besatzung!$C$14)&lt;=B12)*(IF(Besatzung!$D$14="",Besatzung!$B$6,Besatzung!$D$14)&gt;=B12)))*((G12-IFERROR(H12,0))/IFERROR(SUMPRODUCT((Besatzung!$B$11:$B$22&lt;&gt;"")*(IF(Besatzung!$C$11:$C$22="",Besatzung!$B$5,Besatzung!$C$11:$C$22)&lt;=B12)*(IF(Besatzung!$D$11:$D$22="",Besatzung!$B$6,Besatzung!$D$11:$D$22)&gt;=B12)),1)+(Besatzung!$F$14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M12="x")*((G12-IFERROR(H12,0))/IFERROR(COUNTIF(J12:U12,"x"),1)+(Besatzung!$F$14="x")*IFERROR(H12,0)/IFERROR(SUMPRODUCT((J12:U12="x")*(Besatzung!$F$11:$F$22="x")),1))),(IF(COUNTIF(J12:U12,"x")=0,IF(Besatzung!$B$14&lt;&gt;"",1,0),(M12="x"))*(G12-IFERROR(H12,0))/IFERROR(IF(COUNTIF(J12:U12,"x")=0,COUNTA(Besatzung!$B$11:$B$22),COUNTIF(J12:U12,"x")),1)+IF(COUNTIF(J12:U12,"x")=0,(Besatzung!$F$14="x"),(M12="x")*(Besatzung!$F$14="x"))*IFERROR(H12,0)/IFERROR(IF(COUNTIF(J12:U12,"x")=0,SUMPRODUCT((Besatzung!$B$11:$B$22&lt;&gt;"")*(Besatzung!$F$11:$F$22="x")),SUMPRODUCT((J12:U12="x")*(Besatzung!$F$11:$F$22="x"))),1))))),0))))</f>
        <v/>
      </c>
      <c r="Z12" s="106">
        <f>IF(C12="Gutschrift","",IF(G12="","",IF(Besatzung!$B$13="","",IFERROR(IF(I12="Zeitanteilig",(Besatzung!$G$15*(G12-IFERROR(H12,0))+((Besatzung!$B$13&lt;&gt;"")*IF(B12="",1,(IF(Besatzung!$C$15="",Besatzung!$B$5,Besatzung!$C$15)&lt;=B12)*(IF(Besatzung!$D$15="",Besatzung!$B$6,Besatzung!$D$15)&gt;=B12)))*(Besatzung!$F$15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$13&lt;&gt;"")*IF(B12="",1,(IF(Besatzung!$C$15="",Besatzung!$B$5,Besatzung!$C$15)&lt;=B12)*(IF(Besatzung!$D$15="",Besatzung!$B$6,Besatzung!$D$15)&gt;=B12)))*((G12-IFERROR(H12,0))/IFERROR(SUMPRODUCT((Besatzung!$B$11:$B$22&lt;&gt;"")*(IF(Besatzung!$C$11:$C$22="",Besatzung!$B$5,Besatzung!$C$11:$C$22)&lt;=B12)*(IF(Besatzung!$D$11:$D$22="",Besatzung!$B$6,Besatzung!$D$11:$D$22)&gt;=B12)),1)+(Besatzung!$F$15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N12="x")*((G12-IFERROR(H12,0))/IFERROR(COUNTIF(J12:U12,"x"),1)+(Besatzung!$F$15="x")*IFERROR(H12,0)/IFERROR(SUMPRODUCT((J12:U12="x")*(Besatzung!$F$11:$F$22="x")),1))),(IF(COUNTIF(J12:U12,"x")=0,IF(Besatzung!$B$13&lt;&gt;"",1,0),(N12="x"))*(G12-IFERROR(H12,0))/IFERROR(IF(COUNTIF(J12:U12,"x")=0,COUNTA(Besatzung!$B$11:$B$22),COUNTIF(J12:U12,"x")),1)+IF(COUNTIF(J12:U12,"x")=0,(Besatzung!$F$15="x"),(N12="x")*(Besatzung!$F$15="x"))*IFERROR(H12,0)/IFERROR(IF(COUNTIF(J12:U12,"x")=0,SUMPRODUCT((Besatzung!$B$11:$B$22&lt;&gt;"")*(Besatzung!$F$11:$F$22="x")),SUMPRODUCT((J12:U12="x")*(Besatzung!$F$11:$F$22="x"))),1))))),0))))</f>
        <v/>
      </c>
      <c r="AA12" s="106">
        <f>IF(C12="Gutschrift","",IF(G12="","",IF(Besatzung!$B$15="","",IFERROR(IF(I12="Zeitanteilig",(Besatzung!$G$16*(G12-IFERROR(H12,0))+((Besatzung!$B$15&lt;&gt;"")*IF(B12="",1,(IF(Besatzung!$C$16="",Besatzung!$B$5,Besatzung!$C$16)&lt;=B12)*(IF(Besatzung!$D$16="",Besatzung!$B$6,Besatzung!$D$16)&gt;=B12)))*(Besatzung!$F$16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$15&lt;&gt;"")*IF(B12="",1,(IF(Besatzung!$C$16="",Besatzung!$B$5,Besatzung!$C$16)&lt;=B12)*(IF(Besatzung!$D$16="",Besatzung!$B$6,Besatzung!$D$16)&gt;=B12)))*((G12-IFERROR(H12,0))/IFERROR(SUMPRODUCT((Besatzung!$B$11:$B$22&lt;&gt;"")*(IF(Besatzung!$C$11:$C$22="",Besatzung!$B$5,Besatzung!$C$11:$C$22)&lt;=B12)*(IF(Besatzung!$D$11:$D$22="",Besatzung!$B$6,Besatzung!$D$11:$D$22)&gt;=B12)),1)+(Besatzung!$F$16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O12="x")*((G12-IFERROR(H12,0))/IFERROR(COUNTIF(J12:U12,"x"),1)+(Besatzung!$F$16="x")*IFERROR(H12,0)/IFERROR(SUMPRODUCT((J12:U12="x")*(Besatzung!$F$11:$F$22="x")),1))),(IF(COUNTIF(J12:U12,"x")=0,IF(Besatzung!$B$15&lt;&gt;"",1,0),(O12="x"))*(G12-IFERROR(H12,0))/IFERROR(IF(COUNTIF(J12:U12,"x")=0,COUNTA(Besatzung!$B$11:$B$22),COUNTIF(J12:U12,"x")),1)+IF(COUNTIF(J12:U12,"x")=0,(Besatzung!$F$16="x"),(O12="x")*(Besatzung!$F$16="x"))*IFERROR(H12,0)/IFERROR(IF(COUNTIF(J12:U12,"x")=0,SUMPRODUCT((Besatzung!$B$11:$B$22&lt;&gt;"")*(Besatzung!$F$11:$F$22="x")),SUMPRODUCT((J12:U12="x")*(Besatzung!$F$11:$F$22="x"))),1))))),0))))</f>
        <v/>
      </c>
      <c r="AB12" s="106">
        <f>IF(C12="Gutschrift","",IF(G12="","",IF(Besatzung!$B$17="","",IFERROR(IF(I12="Zeitanteilig",(Besatzung!$G$17*(G12-IFERROR(H12,0))+((Besatzung!$B$17&lt;&gt;"")*IF(B12="",1,(IF(Besatzung!$C$17="",Besatzung!$B$5,Besatzung!$C$17)&lt;=B12)*(IF(Besatzung!$D$17="",Besatzung!$B$6,Besatzung!$D$17)&gt;=B12)))*(Besatzung!$F$17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$17&lt;&gt;"")*IF(B12="",1,(IF(Besatzung!$C$17="",Besatzung!$B$5,Besatzung!$C$17)&lt;=B12)*(IF(Besatzung!$D$17="",Besatzung!$B$6,Besatzung!$D$17)&gt;=B12)))*((G12-IFERROR(H12,0))/IFERROR(SUMPRODUCT((Besatzung!$B$11:$B$22&lt;&gt;"")*(IF(Besatzung!$C$11:$C$22="",Besatzung!$B$5,Besatzung!$C$11:$C$22)&lt;=B12)*(IF(Besatzung!$D$11:$D$22="",Besatzung!$B$6,Besatzung!$D$11:$D$22)&gt;=B12)),1)+(Besatzung!$F$17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P12="x")*((G12-IFERROR(H12,0))/IFERROR(COUNTIF(J12:U12,"x"),1)+(Besatzung!$F$17="x")*IFERROR(H12,0)/IFERROR(SUMPRODUCT((J12:U12="x")*(Besatzung!$F$11:$F$22="x")),1))),(IF(COUNTIF(J12:U12,"x")=0,IF(Besatzung!$B$17&lt;&gt;"",1,0),(P12="x"))*(G12-IFERROR(H12,0))/IFERROR(IF(COUNTIF(J12:U12,"x")=0,COUNTA(Besatzung!$B$11:$B$22),COUNTIF(J12:U12,"x")),1)+IF(COUNTIF(J12:U12,"x")=0,(Besatzung!$F$17="x"),(P12="x")*(Besatzung!$F$17="x"))*IFERROR(H12,0)/IFERROR(IF(COUNTIF(J12:U12,"x")=0,SUMPRODUCT((Besatzung!$B$11:$B$22&lt;&gt;"")*(Besatzung!$F$11:$F$22="x")),SUMPRODUCT((J12:U12="x")*(Besatzung!$F$11:$F$22="x"))),1))))),0))))</f>
        <v/>
      </c>
      <c r="AC12" s="106">
        <f>IF(C12="Gutschrift","",IF(G12="","",IF(Besatzung!$B$18="","",IFERROR(IF(I12="Zeitanteilig",(Besatzung!$G$18*(G12-IFERROR(H12,0))+((Besatzung!$B$18&lt;&gt;"")*IF(B12="",1,(IF(Besatzung!$C$18="",Besatzung!$B$5,Besatzung!$C$18)&lt;=B12)*(IF(Besatzung!$D$18="",Besatzung!$B$6,Besatzung!$D$18)&gt;=B12)))*(Besatzung!$F$18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$18&lt;&gt;"")*IF(B12="",1,(IF(Besatzung!$C$18="",Besatzung!$B$5,Besatzung!$C$18)&lt;=B12)*(IF(Besatzung!$D$18="",Besatzung!$B$6,Besatzung!$D$18)&gt;=B12)))*((G12-IFERROR(H12,0))/IFERROR(SUMPRODUCT((Besatzung!$B$11:$B$22&lt;&gt;"")*(IF(Besatzung!$C$11:$C$22="",Besatzung!$B$5,Besatzung!$C$11:$C$22)&lt;=B12)*(IF(Besatzung!$D$11:$D$22="",Besatzung!$B$6,Besatzung!$D$11:$D$22)&gt;=B12)),1)+(Besatzung!$F$18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Q12="x")*((G12-IFERROR(H12,0))/IFERROR(COUNTIF(J12:U12,"x"),1)+(Besatzung!$F$18="x")*IFERROR(H12,0)/IFERROR(SUMPRODUCT((J12:U12="x")*(Besatzung!$F$11:$F$22="x")),1))),(IF(COUNTIF(J12:U12,"x")=0,IF(Besatzung!$B$18&lt;&gt;"",1,0),(Q12="x"))*(G12-IFERROR(H12,0))/IFERROR(IF(COUNTIF(J12:U12,"x")=0,COUNTA(Besatzung!$B$11:$B$22),COUNTIF(J12:U12,"x")),1)+IF(COUNTIF(J12:U12,"x")=0,(Besatzung!$F$18="x"),(Q12="x")*(Besatzung!$F$18="x"))*IFERROR(H12,0)/IFERROR(IF(COUNTIF(J12:U12,"x")=0,SUMPRODUCT((Besatzung!$B$11:$B$22&lt;&gt;"")*(Besatzung!$F$11:$F$22="x")),SUMPRODUCT((J12:U12="x")*(Besatzung!$F$11:$F$22="x"))),1))))),0))))</f>
        <v/>
      </c>
      <c r="AD12" s="106">
        <f>IF(C12="Gutschrift","",IF(G12="","",IF(Besatzung!$B$19="","",IFERROR(IF(I12="Zeitanteilig",(Besatzung!$G$19*(G12-IFERROR(H12,0))+((Besatzung!$B$19&lt;&gt;"")*IF(B12="",1,(IF(Besatzung!$C$19="",Besatzung!$B$5,Besatzung!$C$19)&lt;=B12)*(IF(Besatzung!$D$19="",Besatzung!$B$6,Besatzung!$D$19)&gt;=B12)))*(Besatzung!$F$19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$19&lt;&gt;"")*IF(B12="",1,(IF(Besatzung!$C$19="",Besatzung!$B$5,Besatzung!$C$19)&lt;=B12)*(IF(Besatzung!$D$19="",Besatzung!$B$6,Besatzung!$D$19)&gt;=B12)))*((G12-IFERROR(H12,0))/IFERROR(SUMPRODUCT((Besatzung!$B$11:$B$22&lt;&gt;"")*(IF(Besatzung!$C$11:$C$22="",Besatzung!$B$5,Besatzung!$C$11:$C$22)&lt;=B12)*(IF(Besatzung!$D$11:$D$22="",Besatzung!$B$6,Besatzung!$D$11:$D$22)&gt;=B12)),1)+(Besatzung!$F$19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R12="x")*((G12-IFERROR(H12,0))/IFERROR(COUNTIF(J12:U12,"x"),1)+(Besatzung!$F$19="x")*IFERROR(H12,0)/IFERROR(SUMPRODUCT((J12:U12="x")*(Besatzung!$F$11:$F$22="x")),1))),(IF(COUNTIF(J12:U12,"x")=0,IF(Besatzung!$B$19&lt;&gt;"",1,0),(R12="x"))*(G12-IFERROR(H12,0))/IFERROR(IF(COUNTIF(J12:U12,"x")=0,COUNTA(Besatzung!$B$11:$B$22),COUNTIF(J12:U12,"x")),1)+IF(COUNTIF(J12:U12,"x")=0,(Besatzung!$F$19="x"),(R12="x")*(Besatzung!$F$19="x"))*IFERROR(H12,0)/IFERROR(IF(COUNTIF(J12:U12,"x")=0,SUMPRODUCT((Besatzung!$B$11:$B$22&lt;&gt;"")*(Besatzung!$F$11:$F$22="x")),SUMPRODUCT((J12:U12="x")*(Besatzung!$F$11:$F$22="x"))),1))))),0))))</f>
        <v/>
      </c>
      <c r="AE12" s="106">
        <f>IF(C12="Gutschrift","",IF(G12="","",IF(Besatzung!$B$20="","",IFERROR(IF(I12="Zeitanteilig",(Besatzung!$G$20*(G12-IFERROR(H12,0))+((Besatzung!$B$20&lt;&gt;"")*IF(B12="",1,(IF(Besatzung!$C$20="",Besatzung!$B$5,Besatzung!$C$20)&lt;=B12)*(IF(Besatzung!$D$20="",Besatzung!$B$6,Besatzung!$D$20)&gt;=B12)))*(Besatzung!$F$20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$20&lt;&gt;"")*IF(B12="",1,(IF(Besatzung!$C$20="",Besatzung!$B$5,Besatzung!$C$20)&lt;=B12)*(IF(Besatzung!$D$20="",Besatzung!$B$6,Besatzung!$D$20)&gt;=B12)))*((G12-IFERROR(H12,0))/IFERROR(SUMPRODUCT((Besatzung!$B$11:$B$22&lt;&gt;"")*(IF(Besatzung!$C$11:$C$22="",Besatzung!$B$5,Besatzung!$C$11:$C$22)&lt;=B12)*(IF(Besatzung!$D$11:$D$22="",Besatzung!$B$6,Besatzung!$D$11:$D$22)&gt;=B12)),1)+(Besatzung!$F$20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S12="x")*((G12-IFERROR(H12,0))/IFERROR(COUNTIF(J12:U12,"x"),1)+(Besatzung!$F$20="x")*IFERROR(H12,0)/IFERROR(SUMPRODUCT((J12:U12="x")*(Besatzung!$F$11:$F$22="x")),1))),(IF(COUNTIF(J12:U12,"x")=0,IF(Besatzung!$B$20&lt;&gt;"",1,0),(S12="x"))*(G12-IFERROR(H12,0))/IFERROR(IF(COUNTIF(J12:U12,"x")=0,COUNTA(Besatzung!$B$11:$B$22),COUNTIF(J12:U12,"x")),1)+IF(COUNTIF(J12:U12,"x")=0,(Besatzung!$F$20="x"),(S12="x")*(Besatzung!$F$20="x"))*IFERROR(H12,0)/IFERROR(IF(COUNTIF(J12:U12,"x")=0,SUMPRODUCT((Besatzung!$B$11:$B$22&lt;&gt;"")*(Besatzung!$F$11:$F$22="x")),SUMPRODUCT((J12:U12="x")*(Besatzung!$F$11:$F$22="x"))),1))))),0))))</f>
        <v/>
      </c>
      <c r="AF12" s="106">
        <f>IF(C12="Gutschrift","",IF(G12="","",IF(Besatzung!$B$21="","",IFERROR(IF(I12="Zeitanteilig",(Besatzung!$G$21*(G12-IFERROR(H12,0))+((Besatzung!$B$21&lt;&gt;"")*IF(B12="",1,(IF(Besatzung!$C$21="",Besatzung!$B$5,Besatzung!$C$21)&lt;=B12)*(IF(Besatzung!$D$21="",Besatzung!$B$6,Besatzung!$D$21)&gt;=B12)))*(Besatzung!$F$21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$21&lt;&gt;"")*IF(B12="",1,(IF(Besatzung!$C$21="",Besatzung!$B$5,Besatzung!$C$21)&lt;=B12)*(IF(Besatzung!$D$21="",Besatzung!$B$6,Besatzung!$D$21)&gt;=B12)))*((G12-IFERROR(H12,0))/IFERROR(SUMPRODUCT((Besatzung!$B$11:$B$22&lt;&gt;"")*(IF(Besatzung!$C$11:$C$22="",Besatzung!$B$5,Besatzung!$C$11:$C$22)&lt;=B12)*(IF(Besatzung!$D$11:$D$22="",Besatzung!$B$6,Besatzung!$D$11:$D$22)&gt;=B12)),1)+(Besatzung!$F$21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T12="x")*((G12-IFERROR(H12,0))/IFERROR(COUNTIF(J12:U12,"x"),1)+(Besatzung!$F$21="x")*IFERROR(H12,0)/IFERROR(SUMPRODUCT((J12:U12="x")*(Besatzung!$F$11:$F$22="x")),1))),(IF(COUNTIF(J12:U12,"x")=0,IF(Besatzung!$B$21&lt;&gt;"",1,0),(T12="x"))*(G12-IFERROR(H12,0))/IFERROR(IF(COUNTIF(J12:U12,"x")=0,COUNTA(Besatzung!$B$11:$B$22),COUNTIF(J12:U12,"x")),1)+IF(COUNTIF(J12:U12,"x")=0,(Besatzung!$F$21="x"),(T12="x")*(Besatzung!$F$21="x"))*IFERROR(H12,0)/IFERROR(IF(COUNTIF(J12:U12,"x")=0,SUMPRODUCT((Besatzung!$B$11:$B$22&lt;&gt;"")*(Besatzung!$F$11:$F$22="x")),SUMPRODUCT((J12:U12="x")*(Besatzung!$F$11:$F$22="x"))),1))))),0))))</f>
        <v/>
      </c>
      <c r="AG12" s="106">
        <f>IF(C12="Gutschrift","",IF(G12="","",IF(Besatzung!$B$22="","",IFERROR(IF(I12="Zeitanteilig",(Besatzung!$G$22*(G12-IFERROR(H12,0))+((Besatzung!$B$22&lt;&gt;"")*IF(B12="",1,(IF(Besatzung!$C$22="",Besatzung!$B$5,Besatzung!$C$22)&lt;=B12)*(IF(Besatzung!$D$22="",Besatzung!$B$6,Besatzung!$D$22)&gt;=B12)))*(Besatzung!$F$22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$22&lt;&gt;"")*IF(B12="",1,(IF(Besatzung!$C$22="",Besatzung!$B$5,Besatzung!$C$22)&lt;=B12)*(IF(Besatzung!$D$22="",Besatzung!$B$6,Besatzung!$D$22)&gt;=B12)))*((G12-IFERROR(H12,0))/IFERROR(SUMPRODUCT((Besatzung!$B$11:$B$22&lt;&gt;"")*(IF(Besatzung!$C$11:$C$22="",Besatzung!$B$5,Besatzung!$C$11:$C$22)&lt;=B12)*(IF(Besatzung!$D$11:$D$22="",Besatzung!$B$6,Besatzung!$D$11:$D$22)&gt;=B12)),1)+(Besatzung!$F$22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U12="x")*((G12-IFERROR(H12,0))/IFERROR(COUNTIF(J12:U12,"x"),1)+(Besatzung!$F$22="x")*IFERROR(H12,0)/IFERROR(SUMPRODUCT((J12:U12="x")*(Besatzung!$F$11:$F$22="x")),1))),(IF(COUNTIF(J12:U12,"x")=0,IF(Besatzung!$B$22&lt;&gt;"",1,0),(U12="x"))*(G12-IFERROR(H12,0))/IFERROR(IF(COUNTIF(J12:U12,"x")=0,COUNTA(Besatzung!$B$11:$B$22),COUNTIF(J12:U12,"x")),1)+IF(COUNTIF(J12:U12,"x")=0,(Besatzung!$F$22="x"),(U12="x")*(Besatzung!$F$22="x"))*IFERROR(H12,0)/IFERROR(IF(COUNTIF(J12:U12,"x")=0,SUMPRODUCT((Besatzung!$B$11:$B$22&lt;&gt;"")*(Besatzung!$F$11:$F$22="x")),SUMPRODUCT((J12:U12="x")*(Besatzung!$F$11:$F$22="x"))),1))))),0))))</f>
        <v/>
      </c>
      <c r="AH12" s="107" t="n"/>
      <c r="AI12" s="107" t="n"/>
    </row>
    <row r="13" ht="21.75" customHeight="1" s="182">
      <c r="A13" s="97">
        <f>IF(AND(D13="",C13=""),"",10)</f>
        <v/>
      </c>
      <c r="B13" s="63" t="n"/>
      <c r="C13" s="108" t="n"/>
      <c r="D13" s="109" t="n"/>
      <c r="E13" s="110" t="n"/>
      <c r="F13" s="111" t="n"/>
      <c r="G13" s="112" t="n"/>
      <c r="H13" s="113" t="n"/>
      <c r="I13" s="114" t="n"/>
      <c r="J13" s="115" t="n"/>
      <c r="K13" s="115" t="n"/>
      <c r="L13" s="115" t="n"/>
      <c r="M13" s="115" t="n"/>
      <c r="N13" s="115" t="n"/>
      <c r="O13" s="115" t="n"/>
      <c r="P13" s="115" t="n"/>
      <c r="Q13" s="115" t="n"/>
      <c r="R13" s="115" t="n"/>
      <c r="S13" s="115" t="n"/>
      <c r="T13" s="115" t="n"/>
      <c r="U13" s="115" t="n"/>
      <c r="V13" s="106">
        <f>IF(C13="Gutschrift","",IF(G13="","",IF(Besatzung!$B$11="","",IFERROR(IF(I13="Zeitanteilig",(Besatzung!$G$11*(G13-IFERROR(H13,0))+((Besatzung!$B$11&lt;&gt;"")*IF(B13="",1,(IF(Besatzung!$C$11="",Besatzung!$B$5,Besatzung!$C$11)&lt;=B13)*(IF(Besatzung!$D$11="",Besatzung!$B$6,Besatzung!$D$11)&gt;=B13)))*(Besatzung!$F$11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$11&lt;&gt;"")*IF(B13="",1,(IF(Besatzung!$C$11="",Besatzung!$B$5,Besatzung!$C$11)&lt;=B13)*(IF(Besatzung!$D$11="",Besatzung!$B$6,Besatzung!$D$11)&gt;=B13)))*((G13-IFERROR(H13,0))/IFERROR(SUMPRODUCT((Besatzung!$B$11:$B$22&lt;&gt;"")*(IF(Besatzung!$C$11:$C$22="",Besatzung!$B$5,Besatzung!$C$11:$C$22)&lt;=B13)*(IF(Besatzung!$D$11:$D$22="",Besatzung!$B$6,Besatzung!$D$11:$D$22)&gt;=B13)),1)+(Besatzung!$F$11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J13="x")*((G13-IFERROR(H13,0))/IFERROR(COUNTIF(J13:U13,"x"),1)+(Besatzung!$F$11="x")*IFERROR(H13,0)/IFERROR(SUMPRODUCT((J13:U13="x")*(Besatzung!$F$11:$F$22="x")),1))),(IF(COUNTIF(J13:U13,"x")=0,IF(Besatzung!$B$11&lt;&gt;"",1,0),(J13="x"))*(G13-IFERROR(H13,0))/IFERROR(IF(COUNTIF(J13:U13,"x")=0,COUNTA(Besatzung!$B$11:$B$22),COUNTIF(J13:U13,"x")),1)+IF(COUNTIF(J13:U13,"x")=0,(Besatzung!$F$11="x"),(J13="x")*(Besatzung!$F$11="x"))*IFERROR(H13,0)/IFERROR(IF(COUNTIF(J13:U13,"x")=0,SUMPRODUCT((Besatzung!$B$11:$B$22&lt;&gt;"")*(Besatzung!$F$11:$F$22="x")),SUMPRODUCT((J13:U13="x")*(Besatzung!$F$11:$F$22="x"))),1))))),0))))</f>
        <v/>
      </c>
      <c r="W13" s="106">
        <f>IF(C13="Gutschrift","",IF(G13="","",IF(Besatzung!$B$12="","",IFERROR(IF(I13="Zeitanteilig",(Besatzung!$G$12*(G13-IFERROR(H13,0))+((Besatzung!$B$12&lt;&gt;"")*IF(B13="",1,(IF(Besatzung!$C$12="",Besatzung!$B$5,Besatzung!$C$12)&lt;=B13)*(IF(Besatzung!$D$12="",Besatzung!$B$6,Besatzung!$D$12)&gt;=B13)))*(Besatzung!$F$12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$12&lt;&gt;"")*IF(B13="",1,(IF(Besatzung!$C$12="",Besatzung!$B$5,Besatzung!$C$12)&lt;=B13)*(IF(Besatzung!$D$12="",Besatzung!$B$6,Besatzung!$D$12)&gt;=B13)))*((G13-IFERROR(H13,0))/IFERROR(SUMPRODUCT((Besatzung!$B$11:$B$22&lt;&gt;"")*(IF(Besatzung!$C$11:$C$22="",Besatzung!$B$5,Besatzung!$C$11:$C$22)&lt;=B13)*(IF(Besatzung!$D$11:$D$22="",Besatzung!$B$6,Besatzung!$D$11:$D$22)&gt;=B13)),1)+(Besatzung!$F$12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K13="x")*((G13-IFERROR(H13,0))/IFERROR(COUNTIF(J13:U13,"x"),1)+(Besatzung!$F$12="x")*IFERROR(H13,0)/IFERROR(SUMPRODUCT((J13:U13="x")*(Besatzung!$F$11:$F$22="x")),1))),(IF(COUNTIF(J13:U13,"x")=0,IF(Besatzung!$B$12&lt;&gt;"",1,0),(K13="x"))*(G13-IFERROR(H13,0))/IFERROR(IF(COUNTIF(J13:U13,"x")=0,COUNTA(Besatzung!$B$11:$B$22),COUNTIF(J13:U13,"x")),1)+IF(COUNTIF(J13:U13,"x")=0,(Besatzung!$F$12="x"),(K13="x")*(Besatzung!$F$12="x"))*IFERROR(H13,0)/IFERROR(IF(COUNTIF(J13:U13,"x")=0,SUMPRODUCT((Besatzung!$B$11:$B$22&lt;&gt;"")*(Besatzung!$F$11:$F$22="x")),SUMPRODUCT((J13:U13="x")*(Besatzung!$F$11:$F$22="x"))),1))))),0))))</f>
        <v/>
      </c>
      <c r="X13" s="106">
        <f>IF(C13="Gutschrift","",IF(G13="","",IF(Besatzung!$B$13="","",IFERROR(IF(I13="Zeitanteilig",(Besatzung!$G$13*(G13-IFERROR(H13,0))+((Besatzung!$B$13&lt;&gt;"")*IF(B13="",1,(IF(Besatzung!$C$13="",Besatzung!$B$5,Besatzung!$C$13)&lt;=B13)*(IF(Besatzung!$D$13="",Besatzung!$B$6,Besatzung!$D$13)&gt;=B13)))*(Besatzung!$F$13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$13&lt;&gt;"")*IF(B13="",1,(IF(Besatzung!$C$13="",Besatzung!$B$5,Besatzung!$C$13)&lt;=B13)*(IF(Besatzung!$D$13="",Besatzung!$B$6,Besatzung!$D$13)&gt;=B13)))*((G13-IFERROR(H13,0))/IFERROR(SUMPRODUCT((Besatzung!$B$11:$B$22&lt;&gt;"")*(IF(Besatzung!$C$11:$C$22="",Besatzung!$B$5,Besatzung!$C$11:$C$22)&lt;=B13)*(IF(Besatzung!$D$11:$D$22="",Besatzung!$B$6,Besatzung!$D$11:$D$22)&gt;=B13)),1)+(Besatzung!$F$13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K13="x")*((G13-IFERROR(H13,0))/IFERROR(COUNTIF(J13:U13,"x"),1)+(Besatzung!$F$13="x")*IFERROR(H13,0)/IFERROR(SUMPRODUCT((J13:U13="x")*(Besatzung!$F$11:$F$22="x")),1))),(IF(COUNTIF(J13:U13,"x")=0,IF(Besatzung!$B$13&lt;&gt;"",1,0),(K13="x"))*(G13-IFERROR(H13,0))/IFERROR(IF(COUNTIF(J13:U13,"x")=0,COUNTA(Besatzung!$B$11:$B$22),COUNTIF(J13:U13,"x")),1)+IF(COUNTIF(J13:U13,"x")=0,(Besatzung!$F$13="x"),(K13="x")*(Besatzung!$F$13="x"))*IFERROR(H13,0)/IFERROR(IF(COUNTIF(J13:U13,"x")=0,SUMPRODUCT((Besatzung!$B$11:$B$22&lt;&gt;"")*(Besatzung!$F$11:$F$22="x")),SUMPRODUCT((J13:U13="x")*(Besatzung!$F$11:$F$22="x"))),1))))),0))))</f>
        <v/>
      </c>
      <c r="Y13" s="106">
        <f>IF(C13="Gutschrift","",IF(G13="","",IF(Besatzung!$B$14="","",IFERROR(IF(I13="Zeitanteilig",(Besatzung!$G$14*(G13-IFERROR(H13,0))+((Besatzung!$B$14&lt;&gt;"")*IF(B13="",1,(IF(Besatzung!$C$14="",Besatzung!$B$5,Besatzung!$C$14)&lt;=B13)*(IF(Besatzung!$D$14="",Besatzung!$B$6,Besatzung!$D$14)&gt;=B13)))*(Besatzung!$F$14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$14&lt;&gt;"")*IF(B13="",1,(IF(Besatzung!$C$14="",Besatzung!$B$5,Besatzung!$C$14)&lt;=B13)*(IF(Besatzung!$D$14="",Besatzung!$B$6,Besatzung!$D$14)&gt;=B13)))*((G13-IFERROR(H13,0))/IFERROR(SUMPRODUCT((Besatzung!$B$11:$B$22&lt;&gt;"")*(IF(Besatzung!$C$11:$C$22="",Besatzung!$B$5,Besatzung!$C$11:$C$22)&lt;=B13)*(IF(Besatzung!$D$11:$D$22="",Besatzung!$B$6,Besatzung!$D$11:$D$22)&gt;=B13)),1)+(Besatzung!$F$14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M13="x")*((G13-IFERROR(H13,0))/IFERROR(COUNTIF(J13:U13,"x"),1)+(Besatzung!$F$14="x")*IFERROR(H13,0)/IFERROR(SUMPRODUCT((J13:U13="x")*(Besatzung!$F$11:$F$22="x")),1))),(IF(COUNTIF(J13:U13,"x")=0,IF(Besatzung!$B$14&lt;&gt;"",1,0),(M13="x"))*(G13-IFERROR(H13,0))/IFERROR(IF(COUNTIF(J13:U13,"x")=0,COUNTA(Besatzung!$B$11:$B$22),COUNTIF(J13:U13,"x")),1)+IF(COUNTIF(J13:U13,"x")=0,(Besatzung!$F$14="x"),(M13="x")*(Besatzung!$F$14="x"))*IFERROR(H13,0)/IFERROR(IF(COUNTIF(J13:U13,"x")=0,SUMPRODUCT((Besatzung!$B$11:$B$22&lt;&gt;"")*(Besatzung!$F$11:$F$22="x")),SUMPRODUCT((J13:U13="x")*(Besatzung!$F$11:$F$22="x"))),1))))),0))))</f>
        <v/>
      </c>
      <c r="Z13" s="106">
        <f>IF(C13="Gutschrift","",IF(G13="","",IF(Besatzung!$B$13="","",IFERROR(IF(I13="Zeitanteilig",(Besatzung!$G$15*(G13-IFERROR(H13,0))+((Besatzung!$B$13&lt;&gt;"")*IF(B13="",1,(IF(Besatzung!$C$15="",Besatzung!$B$5,Besatzung!$C$15)&lt;=B13)*(IF(Besatzung!$D$15="",Besatzung!$B$6,Besatzung!$D$15)&gt;=B13)))*(Besatzung!$F$15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$13&lt;&gt;"")*IF(B13="",1,(IF(Besatzung!$C$15="",Besatzung!$B$5,Besatzung!$C$15)&lt;=B13)*(IF(Besatzung!$D$15="",Besatzung!$B$6,Besatzung!$D$15)&gt;=B13)))*((G13-IFERROR(H13,0))/IFERROR(SUMPRODUCT((Besatzung!$B$11:$B$22&lt;&gt;"")*(IF(Besatzung!$C$11:$C$22="",Besatzung!$B$5,Besatzung!$C$11:$C$22)&lt;=B13)*(IF(Besatzung!$D$11:$D$22="",Besatzung!$B$6,Besatzung!$D$11:$D$22)&gt;=B13)),1)+(Besatzung!$F$15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N13="x")*((G13-IFERROR(H13,0))/IFERROR(COUNTIF(J13:U13,"x"),1)+(Besatzung!$F$15="x")*IFERROR(H13,0)/IFERROR(SUMPRODUCT((J13:U13="x")*(Besatzung!$F$11:$F$22="x")),1))),(IF(COUNTIF(J13:U13,"x")=0,IF(Besatzung!$B$13&lt;&gt;"",1,0),(N13="x"))*(G13-IFERROR(H13,0))/IFERROR(IF(COUNTIF(J13:U13,"x")=0,COUNTA(Besatzung!$B$11:$B$22),COUNTIF(J13:U13,"x")),1)+IF(COUNTIF(J13:U13,"x")=0,(Besatzung!$F$15="x"),(N13="x")*(Besatzung!$F$15="x"))*IFERROR(H13,0)/IFERROR(IF(COUNTIF(J13:U13,"x")=0,SUMPRODUCT((Besatzung!$B$11:$B$22&lt;&gt;"")*(Besatzung!$F$11:$F$22="x")),SUMPRODUCT((J13:U13="x")*(Besatzung!$F$11:$F$22="x"))),1))))),0))))</f>
        <v/>
      </c>
      <c r="AA13" s="106">
        <f>IF(C13="Gutschrift","",IF(G13="","",IF(Besatzung!$B$15="","",IFERROR(IF(I13="Zeitanteilig",(Besatzung!$G$16*(G13-IFERROR(H13,0))+((Besatzung!$B$15&lt;&gt;"")*IF(B13="",1,(IF(Besatzung!$C$16="",Besatzung!$B$5,Besatzung!$C$16)&lt;=B13)*(IF(Besatzung!$D$16="",Besatzung!$B$6,Besatzung!$D$16)&gt;=B13)))*(Besatzung!$F$16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$15&lt;&gt;"")*IF(B13="",1,(IF(Besatzung!$C$16="",Besatzung!$B$5,Besatzung!$C$16)&lt;=B13)*(IF(Besatzung!$D$16="",Besatzung!$B$6,Besatzung!$D$16)&gt;=B13)))*((G13-IFERROR(H13,0))/IFERROR(SUMPRODUCT((Besatzung!$B$11:$B$22&lt;&gt;"")*(IF(Besatzung!$C$11:$C$22="",Besatzung!$B$5,Besatzung!$C$11:$C$22)&lt;=B13)*(IF(Besatzung!$D$11:$D$22="",Besatzung!$B$6,Besatzung!$D$11:$D$22)&gt;=B13)),1)+(Besatzung!$F$16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O13="x")*((G13-IFERROR(H13,0))/IFERROR(COUNTIF(J13:U13,"x"),1)+(Besatzung!$F$16="x")*IFERROR(H13,0)/IFERROR(SUMPRODUCT((J13:U13="x")*(Besatzung!$F$11:$F$22="x")),1))),(IF(COUNTIF(J13:U13,"x")=0,IF(Besatzung!$B$15&lt;&gt;"",1,0),(O13="x"))*(G13-IFERROR(H13,0))/IFERROR(IF(COUNTIF(J13:U13,"x")=0,COUNTA(Besatzung!$B$11:$B$22),COUNTIF(J13:U13,"x")),1)+IF(COUNTIF(J13:U13,"x")=0,(Besatzung!$F$16="x"),(O13="x")*(Besatzung!$F$16="x"))*IFERROR(H13,0)/IFERROR(IF(COUNTIF(J13:U13,"x")=0,SUMPRODUCT((Besatzung!$B$11:$B$22&lt;&gt;"")*(Besatzung!$F$11:$F$22="x")),SUMPRODUCT((J13:U13="x")*(Besatzung!$F$11:$F$22="x"))),1))))),0))))</f>
        <v/>
      </c>
      <c r="AB13" s="106">
        <f>IF(C13="Gutschrift","",IF(G13="","",IF(Besatzung!$B$17="","",IFERROR(IF(I13="Zeitanteilig",(Besatzung!$G$17*(G13-IFERROR(H13,0))+((Besatzung!$B$17&lt;&gt;"")*IF(B13="",1,(IF(Besatzung!$C$17="",Besatzung!$B$5,Besatzung!$C$17)&lt;=B13)*(IF(Besatzung!$D$17="",Besatzung!$B$6,Besatzung!$D$17)&gt;=B13)))*(Besatzung!$F$17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$17&lt;&gt;"")*IF(B13="",1,(IF(Besatzung!$C$17="",Besatzung!$B$5,Besatzung!$C$17)&lt;=B13)*(IF(Besatzung!$D$17="",Besatzung!$B$6,Besatzung!$D$17)&gt;=B13)))*((G13-IFERROR(H13,0))/IFERROR(SUMPRODUCT((Besatzung!$B$11:$B$22&lt;&gt;"")*(IF(Besatzung!$C$11:$C$22="",Besatzung!$B$5,Besatzung!$C$11:$C$22)&lt;=B13)*(IF(Besatzung!$D$11:$D$22="",Besatzung!$B$6,Besatzung!$D$11:$D$22)&gt;=B13)),1)+(Besatzung!$F$17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P13="x")*((G13-IFERROR(H13,0))/IFERROR(COUNTIF(J13:U13,"x"),1)+(Besatzung!$F$17="x")*IFERROR(H13,0)/IFERROR(SUMPRODUCT((J13:U13="x")*(Besatzung!$F$11:$F$22="x")),1))),(IF(COUNTIF(J13:U13,"x")=0,IF(Besatzung!$B$17&lt;&gt;"",1,0),(P13="x"))*(G13-IFERROR(H13,0))/IFERROR(IF(COUNTIF(J13:U13,"x")=0,COUNTA(Besatzung!$B$11:$B$22),COUNTIF(J13:U13,"x")),1)+IF(COUNTIF(J13:U13,"x")=0,(Besatzung!$F$17="x"),(P13="x")*(Besatzung!$F$17="x"))*IFERROR(H13,0)/IFERROR(IF(COUNTIF(J13:U13,"x")=0,SUMPRODUCT((Besatzung!$B$11:$B$22&lt;&gt;"")*(Besatzung!$F$11:$F$22="x")),SUMPRODUCT((J13:U13="x")*(Besatzung!$F$11:$F$22="x"))),1))))),0))))</f>
        <v/>
      </c>
      <c r="AC13" s="106">
        <f>IF(C13="Gutschrift","",IF(G13="","",IF(Besatzung!$B$18="","",IFERROR(IF(I13="Zeitanteilig",(Besatzung!$G$18*(G13-IFERROR(H13,0))+((Besatzung!$B$18&lt;&gt;"")*IF(B13="",1,(IF(Besatzung!$C$18="",Besatzung!$B$5,Besatzung!$C$18)&lt;=B13)*(IF(Besatzung!$D$18="",Besatzung!$B$6,Besatzung!$D$18)&gt;=B13)))*(Besatzung!$F$18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$18&lt;&gt;"")*IF(B13="",1,(IF(Besatzung!$C$18="",Besatzung!$B$5,Besatzung!$C$18)&lt;=B13)*(IF(Besatzung!$D$18="",Besatzung!$B$6,Besatzung!$D$18)&gt;=B13)))*((G13-IFERROR(H13,0))/IFERROR(SUMPRODUCT((Besatzung!$B$11:$B$22&lt;&gt;"")*(IF(Besatzung!$C$11:$C$22="",Besatzung!$B$5,Besatzung!$C$11:$C$22)&lt;=B13)*(IF(Besatzung!$D$11:$D$22="",Besatzung!$B$6,Besatzung!$D$11:$D$22)&gt;=B13)),1)+(Besatzung!$F$18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Q13="x")*((G13-IFERROR(H13,0))/IFERROR(COUNTIF(J13:U13,"x"),1)+(Besatzung!$F$18="x")*IFERROR(H13,0)/IFERROR(SUMPRODUCT((J13:U13="x")*(Besatzung!$F$11:$F$22="x")),1))),(IF(COUNTIF(J13:U13,"x")=0,IF(Besatzung!$B$18&lt;&gt;"",1,0),(Q13="x"))*(G13-IFERROR(H13,0))/IFERROR(IF(COUNTIF(J13:U13,"x")=0,COUNTA(Besatzung!$B$11:$B$22),COUNTIF(J13:U13,"x")),1)+IF(COUNTIF(J13:U13,"x")=0,(Besatzung!$F$18="x"),(Q13="x")*(Besatzung!$F$18="x"))*IFERROR(H13,0)/IFERROR(IF(COUNTIF(J13:U13,"x")=0,SUMPRODUCT((Besatzung!$B$11:$B$22&lt;&gt;"")*(Besatzung!$F$11:$F$22="x")),SUMPRODUCT((J13:U13="x")*(Besatzung!$F$11:$F$22="x"))),1))))),0))))</f>
        <v/>
      </c>
      <c r="AD13" s="106">
        <f>IF(C13="Gutschrift","",IF(G13="","",IF(Besatzung!$B$19="","",IFERROR(IF(I13="Zeitanteilig",(Besatzung!$G$19*(G13-IFERROR(H13,0))+((Besatzung!$B$19&lt;&gt;"")*IF(B13="",1,(IF(Besatzung!$C$19="",Besatzung!$B$5,Besatzung!$C$19)&lt;=B13)*(IF(Besatzung!$D$19="",Besatzung!$B$6,Besatzung!$D$19)&gt;=B13)))*(Besatzung!$F$19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$19&lt;&gt;"")*IF(B13="",1,(IF(Besatzung!$C$19="",Besatzung!$B$5,Besatzung!$C$19)&lt;=B13)*(IF(Besatzung!$D$19="",Besatzung!$B$6,Besatzung!$D$19)&gt;=B13)))*((G13-IFERROR(H13,0))/IFERROR(SUMPRODUCT((Besatzung!$B$11:$B$22&lt;&gt;"")*(IF(Besatzung!$C$11:$C$22="",Besatzung!$B$5,Besatzung!$C$11:$C$22)&lt;=B13)*(IF(Besatzung!$D$11:$D$22="",Besatzung!$B$6,Besatzung!$D$11:$D$22)&gt;=B13)),1)+(Besatzung!$F$19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R13="x")*((G13-IFERROR(H13,0))/IFERROR(COUNTIF(J13:U13,"x"),1)+(Besatzung!$F$19="x")*IFERROR(H13,0)/IFERROR(SUMPRODUCT((J13:U13="x")*(Besatzung!$F$11:$F$22="x")),1))),(IF(COUNTIF(J13:U13,"x")=0,IF(Besatzung!$B$19&lt;&gt;"",1,0),(R13="x"))*(G13-IFERROR(H13,0))/IFERROR(IF(COUNTIF(J13:U13,"x")=0,COUNTA(Besatzung!$B$11:$B$22),COUNTIF(J13:U13,"x")),1)+IF(COUNTIF(J13:U13,"x")=0,(Besatzung!$F$19="x"),(R13="x")*(Besatzung!$F$19="x"))*IFERROR(H13,0)/IFERROR(IF(COUNTIF(J13:U13,"x")=0,SUMPRODUCT((Besatzung!$B$11:$B$22&lt;&gt;"")*(Besatzung!$F$11:$F$22="x")),SUMPRODUCT((J13:U13="x")*(Besatzung!$F$11:$F$22="x"))),1))))),0))))</f>
        <v/>
      </c>
      <c r="AE13" s="106">
        <f>IF(C13="Gutschrift","",IF(G13="","",IF(Besatzung!$B$20="","",IFERROR(IF(I13="Zeitanteilig",(Besatzung!$G$20*(G13-IFERROR(H13,0))+((Besatzung!$B$20&lt;&gt;"")*IF(B13="",1,(IF(Besatzung!$C$20="",Besatzung!$B$5,Besatzung!$C$20)&lt;=B13)*(IF(Besatzung!$D$20="",Besatzung!$B$6,Besatzung!$D$20)&gt;=B13)))*(Besatzung!$F$20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$20&lt;&gt;"")*IF(B13="",1,(IF(Besatzung!$C$20="",Besatzung!$B$5,Besatzung!$C$20)&lt;=B13)*(IF(Besatzung!$D$20="",Besatzung!$B$6,Besatzung!$D$20)&gt;=B13)))*((G13-IFERROR(H13,0))/IFERROR(SUMPRODUCT((Besatzung!$B$11:$B$22&lt;&gt;"")*(IF(Besatzung!$C$11:$C$22="",Besatzung!$B$5,Besatzung!$C$11:$C$22)&lt;=B13)*(IF(Besatzung!$D$11:$D$22="",Besatzung!$B$6,Besatzung!$D$11:$D$22)&gt;=B13)),1)+(Besatzung!$F$20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S13="x")*((G13-IFERROR(H13,0))/IFERROR(COUNTIF(J13:U13,"x"),1)+(Besatzung!$F$20="x")*IFERROR(H13,0)/IFERROR(SUMPRODUCT((J13:U13="x")*(Besatzung!$F$11:$F$22="x")),1))),(IF(COUNTIF(J13:U13,"x")=0,IF(Besatzung!$B$20&lt;&gt;"",1,0),(S13="x"))*(G13-IFERROR(H13,0))/IFERROR(IF(COUNTIF(J13:U13,"x")=0,COUNTA(Besatzung!$B$11:$B$22),COUNTIF(J13:U13,"x")),1)+IF(COUNTIF(J13:U13,"x")=0,(Besatzung!$F$20="x"),(S13="x")*(Besatzung!$F$20="x"))*IFERROR(H13,0)/IFERROR(IF(COUNTIF(J13:U13,"x")=0,SUMPRODUCT((Besatzung!$B$11:$B$22&lt;&gt;"")*(Besatzung!$F$11:$F$22="x")),SUMPRODUCT((J13:U13="x")*(Besatzung!$F$11:$F$22="x"))),1))))),0))))</f>
        <v/>
      </c>
      <c r="AF13" s="106">
        <f>IF(C13="Gutschrift","",IF(G13="","",IF(Besatzung!$B$21="","",IFERROR(IF(I13="Zeitanteilig",(Besatzung!$G$21*(G13-IFERROR(H13,0))+((Besatzung!$B$21&lt;&gt;"")*IF(B13="",1,(IF(Besatzung!$C$21="",Besatzung!$B$5,Besatzung!$C$21)&lt;=B13)*(IF(Besatzung!$D$21="",Besatzung!$B$6,Besatzung!$D$21)&gt;=B13)))*(Besatzung!$F$21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$21&lt;&gt;"")*IF(B13="",1,(IF(Besatzung!$C$21="",Besatzung!$B$5,Besatzung!$C$21)&lt;=B13)*(IF(Besatzung!$D$21="",Besatzung!$B$6,Besatzung!$D$21)&gt;=B13)))*((G13-IFERROR(H13,0))/IFERROR(SUMPRODUCT((Besatzung!$B$11:$B$22&lt;&gt;"")*(IF(Besatzung!$C$11:$C$22="",Besatzung!$B$5,Besatzung!$C$11:$C$22)&lt;=B13)*(IF(Besatzung!$D$11:$D$22="",Besatzung!$B$6,Besatzung!$D$11:$D$22)&gt;=B13)),1)+(Besatzung!$F$21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T13="x")*((G13-IFERROR(H13,0))/IFERROR(COUNTIF(J13:U13,"x"),1)+(Besatzung!$F$21="x")*IFERROR(H13,0)/IFERROR(SUMPRODUCT((J13:U13="x")*(Besatzung!$F$11:$F$22="x")),1))),(IF(COUNTIF(J13:U13,"x")=0,IF(Besatzung!$B$21&lt;&gt;"",1,0),(T13="x"))*(G13-IFERROR(H13,0))/IFERROR(IF(COUNTIF(J13:U13,"x")=0,COUNTA(Besatzung!$B$11:$B$22),COUNTIF(J13:U13,"x")),1)+IF(COUNTIF(J13:U13,"x")=0,(Besatzung!$F$21="x"),(T13="x")*(Besatzung!$F$21="x"))*IFERROR(H13,0)/IFERROR(IF(COUNTIF(J13:U13,"x")=0,SUMPRODUCT((Besatzung!$B$11:$B$22&lt;&gt;"")*(Besatzung!$F$11:$F$22="x")),SUMPRODUCT((J13:U13="x")*(Besatzung!$F$11:$F$22="x"))),1))))),0))))</f>
        <v/>
      </c>
      <c r="AG13" s="106">
        <f>IF(C13="Gutschrift","",IF(G13="","",IF(Besatzung!$B$22="","",IFERROR(IF(I13="Zeitanteilig",(Besatzung!$G$22*(G13-IFERROR(H13,0))+((Besatzung!$B$22&lt;&gt;"")*IF(B13="",1,(IF(Besatzung!$C$22="",Besatzung!$B$5,Besatzung!$C$22)&lt;=B13)*(IF(Besatzung!$D$22="",Besatzung!$B$6,Besatzung!$D$22)&gt;=B13)))*(Besatzung!$F$22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$22&lt;&gt;"")*IF(B13="",1,(IF(Besatzung!$C$22="",Besatzung!$B$5,Besatzung!$C$22)&lt;=B13)*(IF(Besatzung!$D$22="",Besatzung!$B$6,Besatzung!$D$22)&gt;=B13)))*((G13-IFERROR(H13,0))/IFERROR(SUMPRODUCT((Besatzung!$B$11:$B$22&lt;&gt;"")*(IF(Besatzung!$C$11:$C$22="",Besatzung!$B$5,Besatzung!$C$11:$C$22)&lt;=B13)*(IF(Besatzung!$D$11:$D$22="",Besatzung!$B$6,Besatzung!$D$11:$D$22)&gt;=B13)),1)+(Besatzung!$F$22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U13="x")*((G13-IFERROR(H13,0))/IFERROR(COUNTIF(J13:U13,"x"),1)+(Besatzung!$F$22="x")*IFERROR(H13,0)/IFERROR(SUMPRODUCT((J13:U13="x")*(Besatzung!$F$11:$F$22="x")),1))),(IF(COUNTIF(J13:U13,"x")=0,IF(Besatzung!$B$22&lt;&gt;"",1,0),(U13="x"))*(G13-IFERROR(H13,0))/IFERROR(IF(COUNTIF(J13:U13,"x")=0,COUNTA(Besatzung!$B$11:$B$22),COUNTIF(J13:U13,"x")),1)+IF(COUNTIF(J13:U13,"x")=0,(Besatzung!$F$22="x"),(U13="x")*(Besatzung!$F$22="x"))*IFERROR(H13,0)/IFERROR(IF(COUNTIF(J13:U13,"x")=0,SUMPRODUCT((Besatzung!$B$11:$B$22&lt;&gt;"")*(Besatzung!$F$11:$F$22="x")),SUMPRODUCT((J13:U13="x")*(Besatzung!$F$11:$F$22="x"))),1))))),0))))</f>
        <v/>
      </c>
      <c r="AH13" s="107" t="n"/>
      <c r="AI13" s="107" t="n"/>
    </row>
    <row r="14" ht="21.75" customHeight="1" s="182">
      <c r="A14" s="97">
        <f>IF(AND(D14="",C14=""),"",11)</f>
        <v/>
      </c>
      <c r="B14" s="56" t="n"/>
      <c r="C14" s="98" t="n"/>
      <c r="D14" s="99" t="n"/>
      <c r="E14" s="100" t="n"/>
      <c r="F14" s="101" t="n"/>
      <c r="G14" s="102" t="n"/>
      <c r="H14" s="103" t="n"/>
      <c r="I14" s="104" t="n"/>
      <c r="J14" s="105" t="n"/>
      <c r="K14" s="105" t="n"/>
      <c r="L14" s="105" t="n"/>
      <c r="M14" s="105" t="n"/>
      <c r="N14" s="105" t="n"/>
      <c r="O14" s="105" t="n"/>
      <c r="P14" s="105" t="n"/>
      <c r="Q14" s="105" t="n"/>
      <c r="R14" s="105" t="n"/>
      <c r="S14" s="105" t="n"/>
      <c r="T14" s="105" t="n"/>
      <c r="U14" s="105" t="n"/>
      <c r="V14" s="106">
        <f>IF(C14="Gutschrift","",IF(G14="","",IF(Besatzung!$B$11="","",IFERROR(IF(I14="Zeitanteilig",(Besatzung!$G$11*(G14-IFERROR(H14,0))+((Besatzung!$B$11&lt;&gt;"")*IF(B14="",1,(IF(Besatzung!$C$11="",Besatzung!$B$5,Besatzung!$C$11)&lt;=B14)*(IF(Besatzung!$D$11="",Besatzung!$B$6,Besatzung!$D$11)&gt;=B14)))*(Besatzung!$F$11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$11&lt;&gt;"")*IF(B14="",1,(IF(Besatzung!$C$11="",Besatzung!$B$5,Besatzung!$C$11)&lt;=B14)*(IF(Besatzung!$D$11="",Besatzung!$B$6,Besatzung!$D$11)&gt;=B14)))*((G14-IFERROR(H14,0))/IFERROR(SUMPRODUCT((Besatzung!$B$11:$B$22&lt;&gt;"")*(IF(Besatzung!$C$11:$C$22="",Besatzung!$B$5,Besatzung!$C$11:$C$22)&lt;=B14)*(IF(Besatzung!$D$11:$D$22="",Besatzung!$B$6,Besatzung!$D$11:$D$22)&gt;=B14)),1)+(Besatzung!$F$11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J14="x")*((G14-IFERROR(H14,0))/IFERROR(COUNTIF(J14:U14,"x"),1)+(Besatzung!$F$11="x")*IFERROR(H14,0)/IFERROR(SUMPRODUCT((J14:U14="x")*(Besatzung!$F$11:$F$22="x")),1))),(IF(COUNTIF(J14:U14,"x")=0,IF(Besatzung!$B$11&lt;&gt;"",1,0),(J14="x"))*(G14-IFERROR(H14,0))/IFERROR(IF(COUNTIF(J14:U14,"x")=0,COUNTA(Besatzung!$B$11:$B$22),COUNTIF(J14:U14,"x")),1)+IF(COUNTIF(J14:U14,"x")=0,(Besatzung!$F$11="x"),(J14="x")*(Besatzung!$F$11="x"))*IFERROR(H14,0)/IFERROR(IF(COUNTIF(J14:U14,"x")=0,SUMPRODUCT((Besatzung!$B$11:$B$22&lt;&gt;"")*(Besatzung!$F$11:$F$22="x")),SUMPRODUCT((J14:U14="x")*(Besatzung!$F$11:$F$22="x"))),1))))),0))))</f>
        <v/>
      </c>
      <c r="W14" s="106">
        <f>IF(C14="Gutschrift","",IF(G14="","",IF(Besatzung!$B$12="","",IFERROR(IF(I14="Zeitanteilig",(Besatzung!$G$12*(G14-IFERROR(H14,0))+((Besatzung!$B$12&lt;&gt;"")*IF(B14="",1,(IF(Besatzung!$C$12="",Besatzung!$B$5,Besatzung!$C$12)&lt;=B14)*(IF(Besatzung!$D$12="",Besatzung!$B$6,Besatzung!$D$12)&gt;=B14)))*(Besatzung!$F$12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$12&lt;&gt;"")*IF(B14="",1,(IF(Besatzung!$C$12="",Besatzung!$B$5,Besatzung!$C$12)&lt;=B14)*(IF(Besatzung!$D$12="",Besatzung!$B$6,Besatzung!$D$12)&gt;=B14)))*((G14-IFERROR(H14,0))/IFERROR(SUMPRODUCT((Besatzung!$B$11:$B$22&lt;&gt;"")*(IF(Besatzung!$C$11:$C$22="",Besatzung!$B$5,Besatzung!$C$11:$C$22)&lt;=B14)*(IF(Besatzung!$D$11:$D$22="",Besatzung!$B$6,Besatzung!$D$11:$D$22)&gt;=B14)),1)+(Besatzung!$F$12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K14="x")*((G14-IFERROR(H14,0))/IFERROR(COUNTIF(J14:U14,"x"),1)+(Besatzung!$F$12="x")*IFERROR(H14,0)/IFERROR(SUMPRODUCT((J14:U14="x")*(Besatzung!$F$11:$F$22="x")),1))),(IF(COUNTIF(J14:U14,"x")=0,IF(Besatzung!$B$12&lt;&gt;"",1,0),(K14="x"))*(G14-IFERROR(H14,0))/IFERROR(IF(COUNTIF(J14:U14,"x")=0,COUNTA(Besatzung!$B$11:$B$22),COUNTIF(J14:U14,"x")),1)+IF(COUNTIF(J14:U14,"x")=0,(Besatzung!$F$12="x"),(K14="x")*(Besatzung!$F$12="x"))*IFERROR(H14,0)/IFERROR(IF(COUNTIF(J14:U14,"x")=0,SUMPRODUCT((Besatzung!$B$11:$B$22&lt;&gt;"")*(Besatzung!$F$11:$F$22="x")),SUMPRODUCT((J14:U14="x")*(Besatzung!$F$11:$F$22="x"))),1))))),0))))</f>
        <v/>
      </c>
      <c r="X14" s="106">
        <f>IF(C14="Gutschrift","",IF(G14="","",IF(Besatzung!$B$13="","",IFERROR(IF(I14="Zeitanteilig",(Besatzung!$G$13*(G14-IFERROR(H14,0))+((Besatzung!$B$13&lt;&gt;"")*IF(B14="",1,(IF(Besatzung!$C$13="",Besatzung!$B$5,Besatzung!$C$13)&lt;=B14)*(IF(Besatzung!$D$13="",Besatzung!$B$6,Besatzung!$D$13)&gt;=B14)))*(Besatzung!$F$13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$13&lt;&gt;"")*IF(B14="",1,(IF(Besatzung!$C$13="",Besatzung!$B$5,Besatzung!$C$13)&lt;=B14)*(IF(Besatzung!$D$13="",Besatzung!$B$6,Besatzung!$D$13)&gt;=B14)))*((G14-IFERROR(H14,0))/IFERROR(SUMPRODUCT((Besatzung!$B$11:$B$22&lt;&gt;"")*(IF(Besatzung!$C$11:$C$22="",Besatzung!$B$5,Besatzung!$C$11:$C$22)&lt;=B14)*(IF(Besatzung!$D$11:$D$22="",Besatzung!$B$6,Besatzung!$D$11:$D$22)&gt;=B14)),1)+(Besatzung!$F$13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K14="x")*((G14-IFERROR(H14,0))/IFERROR(COUNTIF(J14:U14,"x"),1)+(Besatzung!$F$13="x")*IFERROR(H14,0)/IFERROR(SUMPRODUCT((J14:U14="x")*(Besatzung!$F$11:$F$22="x")),1))),(IF(COUNTIF(J14:U14,"x")=0,IF(Besatzung!$B$13&lt;&gt;"",1,0),(K14="x"))*(G14-IFERROR(H14,0))/IFERROR(IF(COUNTIF(J14:U14,"x")=0,COUNTA(Besatzung!$B$11:$B$22),COUNTIF(J14:U14,"x")),1)+IF(COUNTIF(J14:U14,"x")=0,(Besatzung!$F$13="x"),(K14="x")*(Besatzung!$F$13="x"))*IFERROR(H14,0)/IFERROR(IF(COUNTIF(J14:U14,"x")=0,SUMPRODUCT((Besatzung!$B$11:$B$22&lt;&gt;"")*(Besatzung!$F$11:$F$22="x")),SUMPRODUCT((J14:U14="x")*(Besatzung!$F$11:$F$22="x"))),1))))),0))))</f>
        <v/>
      </c>
      <c r="Y14" s="106">
        <f>IF(C14="Gutschrift","",IF(G14="","",IF(Besatzung!$B$14="","",IFERROR(IF(I14="Zeitanteilig",(Besatzung!$G$14*(G14-IFERROR(H14,0))+((Besatzung!$B$14&lt;&gt;"")*IF(B14="",1,(IF(Besatzung!$C$14="",Besatzung!$B$5,Besatzung!$C$14)&lt;=B14)*(IF(Besatzung!$D$14="",Besatzung!$B$6,Besatzung!$D$14)&gt;=B14)))*(Besatzung!$F$14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$14&lt;&gt;"")*IF(B14="",1,(IF(Besatzung!$C$14="",Besatzung!$B$5,Besatzung!$C$14)&lt;=B14)*(IF(Besatzung!$D$14="",Besatzung!$B$6,Besatzung!$D$14)&gt;=B14)))*((G14-IFERROR(H14,0))/IFERROR(SUMPRODUCT((Besatzung!$B$11:$B$22&lt;&gt;"")*(IF(Besatzung!$C$11:$C$22="",Besatzung!$B$5,Besatzung!$C$11:$C$22)&lt;=B14)*(IF(Besatzung!$D$11:$D$22="",Besatzung!$B$6,Besatzung!$D$11:$D$22)&gt;=B14)),1)+(Besatzung!$F$14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M14="x")*((G14-IFERROR(H14,0))/IFERROR(COUNTIF(J14:U14,"x"),1)+(Besatzung!$F$14="x")*IFERROR(H14,0)/IFERROR(SUMPRODUCT((J14:U14="x")*(Besatzung!$F$11:$F$22="x")),1))),(IF(COUNTIF(J14:U14,"x")=0,IF(Besatzung!$B$14&lt;&gt;"",1,0),(M14="x"))*(G14-IFERROR(H14,0))/IFERROR(IF(COUNTIF(J14:U14,"x")=0,COUNTA(Besatzung!$B$11:$B$22),COUNTIF(J14:U14,"x")),1)+IF(COUNTIF(J14:U14,"x")=0,(Besatzung!$F$14="x"),(M14="x")*(Besatzung!$F$14="x"))*IFERROR(H14,0)/IFERROR(IF(COUNTIF(J14:U14,"x")=0,SUMPRODUCT((Besatzung!$B$11:$B$22&lt;&gt;"")*(Besatzung!$F$11:$F$22="x")),SUMPRODUCT((J14:U14="x")*(Besatzung!$F$11:$F$22="x"))),1))))),0))))</f>
        <v/>
      </c>
      <c r="Z14" s="106">
        <f>IF(C14="Gutschrift","",IF(G14="","",IF(Besatzung!$B$13="","",IFERROR(IF(I14="Zeitanteilig",(Besatzung!$G$15*(G14-IFERROR(H14,0))+((Besatzung!$B$13&lt;&gt;"")*IF(B14="",1,(IF(Besatzung!$C$15="",Besatzung!$B$5,Besatzung!$C$15)&lt;=B14)*(IF(Besatzung!$D$15="",Besatzung!$B$6,Besatzung!$D$15)&gt;=B14)))*(Besatzung!$F$15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$13&lt;&gt;"")*IF(B14="",1,(IF(Besatzung!$C$15="",Besatzung!$B$5,Besatzung!$C$15)&lt;=B14)*(IF(Besatzung!$D$15="",Besatzung!$B$6,Besatzung!$D$15)&gt;=B14)))*((G14-IFERROR(H14,0))/IFERROR(SUMPRODUCT((Besatzung!$B$11:$B$22&lt;&gt;"")*(IF(Besatzung!$C$11:$C$22="",Besatzung!$B$5,Besatzung!$C$11:$C$22)&lt;=B14)*(IF(Besatzung!$D$11:$D$22="",Besatzung!$B$6,Besatzung!$D$11:$D$22)&gt;=B14)),1)+(Besatzung!$F$15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N14="x")*((G14-IFERROR(H14,0))/IFERROR(COUNTIF(J14:U14,"x"),1)+(Besatzung!$F$15="x")*IFERROR(H14,0)/IFERROR(SUMPRODUCT((J14:U14="x")*(Besatzung!$F$11:$F$22="x")),1))),(IF(COUNTIF(J14:U14,"x")=0,IF(Besatzung!$B$13&lt;&gt;"",1,0),(N14="x"))*(G14-IFERROR(H14,0))/IFERROR(IF(COUNTIF(J14:U14,"x")=0,COUNTA(Besatzung!$B$11:$B$22),COUNTIF(J14:U14,"x")),1)+IF(COUNTIF(J14:U14,"x")=0,(Besatzung!$F$15="x"),(N14="x")*(Besatzung!$F$15="x"))*IFERROR(H14,0)/IFERROR(IF(COUNTIF(J14:U14,"x")=0,SUMPRODUCT((Besatzung!$B$11:$B$22&lt;&gt;"")*(Besatzung!$F$11:$F$22="x")),SUMPRODUCT((J14:U14="x")*(Besatzung!$F$11:$F$22="x"))),1))))),0))))</f>
        <v/>
      </c>
      <c r="AA14" s="106">
        <f>IF(C14="Gutschrift","",IF(G14="","",IF(Besatzung!$B$15="","",IFERROR(IF(I14="Zeitanteilig",(Besatzung!$G$16*(G14-IFERROR(H14,0))+((Besatzung!$B$15&lt;&gt;"")*IF(B14="",1,(IF(Besatzung!$C$16="",Besatzung!$B$5,Besatzung!$C$16)&lt;=B14)*(IF(Besatzung!$D$16="",Besatzung!$B$6,Besatzung!$D$16)&gt;=B14)))*(Besatzung!$F$16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$15&lt;&gt;"")*IF(B14="",1,(IF(Besatzung!$C$16="",Besatzung!$B$5,Besatzung!$C$16)&lt;=B14)*(IF(Besatzung!$D$16="",Besatzung!$B$6,Besatzung!$D$16)&gt;=B14)))*((G14-IFERROR(H14,0))/IFERROR(SUMPRODUCT((Besatzung!$B$11:$B$22&lt;&gt;"")*(IF(Besatzung!$C$11:$C$22="",Besatzung!$B$5,Besatzung!$C$11:$C$22)&lt;=B14)*(IF(Besatzung!$D$11:$D$22="",Besatzung!$B$6,Besatzung!$D$11:$D$22)&gt;=B14)),1)+(Besatzung!$F$16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O14="x")*((G14-IFERROR(H14,0))/IFERROR(COUNTIF(J14:U14,"x"),1)+(Besatzung!$F$16="x")*IFERROR(H14,0)/IFERROR(SUMPRODUCT((J14:U14="x")*(Besatzung!$F$11:$F$22="x")),1))),(IF(COUNTIF(J14:U14,"x")=0,IF(Besatzung!$B$15&lt;&gt;"",1,0),(O14="x"))*(G14-IFERROR(H14,0))/IFERROR(IF(COUNTIF(J14:U14,"x")=0,COUNTA(Besatzung!$B$11:$B$22),COUNTIF(J14:U14,"x")),1)+IF(COUNTIF(J14:U14,"x")=0,(Besatzung!$F$16="x"),(O14="x")*(Besatzung!$F$16="x"))*IFERROR(H14,0)/IFERROR(IF(COUNTIF(J14:U14,"x")=0,SUMPRODUCT((Besatzung!$B$11:$B$22&lt;&gt;"")*(Besatzung!$F$11:$F$22="x")),SUMPRODUCT((J14:U14="x")*(Besatzung!$F$11:$F$22="x"))),1))))),0))))</f>
        <v/>
      </c>
      <c r="AB14" s="106">
        <f>IF(C14="Gutschrift","",IF(G14="","",IF(Besatzung!$B$17="","",IFERROR(IF(I14="Zeitanteilig",(Besatzung!$G$17*(G14-IFERROR(H14,0))+((Besatzung!$B$17&lt;&gt;"")*IF(B14="",1,(IF(Besatzung!$C$17="",Besatzung!$B$5,Besatzung!$C$17)&lt;=B14)*(IF(Besatzung!$D$17="",Besatzung!$B$6,Besatzung!$D$17)&gt;=B14)))*(Besatzung!$F$17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$17&lt;&gt;"")*IF(B14="",1,(IF(Besatzung!$C$17="",Besatzung!$B$5,Besatzung!$C$17)&lt;=B14)*(IF(Besatzung!$D$17="",Besatzung!$B$6,Besatzung!$D$17)&gt;=B14)))*((G14-IFERROR(H14,0))/IFERROR(SUMPRODUCT((Besatzung!$B$11:$B$22&lt;&gt;"")*(IF(Besatzung!$C$11:$C$22="",Besatzung!$B$5,Besatzung!$C$11:$C$22)&lt;=B14)*(IF(Besatzung!$D$11:$D$22="",Besatzung!$B$6,Besatzung!$D$11:$D$22)&gt;=B14)),1)+(Besatzung!$F$17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P14="x")*((G14-IFERROR(H14,0))/IFERROR(COUNTIF(J14:U14,"x"),1)+(Besatzung!$F$17="x")*IFERROR(H14,0)/IFERROR(SUMPRODUCT((J14:U14="x")*(Besatzung!$F$11:$F$22="x")),1))),(IF(COUNTIF(J14:U14,"x")=0,IF(Besatzung!$B$17&lt;&gt;"",1,0),(P14="x"))*(G14-IFERROR(H14,0))/IFERROR(IF(COUNTIF(J14:U14,"x")=0,COUNTA(Besatzung!$B$11:$B$22),COUNTIF(J14:U14,"x")),1)+IF(COUNTIF(J14:U14,"x")=0,(Besatzung!$F$17="x"),(P14="x")*(Besatzung!$F$17="x"))*IFERROR(H14,0)/IFERROR(IF(COUNTIF(J14:U14,"x")=0,SUMPRODUCT((Besatzung!$B$11:$B$22&lt;&gt;"")*(Besatzung!$F$11:$F$22="x")),SUMPRODUCT((J14:U14="x")*(Besatzung!$F$11:$F$22="x"))),1))))),0))))</f>
        <v/>
      </c>
      <c r="AC14" s="106">
        <f>IF(C14="Gutschrift","",IF(G14="","",IF(Besatzung!$B$18="","",IFERROR(IF(I14="Zeitanteilig",(Besatzung!$G$18*(G14-IFERROR(H14,0))+((Besatzung!$B$18&lt;&gt;"")*IF(B14="",1,(IF(Besatzung!$C$18="",Besatzung!$B$5,Besatzung!$C$18)&lt;=B14)*(IF(Besatzung!$D$18="",Besatzung!$B$6,Besatzung!$D$18)&gt;=B14)))*(Besatzung!$F$18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$18&lt;&gt;"")*IF(B14="",1,(IF(Besatzung!$C$18="",Besatzung!$B$5,Besatzung!$C$18)&lt;=B14)*(IF(Besatzung!$D$18="",Besatzung!$B$6,Besatzung!$D$18)&gt;=B14)))*((G14-IFERROR(H14,0))/IFERROR(SUMPRODUCT((Besatzung!$B$11:$B$22&lt;&gt;"")*(IF(Besatzung!$C$11:$C$22="",Besatzung!$B$5,Besatzung!$C$11:$C$22)&lt;=B14)*(IF(Besatzung!$D$11:$D$22="",Besatzung!$B$6,Besatzung!$D$11:$D$22)&gt;=B14)),1)+(Besatzung!$F$18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Q14="x")*((G14-IFERROR(H14,0))/IFERROR(COUNTIF(J14:U14,"x"),1)+(Besatzung!$F$18="x")*IFERROR(H14,0)/IFERROR(SUMPRODUCT((J14:U14="x")*(Besatzung!$F$11:$F$22="x")),1))),(IF(COUNTIF(J14:U14,"x")=0,IF(Besatzung!$B$18&lt;&gt;"",1,0),(Q14="x"))*(G14-IFERROR(H14,0))/IFERROR(IF(COUNTIF(J14:U14,"x")=0,COUNTA(Besatzung!$B$11:$B$22),COUNTIF(J14:U14,"x")),1)+IF(COUNTIF(J14:U14,"x")=0,(Besatzung!$F$18="x"),(Q14="x")*(Besatzung!$F$18="x"))*IFERROR(H14,0)/IFERROR(IF(COUNTIF(J14:U14,"x")=0,SUMPRODUCT((Besatzung!$B$11:$B$22&lt;&gt;"")*(Besatzung!$F$11:$F$22="x")),SUMPRODUCT((J14:U14="x")*(Besatzung!$F$11:$F$22="x"))),1))))),0))))</f>
        <v/>
      </c>
      <c r="AD14" s="106">
        <f>IF(C14="Gutschrift","",IF(G14="","",IF(Besatzung!$B$19="","",IFERROR(IF(I14="Zeitanteilig",(Besatzung!$G$19*(G14-IFERROR(H14,0))+((Besatzung!$B$19&lt;&gt;"")*IF(B14="",1,(IF(Besatzung!$C$19="",Besatzung!$B$5,Besatzung!$C$19)&lt;=B14)*(IF(Besatzung!$D$19="",Besatzung!$B$6,Besatzung!$D$19)&gt;=B14)))*(Besatzung!$F$19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$19&lt;&gt;"")*IF(B14="",1,(IF(Besatzung!$C$19="",Besatzung!$B$5,Besatzung!$C$19)&lt;=B14)*(IF(Besatzung!$D$19="",Besatzung!$B$6,Besatzung!$D$19)&gt;=B14)))*((G14-IFERROR(H14,0))/IFERROR(SUMPRODUCT((Besatzung!$B$11:$B$22&lt;&gt;"")*(IF(Besatzung!$C$11:$C$22="",Besatzung!$B$5,Besatzung!$C$11:$C$22)&lt;=B14)*(IF(Besatzung!$D$11:$D$22="",Besatzung!$B$6,Besatzung!$D$11:$D$22)&gt;=B14)),1)+(Besatzung!$F$19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R14="x")*((G14-IFERROR(H14,0))/IFERROR(COUNTIF(J14:U14,"x"),1)+(Besatzung!$F$19="x")*IFERROR(H14,0)/IFERROR(SUMPRODUCT((J14:U14="x")*(Besatzung!$F$11:$F$22="x")),1))),(IF(COUNTIF(J14:U14,"x")=0,IF(Besatzung!$B$19&lt;&gt;"",1,0),(R14="x"))*(G14-IFERROR(H14,0))/IFERROR(IF(COUNTIF(J14:U14,"x")=0,COUNTA(Besatzung!$B$11:$B$22),COUNTIF(J14:U14,"x")),1)+IF(COUNTIF(J14:U14,"x")=0,(Besatzung!$F$19="x"),(R14="x")*(Besatzung!$F$19="x"))*IFERROR(H14,0)/IFERROR(IF(COUNTIF(J14:U14,"x")=0,SUMPRODUCT((Besatzung!$B$11:$B$22&lt;&gt;"")*(Besatzung!$F$11:$F$22="x")),SUMPRODUCT((J14:U14="x")*(Besatzung!$F$11:$F$22="x"))),1))))),0))))</f>
        <v/>
      </c>
      <c r="AE14" s="106">
        <f>IF(C14="Gutschrift","",IF(G14="","",IF(Besatzung!$B$20="","",IFERROR(IF(I14="Zeitanteilig",(Besatzung!$G$20*(G14-IFERROR(H14,0))+((Besatzung!$B$20&lt;&gt;"")*IF(B14="",1,(IF(Besatzung!$C$20="",Besatzung!$B$5,Besatzung!$C$20)&lt;=B14)*(IF(Besatzung!$D$20="",Besatzung!$B$6,Besatzung!$D$20)&gt;=B14)))*(Besatzung!$F$20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$20&lt;&gt;"")*IF(B14="",1,(IF(Besatzung!$C$20="",Besatzung!$B$5,Besatzung!$C$20)&lt;=B14)*(IF(Besatzung!$D$20="",Besatzung!$B$6,Besatzung!$D$20)&gt;=B14)))*((G14-IFERROR(H14,0))/IFERROR(SUMPRODUCT((Besatzung!$B$11:$B$22&lt;&gt;"")*(IF(Besatzung!$C$11:$C$22="",Besatzung!$B$5,Besatzung!$C$11:$C$22)&lt;=B14)*(IF(Besatzung!$D$11:$D$22="",Besatzung!$B$6,Besatzung!$D$11:$D$22)&gt;=B14)),1)+(Besatzung!$F$20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S14="x")*((G14-IFERROR(H14,0))/IFERROR(COUNTIF(J14:U14,"x"),1)+(Besatzung!$F$20="x")*IFERROR(H14,0)/IFERROR(SUMPRODUCT((J14:U14="x")*(Besatzung!$F$11:$F$22="x")),1))),(IF(COUNTIF(J14:U14,"x")=0,IF(Besatzung!$B$20&lt;&gt;"",1,0),(S14="x"))*(G14-IFERROR(H14,0))/IFERROR(IF(COUNTIF(J14:U14,"x")=0,COUNTA(Besatzung!$B$11:$B$22),COUNTIF(J14:U14,"x")),1)+IF(COUNTIF(J14:U14,"x")=0,(Besatzung!$F$20="x"),(S14="x")*(Besatzung!$F$20="x"))*IFERROR(H14,0)/IFERROR(IF(COUNTIF(J14:U14,"x")=0,SUMPRODUCT((Besatzung!$B$11:$B$22&lt;&gt;"")*(Besatzung!$F$11:$F$22="x")),SUMPRODUCT((J14:U14="x")*(Besatzung!$F$11:$F$22="x"))),1))))),0))))</f>
        <v/>
      </c>
      <c r="AF14" s="106">
        <f>IF(C14="Gutschrift","",IF(G14="","",IF(Besatzung!$B$21="","",IFERROR(IF(I14="Zeitanteilig",(Besatzung!$G$21*(G14-IFERROR(H14,0))+((Besatzung!$B$21&lt;&gt;"")*IF(B14="",1,(IF(Besatzung!$C$21="",Besatzung!$B$5,Besatzung!$C$21)&lt;=B14)*(IF(Besatzung!$D$21="",Besatzung!$B$6,Besatzung!$D$21)&gt;=B14)))*(Besatzung!$F$21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$21&lt;&gt;"")*IF(B14="",1,(IF(Besatzung!$C$21="",Besatzung!$B$5,Besatzung!$C$21)&lt;=B14)*(IF(Besatzung!$D$21="",Besatzung!$B$6,Besatzung!$D$21)&gt;=B14)))*((G14-IFERROR(H14,0))/IFERROR(SUMPRODUCT((Besatzung!$B$11:$B$22&lt;&gt;"")*(IF(Besatzung!$C$11:$C$22="",Besatzung!$B$5,Besatzung!$C$11:$C$22)&lt;=B14)*(IF(Besatzung!$D$11:$D$22="",Besatzung!$B$6,Besatzung!$D$11:$D$22)&gt;=B14)),1)+(Besatzung!$F$21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T14="x")*((G14-IFERROR(H14,0))/IFERROR(COUNTIF(J14:U14,"x"),1)+(Besatzung!$F$21="x")*IFERROR(H14,0)/IFERROR(SUMPRODUCT((J14:U14="x")*(Besatzung!$F$11:$F$22="x")),1))),(IF(COUNTIF(J14:U14,"x")=0,IF(Besatzung!$B$21&lt;&gt;"",1,0),(T14="x"))*(G14-IFERROR(H14,0))/IFERROR(IF(COUNTIF(J14:U14,"x")=0,COUNTA(Besatzung!$B$11:$B$22),COUNTIF(J14:U14,"x")),1)+IF(COUNTIF(J14:U14,"x")=0,(Besatzung!$F$21="x"),(T14="x")*(Besatzung!$F$21="x"))*IFERROR(H14,0)/IFERROR(IF(COUNTIF(J14:U14,"x")=0,SUMPRODUCT((Besatzung!$B$11:$B$22&lt;&gt;"")*(Besatzung!$F$11:$F$22="x")),SUMPRODUCT((J14:U14="x")*(Besatzung!$F$11:$F$22="x"))),1))))),0))))</f>
        <v/>
      </c>
      <c r="AG14" s="106">
        <f>IF(C14="Gutschrift","",IF(G14="","",IF(Besatzung!$B$22="","",IFERROR(IF(I14="Zeitanteilig",(Besatzung!$G$22*(G14-IFERROR(H14,0))+((Besatzung!$B$22&lt;&gt;"")*IF(B14="",1,(IF(Besatzung!$C$22="",Besatzung!$B$5,Besatzung!$C$22)&lt;=B14)*(IF(Besatzung!$D$22="",Besatzung!$B$6,Besatzung!$D$22)&gt;=B14)))*(Besatzung!$F$22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$22&lt;&gt;"")*IF(B14="",1,(IF(Besatzung!$C$22="",Besatzung!$B$5,Besatzung!$C$22)&lt;=B14)*(IF(Besatzung!$D$22="",Besatzung!$B$6,Besatzung!$D$22)&gt;=B14)))*((G14-IFERROR(H14,0))/IFERROR(SUMPRODUCT((Besatzung!$B$11:$B$22&lt;&gt;"")*(IF(Besatzung!$C$11:$C$22="",Besatzung!$B$5,Besatzung!$C$11:$C$22)&lt;=B14)*(IF(Besatzung!$D$11:$D$22="",Besatzung!$B$6,Besatzung!$D$11:$D$22)&gt;=B14)),1)+(Besatzung!$F$22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U14="x")*((G14-IFERROR(H14,0))/IFERROR(COUNTIF(J14:U14,"x"),1)+(Besatzung!$F$22="x")*IFERROR(H14,0)/IFERROR(SUMPRODUCT((J14:U14="x")*(Besatzung!$F$11:$F$22="x")),1))),(IF(COUNTIF(J14:U14,"x")=0,IF(Besatzung!$B$22&lt;&gt;"",1,0),(U14="x"))*(G14-IFERROR(H14,0))/IFERROR(IF(COUNTIF(J14:U14,"x")=0,COUNTA(Besatzung!$B$11:$B$22),COUNTIF(J14:U14,"x")),1)+IF(COUNTIF(J14:U14,"x")=0,(Besatzung!$F$22="x"),(U14="x")*(Besatzung!$F$22="x"))*IFERROR(H14,0)/IFERROR(IF(COUNTIF(J14:U14,"x")=0,SUMPRODUCT((Besatzung!$B$11:$B$22&lt;&gt;"")*(Besatzung!$F$11:$F$22="x")),SUMPRODUCT((J14:U14="x")*(Besatzung!$F$11:$F$22="x"))),1))))),0))))</f>
        <v/>
      </c>
      <c r="AH14" s="107" t="n"/>
      <c r="AI14" s="107" t="n"/>
    </row>
    <row r="15" ht="21.75" customHeight="1" s="182">
      <c r="A15" s="97">
        <f>IF(AND(D15="",C15=""),"",12)</f>
        <v/>
      </c>
      <c r="B15" s="63" t="n"/>
      <c r="C15" s="108" t="n"/>
      <c r="D15" s="109" t="n"/>
      <c r="E15" s="110" t="n"/>
      <c r="F15" s="111" t="n"/>
      <c r="G15" s="112" t="n"/>
      <c r="H15" s="113" t="n"/>
      <c r="I15" s="114" t="n"/>
      <c r="J15" s="115" t="n"/>
      <c r="K15" s="115" t="n"/>
      <c r="L15" s="115" t="n"/>
      <c r="M15" s="115" t="n"/>
      <c r="N15" s="115" t="n"/>
      <c r="O15" s="115" t="n"/>
      <c r="P15" s="115" t="n"/>
      <c r="Q15" s="115" t="n"/>
      <c r="R15" s="115" t="n"/>
      <c r="S15" s="115" t="n"/>
      <c r="T15" s="115" t="n"/>
      <c r="U15" s="115" t="n"/>
      <c r="V15" s="106">
        <f>IF(C15="Gutschrift","",IF(G15="","",IF(Besatzung!$B$11="","",IFERROR(IF(I15="Zeitanteilig",(Besatzung!$G$11*(G15-IFERROR(H15,0))+((Besatzung!$B$11&lt;&gt;"")*IF(B15="",1,(IF(Besatzung!$C$11="",Besatzung!$B$5,Besatzung!$C$11)&lt;=B15)*(IF(Besatzung!$D$11="",Besatzung!$B$6,Besatzung!$D$11)&gt;=B15)))*(Besatzung!$F$11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$11&lt;&gt;"")*IF(B15="",1,(IF(Besatzung!$C$11="",Besatzung!$B$5,Besatzung!$C$11)&lt;=B15)*(IF(Besatzung!$D$11="",Besatzung!$B$6,Besatzung!$D$11)&gt;=B15)))*((G15-IFERROR(H15,0))/IFERROR(SUMPRODUCT((Besatzung!$B$11:$B$22&lt;&gt;"")*(IF(Besatzung!$C$11:$C$22="",Besatzung!$B$5,Besatzung!$C$11:$C$22)&lt;=B15)*(IF(Besatzung!$D$11:$D$22="",Besatzung!$B$6,Besatzung!$D$11:$D$22)&gt;=B15)),1)+(Besatzung!$F$11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J15="x")*((G15-IFERROR(H15,0))/IFERROR(COUNTIF(J15:U15,"x"),1)+(Besatzung!$F$11="x")*IFERROR(H15,0)/IFERROR(SUMPRODUCT((J15:U15="x")*(Besatzung!$F$11:$F$22="x")),1))),(IF(COUNTIF(J15:U15,"x")=0,IF(Besatzung!$B$11&lt;&gt;"",1,0),(J15="x"))*(G15-IFERROR(H15,0))/IFERROR(IF(COUNTIF(J15:U15,"x")=0,COUNTA(Besatzung!$B$11:$B$22),COUNTIF(J15:U15,"x")),1)+IF(COUNTIF(J15:U15,"x")=0,(Besatzung!$F$11="x"),(J15="x")*(Besatzung!$F$11="x"))*IFERROR(H15,0)/IFERROR(IF(COUNTIF(J15:U15,"x")=0,SUMPRODUCT((Besatzung!$B$11:$B$22&lt;&gt;"")*(Besatzung!$F$11:$F$22="x")),SUMPRODUCT((J15:U15="x")*(Besatzung!$F$11:$F$22="x"))),1))))),0))))</f>
        <v/>
      </c>
      <c r="W15" s="106">
        <f>IF(C15="Gutschrift","",IF(G15="","",IF(Besatzung!$B$12="","",IFERROR(IF(I15="Zeitanteilig",(Besatzung!$G$12*(G15-IFERROR(H15,0))+((Besatzung!$B$12&lt;&gt;"")*IF(B15="",1,(IF(Besatzung!$C$12="",Besatzung!$B$5,Besatzung!$C$12)&lt;=B15)*(IF(Besatzung!$D$12="",Besatzung!$B$6,Besatzung!$D$12)&gt;=B15)))*(Besatzung!$F$12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$12&lt;&gt;"")*IF(B15="",1,(IF(Besatzung!$C$12="",Besatzung!$B$5,Besatzung!$C$12)&lt;=B15)*(IF(Besatzung!$D$12="",Besatzung!$B$6,Besatzung!$D$12)&gt;=B15)))*((G15-IFERROR(H15,0))/IFERROR(SUMPRODUCT((Besatzung!$B$11:$B$22&lt;&gt;"")*(IF(Besatzung!$C$11:$C$22="",Besatzung!$B$5,Besatzung!$C$11:$C$22)&lt;=B15)*(IF(Besatzung!$D$11:$D$22="",Besatzung!$B$6,Besatzung!$D$11:$D$22)&gt;=B15)),1)+(Besatzung!$F$12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K15="x")*((G15-IFERROR(H15,0))/IFERROR(COUNTIF(J15:U15,"x"),1)+(Besatzung!$F$12="x")*IFERROR(H15,0)/IFERROR(SUMPRODUCT((J15:U15="x")*(Besatzung!$F$11:$F$22="x")),1))),(IF(COUNTIF(J15:U15,"x")=0,IF(Besatzung!$B$12&lt;&gt;"",1,0),(K15="x"))*(G15-IFERROR(H15,0))/IFERROR(IF(COUNTIF(J15:U15,"x")=0,COUNTA(Besatzung!$B$11:$B$22),COUNTIF(J15:U15,"x")),1)+IF(COUNTIF(J15:U15,"x")=0,(Besatzung!$F$12="x"),(K15="x")*(Besatzung!$F$12="x"))*IFERROR(H15,0)/IFERROR(IF(COUNTIF(J15:U15,"x")=0,SUMPRODUCT((Besatzung!$B$11:$B$22&lt;&gt;"")*(Besatzung!$F$11:$F$22="x")),SUMPRODUCT((J15:U15="x")*(Besatzung!$F$11:$F$22="x"))),1))))),0))))</f>
        <v/>
      </c>
      <c r="X15" s="106">
        <f>IF(C15="Gutschrift","",IF(G15="","",IF(Besatzung!$B$13="","",IFERROR(IF(I15="Zeitanteilig",(Besatzung!$G$13*(G15-IFERROR(H15,0))+((Besatzung!$B$13&lt;&gt;"")*IF(B15="",1,(IF(Besatzung!$C$13="",Besatzung!$B$5,Besatzung!$C$13)&lt;=B15)*(IF(Besatzung!$D$13="",Besatzung!$B$6,Besatzung!$D$13)&gt;=B15)))*(Besatzung!$F$13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$13&lt;&gt;"")*IF(B15="",1,(IF(Besatzung!$C$13="",Besatzung!$B$5,Besatzung!$C$13)&lt;=B15)*(IF(Besatzung!$D$13="",Besatzung!$B$6,Besatzung!$D$13)&gt;=B15)))*((G15-IFERROR(H15,0))/IFERROR(SUMPRODUCT((Besatzung!$B$11:$B$22&lt;&gt;"")*(IF(Besatzung!$C$11:$C$22="",Besatzung!$B$5,Besatzung!$C$11:$C$22)&lt;=B15)*(IF(Besatzung!$D$11:$D$22="",Besatzung!$B$6,Besatzung!$D$11:$D$22)&gt;=B15)),1)+(Besatzung!$F$13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K15="x")*((G15-IFERROR(H15,0))/IFERROR(COUNTIF(J15:U15,"x"),1)+(Besatzung!$F$13="x")*IFERROR(H15,0)/IFERROR(SUMPRODUCT((J15:U15="x")*(Besatzung!$F$11:$F$22="x")),1))),(IF(COUNTIF(J15:U15,"x")=0,IF(Besatzung!$B$13&lt;&gt;"",1,0),(K15="x"))*(G15-IFERROR(H15,0))/IFERROR(IF(COUNTIF(J15:U15,"x")=0,COUNTA(Besatzung!$B$11:$B$22),COUNTIF(J15:U15,"x")),1)+IF(COUNTIF(J15:U15,"x")=0,(Besatzung!$F$13="x"),(K15="x")*(Besatzung!$F$13="x"))*IFERROR(H15,0)/IFERROR(IF(COUNTIF(J15:U15,"x")=0,SUMPRODUCT((Besatzung!$B$11:$B$22&lt;&gt;"")*(Besatzung!$F$11:$F$22="x")),SUMPRODUCT((J15:U15="x")*(Besatzung!$F$11:$F$22="x"))),1))))),0))))</f>
        <v/>
      </c>
      <c r="Y15" s="106">
        <f>IF(C15="Gutschrift","",IF(G15="","",IF(Besatzung!$B$14="","",IFERROR(IF(I15="Zeitanteilig",(Besatzung!$G$14*(G15-IFERROR(H15,0))+((Besatzung!$B$14&lt;&gt;"")*IF(B15="",1,(IF(Besatzung!$C$14="",Besatzung!$B$5,Besatzung!$C$14)&lt;=B15)*(IF(Besatzung!$D$14="",Besatzung!$B$6,Besatzung!$D$14)&gt;=B15)))*(Besatzung!$F$14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$14&lt;&gt;"")*IF(B15="",1,(IF(Besatzung!$C$14="",Besatzung!$B$5,Besatzung!$C$14)&lt;=B15)*(IF(Besatzung!$D$14="",Besatzung!$B$6,Besatzung!$D$14)&gt;=B15)))*((G15-IFERROR(H15,0))/IFERROR(SUMPRODUCT((Besatzung!$B$11:$B$22&lt;&gt;"")*(IF(Besatzung!$C$11:$C$22="",Besatzung!$B$5,Besatzung!$C$11:$C$22)&lt;=B15)*(IF(Besatzung!$D$11:$D$22="",Besatzung!$B$6,Besatzung!$D$11:$D$22)&gt;=B15)),1)+(Besatzung!$F$14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M15="x")*((G15-IFERROR(H15,0))/IFERROR(COUNTIF(J15:U15,"x"),1)+(Besatzung!$F$14="x")*IFERROR(H15,0)/IFERROR(SUMPRODUCT((J15:U15="x")*(Besatzung!$F$11:$F$22="x")),1))),(IF(COUNTIF(J15:U15,"x")=0,IF(Besatzung!$B$14&lt;&gt;"",1,0),(M15="x"))*(G15-IFERROR(H15,0))/IFERROR(IF(COUNTIF(J15:U15,"x")=0,COUNTA(Besatzung!$B$11:$B$22),COUNTIF(J15:U15,"x")),1)+IF(COUNTIF(J15:U15,"x")=0,(Besatzung!$F$14="x"),(M15="x")*(Besatzung!$F$14="x"))*IFERROR(H15,0)/IFERROR(IF(COUNTIF(J15:U15,"x")=0,SUMPRODUCT((Besatzung!$B$11:$B$22&lt;&gt;"")*(Besatzung!$F$11:$F$22="x")),SUMPRODUCT((J15:U15="x")*(Besatzung!$F$11:$F$22="x"))),1))))),0))))</f>
        <v/>
      </c>
      <c r="Z15" s="106">
        <f>IF(C15="Gutschrift","",IF(G15="","",IF(Besatzung!$B$13="","",IFERROR(IF(I15="Zeitanteilig",(Besatzung!$G$15*(G15-IFERROR(H15,0))+((Besatzung!$B$13&lt;&gt;"")*IF(B15="",1,(IF(Besatzung!$C$15="",Besatzung!$B$5,Besatzung!$C$15)&lt;=B15)*(IF(Besatzung!$D$15="",Besatzung!$B$6,Besatzung!$D$15)&gt;=B15)))*(Besatzung!$F$15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$13&lt;&gt;"")*IF(B15="",1,(IF(Besatzung!$C$15="",Besatzung!$B$5,Besatzung!$C$15)&lt;=B15)*(IF(Besatzung!$D$15="",Besatzung!$B$6,Besatzung!$D$15)&gt;=B15)))*((G15-IFERROR(H15,0))/IFERROR(SUMPRODUCT((Besatzung!$B$11:$B$22&lt;&gt;"")*(IF(Besatzung!$C$11:$C$22="",Besatzung!$B$5,Besatzung!$C$11:$C$22)&lt;=B15)*(IF(Besatzung!$D$11:$D$22="",Besatzung!$B$6,Besatzung!$D$11:$D$22)&gt;=B15)),1)+(Besatzung!$F$15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N15="x")*((G15-IFERROR(H15,0))/IFERROR(COUNTIF(J15:U15,"x"),1)+(Besatzung!$F$15="x")*IFERROR(H15,0)/IFERROR(SUMPRODUCT((J15:U15="x")*(Besatzung!$F$11:$F$22="x")),1))),(IF(COUNTIF(J15:U15,"x")=0,IF(Besatzung!$B$13&lt;&gt;"",1,0),(N15="x"))*(G15-IFERROR(H15,0))/IFERROR(IF(COUNTIF(J15:U15,"x")=0,COUNTA(Besatzung!$B$11:$B$22),COUNTIF(J15:U15,"x")),1)+IF(COUNTIF(J15:U15,"x")=0,(Besatzung!$F$15="x"),(N15="x")*(Besatzung!$F$15="x"))*IFERROR(H15,0)/IFERROR(IF(COUNTIF(J15:U15,"x")=0,SUMPRODUCT((Besatzung!$B$11:$B$22&lt;&gt;"")*(Besatzung!$F$11:$F$22="x")),SUMPRODUCT((J15:U15="x")*(Besatzung!$F$11:$F$22="x"))),1))))),0))))</f>
        <v/>
      </c>
      <c r="AA15" s="106">
        <f>IF(C15="Gutschrift","",IF(G15="","",IF(Besatzung!$B$15="","",IFERROR(IF(I15="Zeitanteilig",(Besatzung!$G$16*(G15-IFERROR(H15,0))+((Besatzung!$B$15&lt;&gt;"")*IF(B15="",1,(IF(Besatzung!$C$16="",Besatzung!$B$5,Besatzung!$C$16)&lt;=B15)*(IF(Besatzung!$D$16="",Besatzung!$B$6,Besatzung!$D$16)&gt;=B15)))*(Besatzung!$F$16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$15&lt;&gt;"")*IF(B15="",1,(IF(Besatzung!$C$16="",Besatzung!$B$5,Besatzung!$C$16)&lt;=B15)*(IF(Besatzung!$D$16="",Besatzung!$B$6,Besatzung!$D$16)&gt;=B15)))*((G15-IFERROR(H15,0))/IFERROR(SUMPRODUCT((Besatzung!$B$11:$B$22&lt;&gt;"")*(IF(Besatzung!$C$11:$C$22="",Besatzung!$B$5,Besatzung!$C$11:$C$22)&lt;=B15)*(IF(Besatzung!$D$11:$D$22="",Besatzung!$B$6,Besatzung!$D$11:$D$22)&gt;=B15)),1)+(Besatzung!$F$16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O15="x")*((G15-IFERROR(H15,0))/IFERROR(COUNTIF(J15:U15,"x"),1)+(Besatzung!$F$16="x")*IFERROR(H15,0)/IFERROR(SUMPRODUCT((J15:U15="x")*(Besatzung!$F$11:$F$22="x")),1))),(IF(COUNTIF(J15:U15,"x")=0,IF(Besatzung!$B$15&lt;&gt;"",1,0),(O15="x"))*(G15-IFERROR(H15,0))/IFERROR(IF(COUNTIF(J15:U15,"x")=0,COUNTA(Besatzung!$B$11:$B$22),COUNTIF(J15:U15,"x")),1)+IF(COUNTIF(J15:U15,"x")=0,(Besatzung!$F$16="x"),(O15="x")*(Besatzung!$F$16="x"))*IFERROR(H15,0)/IFERROR(IF(COUNTIF(J15:U15,"x")=0,SUMPRODUCT((Besatzung!$B$11:$B$22&lt;&gt;"")*(Besatzung!$F$11:$F$22="x")),SUMPRODUCT((J15:U15="x")*(Besatzung!$F$11:$F$22="x"))),1))))),0))))</f>
        <v/>
      </c>
      <c r="AB15" s="106">
        <f>IF(C15="Gutschrift","",IF(G15="","",IF(Besatzung!$B$17="","",IFERROR(IF(I15="Zeitanteilig",(Besatzung!$G$17*(G15-IFERROR(H15,0))+((Besatzung!$B$17&lt;&gt;"")*IF(B15="",1,(IF(Besatzung!$C$17="",Besatzung!$B$5,Besatzung!$C$17)&lt;=B15)*(IF(Besatzung!$D$17="",Besatzung!$B$6,Besatzung!$D$17)&gt;=B15)))*(Besatzung!$F$17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$17&lt;&gt;"")*IF(B15="",1,(IF(Besatzung!$C$17="",Besatzung!$B$5,Besatzung!$C$17)&lt;=B15)*(IF(Besatzung!$D$17="",Besatzung!$B$6,Besatzung!$D$17)&gt;=B15)))*((G15-IFERROR(H15,0))/IFERROR(SUMPRODUCT((Besatzung!$B$11:$B$22&lt;&gt;"")*(IF(Besatzung!$C$11:$C$22="",Besatzung!$B$5,Besatzung!$C$11:$C$22)&lt;=B15)*(IF(Besatzung!$D$11:$D$22="",Besatzung!$B$6,Besatzung!$D$11:$D$22)&gt;=B15)),1)+(Besatzung!$F$17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P15="x")*((G15-IFERROR(H15,0))/IFERROR(COUNTIF(J15:U15,"x"),1)+(Besatzung!$F$17="x")*IFERROR(H15,0)/IFERROR(SUMPRODUCT((J15:U15="x")*(Besatzung!$F$11:$F$22="x")),1))),(IF(COUNTIF(J15:U15,"x")=0,IF(Besatzung!$B$17&lt;&gt;"",1,0),(P15="x"))*(G15-IFERROR(H15,0))/IFERROR(IF(COUNTIF(J15:U15,"x")=0,COUNTA(Besatzung!$B$11:$B$22),COUNTIF(J15:U15,"x")),1)+IF(COUNTIF(J15:U15,"x")=0,(Besatzung!$F$17="x"),(P15="x")*(Besatzung!$F$17="x"))*IFERROR(H15,0)/IFERROR(IF(COUNTIF(J15:U15,"x")=0,SUMPRODUCT((Besatzung!$B$11:$B$22&lt;&gt;"")*(Besatzung!$F$11:$F$22="x")),SUMPRODUCT((J15:U15="x")*(Besatzung!$F$11:$F$22="x"))),1))))),0))))</f>
        <v/>
      </c>
      <c r="AC15" s="106">
        <f>IF(C15="Gutschrift","",IF(G15="","",IF(Besatzung!$B$18="","",IFERROR(IF(I15="Zeitanteilig",(Besatzung!$G$18*(G15-IFERROR(H15,0))+((Besatzung!$B$18&lt;&gt;"")*IF(B15="",1,(IF(Besatzung!$C$18="",Besatzung!$B$5,Besatzung!$C$18)&lt;=B15)*(IF(Besatzung!$D$18="",Besatzung!$B$6,Besatzung!$D$18)&gt;=B15)))*(Besatzung!$F$18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$18&lt;&gt;"")*IF(B15="",1,(IF(Besatzung!$C$18="",Besatzung!$B$5,Besatzung!$C$18)&lt;=B15)*(IF(Besatzung!$D$18="",Besatzung!$B$6,Besatzung!$D$18)&gt;=B15)))*((G15-IFERROR(H15,0))/IFERROR(SUMPRODUCT((Besatzung!$B$11:$B$22&lt;&gt;"")*(IF(Besatzung!$C$11:$C$22="",Besatzung!$B$5,Besatzung!$C$11:$C$22)&lt;=B15)*(IF(Besatzung!$D$11:$D$22="",Besatzung!$B$6,Besatzung!$D$11:$D$22)&gt;=B15)),1)+(Besatzung!$F$18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Q15="x")*((G15-IFERROR(H15,0))/IFERROR(COUNTIF(J15:U15,"x"),1)+(Besatzung!$F$18="x")*IFERROR(H15,0)/IFERROR(SUMPRODUCT((J15:U15="x")*(Besatzung!$F$11:$F$22="x")),1))),(IF(COUNTIF(J15:U15,"x")=0,IF(Besatzung!$B$18&lt;&gt;"",1,0),(Q15="x"))*(G15-IFERROR(H15,0))/IFERROR(IF(COUNTIF(J15:U15,"x")=0,COUNTA(Besatzung!$B$11:$B$22),COUNTIF(J15:U15,"x")),1)+IF(COUNTIF(J15:U15,"x")=0,(Besatzung!$F$18="x"),(Q15="x")*(Besatzung!$F$18="x"))*IFERROR(H15,0)/IFERROR(IF(COUNTIF(J15:U15,"x")=0,SUMPRODUCT((Besatzung!$B$11:$B$22&lt;&gt;"")*(Besatzung!$F$11:$F$22="x")),SUMPRODUCT((J15:U15="x")*(Besatzung!$F$11:$F$22="x"))),1))))),0))))</f>
        <v/>
      </c>
      <c r="AD15" s="106">
        <f>IF(C15="Gutschrift","",IF(G15="","",IF(Besatzung!$B$19="","",IFERROR(IF(I15="Zeitanteilig",(Besatzung!$G$19*(G15-IFERROR(H15,0))+((Besatzung!$B$19&lt;&gt;"")*IF(B15="",1,(IF(Besatzung!$C$19="",Besatzung!$B$5,Besatzung!$C$19)&lt;=B15)*(IF(Besatzung!$D$19="",Besatzung!$B$6,Besatzung!$D$19)&gt;=B15)))*(Besatzung!$F$19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$19&lt;&gt;"")*IF(B15="",1,(IF(Besatzung!$C$19="",Besatzung!$B$5,Besatzung!$C$19)&lt;=B15)*(IF(Besatzung!$D$19="",Besatzung!$B$6,Besatzung!$D$19)&gt;=B15)))*((G15-IFERROR(H15,0))/IFERROR(SUMPRODUCT((Besatzung!$B$11:$B$22&lt;&gt;"")*(IF(Besatzung!$C$11:$C$22="",Besatzung!$B$5,Besatzung!$C$11:$C$22)&lt;=B15)*(IF(Besatzung!$D$11:$D$22="",Besatzung!$B$6,Besatzung!$D$11:$D$22)&gt;=B15)),1)+(Besatzung!$F$19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R15="x")*((G15-IFERROR(H15,0))/IFERROR(COUNTIF(J15:U15,"x"),1)+(Besatzung!$F$19="x")*IFERROR(H15,0)/IFERROR(SUMPRODUCT((J15:U15="x")*(Besatzung!$F$11:$F$22="x")),1))),(IF(COUNTIF(J15:U15,"x")=0,IF(Besatzung!$B$19&lt;&gt;"",1,0),(R15="x"))*(G15-IFERROR(H15,0))/IFERROR(IF(COUNTIF(J15:U15,"x")=0,COUNTA(Besatzung!$B$11:$B$22),COUNTIF(J15:U15,"x")),1)+IF(COUNTIF(J15:U15,"x")=0,(Besatzung!$F$19="x"),(R15="x")*(Besatzung!$F$19="x"))*IFERROR(H15,0)/IFERROR(IF(COUNTIF(J15:U15,"x")=0,SUMPRODUCT((Besatzung!$B$11:$B$22&lt;&gt;"")*(Besatzung!$F$11:$F$22="x")),SUMPRODUCT((J15:U15="x")*(Besatzung!$F$11:$F$22="x"))),1))))),0))))</f>
        <v/>
      </c>
      <c r="AE15" s="106">
        <f>IF(C15="Gutschrift","",IF(G15="","",IF(Besatzung!$B$20="","",IFERROR(IF(I15="Zeitanteilig",(Besatzung!$G$20*(G15-IFERROR(H15,0))+((Besatzung!$B$20&lt;&gt;"")*IF(B15="",1,(IF(Besatzung!$C$20="",Besatzung!$B$5,Besatzung!$C$20)&lt;=B15)*(IF(Besatzung!$D$20="",Besatzung!$B$6,Besatzung!$D$20)&gt;=B15)))*(Besatzung!$F$20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$20&lt;&gt;"")*IF(B15="",1,(IF(Besatzung!$C$20="",Besatzung!$B$5,Besatzung!$C$20)&lt;=B15)*(IF(Besatzung!$D$20="",Besatzung!$B$6,Besatzung!$D$20)&gt;=B15)))*((G15-IFERROR(H15,0))/IFERROR(SUMPRODUCT((Besatzung!$B$11:$B$22&lt;&gt;"")*(IF(Besatzung!$C$11:$C$22="",Besatzung!$B$5,Besatzung!$C$11:$C$22)&lt;=B15)*(IF(Besatzung!$D$11:$D$22="",Besatzung!$B$6,Besatzung!$D$11:$D$22)&gt;=B15)),1)+(Besatzung!$F$20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S15="x")*((G15-IFERROR(H15,0))/IFERROR(COUNTIF(J15:U15,"x"),1)+(Besatzung!$F$20="x")*IFERROR(H15,0)/IFERROR(SUMPRODUCT((J15:U15="x")*(Besatzung!$F$11:$F$22="x")),1))),(IF(COUNTIF(J15:U15,"x")=0,IF(Besatzung!$B$20&lt;&gt;"",1,0),(S15="x"))*(G15-IFERROR(H15,0))/IFERROR(IF(COUNTIF(J15:U15,"x")=0,COUNTA(Besatzung!$B$11:$B$22),COUNTIF(J15:U15,"x")),1)+IF(COUNTIF(J15:U15,"x")=0,(Besatzung!$F$20="x"),(S15="x")*(Besatzung!$F$20="x"))*IFERROR(H15,0)/IFERROR(IF(COUNTIF(J15:U15,"x")=0,SUMPRODUCT((Besatzung!$B$11:$B$22&lt;&gt;"")*(Besatzung!$F$11:$F$22="x")),SUMPRODUCT((J15:U15="x")*(Besatzung!$F$11:$F$22="x"))),1))))),0))))</f>
        <v/>
      </c>
      <c r="AF15" s="106">
        <f>IF(C15="Gutschrift","",IF(G15="","",IF(Besatzung!$B$21="","",IFERROR(IF(I15="Zeitanteilig",(Besatzung!$G$21*(G15-IFERROR(H15,0))+((Besatzung!$B$21&lt;&gt;"")*IF(B15="",1,(IF(Besatzung!$C$21="",Besatzung!$B$5,Besatzung!$C$21)&lt;=B15)*(IF(Besatzung!$D$21="",Besatzung!$B$6,Besatzung!$D$21)&gt;=B15)))*(Besatzung!$F$21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$21&lt;&gt;"")*IF(B15="",1,(IF(Besatzung!$C$21="",Besatzung!$B$5,Besatzung!$C$21)&lt;=B15)*(IF(Besatzung!$D$21="",Besatzung!$B$6,Besatzung!$D$21)&gt;=B15)))*((G15-IFERROR(H15,0))/IFERROR(SUMPRODUCT((Besatzung!$B$11:$B$22&lt;&gt;"")*(IF(Besatzung!$C$11:$C$22="",Besatzung!$B$5,Besatzung!$C$11:$C$22)&lt;=B15)*(IF(Besatzung!$D$11:$D$22="",Besatzung!$B$6,Besatzung!$D$11:$D$22)&gt;=B15)),1)+(Besatzung!$F$21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T15="x")*((G15-IFERROR(H15,0))/IFERROR(COUNTIF(J15:U15,"x"),1)+(Besatzung!$F$21="x")*IFERROR(H15,0)/IFERROR(SUMPRODUCT((J15:U15="x")*(Besatzung!$F$11:$F$22="x")),1))),(IF(COUNTIF(J15:U15,"x")=0,IF(Besatzung!$B$21&lt;&gt;"",1,0),(T15="x"))*(G15-IFERROR(H15,0))/IFERROR(IF(COUNTIF(J15:U15,"x")=0,COUNTA(Besatzung!$B$11:$B$22),COUNTIF(J15:U15,"x")),1)+IF(COUNTIF(J15:U15,"x")=0,(Besatzung!$F$21="x"),(T15="x")*(Besatzung!$F$21="x"))*IFERROR(H15,0)/IFERROR(IF(COUNTIF(J15:U15,"x")=0,SUMPRODUCT((Besatzung!$B$11:$B$22&lt;&gt;"")*(Besatzung!$F$11:$F$22="x")),SUMPRODUCT((J15:U15="x")*(Besatzung!$F$11:$F$22="x"))),1))))),0))))</f>
        <v/>
      </c>
      <c r="AG15" s="106">
        <f>IF(C15="Gutschrift","",IF(G15="","",IF(Besatzung!$B$22="","",IFERROR(IF(I15="Zeitanteilig",(Besatzung!$G$22*(G15-IFERROR(H15,0))+((Besatzung!$B$22&lt;&gt;"")*IF(B15="",1,(IF(Besatzung!$C$22="",Besatzung!$B$5,Besatzung!$C$22)&lt;=B15)*(IF(Besatzung!$D$22="",Besatzung!$B$6,Besatzung!$D$22)&gt;=B15)))*(Besatzung!$F$22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$22&lt;&gt;"")*IF(B15="",1,(IF(Besatzung!$C$22="",Besatzung!$B$5,Besatzung!$C$22)&lt;=B15)*(IF(Besatzung!$D$22="",Besatzung!$B$6,Besatzung!$D$22)&gt;=B15)))*((G15-IFERROR(H15,0))/IFERROR(SUMPRODUCT((Besatzung!$B$11:$B$22&lt;&gt;"")*(IF(Besatzung!$C$11:$C$22="",Besatzung!$B$5,Besatzung!$C$11:$C$22)&lt;=B15)*(IF(Besatzung!$D$11:$D$22="",Besatzung!$B$6,Besatzung!$D$11:$D$22)&gt;=B15)),1)+(Besatzung!$F$22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U15="x")*((G15-IFERROR(H15,0))/IFERROR(COUNTIF(J15:U15,"x"),1)+(Besatzung!$F$22="x")*IFERROR(H15,0)/IFERROR(SUMPRODUCT((J15:U15="x")*(Besatzung!$F$11:$F$22="x")),1))),(IF(COUNTIF(J15:U15,"x")=0,IF(Besatzung!$B$22&lt;&gt;"",1,0),(U15="x"))*(G15-IFERROR(H15,0))/IFERROR(IF(COUNTIF(J15:U15,"x")=0,COUNTA(Besatzung!$B$11:$B$22),COUNTIF(J15:U15,"x")),1)+IF(COUNTIF(J15:U15,"x")=0,(Besatzung!$F$22="x"),(U15="x")*(Besatzung!$F$22="x"))*IFERROR(H15,0)/IFERROR(IF(COUNTIF(J15:U15,"x")=0,SUMPRODUCT((Besatzung!$B$11:$B$22&lt;&gt;"")*(Besatzung!$F$11:$F$22="x")),SUMPRODUCT((J15:U15="x")*(Besatzung!$F$11:$F$22="x"))),1))))),0))))</f>
        <v/>
      </c>
      <c r="AH15" s="107" t="n"/>
      <c r="AI15" s="107" t="n"/>
    </row>
    <row r="16" ht="21.75" customHeight="1" s="182">
      <c r="A16" s="97">
        <f>IF(AND(D16="",C16=""),"",13)</f>
        <v/>
      </c>
      <c r="B16" s="56" t="n"/>
      <c r="C16" s="98" t="n"/>
      <c r="D16" s="99" t="n"/>
      <c r="E16" s="100" t="n"/>
      <c r="F16" s="101" t="n"/>
      <c r="G16" s="102" t="n"/>
      <c r="H16" s="103" t="n"/>
      <c r="I16" s="104" t="n"/>
      <c r="J16" s="105" t="n"/>
      <c r="K16" s="105" t="n"/>
      <c r="L16" s="105" t="n"/>
      <c r="M16" s="105" t="n"/>
      <c r="N16" s="105" t="n"/>
      <c r="O16" s="105" t="n"/>
      <c r="P16" s="105" t="n"/>
      <c r="Q16" s="105" t="n"/>
      <c r="R16" s="105" t="n"/>
      <c r="S16" s="105" t="n"/>
      <c r="T16" s="105" t="n"/>
      <c r="U16" s="105" t="n"/>
      <c r="V16" s="106">
        <f>IF(C16="Gutschrift","",IF(G16="","",IF(Besatzung!$B$11="","",IFERROR(IF(I16="Zeitanteilig",(Besatzung!$G$11*(G16-IFERROR(H16,0))+((Besatzung!$B$11&lt;&gt;"")*IF(B16="",1,(IF(Besatzung!$C$11="",Besatzung!$B$5,Besatzung!$C$11)&lt;=B16)*(IF(Besatzung!$D$11="",Besatzung!$B$6,Besatzung!$D$11)&gt;=B16)))*(Besatzung!$F$11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$11&lt;&gt;"")*IF(B16="",1,(IF(Besatzung!$C$11="",Besatzung!$B$5,Besatzung!$C$11)&lt;=B16)*(IF(Besatzung!$D$11="",Besatzung!$B$6,Besatzung!$D$11)&gt;=B16)))*((G16-IFERROR(H16,0))/IFERROR(SUMPRODUCT((Besatzung!$B$11:$B$22&lt;&gt;"")*(IF(Besatzung!$C$11:$C$22="",Besatzung!$B$5,Besatzung!$C$11:$C$22)&lt;=B16)*(IF(Besatzung!$D$11:$D$22="",Besatzung!$B$6,Besatzung!$D$11:$D$22)&gt;=B16)),1)+(Besatzung!$F$11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J16="x")*((G16-IFERROR(H16,0))/IFERROR(COUNTIF(J16:U16,"x"),1)+(Besatzung!$F$11="x")*IFERROR(H16,0)/IFERROR(SUMPRODUCT((J16:U16="x")*(Besatzung!$F$11:$F$22="x")),1))),(IF(COUNTIF(J16:U16,"x")=0,IF(Besatzung!$B$11&lt;&gt;"",1,0),(J16="x"))*(G16-IFERROR(H16,0))/IFERROR(IF(COUNTIF(J16:U16,"x")=0,COUNTA(Besatzung!$B$11:$B$22),COUNTIF(J16:U16,"x")),1)+IF(COUNTIF(J16:U16,"x")=0,(Besatzung!$F$11="x"),(J16="x")*(Besatzung!$F$11="x"))*IFERROR(H16,0)/IFERROR(IF(COUNTIF(J16:U16,"x")=0,SUMPRODUCT((Besatzung!$B$11:$B$22&lt;&gt;"")*(Besatzung!$F$11:$F$22="x")),SUMPRODUCT((J16:U16="x")*(Besatzung!$F$11:$F$22="x"))),1))))),0))))</f>
        <v/>
      </c>
      <c r="W16" s="106">
        <f>IF(C16="Gutschrift","",IF(G16="","",IF(Besatzung!$B$12="","",IFERROR(IF(I16="Zeitanteilig",(Besatzung!$G$12*(G16-IFERROR(H16,0))+((Besatzung!$B$12&lt;&gt;"")*IF(B16="",1,(IF(Besatzung!$C$12="",Besatzung!$B$5,Besatzung!$C$12)&lt;=B16)*(IF(Besatzung!$D$12="",Besatzung!$B$6,Besatzung!$D$12)&gt;=B16)))*(Besatzung!$F$12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$12&lt;&gt;"")*IF(B16="",1,(IF(Besatzung!$C$12="",Besatzung!$B$5,Besatzung!$C$12)&lt;=B16)*(IF(Besatzung!$D$12="",Besatzung!$B$6,Besatzung!$D$12)&gt;=B16)))*((G16-IFERROR(H16,0))/IFERROR(SUMPRODUCT((Besatzung!$B$11:$B$22&lt;&gt;"")*(IF(Besatzung!$C$11:$C$22="",Besatzung!$B$5,Besatzung!$C$11:$C$22)&lt;=B16)*(IF(Besatzung!$D$11:$D$22="",Besatzung!$B$6,Besatzung!$D$11:$D$22)&gt;=B16)),1)+(Besatzung!$F$12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K16="x")*((G16-IFERROR(H16,0))/IFERROR(COUNTIF(J16:U16,"x"),1)+(Besatzung!$F$12="x")*IFERROR(H16,0)/IFERROR(SUMPRODUCT((J16:U16="x")*(Besatzung!$F$11:$F$22="x")),1))),(IF(COUNTIF(J16:U16,"x")=0,IF(Besatzung!$B$12&lt;&gt;"",1,0),(K16="x"))*(G16-IFERROR(H16,0))/IFERROR(IF(COUNTIF(J16:U16,"x")=0,COUNTA(Besatzung!$B$11:$B$22),COUNTIF(J16:U16,"x")),1)+IF(COUNTIF(J16:U16,"x")=0,(Besatzung!$F$12="x"),(K16="x")*(Besatzung!$F$12="x"))*IFERROR(H16,0)/IFERROR(IF(COUNTIF(J16:U16,"x")=0,SUMPRODUCT((Besatzung!$B$11:$B$22&lt;&gt;"")*(Besatzung!$F$11:$F$22="x")),SUMPRODUCT((J16:U16="x")*(Besatzung!$F$11:$F$22="x"))),1))))),0))))</f>
        <v/>
      </c>
      <c r="X16" s="106">
        <f>IF(C16="Gutschrift","",IF(G16="","",IF(Besatzung!$B$13="","",IFERROR(IF(I16="Zeitanteilig",(Besatzung!$G$13*(G16-IFERROR(H16,0))+((Besatzung!$B$13&lt;&gt;"")*IF(B16="",1,(IF(Besatzung!$C$13="",Besatzung!$B$5,Besatzung!$C$13)&lt;=B16)*(IF(Besatzung!$D$13="",Besatzung!$B$6,Besatzung!$D$13)&gt;=B16)))*(Besatzung!$F$13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$13&lt;&gt;"")*IF(B16="",1,(IF(Besatzung!$C$13="",Besatzung!$B$5,Besatzung!$C$13)&lt;=B16)*(IF(Besatzung!$D$13="",Besatzung!$B$6,Besatzung!$D$13)&gt;=B16)))*((G16-IFERROR(H16,0))/IFERROR(SUMPRODUCT((Besatzung!$B$11:$B$22&lt;&gt;"")*(IF(Besatzung!$C$11:$C$22="",Besatzung!$B$5,Besatzung!$C$11:$C$22)&lt;=B16)*(IF(Besatzung!$D$11:$D$22="",Besatzung!$B$6,Besatzung!$D$11:$D$22)&gt;=B16)),1)+(Besatzung!$F$13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K16="x")*((G16-IFERROR(H16,0))/IFERROR(COUNTIF(J16:U16,"x"),1)+(Besatzung!$F$13="x")*IFERROR(H16,0)/IFERROR(SUMPRODUCT((J16:U16="x")*(Besatzung!$F$11:$F$22="x")),1))),(IF(COUNTIF(J16:U16,"x")=0,IF(Besatzung!$B$13&lt;&gt;"",1,0),(K16="x"))*(G16-IFERROR(H16,0))/IFERROR(IF(COUNTIF(J16:U16,"x")=0,COUNTA(Besatzung!$B$11:$B$22),COUNTIF(J16:U16,"x")),1)+IF(COUNTIF(J16:U16,"x")=0,(Besatzung!$F$13="x"),(K16="x")*(Besatzung!$F$13="x"))*IFERROR(H16,0)/IFERROR(IF(COUNTIF(J16:U16,"x")=0,SUMPRODUCT((Besatzung!$B$11:$B$22&lt;&gt;"")*(Besatzung!$F$11:$F$22="x")),SUMPRODUCT((J16:U16="x")*(Besatzung!$F$11:$F$22="x"))),1))))),0))))</f>
        <v/>
      </c>
      <c r="Y16" s="106">
        <f>IF(C16="Gutschrift","",IF(G16="","",IF(Besatzung!$B$14="","",IFERROR(IF(I16="Zeitanteilig",(Besatzung!$G$14*(G16-IFERROR(H16,0))+((Besatzung!$B$14&lt;&gt;"")*IF(B16="",1,(IF(Besatzung!$C$14="",Besatzung!$B$5,Besatzung!$C$14)&lt;=B16)*(IF(Besatzung!$D$14="",Besatzung!$B$6,Besatzung!$D$14)&gt;=B16)))*(Besatzung!$F$14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$14&lt;&gt;"")*IF(B16="",1,(IF(Besatzung!$C$14="",Besatzung!$B$5,Besatzung!$C$14)&lt;=B16)*(IF(Besatzung!$D$14="",Besatzung!$B$6,Besatzung!$D$14)&gt;=B16)))*((G16-IFERROR(H16,0))/IFERROR(SUMPRODUCT((Besatzung!$B$11:$B$22&lt;&gt;"")*(IF(Besatzung!$C$11:$C$22="",Besatzung!$B$5,Besatzung!$C$11:$C$22)&lt;=B16)*(IF(Besatzung!$D$11:$D$22="",Besatzung!$B$6,Besatzung!$D$11:$D$22)&gt;=B16)),1)+(Besatzung!$F$14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M16="x")*((G16-IFERROR(H16,0))/IFERROR(COUNTIF(J16:U16,"x"),1)+(Besatzung!$F$14="x")*IFERROR(H16,0)/IFERROR(SUMPRODUCT((J16:U16="x")*(Besatzung!$F$11:$F$22="x")),1))),(IF(COUNTIF(J16:U16,"x")=0,IF(Besatzung!$B$14&lt;&gt;"",1,0),(M16="x"))*(G16-IFERROR(H16,0))/IFERROR(IF(COUNTIF(J16:U16,"x")=0,COUNTA(Besatzung!$B$11:$B$22),COUNTIF(J16:U16,"x")),1)+IF(COUNTIF(J16:U16,"x")=0,(Besatzung!$F$14="x"),(M16="x")*(Besatzung!$F$14="x"))*IFERROR(H16,0)/IFERROR(IF(COUNTIF(J16:U16,"x")=0,SUMPRODUCT((Besatzung!$B$11:$B$22&lt;&gt;"")*(Besatzung!$F$11:$F$22="x")),SUMPRODUCT((J16:U16="x")*(Besatzung!$F$11:$F$22="x"))),1))))),0))))</f>
        <v/>
      </c>
      <c r="Z16" s="106">
        <f>IF(C16="Gutschrift","",IF(G16="","",IF(Besatzung!$B$13="","",IFERROR(IF(I16="Zeitanteilig",(Besatzung!$G$15*(G16-IFERROR(H16,0))+((Besatzung!$B$13&lt;&gt;"")*IF(B16="",1,(IF(Besatzung!$C$15="",Besatzung!$B$5,Besatzung!$C$15)&lt;=B16)*(IF(Besatzung!$D$15="",Besatzung!$B$6,Besatzung!$D$15)&gt;=B16)))*(Besatzung!$F$15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$13&lt;&gt;"")*IF(B16="",1,(IF(Besatzung!$C$15="",Besatzung!$B$5,Besatzung!$C$15)&lt;=B16)*(IF(Besatzung!$D$15="",Besatzung!$B$6,Besatzung!$D$15)&gt;=B16)))*((G16-IFERROR(H16,0))/IFERROR(SUMPRODUCT((Besatzung!$B$11:$B$22&lt;&gt;"")*(IF(Besatzung!$C$11:$C$22="",Besatzung!$B$5,Besatzung!$C$11:$C$22)&lt;=B16)*(IF(Besatzung!$D$11:$D$22="",Besatzung!$B$6,Besatzung!$D$11:$D$22)&gt;=B16)),1)+(Besatzung!$F$15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N16="x")*((G16-IFERROR(H16,0))/IFERROR(COUNTIF(J16:U16,"x"),1)+(Besatzung!$F$15="x")*IFERROR(H16,0)/IFERROR(SUMPRODUCT((J16:U16="x")*(Besatzung!$F$11:$F$22="x")),1))),(IF(COUNTIF(J16:U16,"x")=0,IF(Besatzung!$B$13&lt;&gt;"",1,0),(N16="x"))*(G16-IFERROR(H16,0))/IFERROR(IF(COUNTIF(J16:U16,"x")=0,COUNTA(Besatzung!$B$11:$B$22),COUNTIF(J16:U16,"x")),1)+IF(COUNTIF(J16:U16,"x")=0,(Besatzung!$F$15="x"),(N16="x")*(Besatzung!$F$15="x"))*IFERROR(H16,0)/IFERROR(IF(COUNTIF(J16:U16,"x")=0,SUMPRODUCT((Besatzung!$B$11:$B$22&lt;&gt;"")*(Besatzung!$F$11:$F$22="x")),SUMPRODUCT((J16:U16="x")*(Besatzung!$F$11:$F$22="x"))),1))))),0))))</f>
        <v/>
      </c>
      <c r="AA16" s="106">
        <f>IF(C16="Gutschrift","",IF(G16="","",IF(Besatzung!$B$15="","",IFERROR(IF(I16="Zeitanteilig",(Besatzung!$G$16*(G16-IFERROR(H16,0))+((Besatzung!$B$15&lt;&gt;"")*IF(B16="",1,(IF(Besatzung!$C$16="",Besatzung!$B$5,Besatzung!$C$16)&lt;=B16)*(IF(Besatzung!$D$16="",Besatzung!$B$6,Besatzung!$D$16)&gt;=B16)))*(Besatzung!$F$16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$15&lt;&gt;"")*IF(B16="",1,(IF(Besatzung!$C$16="",Besatzung!$B$5,Besatzung!$C$16)&lt;=B16)*(IF(Besatzung!$D$16="",Besatzung!$B$6,Besatzung!$D$16)&gt;=B16)))*((G16-IFERROR(H16,0))/IFERROR(SUMPRODUCT((Besatzung!$B$11:$B$22&lt;&gt;"")*(IF(Besatzung!$C$11:$C$22="",Besatzung!$B$5,Besatzung!$C$11:$C$22)&lt;=B16)*(IF(Besatzung!$D$11:$D$22="",Besatzung!$B$6,Besatzung!$D$11:$D$22)&gt;=B16)),1)+(Besatzung!$F$16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O16="x")*((G16-IFERROR(H16,0))/IFERROR(COUNTIF(J16:U16,"x"),1)+(Besatzung!$F$16="x")*IFERROR(H16,0)/IFERROR(SUMPRODUCT((J16:U16="x")*(Besatzung!$F$11:$F$22="x")),1))),(IF(COUNTIF(J16:U16,"x")=0,IF(Besatzung!$B$15&lt;&gt;"",1,0),(O16="x"))*(G16-IFERROR(H16,0))/IFERROR(IF(COUNTIF(J16:U16,"x")=0,COUNTA(Besatzung!$B$11:$B$22),COUNTIF(J16:U16,"x")),1)+IF(COUNTIF(J16:U16,"x")=0,(Besatzung!$F$16="x"),(O16="x")*(Besatzung!$F$16="x"))*IFERROR(H16,0)/IFERROR(IF(COUNTIF(J16:U16,"x")=0,SUMPRODUCT((Besatzung!$B$11:$B$22&lt;&gt;"")*(Besatzung!$F$11:$F$22="x")),SUMPRODUCT((J16:U16="x")*(Besatzung!$F$11:$F$22="x"))),1))))),0))))</f>
        <v/>
      </c>
      <c r="AB16" s="106">
        <f>IF(C16="Gutschrift","",IF(G16="","",IF(Besatzung!$B$17="","",IFERROR(IF(I16="Zeitanteilig",(Besatzung!$G$17*(G16-IFERROR(H16,0))+((Besatzung!$B$17&lt;&gt;"")*IF(B16="",1,(IF(Besatzung!$C$17="",Besatzung!$B$5,Besatzung!$C$17)&lt;=B16)*(IF(Besatzung!$D$17="",Besatzung!$B$6,Besatzung!$D$17)&gt;=B16)))*(Besatzung!$F$17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$17&lt;&gt;"")*IF(B16="",1,(IF(Besatzung!$C$17="",Besatzung!$B$5,Besatzung!$C$17)&lt;=B16)*(IF(Besatzung!$D$17="",Besatzung!$B$6,Besatzung!$D$17)&gt;=B16)))*((G16-IFERROR(H16,0))/IFERROR(SUMPRODUCT((Besatzung!$B$11:$B$22&lt;&gt;"")*(IF(Besatzung!$C$11:$C$22="",Besatzung!$B$5,Besatzung!$C$11:$C$22)&lt;=B16)*(IF(Besatzung!$D$11:$D$22="",Besatzung!$B$6,Besatzung!$D$11:$D$22)&gt;=B16)),1)+(Besatzung!$F$17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P16="x")*((G16-IFERROR(H16,0))/IFERROR(COUNTIF(J16:U16,"x"),1)+(Besatzung!$F$17="x")*IFERROR(H16,0)/IFERROR(SUMPRODUCT((J16:U16="x")*(Besatzung!$F$11:$F$22="x")),1))),(IF(COUNTIF(J16:U16,"x")=0,IF(Besatzung!$B$17&lt;&gt;"",1,0),(P16="x"))*(G16-IFERROR(H16,0))/IFERROR(IF(COUNTIF(J16:U16,"x")=0,COUNTA(Besatzung!$B$11:$B$22),COUNTIF(J16:U16,"x")),1)+IF(COUNTIF(J16:U16,"x")=0,(Besatzung!$F$17="x"),(P16="x")*(Besatzung!$F$17="x"))*IFERROR(H16,0)/IFERROR(IF(COUNTIF(J16:U16,"x")=0,SUMPRODUCT((Besatzung!$B$11:$B$22&lt;&gt;"")*(Besatzung!$F$11:$F$22="x")),SUMPRODUCT((J16:U16="x")*(Besatzung!$F$11:$F$22="x"))),1))))),0))))</f>
        <v/>
      </c>
      <c r="AC16" s="106">
        <f>IF(C16="Gutschrift","",IF(G16="","",IF(Besatzung!$B$18="","",IFERROR(IF(I16="Zeitanteilig",(Besatzung!$G$18*(G16-IFERROR(H16,0))+((Besatzung!$B$18&lt;&gt;"")*IF(B16="",1,(IF(Besatzung!$C$18="",Besatzung!$B$5,Besatzung!$C$18)&lt;=B16)*(IF(Besatzung!$D$18="",Besatzung!$B$6,Besatzung!$D$18)&gt;=B16)))*(Besatzung!$F$18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$18&lt;&gt;"")*IF(B16="",1,(IF(Besatzung!$C$18="",Besatzung!$B$5,Besatzung!$C$18)&lt;=B16)*(IF(Besatzung!$D$18="",Besatzung!$B$6,Besatzung!$D$18)&gt;=B16)))*((G16-IFERROR(H16,0))/IFERROR(SUMPRODUCT((Besatzung!$B$11:$B$22&lt;&gt;"")*(IF(Besatzung!$C$11:$C$22="",Besatzung!$B$5,Besatzung!$C$11:$C$22)&lt;=B16)*(IF(Besatzung!$D$11:$D$22="",Besatzung!$B$6,Besatzung!$D$11:$D$22)&gt;=B16)),1)+(Besatzung!$F$18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Q16="x")*((G16-IFERROR(H16,0))/IFERROR(COUNTIF(J16:U16,"x"),1)+(Besatzung!$F$18="x")*IFERROR(H16,0)/IFERROR(SUMPRODUCT((J16:U16="x")*(Besatzung!$F$11:$F$22="x")),1))),(IF(COUNTIF(J16:U16,"x")=0,IF(Besatzung!$B$18&lt;&gt;"",1,0),(Q16="x"))*(G16-IFERROR(H16,0))/IFERROR(IF(COUNTIF(J16:U16,"x")=0,COUNTA(Besatzung!$B$11:$B$22),COUNTIF(J16:U16,"x")),1)+IF(COUNTIF(J16:U16,"x")=0,(Besatzung!$F$18="x"),(Q16="x")*(Besatzung!$F$18="x"))*IFERROR(H16,0)/IFERROR(IF(COUNTIF(J16:U16,"x")=0,SUMPRODUCT((Besatzung!$B$11:$B$22&lt;&gt;"")*(Besatzung!$F$11:$F$22="x")),SUMPRODUCT((J16:U16="x")*(Besatzung!$F$11:$F$22="x"))),1))))),0))))</f>
        <v/>
      </c>
      <c r="AD16" s="106">
        <f>IF(C16="Gutschrift","",IF(G16="","",IF(Besatzung!$B$19="","",IFERROR(IF(I16="Zeitanteilig",(Besatzung!$G$19*(G16-IFERROR(H16,0))+((Besatzung!$B$19&lt;&gt;"")*IF(B16="",1,(IF(Besatzung!$C$19="",Besatzung!$B$5,Besatzung!$C$19)&lt;=B16)*(IF(Besatzung!$D$19="",Besatzung!$B$6,Besatzung!$D$19)&gt;=B16)))*(Besatzung!$F$19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$19&lt;&gt;"")*IF(B16="",1,(IF(Besatzung!$C$19="",Besatzung!$B$5,Besatzung!$C$19)&lt;=B16)*(IF(Besatzung!$D$19="",Besatzung!$B$6,Besatzung!$D$19)&gt;=B16)))*((G16-IFERROR(H16,0))/IFERROR(SUMPRODUCT((Besatzung!$B$11:$B$22&lt;&gt;"")*(IF(Besatzung!$C$11:$C$22="",Besatzung!$B$5,Besatzung!$C$11:$C$22)&lt;=B16)*(IF(Besatzung!$D$11:$D$22="",Besatzung!$B$6,Besatzung!$D$11:$D$22)&gt;=B16)),1)+(Besatzung!$F$19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R16="x")*((G16-IFERROR(H16,0))/IFERROR(COUNTIF(J16:U16,"x"),1)+(Besatzung!$F$19="x")*IFERROR(H16,0)/IFERROR(SUMPRODUCT((J16:U16="x")*(Besatzung!$F$11:$F$22="x")),1))),(IF(COUNTIF(J16:U16,"x")=0,IF(Besatzung!$B$19&lt;&gt;"",1,0),(R16="x"))*(G16-IFERROR(H16,0))/IFERROR(IF(COUNTIF(J16:U16,"x")=0,COUNTA(Besatzung!$B$11:$B$22),COUNTIF(J16:U16,"x")),1)+IF(COUNTIF(J16:U16,"x")=0,(Besatzung!$F$19="x"),(R16="x")*(Besatzung!$F$19="x"))*IFERROR(H16,0)/IFERROR(IF(COUNTIF(J16:U16,"x")=0,SUMPRODUCT((Besatzung!$B$11:$B$22&lt;&gt;"")*(Besatzung!$F$11:$F$22="x")),SUMPRODUCT((J16:U16="x")*(Besatzung!$F$11:$F$22="x"))),1))))),0))))</f>
        <v/>
      </c>
      <c r="AE16" s="106">
        <f>IF(C16="Gutschrift","",IF(G16="","",IF(Besatzung!$B$20="","",IFERROR(IF(I16="Zeitanteilig",(Besatzung!$G$20*(G16-IFERROR(H16,0))+((Besatzung!$B$20&lt;&gt;"")*IF(B16="",1,(IF(Besatzung!$C$20="",Besatzung!$B$5,Besatzung!$C$20)&lt;=B16)*(IF(Besatzung!$D$20="",Besatzung!$B$6,Besatzung!$D$20)&gt;=B16)))*(Besatzung!$F$20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$20&lt;&gt;"")*IF(B16="",1,(IF(Besatzung!$C$20="",Besatzung!$B$5,Besatzung!$C$20)&lt;=B16)*(IF(Besatzung!$D$20="",Besatzung!$B$6,Besatzung!$D$20)&gt;=B16)))*((G16-IFERROR(H16,0))/IFERROR(SUMPRODUCT((Besatzung!$B$11:$B$22&lt;&gt;"")*(IF(Besatzung!$C$11:$C$22="",Besatzung!$B$5,Besatzung!$C$11:$C$22)&lt;=B16)*(IF(Besatzung!$D$11:$D$22="",Besatzung!$B$6,Besatzung!$D$11:$D$22)&gt;=B16)),1)+(Besatzung!$F$20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S16="x")*((G16-IFERROR(H16,0))/IFERROR(COUNTIF(J16:U16,"x"),1)+(Besatzung!$F$20="x")*IFERROR(H16,0)/IFERROR(SUMPRODUCT((J16:U16="x")*(Besatzung!$F$11:$F$22="x")),1))),(IF(COUNTIF(J16:U16,"x")=0,IF(Besatzung!$B$20&lt;&gt;"",1,0),(S16="x"))*(G16-IFERROR(H16,0))/IFERROR(IF(COUNTIF(J16:U16,"x")=0,COUNTA(Besatzung!$B$11:$B$22),COUNTIF(J16:U16,"x")),1)+IF(COUNTIF(J16:U16,"x")=0,(Besatzung!$F$20="x"),(S16="x")*(Besatzung!$F$20="x"))*IFERROR(H16,0)/IFERROR(IF(COUNTIF(J16:U16,"x")=0,SUMPRODUCT((Besatzung!$B$11:$B$22&lt;&gt;"")*(Besatzung!$F$11:$F$22="x")),SUMPRODUCT((J16:U16="x")*(Besatzung!$F$11:$F$22="x"))),1))))),0))))</f>
        <v/>
      </c>
      <c r="AF16" s="106">
        <f>IF(C16="Gutschrift","",IF(G16="","",IF(Besatzung!$B$21="","",IFERROR(IF(I16="Zeitanteilig",(Besatzung!$G$21*(G16-IFERROR(H16,0))+((Besatzung!$B$21&lt;&gt;"")*IF(B16="",1,(IF(Besatzung!$C$21="",Besatzung!$B$5,Besatzung!$C$21)&lt;=B16)*(IF(Besatzung!$D$21="",Besatzung!$B$6,Besatzung!$D$21)&gt;=B16)))*(Besatzung!$F$21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$21&lt;&gt;"")*IF(B16="",1,(IF(Besatzung!$C$21="",Besatzung!$B$5,Besatzung!$C$21)&lt;=B16)*(IF(Besatzung!$D$21="",Besatzung!$B$6,Besatzung!$D$21)&gt;=B16)))*((G16-IFERROR(H16,0))/IFERROR(SUMPRODUCT((Besatzung!$B$11:$B$22&lt;&gt;"")*(IF(Besatzung!$C$11:$C$22="",Besatzung!$B$5,Besatzung!$C$11:$C$22)&lt;=B16)*(IF(Besatzung!$D$11:$D$22="",Besatzung!$B$6,Besatzung!$D$11:$D$22)&gt;=B16)),1)+(Besatzung!$F$21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T16="x")*((G16-IFERROR(H16,0))/IFERROR(COUNTIF(J16:U16,"x"),1)+(Besatzung!$F$21="x")*IFERROR(H16,0)/IFERROR(SUMPRODUCT((J16:U16="x")*(Besatzung!$F$11:$F$22="x")),1))),(IF(COUNTIF(J16:U16,"x")=0,IF(Besatzung!$B$21&lt;&gt;"",1,0),(T16="x"))*(G16-IFERROR(H16,0))/IFERROR(IF(COUNTIF(J16:U16,"x")=0,COUNTA(Besatzung!$B$11:$B$22),COUNTIF(J16:U16,"x")),1)+IF(COUNTIF(J16:U16,"x")=0,(Besatzung!$F$21="x"),(T16="x")*(Besatzung!$F$21="x"))*IFERROR(H16,0)/IFERROR(IF(COUNTIF(J16:U16,"x")=0,SUMPRODUCT((Besatzung!$B$11:$B$22&lt;&gt;"")*(Besatzung!$F$11:$F$22="x")),SUMPRODUCT((J16:U16="x")*(Besatzung!$F$11:$F$22="x"))),1))))),0))))</f>
        <v/>
      </c>
      <c r="AG16" s="106">
        <f>IF(C16="Gutschrift","",IF(G16="","",IF(Besatzung!$B$22="","",IFERROR(IF(I16="Zeitanteilig",(Besatzung!$G$22*(G16-IFERROR(H16,0))+((Besatzung!$B$22&lt;&gt;"")*IF(B16="",1,(IF(Besatzung!$C$22="",Besatzung!$B$5,Besatzung!$C$22)&lt;=B16)*(IF(Besatzung!$D$22="",Besatzung!$B$6,Besatzung!$D$22)&gt;=B16)))*(Besatzung!$F$22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$22&lt;&gt;"")*IF(B16="",1,(IF(Besatzung!$C$22="",Besatzung!$B$5,Besatzung!$C$22)&lt;=B16)*(IF(Besatzung!$D$22="",Besatzung!$B$6,Besatzung!$D$22)&gt;=B16)))*((G16-IFERROR(H16,0))/IFERROR(SUMPRODUCT((Besatzung!$B$11:$B$22&lt;&gt;"")*(IF(Besatzung!$C$11:$C$22="",Besatzung!$B$5,Besatzung!$C$11:$C$22)&lt;=B16)*(IF(Besatzung!$D$11:$D$22="",Besatzung!$B$6,Besatzung!$D$11:$D$22)&gt;=B16)),1)+(Besatzung!$F$22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U16="x")*((G16-IFERROR(H16,0))/IFERROR(COUNTIF(J16:U16,"x"),1)+(Besatzung!$F$22="x")*IFERROR(H16,0)/IFERROR(SUMPRODUCT((J16:U16="x")*(Besatzung!$F$11:$F$22="x")),1))),(IF(COUNTIF(J16:U16,"x")=0,IF(Besatzung!$B$22&lt;&gt;"",1,0),(U16="x"))*(G16-IFERROR(H16,0))/IFERROR(IF(COUNTIF(J16:U16,"x")=0,COUNTA(Besatzung!$B$11:$B$22),COUNTIF(J16:U16,"x")),1)+IF(COUNTIF(J16:U16,"x")=0,(Besatzung!$F$22="x"),(U16="x")*(Besatzung!$F$22="x"))*IFERROR(H16,0)/IFERROR(IF(COUNTIF(J16:U16,"x")=0,SUMPRODUCT((Besatzung!$B$11:$B$22&lt;&gt;"")*(Besatzung!$F$11:$F$22="x")),SUMPRODUCT((J16:U16="x")*(Besatzung!$F$11:$F$22="x"))),1))))),0))))</f>
        <v/>
      </c>
      <c r="AH16" s="107" t="n"/>
      <c r="AI16" s="107" t="n"/>
    </row>
    <row r="17" ht="21.75" customHeight="1" s="182">
      <c r="A17" s="97">
        <f>IF(AND(D17="",C17=""),"",14)</f>
        <v/>
      </c>
      <c r="B17" s="63" t="n"/>
      <c r="C17" s="108" t="n"/>
      <c r="D17" s="109" t="n"/>
      <c r="E17" s="110" t="n"/>
      <c r="F17" s="111" t="n"/>
      <c r="G17" s="112" t="n"/>
      <c r="H17" s="113" t="n"/>
      <c r="I17" s="114" t="n"/>
      <c r="J17" s="115" t="n"/>
      <c r="K17" s="115" t="n"/>
      <c r="L17" s="115" t="n"/>
      <c r="M17" s="115" t="n"/>
      <c r="N17" s="115" t="n"/>
      <c r="O17" s="115" t="n"/>
      <c r="P17" s="115" t="n"/>
      <c r="Q17" s="115" t="n"/>
      <c r="R17" s="115" t="n"/>
      <c r="S17" s="115" t="n"/>
      <c r="T17" s="115" t="n"/>
      <c r="U17" s="115" t="n"/>
      <c r="V17" s="106">
        <f>IF(C17="Gutschrift","",IF(G17="","",IF(Besatzung!$B$11="","",IFERROR(IF(I17="Zeitanteilig",(Besatzung!$G$11*(G17-IFERROR(H17,0))+((Besatzung!$B$11&lt;&gt;"")*IF(B17="",1,(IF(Besatzung!$C$11="",Besatzung!$B$5,Besatzung!$C$11)&lt;=B17)*(IF(Besatzung!$D$11="",Besatzung!$B$6,Besatzung!$D$11)&gt;=B17)))*(Besatzung!$F$11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$11&lt;&gt;"")*IF(B17="",1,(IF(Besatzung!$C$11="",Besatzung!$B$5,Besatzung!$C$11)&lt;=B17)*(IF(Besatzung!$D$11="",Besatzung!$B$6,Besatzung!$D$11)&gt;=B17)))*((G17-IFERROR(H17,0))/IFERROR(SUMPRODUCT((Besatzung!$B$11:$B$22&lt;&gt;"")*(IF(Besatzung!$C$11:$C$22="",Besatzung!$B$5,Besatzung!$C$11:$C$22)&lt;=B17)*(IF(Besatzung!$D$11:$D$22="",Besatzung!$B$6,Besatzung!$D$11:$D$22)&gt;=B17)),1)+(Besatzung!$F$11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J17="x")*((G17-IFERROR(H17,0))/IFERROR(COUNTIF(J17:U17,"x"),1)+(Besatzung!$F$11="x")*IFERROR(H17,0)/IFERROR(SUMPRODUCT((J17:U17="x")*(Besatzung!$F$11:$F$22="x")),1))),(IF(COUNTIF(J17:U17,"x")=0,IF(Besatzung!$B$11&lt;&gt;"",1,0),(J17="x"))*(G17-IFERROR(H17,0))/IFERROR(IF(COUNTIF(J17:U17,"x")=0,COUNTA(Besatzung!$B$11:$B$22),COUNTIF(J17:U17,"x")),1)+IF(COUNTIF(J17:U17,"x")=0,(Besatzung!$F$11="x"),(J17="x")*(Besatzung!$F$11="x"))*IFERROR(H17,0)/IFERROR(IF(COUNTIF(J17:U17,"x")=0,SUMPRODUCT((Besatzung!$B$11:$B$22&lt;&gt;"")*(Besatzung!$F$11:$F$22="x")),SUMPRODUCT((J17:U17="x")*(Besatzung!$F$11:$F$22="x"))),1))))),0))))</f>
        <v/>
      </c>
      <c r="W17" s="106">
        <f>IF(C17="Gutschrift","",IF(G17="","",IF(Besatzung!$B$12="","",IFERROR(IF(I17="Zeitanteilig",(Besatzung!$G$12*(G17-IFERROR(H17,0))+((Besatzung!$B$12&lt;&gt;"")*IF(B17="",1,(IF(Besatzung!$C$12="",Besatzung!$B$5,Besatzung!$C$12)&lt;=B17)*(IF(Besatzung!$D$12="",Besatzung!$B$6,Besatzung!$D$12)&gt;=B17)))*(Besatzung!$F$12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$12&lt;&gt;"")*IF(B17="",1,(IF(Besatzung!$C$12="",Besatzung!$B$5,Besatzung!$C$12)&lt;=B17)*(IF(Besatzung!$D$12="",Besatzung!$B$6,Besatzung!$D$12)&gt;=B17)))*((G17-IFERROR(H17,0))/IFERROR(SUMPRODUCT((Besatzung!$B$11:$B$22&lt;&gt;"")*(IF(Besatzung!$C$11:$C$22="",Besatzung!$B$5,Besatzung!$C$11:$C$22)&lt;=B17)*(IF(Besatzung!$D$11:$D$22="",Besatzung!$B$6,Besatzung!$D$11:$D$22)&gt;=B17)),1)+(Besatzung!$F$12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K17="x")*((G17-IFERROR(H17,0))/IFERROR(COUNTIF(J17:U17,"x"),1)+(Besatzung!$F$12="x")*IFERROR(H17,0)/IFERROR(SUMPRODUCT((J17:U17="x")*(Besatzung!$F$11:$F$22="x")),1))),(IF(COUNTIF(J17:U17,"x")=0,IF(Besatzung!$B$12&lt;&gt;"",1,0),(K17="x"))*(G17-IFERROR(H17,0))/IFERROR(IF(COUNTIF(J17:U17,"x")=0,COUNTA(Besatzung!$B$11:$B$22),COUNTIF(J17:U17,"x")),1)+IF(COUNTIF(J17:U17,"x")=0,(Besatzung!$F$12="x"),(K17="x")*(Besatzung!$F$12="x"))*IFERROR(H17,0)/IFERROR(IF(COUNTIF(J17:U17,"x")=0,SUMPRODUCT((Besatzung!$B$11:$B$22&lt;&gt;"")*(Besatzung!$F$11:$F$22="x")),SUMPRODUCT((J17:U17="x")*(Besatzung!$F$11:$F$22="x"))),1))))),0))))</f>
        <v/>
      </c>
      <c r="X17" s="106">
        <f>IF(C17="Gutschrift","",IF(G17="","",IF(Besatzung!$B$13="","",IFERROR(IF(I17="Zeitanteilig",(Besatzung!$G$13*(G17-IFERROR(H17,0))+((Besatzung!$B$13&lt;&gt;"")*IF(B17="",1,(IF(Besatzung!$C$13="",Besatzung!$B$5,Besatzung!$C$13)&lt;=B17)*(IF(Besatzung!$D$13="",Besatzung!$B$6,Besatzung!$D$13)&gt;=B17)))*(Besatzung!$F$13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$13&lt;&gt;"")*IF(B17="",1,(IF(Besatzung!$C$13="",Besatzung!$B$5,Besatzung!$C$13)&lt;=B17)*(IF(Besatzung!$D$13="",Besatzung!$B$6,Besatzung!$D$13)&gt;=B17)))*((G17-IFERROR(H17,0))/IFERROR(SUMPRODUCT((Besatzung!$B$11:$B$22&lt;&gt;"")*(IF(Besatzung!$C$11:$C$22="",Besatzung!$B$5,Besatzung!$C$11:$C$22)&lt;=B17)*(IF(Besatzung!$D$11:$D$22="",Besatzung!$B$6,Besatzung!$D$11:$D$22)&gt;=B17)),1)+(Besatzung!$F$13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K17="x")*((G17-IFERROR(H17,0))/IFERROR(COUNTIF(J17:U17,"x"),1)+(Besatzung!$F$13="x")*IFERROR(H17,0)/IFERROR(SUMPRODUCT((J17:U17="x")*(Besatzung!$F$11:$F$22="x")),1))),(IF(COUNTIF(J17:U17,"x")=0,IF(Besatzung!$B$13&lt;&gt;"",1,0),(K17="x"))*(G17-IFERROR(H17,0))/IFERROR(IF(COUNTIF(J17:U17,"x")=0,COUNTA(Besatzung!$B$11:$B$22),COUNTIF(J17:U17,"x")),1)+IF(COUNTIF(J17:U17,"x")=0,(Besatzung!$F$13="x"),(K17="x")*(Besatzung!$F$13="x"))*IFERROR(H17,0)/IFERROR(IF(COUNTIF(J17:U17,"x")=0,SUMPRODUCT((Besatzung!$B$11:$B$22&lt;&gt;"")*(Besatzung!$F$11:$F$22="x")),SUMPRODUCT((J17:U17="x")*(Besatzung!$F$11:$F$22="x"))),1))))),0))))</f>
        <v/>
      </c>
      <c r="Y17" s="106">
        <f>IF(C17="Gutschrift","",IF(G17="","",IF(Besatzung!$B$14="","",IFERROR(IF(I17="Zeitanteilig",(Besatzung!$G$14*(G17-IFERROR(H17,0))+((Besatzung!$B$14&lt;&gt;"")*IF(B17="",1,(IF(Besatzung!$C$14="",Besatzung!$B$5,Besatzung!$C$14)&lt;=B17)*(IF(Besatzung!$D$14="",Besatzung!$B$6,Besatzung!$D$14)&gt;=B17)))*(Besatzung!$F$14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$14&lt;&gt;"")*IF(B17="",1,(IF(Besatzung!$C$14="",Besatzung!$B$5,Besatzung!$C$14)&lt;=B17)*(IF(Besatzung!$D$14="",Besatzung!$B$6,Besatzung!$D$14)&gt;=B17)))*((G17-IFERROR(H17,0))/IFERROR(SUMPRODUCT((Besatzung!$B$11:$B$22&lt;&gt;"")*(IF(Besatzung!$C$11:$C$22="",Besatzung!$B$5,Besatzung!$C$11:$C$22)&lt;=B17)*(IF(Besatzung!$D$11:$D$22="",Besatzung!$B$6,Besatzung!$D$11:$D$22)&gt;=B17)),1)+(Besatzung!$F$14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M17="x")*((G17-IFERROR(H17,0))/IFERROR(COUNTIF(J17:U17,"x"),1)+(Besatzung!$F$14="x")*IFERROR(H17,0)/IFERROR(SUMPRODUCT((J17:U17="x")*(Besatzung!$F$11:$F$22="x")),1))),(IF(COUNTIF(J17:U17,"x")=0,IF(Besatzung!$B$14&lt;&gt;"",1,0),(M17="x"))*(G17-IFERROR(H17,0))/IFERROR(IF(COUNTIF(J17:U17,"x")=0,COUNTA(Besatzung!$B$11:$B$22),COUNTIF(J17:U17,"x")),1)+IF(COUNTIF(J17:U17,"x")=0,(Besatzung!$F$14="x"),(M17="x")*(Besatzung!$F$14="x"))*IFERROR(H17,0)/IFERROR(IF(COUNTIF(J17:U17,"x")=0,SUMPRODUCT((Besatzung!$B$11:$B$22&lt;&gt;"")*(Besatzung!$F$11:$F$22="x")),SUMPRODUCT((J17:U17="x")*(Besatzung!$F$11:$F$22="x"))),1))))),0))))</f>
        <v/>
      </c>
      <c r="Z17" s="106">
        <f>IF(C17="Gutschrift","",IF(G17="","",IF(Besatzung!$B$13="","",IFERROR(IF(I17="Zeitanteilig",(Besatzung!$G$15*(G17-IFERROR(H17,0))+((Besatzung!$B$13&lt;&gt;"")*IF(B17="",1,(IF(Besatzung!$C$15="",Besatzung!$B$5,Besatzung!$C$15)&lt;=B17)*(IF(Besatzung!$D$15="",Besatzung!$B$6,Besatzung!$D$15)&gt;=B17)))*(Besatzung!$F$15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$13&lt;&gt;"")*IF(B17="",1,(IF(Besatzung!$C$15="",Besatzung!$B$5,Besatzung!$C$15)&lt;=B17)*(IF(Besatzung!$D$15="",Besatzung!$B$6,Besatzung!$D$15)&gt;=B17)))*((G17-IFERROR(H17,0))/IFERROR(SUMPRODUCT((Besatzung!$B$11:$B$22&lt;&gt;"")*(IF(Besatzung!$C$11:$C$22="",Besatzung!$B$5,Besatzung!$C$11:$C$22)&lt;=B17)*(IF(Besatzung!$D$11:$D$22="",Besatzung!$B$6,Besatzung!$D$11:$D$22)&gt;=B17)),1)+(Besatzung!$F$15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N17="x")*((G17-IFERROR(H17,0))/IFERROR(COUNTIF(J17:U17,"x"),1)+(Besatzung!$F$15="x")*IFERROR(H17,0)/IFERROR(SUMPRODUCT((J17:U17="x")*(Besatzung!$F$11:$F$22="x")),1))),(IF(COUNTIF(J17:U17,"x")=0,IF(Besatzung!$B$13&lt;&gt;"",1,0),(N17="x"))*(G17-IFERROR(H17,0))/IFERROR(IF(COUNTIF(J17:U17,"x")=0,COUNTA(Besatzung!$B$11:$B$22),COUNTIF(J17:U17,"x")),1)+IF(COUNTIF(J17:U17,"x")=0,(Besatzung!$F$15="x"),(N17="x")*(Besatzung!$F$15="x"))*IFERROR(H17,0)/IFERROR(IF(COUNTIF(J17:U17,"x")=0,SUMPRODUCT((Besatzung!$B$11:$B$22&lt;&gt;"")*(Besatzung!$F$11:$F$22="x")),SUMPRODUCT((J17:U17="x")*(Besatzung!$F$11:$F$22="x"))),1))))),0))))</f>
        <v/>
      </c>
      <c r="AA17" s="106">
        <f>IF(C17="Gutschrift","",IF(G17="","",IF(Besatzung!$B$15="","",IFERROR(IF(I17="Zeitanteilig",(Besatzung!$G$16*(G17-IFERROR(H17,0))+((Besatzung!$B$15&lt;&gt;"")*IF(B17="",1,(IF(Besatzung!$C$16="",Besatzung!$B$5,Besatzung!$C$16)&lt;=B17)*(IF(Besatzung!$D$16="",Besatzung!$B$6,Besatzung!$D$16)&gt;=B17)))*(Besatzung!$F$16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$15&lt;&gt;"")*IF(B17="",1,(IF(Besatzung!$C$16="",Besatzung!$B$5,Besatzung!$C$16)&lt;=B17)*(IF(Besatzung!$D$16="",Besatzung!$B$6,Besatzung!$D$16)&gt;=B17)))*((G17-IFERROR(H17,0))/IFERROR(SUMPRODUCT((Besatzung!$B$11:$B$22&lt;&gt;"")*(IF(Besatzung!$C$11:$C$22="",Besatzung!$B$5,Besatzung!$C$11:$C$22)&lt;=B17)*(IF(Besatzung!$D$11:$D$22="",Besatzung!$B$6,Besatzung!$D$11:$D$22)&gt;=B17)),1)+(Besatzung!$F$16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O17="x")*((G17-IFERROR(H17,0))/IFERROR(COUNTIF(J17:U17,"x"),1)+(Besatzung!$F$16="x")*IFERROR(H17,0)/IFERROR(SUMPRODUCT((J17:U17="x")*(Besatzung!$F$11:$F$22="x")),1))),(IF(COUNTIF(J17:U17,"x")=0,IF(Besatzung!$B$15&lt;&gt;"",1,0),(O17="x"))*(G17-IFERROR(H17,0))/IFERROR(IF(COUNTIF(J17:U17,"x")=0,COUNTA(Besatzung!$B$11:$B$22),COUNTIF(J17:U17,"x")),1)+IF(COUNTIF(J17:U17,"x")=0,(Besatzung!$F$16="x"),(O17="x")*(Besatzung!$F$16="x"))*IFERROR(H17,0)/IFERROR(IF(COUNTIF(J17:U17,"x")=0,SUMPRODUCT((Besatzung!$B$11:$B$22&lt;&gt;"")*(Besatzung!$F$11:$F$22="x")),SUMPRODUCT((J17:U17="x")*(Besatzung!$F$11:$F$22="x"))),1))))),0))))</f>
        <v/>
      </c>
      <c r="AB17" s="106">
        <f>IF(C17="Gutschrift","",IF(G17="","",IF(Besatzung!$B$17="","",IFERROR(IF(I17="Zeitanteilig",(Besatzung!$G$17*(G17-IFERROR(H17,0))+((Besatzung!$B$17&lt;&gt;"")*IF(B17="",1,(IF(Besatzung!$C$17="",Besatzung!$B$5,Besatzung!$C$17)&lt;=B17)*(IF(Besatzung!$D$17="",Besatzung!$B$6,Besatzung!$D$17)&gt;=B17)))*(Besatzung!$F$17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$17&lt;&gt;"")*IF(B17="",1,(IF(Besatzung!$C$17="",Besatzung!$B$5,Besatzung!$C$17)&lt;=B17)*(IF(Besatzung!$D$17="",Besatzung!$B$6,Besatzung!$D$17)&gt;=B17)))*((G17-IFERROR(H17,0))/IFERROR(SUMPRODUCT((Besatzung!$B$11:$B$22&lt;&gt;"")*(IF(Besatzung!$C$11:$C$22="",Besatzung!$B$5,Besatzung!$C$11:$C$22)&lt;=B17)*(IF(Besatzung!$D$11:$D$22="",Besatzung!$B$6,Besatzung!$D$11:$D$22)&gt;=B17)),1)+(Besatzung!$F$17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P17="x")*((G17-IFERROR(H17,0))/IFERROR(COUNTIF(J17:U17,"x"),1)+(Besatzung!$F$17="x")*IFERROR(H17,0)/IFERROR(SUMPRODUCT((J17:U17="x")*(Besatzung!$F$11:$F$22="x")),1))),(IF(COUNTIF(J17:U17,"x")=0,IF(Besatzung!$B$17&lt;&gt;"",1,0),(P17="x"))*(G17-IFERROR(H17,0))/IFERROR(IF(COUNTIF(J17:U17,"x")=0,COUNTA(Besatzung!$B$11:$B$22),COUNTIF(J17:U17,"x")),1)+IF(COUNTIF(J17:U17,"x")=0,(Besatzung!$F$17="x"),(P17="x")*(Besatzung!$F$17="x"))*IFERROR(H17,0)/IFERROR(IF(COUNTIF(J17:U17,"x")=0,SUMPRODUCT((Besatzung!$B$11:$B$22&lt;&gt;"")*(Besatzung!$F$11:$F$22="x")),SUMPRODUCT((J17:U17="x")*(Besatzung!$F$11:$F$22="x"))),1))))),0))))</f>
        <v/>
      </c>
      <c r="AC17" s="106">
        <f>IF(C17="Gutschrift","",IF(G17="","",IF(Besatzung!$B$18="","",IFERROR(IF(I17="Zeitanteilig",(Besatzung!$G$18*(G17-IFERROR(H17,0))+((Besatzung!$B$18&lt;&gt;"")*IF(B17="",1,(IF(Besatzung!$C$18="",Besatzung!$B$5,Besatzung!$C$18)&lt;=B17)*(IF(Besatzung!$D$18="",Besatzung!$B$6,Besatzung!$D$18)&gt;=B17)))*(Besatzung!$F$18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$18&lt;&gt;"")*IF(B17="",1,(IF(Besatzung!$C$18="",Besatzung!$B$5,Besatzung!$C$18)&lt;=B17)*(IF(Besatzung!$D$18="",Besatzung!$B$6,Besatzung!$D$18)&gt;=B17)))*((G17-IFERROR(H17,0))/IFERROR(SUMPRODUCT((Besatzung!$B$11:$B$22&lt;&gt;"")*(IF(Besatzung!$C$11:$C$22="",Besatzung!$B$5,Besatzung!$C$11:$C$22)&lt;=B17)*(IF(Besatzung!$D$11:$D$22="",Besatzung!$B$6,Besatzung!$D$11:$D$22)&gt;=B17)),1)+(Besatzung!$F$18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Q17="x")*((G17-IFERROR(H17,0))/IFERROR(COUNTIF(J17:U17,"x"),1)+(Besatzung!$F$18="x")*IFERROR(H17,0)/IFERROR(SUMPRODUCT((J17:U17="x")*(Besatzung!$F$11:$F$22="x")),1))),(IF(COUNTIF(J17:U17,"x")=0,IF(Besatzung!$B$18&lt;&gt;"",1,0),(Q17="x"))*(G17-IFERROR(H17,0))/IFERROR(IF(COUNTIF(J17:U17,"x")=0,COUNTA(Besatzung!$B$11:$B$22),COUNTIF(J17:U17,"x")),1)+IF(COUNTIF(J17:U17,"x")=0,(Besatzung!$F$18="x"),(Q17="x")*(Besatzung!$F$18="x"))*IFERROR(H17,0)/IFERROR(IF(COUNTIF(J17:U17,"x")=0,SUMPRODUCT((Besatzung!$B$11:$B$22&lt;&gt;"")*(Besatzung!$F$11:$F$22="x")),SUMPRODUCT((J17:U17="x")*(Besatzung!$F$11:$F$22="x"))),1))))),0))))</f>
        <v/>
      </c>
      <c r="AD17" s="106">
        <f>IF(C17="Gutschrift","",IF(G17="","",IF(Besatzung!$B$19="","",IFERROR(IF(I17="Zeitanteilig",(Besatzung!$G$19*(G17-IFERROR(H17,0))+((Besatzung!$B$19&lt;&gt;"")*IF(B17="",1,(IF(Besatzung!$C$19="",Besatzung!$B$5,Besatzung!$C$19)&lt;=B17)*(IF(Besatzung!$D$19="",Besatzung!$B$6,Besatzung!$D$19)&gt;=B17)))*(Besatzung!$F$19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$19&lt;&gt;"")*IF(B17="",1,(IF(Besatzung!$C$19="",Besatzung!$B$5,Besatzung!$C$19)&lt;=B17)*(IF(Besatzung!$D$19="",Besatzung!$B$6,Besatzung!$D$19)&gt;=B17)))*((G17-IFERROR(H17,0))/IFERROR(SUMPRODUCT((Besatzung!$B$11:$B$22&lt;&gt;"")*(IF(Besatzung!$C$11:$C$22="",Besatzung!$B$5,Besatzung!$C$11:$C$22)&lt;=B17)*(IF(Besatzung!$D$11:$D$22="",Besatzung!$B$6,Besatzung!$D$11:$D$22)&gt;=B17)),1)+(Besatzung!$F$19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R17="x")*((G17-IFERROR(H17,0))/IFERROR(COUNTIF(J17:U17,"x"),1)+(Besatzung!$F$19="x")*IFERROR(H17,0)/IFERROR(SUMPRODUCT((J17:U17="x")*(Besatzung!$F$11:$F$22="x")),1))),(IF(COUNTIF(J17:U17,"x")=0,IF(Besatzung!$B$19&lt;&gt;"",1,0),(R17="x"))*(G17-IFERROR(H17,0))/IFERROR(IF(COUNTIF(J17:U17,"x")=0,COUNTA(Besatzung!$B$11:$B$22),COUNTIF(J17:U17,"x")),1)+IF(COUNTIF(J17:U17,"x")=0,(Besatzung!$F$19="x"),(R17="x")*(Besatzung!$F$19="x"))*IFERROR(H17,0)/IFERROR(IF(COUNTIF(J17:U17,"x")=0,SUMPRODUCT((Besatzung!$B$11:$B$22&lt;&gt;"")*(Besatzung!$F$11:$F$22="x")),SUMPRODUCT((J17:U17="x")*(Besatzung!$F$11:$F$22="x"))),1))))),0))))</f>
        <v/>
      </c>
      <c r="AE17" s="106">
        <f>IF(C17="Gutschrift","",IF(G17="","",IF(Besatzung!$B$20="","",IFERROR(IF(I17="Zeitanteilig",(Besatzung!$G$20*(G17-IFERROR(H17,0))+((Besatzung!$B$20&lt;&gt;"")*IF(B17="",1,(IF(Besatzung!$C$20="",Besatzung!$B$5,Besatzung!$C$20)&lt;=B17)*(IF(Besatzung!$D$20="",Besatzung!$B$6,Besatzung!$D$20)&gt;=B17)))*(Besatzung!$F$20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$20&lt;&gt;"")*IF(B17="",1,(IF(Besatzung!$C$20="",Besatzung!$B$5,Besatzung!$C$20)&lt;=B17)*(IF(Besatzung!$D$20="",Besatzung!$B$6,Besatzung!$D$20)&gt;=B17)))*((G17-IFERROR(H17,0))/IFERROR(SUMPRODUCT((Besatzung!$B$11:$B$22&lt;&gt;"")*(IF(Besatzung!$C$11:$C$22="",Besatzung!$B$5,Besatzung!$C$11:$C$22)&lt;=B17)*(IF(Besatzung!$D$11:$D$22="",Besatzung!$B$6,Besatzung!$D$11:$D$22)&gt;=B17)),1)+(Besatzung!$F$20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S17="x")*((G17-IFERROR(H17,0))/IFERROR(COUNTIF(J17:U17,"x"),1)+(Besatzung!$F$20="x")*IFERROR(H17,0)/IFERROR(SUMPRODUCT((J17:U17="x")*(Besatzung!$F$11:$F$22="x")),1))),(IF(COUNTIF(J17:U17,"x")=0,IF(Besatzung!$B$20&lt;&gt;"",1,0),(S17="x"))*(G17-IFERROR(H17,0))/IFERROR(IF(COUNTIF(J17:U17,"x")=0,COUNTA(Besatzung!$B$11:$B$22),COUNTIF(J17:U17,"x")),1)+IF(COUNTIF(J17:U17,"x")=0,(Besatzung!$F$20="x"),(S17="x")*(Besatzung!$F$20="x"))*IFERROR(H17,0)/IFERROR(IF(COUNTIF(J17:U17,"x")=0,SUMPRODUCT((Besatzung!$B$11:$B$22&lt;&gt;"")*(Besatzung!$F$11:$F$22="x")),SUMPRODUCT((J17:U17="x")*(Besatzung!$F$11:$F$22="x"))),1))))),0))))</f>
        <v/>
      </c>
      <c r="AF17" s="106">
        <f>IF(C17="Gutschrift","",IF(G17="","",IF(Besatzung!$B$21="","",IFERROR(IF(I17="Zeitanteilig",(Besatzung!$G$21*(G17-IFERROR(H17,0))+((Besatzung!$B$21&lt;&gt;"")*IF(B17="",1,(IF(Besatzung!$C$21="",Besatzung!$B$5,Besatzung!$C$21)&lt;=B17)*(IF(Besatzung!$D$21="",Besatzung!$B$6,Besatzung!$D$21)&gt;=B17)))*(Besatzung!$F$21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$21&lt;&gt;"")*IF(B17="",1,(IF(Besatzung!$C$21="",Besatzung!$B$5,Besatzung!$C$21)&lt;=B17)*(IF(Besatzung!$D$21="",Besatzung!$B$6,Besatzung!$D$21)&gt;=B17)))*((G17-IFERROR(H17,0))/IFERROR(SUMPRODUCT((Besatzung!$B$11:$B$22&lt;&gt;"")*(IF(Besatzung!$C$11:$C$22="",Besatzung!$B$5,Besatzung!$C$11:$C$22)&lt;=B17)*(IF(Besatzung!$D$11:$D$22="",Besatzung!$B$6,Besatzung!$D$11:$D$22)&gt;=B17)),1)+(Besatzung!$F$21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T17="x")*((G17-IFERROR(H17,0))/IFERROR(COUNTIF(J17:U17,"x"),1)+(Besatzung!$F$21="x")*IFERROR(H17,0)/IFERROR(SUMPRODUCT((J17:U17="x")*(Besatzung!$F$11:$F$22="x")),1))),(IF(COUNTIF(J17:U17,"x")=0,IF(Besatzung!$B$21&lt;&gt;"",1,0),(T17="x"))*(G17-IFERROR(H17,0))/IFERROR(IF(COUNTIF(J17:U17,"x")=0,COUNTA(Besatzung!$B$11:$B$22),COUNTIF(J17:U17,"x")),1)+IF(COUNTIF(J17:U17,"x")=0,(Besatzung!$F$21="x"),(T17="x")*(Besatzung!$F$21="x"))*IFERROR(H17,0)/IFERROR(IF(COUNTIF(J17:U17,"x")=0,SUMPRODUCT((Besatzung!$B$11:$B$22&lt;&gt;"")*(Besatzung!$F$11:$F$22="x")),SUMPRODUCT((J17:U17="x")*(Besatzung!$F$11:$F$22="x"))),1))))),0))))</f>
        <v/>
      </c>
      <c r="AG17" s="106">
        <f>IF(C17="Gutschrift","",IF(G17="","",IF(Besatzung!$B$22="","",IFERROR(IF(I17="Zeitanteilig",(Besatzung!$G$22*(G17-IFERROR(H17,0))+((Besatzung!$B$22&lt;&gt;"")*IF(B17="",1,(IF(Besatzung!$C$22="",Besatzung!$B$5,Besatzung!$C$22)&lt;=B17)*(IF(Besatzung!$D$22="",Besatzung!$B$6,Besatzung!$D$22)&gt;=B17)))*(Besatzung!$F$22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$22&lt;&gt;"")*IF(B17="",1,(IF(Besatzung!$C$22="",Besatzung!$B$5,Besatzung!$C$22)&lt;=B17)*(IF(Besatzung!$D$22="",Besatzung!$B$6,Besatzung!$D$22)&gt;=B17)))*((G17-IFERROR(H17,0))/IFERROR(SUMPRODUCT((Besatzung!$B$11:$B$22&lt;&gt;"")*(IF(Besatzung!$C$11:$C$22="",Besatzung!$B$5,Besatzung!$C$11:$C$22)&lt;=B17)*(IF(Besatzung!$D$11:$D$22="",Besatzung!$B$6,Besatzung!$D$11:$D$22)&gt;=B17)),1)+(Besatzung!$F$22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U17="x")*((G17-IFERROR(H17,0))/IFERROR(COUNTIF(J17:U17,"x"),1)+(Besatzung!$F$22="x")*IFERROR(H17,0)/IFERROR(SUMPRODUCT((J17:U17="x")*(Besatzung!$F$11:$F$22="x")),1))),(IF(COUNTIF(J17:U17,"x")=0,IF(Besatzung!$B$22&lt;&gt;"",1,0),(U17="x"))*(G17-IFERROR(H17,0))/IFERROR(IF(COUNTIF(J17:U17,"x")=0,COUNTA(Besatzung!$B$11:$B$22),COUNTIF(J17:U17,"x")),1)+IF(COUNTIF(J17:U17,"x")=0,(Besatzung!$F$22="x"),(U17="x")*(Besatzung!$F$22="x"))*IFERROR(H17,0)/IFERROR(IF(COUNTIF(J17:U17,"x")=0,SUMPRODUCT((Besatzung!$B$11:$B$22&lt;&gt;"")*(Besatzung!$F$11:$F$22="x")),SUMPRODUCT((J17:U17="x")*(Besatzung!$F$11:$F$22="x"))),1))))),0))))</f>
        <v/>
      </c>
      <c r="AH17" s="107" t="n"/>
      <c r="AI17" s="107" t="n"/>
    </row>
    <row r="18" ht="21.75" customHeight="1" s="182">
      <c r="A18" s="97">
        <f>IF(AND(D18="",C18=""),"",15)</f>
        <v/>
      </c>
      <c r="B18" s="56" t="n"/>
      <c r="C18" s="98" t="n"/>
      <c r="D18" s="99" t="n"/>
      <c r="E18" s="100" t="n"/>
      <c r="F18" s="101" t="n"/>
      <c r="G18" s="102" t="n"/>
      <c r="H18" s="103" t="n"/>
      <c r="I18" s="104" t="n"/>
      <c r="J18" s="105" t="n"/>
      <c r="K18" s="105" t="n"/>
      <c r="L18" s="105" t="n"/>
      <c r="M18" s="105" t="n"/>
      <c r="N18" s="105" t="n"/>
      <c r="O18" s="105" t="n"/>
      <c r="P18" s="105" t="n"/>
      <c r="Q18" s="105" t="n"/>
      <c r="R18" s="105" t="n"/>
      <c r="S18" s="105" t="n"/>
      <c r="T18" s="105" t="n"/>
      <c r="U18" s="105" t="n"/>
      <c r="V18" s="106">
        <f>IF(C18="Gutschrift","",IF(G18="","",IF(Besatzung!$B$11="","",IFERROR(IF(I18="Zeitanteilig",(Besatzung!$G$11*(G18-IFERROR(H18,0))+((Besatzung!$B$11&lt;&gt;"")*IF(B18="",1,(IF(Besatzung!$C$11="",Besatzung!$B$5,Besatzung!$C$11)&lt;=B18)*(IF(Besatzung!$D$11="",Besatzung!$B$6,Besatzung!$D$11)&gt;=B18)))*(Besatzung!$F$11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$11&lt;&gt;"")*IF(B18="",1,(IF(Besatzung!$C$11="",Besatzung!$B$5,Besatzung!$C$11)&lt;=B18)*(IF(Besatzung!$D$11="",Besatzung!$B$6,Besatzung!$D$11)&gt;=B18)))*((G18-IFERROR(H18,0))/IFERROR(SUMPRODUCT((Besatzung!$B$11:$B$22&lt;&gt;"")*(IF(Besatzung!$C$11:$C$22="",Besatzung!$B$5,Besatzung!$C$11:$C$22)&lt;=B18)*(IF(Besatzung!$D$11:$D$22="",Besatzung!$B$6,Besatzung!$D$11:$D$22)&gt;=B18)),1)+(Besatzung!$F$11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J18="x")*((G18-IFERROR(H18,0))/IFERROR(COUNTIF(J18:U18,"x"),1)+(Besatzung!$F$11="x")*IFERROR(H18,0)/IFERROR(SUMPRODUCT((J18:U18="x")*(Besatzung!$F$11:$F$22="x")),1))),(IF(COUNTIF(J18:U18,"x")=0,IF(Besatzung!$B$11&lt;&gt;"",1,0),(J18="x"))*(G18-IFERROR(H18,0))/IFERROR(IF(COUNTIF(J18:U18,"x")=0,COUNTA(Besatzung!$B$11:$B$22),COUNTIF(J18:U18,"x")),1)+IF(COUNTIF(J18:U18,"x")=0,(Besatzung!$F$11="x"),(J18="x")*(Besatzung!$F$11="x"))*IFERROR(H18,0)/IFERROR(IF(COUNTIF(J18:U18,"x")=0,SUMPRODUCT((Besatzung!$B$11:$B$22&lt;&gt;"")*(Besatzung!$F$11:$F$22="x")),SUMPRODUCT((J18:U18="x")*(Besatzung!$F$11:$F$22="x"))),1))))),0))))</f>
        <v/>
      </c>
      <c r="W18" s="106">
        <f>IF(C18="Gutschrift","",IF(G18="","",IF(Besatzung!$B$12="","",IFERROR(IF(I18="Zeitanteilig",(Besatzung!$G$12*(G18-IFERROR(H18,0))+((Besatzung!$B$12&lt;&gt;"")*IF(B18="",1,(IF(Besatzung!$C$12="",Besatzung!$B$5,Besatzung!$C$12)&lt;=B18)*(IF(Besatzung!$D$12="",Besatzung!$B$6,Besatzung!$D$12)&gt;=B18)))*(Besatzung!$F$12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$12&lt;&gt;"")*IF(B18="",1,(IF(Besatzung!$C$12="",Besatzung!$B$5,Besatzung!$C$12)&lt;=B18)*(IF(Besatzung!$D$12="",Besatzung!$B$6,Besatzung!$D$12)&gt;=B18)))*((G18-IFERROR(H18,0))/IFERROR(SUMPRODUCT((Besatzung!$B$11:$B$22&lt;&gt;"")*(IF(Besatzung!$C$11:$C$22="",Besatzung!$B$5,Besatzung!$C$11:$C$22)&lt;=B18)*(IF(Besatzung!$D$11:$D$22="",Besatzung!$B$6,Besatzung!$D$11:$D$22)&gt;=B18)),1)+(Besatzung!$F$12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K18="x")*((G18-IFERROR(H18,0))/IFERROR(COUNTIF(J18:U18,"x"),1)+(Besatzung!$F$12="x")*IFERROR(H18,0)/IFERROR(SUMPRODUCT((J18:U18="x")*(Besatzung!$F$11:$F$22="x")),1))),(IF(COUNTIF(J18:U18,"x")=0,IF(Besatzung!$B$12&lt;&gt;"",1,0),(K18="x"))*(G18-IFERROR(H18,0))/IFERROR(IF(COUNTIF(J18:U18,"x")=0,COUNTA(Besatzung!$B$11:$B$22),COUNTIF(J18:U18,"x")),1)+IF(COUNTIF(J18:U18,"x")=0,(Besatzung!$F$12="x"),(K18="x")*(Besatzung!$F$12="x"))*IFERROR(H18,0)/IFERROR(IF(COUNTIF(J18:U18,"x")=0,SUMPRODUCT((Besatzung!$B$11:$B$22&lt;&gt;"")*(Besatzung!$F$11:$F$22="x")),SUMPRODUCT((J18:U18="x")*(Besatzung!$F$11:$F$22="x"))),1))))),0))))</f>
        <v/>
      </c>
      <c r="X18" s="106">
        <f>IF(C18="Gutschrift","",IF(G18="","",IF(Besatzung!$B$13="","",IFERROR(IF(I18="Zeitanteilig",(Besatzung!$G$13*(G18-IFERROR(H18,0))+((Besatzung!$B$13&lt;&gt;"")*IF(B18="",1,(IF(Besatzung!$C$13="",Besatzung!$B$5,Besatzung!$C$13)&lt;=B18)*(IF(Besatzung!$D$13="",Besatzung!$B$6,Besatzung!$D$13)&gt;=B18)))*(Besatzung!$F$13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$13&lt;&gt;"")*IF(B18="",1,(IF(Besatzung!$C$13="",Besatzung!$B$5,Besatzung!$C$13)&lt;=B18)*(IF(Besatzung!$D$13="",Besatzung!$B$6,Besatzung!$D$13)&gt;=B18)))*((G18-IFERROR(H18,0))/IFERROR(SUMPRODUCT((Besatzung!$B$11:$B$22&lt;&gt;"")*(IF(Besatzung!$C$11:$C$22="",Besatzung!$B$5,Besatzung!$C$11:$C$22)&lt;=B18)*(IF(Besatzung!$D$11:$D$22="",Besatzung!$B$6,Besatzung!$D$11:$D$22)&gt;=B18)),1)+(Besatzung!$F$13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K18="x")*((G18-IFERROR(H18,0))/IFERROR(COUNTIF(J18:U18,"x"),1)+(Besatzung!$F$13="x")*IFERROR(H18,0)/IFERROR(SUMPRODUCT((J18:U18="x")*(Besatzung!$F$11:$F$22="x")),1))),(IF(COUNTIF(J18:U18,"x")=0,IF(Besatzung!$B$13&lt;&gt;"",1,0),(K18="x"))*(G18-IFERROR(H18,0))/IFERROR(IF(COUNTIF(J18:U18,"x")=0,COUNTA(Besatzung!$B$11:$B$22),COUNTIF(J18:U18,"x")),1)+IF(COUNTIF(J18:U18,"x")=0,(Besatzung!$F$13="x"),(K18="x")*(Besatzung!$F$13="x"))*IFERROR(H18,0)/IFERROR(IF(COUNTIF(J18:U18,"x")=0,SUMPRODUCT((Besatzung!$B$11:$B$22&lt;&gt;"")*(Besatzung!$F$11:$F$22="x")),SUMPRODUCT((J18:U18="x")*(Besatzung!$F$11:$F$22="x"))),1))))),0))))</f>
        <v/>
      </c>
      <c r="Y18" s="106">
        <f>IF(C18="Gutschrift","",IF(G18="","",IF(Besatzung!$B$14="","",IFERROR(IF(I18="Zeitanteilig",(Besatzung!$G$14*(G18-IFERROR(H18,0))+((Besatzung!$B$14&lt;&gt;"")*IF(B18="",1,(IF(Besatzung!$C$14="",Besatzung!$B$5,Besatzung!$C$14)&lt;=B18)*(IF(Besatzung!$D$14="",Besatzung!$B$6,Besatzung!$D$14)&gt;=B18)))*(Besatzung!$F$14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$14&lt;&gt;"")*IF(B18="",1,(IF(Besatzung!$C$14="",Besatzung!$B$5,Besatzung!$C$14)&lt;=B18)*(IF(Besatzung!$D$14="",Besatzung!$B$6,Besatzung!$D$14)&gt;=B18)))*((G18-IFERROR(H18,0))/IFERROR(SUMPRODUCT((Besatzung!$B$11:$B$22&lt;&gt;"")*(IF(Besatzung!$C$11:$C$22="",Besatzung!$B$5,Besatzung!$C$11:$C$22)&lt;=B18)*(IF(Besatzung!$D$11:$D$22="",Besatzung!$B$6,Besatzung!$D$11:$D$22)&gt;=B18)),1)+(Besatzung!$F$14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M18="x")*((G18-IFERROR(H18,0))/IFERROR(COUNTIF(J18:U18,"x"),1)+(Besatzung!$F$14="x")*IFERROR(H18,0)/IFERROR(SUMPRODUCT((J18:U18="x")*(Besatzung!$F$11:$F$22="x")),1))),(IF(COUNTIF(J18:U18,"x")=0,IF(Besatzung!$B$14&lt;&gt;"",1,0),(M18="x"))*(G18-IFERROR(H18,0))/IFERROR(IF(COUNTIF(J18:U18,"x")=0,COUNTA(Besatzung!$B$11:$B$22),COUNTIF(J18:U18,"x")),1)+IF(COUNTIF(J18:U18,"x")=0,(Besatzung!$F$14="x"),(M18="x")*(Besatzung!$F$14="x"))*IFERROR(H18,0)/IFERROR(IF(COUNTIF(J18:U18,"x")=0,SUMPRODUCT((Besatzung!$B$11:$B$22&lt;&gt;"")*(Besatzung!$F$11:$F$22="x")),SUMPRODUCT((J18:U18="x")*(Besatzung!$F$11:$F$22="x"))),1))))),0))))</f>
        <v/>
      </c>
      <c r="Z18" s="106">
        <f>IF(C18="Gutschrift","",IF(G18="","",IF(Besatzung!$B$13="","",IFERROR(IF(I18="Zeitanteilig",(Besatzung!$G$15*(G18-IFERROR(H18,0))+((Besatzung!$B$13&lt;&gt;"")*IF(B18="",1,(IF(Besatzung!$C$15="",Besatzung!$B$5,Besatzung!$C$15)&lt;=B18)*(IF(Besatzung!$D$15="",Besatzung!$B$6,Besatzung!$D$15)&gt;=B18)))*(Besatzung!$F$15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$13&lt;&gt;"")*IF(B18="",1,(IF(Besatzung!$C$15="",Besatzung!$B$5,Besatzung!$C$15)&lt;=B18)*(IF(Besatzung!$D$15="",Besatzung!$B$6,Besatzung!$D$15)&gt;=B18)))*((G18-IFERROR(H18,0))/IFERROR(SUMPRODUCT((Besatzung!$B$11:$B$22&lt;&gt;"")*(IF(Besatzung!$C$11:$C$22="",Besatzung!$B$5,Besatzung!$C$11:$C$22)&lt;=B18)*(IF(Besatzung!$D$11:$D$22="",Besatzung!$B$6,Besatzung!$D$11:$D$22)&gt;=B18)),1)+(Besatzung!$F$15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N18="x")*((G18-IFERROR(H18,0))/IFERROR(COUNTIF(J18:U18,"x"),1)+(Besatzung!$F$15="x")*IFERROR(H18,0)/IFERROR(SUMPRODUCT((J18:U18="x")*(Besatzung!$F$11:$F$22="x")),1))),(IF(COUNTIF(J18:U18,"x")=0,IF(Besatzung!$B$13&lt;&gt;"",1,0),(N18="x"))*(G18-IFERROR(H18,0))/IFERROR(IF(COUNTIF(J18:U18,"x")=0,COUNTA(Besatzung!$B$11:$B$22),COUNTIF(J18:U18,"x")),1)+IF(COUNTIF(J18:U18,"x")=0,(Besatzung!$F$15="x"),(N18="x")*(Besatzung!$F$15="x"))*IFERROR(H18,0)/IFERROR(IF(COUNTIF(J18:U18,"x")=0,SUMPRODUCT((Besatzung!$B$11:$B$22&lt;&gt;"")*(Besatzung!$F$11:$F$22="x")),SUMPRODUCT((J18:U18="x")*(Besatzung!$F$11:$F$22="x"))),1))))),0))))</f>
        <v/>
      </c>
      <c r="AA18" s="106">
        <f>IF(C18="Gutschrift","",IF(G18="","",IF(Besatzung!$B$15="","",IFERROR(IF(I18="Zeitanteilig",(Besatzung!$G$16*(G18-IFERROR(H18,0))+((Besatzung!$B$15&lt;&gt;"")*IF(B18="",1,(IF(Besatzung!$C$16="",Besatzung!$B$5,Besatzung!$C$16)&lt;=B18)*(IF(Besatzung!$D$16="",Besatzung!$B$6,Besatzung!$D$16)&gt;=B18)))*(Besatzung!$F$16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$15&lt;&gt;"")*IF(B18="",1,(IF(Besatzung!$C$16="",Besatzung!$B$5,Besatzung!$C$16)&lt;=B18)*(IF(Besatzung!$D$16="",Besatzung!$B$6,Besatzung!$D$16)&gt;=B18)))*((G18-IFERROR(H18,0))/IFERROR(SUMPRODUCT((Besatzung!$B$11:$B$22&lt;&gt;"")*(IF(Besatzung!$C$11:$C$22="",Besatzung!$B$5,Besatzung!$C$11:$C$22)&lt;=B18)*(IF(Besatzung!$D$11:$D$22="",Besatzung!$B$6,Besatzung!$D$11:$D$22)&gt;=B18)),1)+(Besatzung!$F$16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O18="x")*((G18-IFERROR(H18,0))/IFERROR(COUNTIF(J18:U18,"x"),1)+(Besatzung!$F$16="x")*IFERROR(H18,0)/IFERROR(SUMPRODUCT((J18:U18="x")*(Besatzung!$F$11:$F$22="x")),1))),(IF(COUNTIF(J18:U18,"x")=0,IF(Besatzung!$B$15&lt;&gt;"",1,0),(O18="x"))*(G18-IFERROR(H18,0))/IFERROR(IF(COUNTIF(J18:U18,"x")=0,COUNTA(Besatzung!$B$11:$B$22),COUNTIF(J18:U18,"x")),1)+IF(COUNTIF(J18:U18,"x")=0,(Besatzung!$F$16="x"),(O18="x")*(Besatzung!$F$16="x"))*IFERROR(H18,0)/IFERROR(IF(COUNTIF(J18:U18,"x")=0,SUMPRODUCT((Besatzung!$B$11:$B$22&lt;&gt;"")*(Besatzung!$F$11:$F$22="x")),SUMPRODUCT((J18:U18="x")*(Besatzung!$F$11:$F$22="x"))),1))))),0))))</f>
        <v/>
      </c>
      <c r="AB18" s="106">
        <f>IF(C18="Gutschrift","",IF(G18="","",IF(Besatzung!$B$17="","",IFERROR(IF(I18="Zeitanteilig",(Besatzung!$G$17*(G18-IFERROR(H18,0))+((Besatzung!$B$17&lt;&gt;"")*IF(B18="",1,(IF(Besatzung!$C$17="",Besatzung!$B$5,Besatzung!$C$17)&lt;=B18)*(IF(Besatzung!$D$17="",Besatzung!$B$6,Besatzung!$D$17)&gt;=B18)))*(Besatzung!$F$17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$17&lt;&gt;"")*IF(B18="",1,(IF(Besatzung!$C$17="",Besatzung!$B$5,Besatzung!$C$17)&lt;=B18)*(IF(Besatzung!$D$17="",Besatzung!$B$6,Besatzung!$D$17)&gt;=B18)))*((G18-IFERROR(H18,0))/IFERROR(SUMPRODUCT((Besatzung!$B$11:$B$22&lt;&gt;"")*(IF(Besatzung!$C$11:$C$22="",Besatzung!$B$5,Besatzung!$C$11:$C$22)&lt;=B18)*(IF(Besatzung!$D$11:$D$22="",Besatzung!$B$6,Besatzung!$D$11:$D$22)&gt;=B18)),1)+(Besatzung!$F$17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P18="x")*((G18-IFERROR(H18,0))/IFERROR(COUNTIF(J18:U18,"x"),1)+(Besatzung!$F$17="x")*IFERROR(H18,0)/IFERROR(SUMPRODUCT((J18:U18="x")*(Besatzung!$F$11:$F$22="x")),1))),(IF(COUNTIF(J18:U18,"x")=0,IF(Besatzung!$B$17&lt;&gt;"",1,0),(P18="x"))*(G18-IFERROR(H18,0))/IFERROR(IF(COUNTIF(J18:U18,"x")=0,COUNTA(Besatzung!$B$11:$B$22),COUNTIF(J18:U18,"x")),1)+IF(COUNTIF(J18:U18,"x")=0,(Besatzung!$F$17="x"),(P18="x")*(Besatzung!$F$17="x"))*IFERROR(H18,0)/IFERROR(IF(COUNTIF(J18:U18,"x")=0,SUMPRODUCT((Besatzung!$B$11:$B$22&lt;&gt;"")*(Besatzung!$F$11:$F$22="x")),SUMPRODUCT((J18:U18="x")*(Besatzung!$F$11:$F$22="x"))),1))))),0))))</f>
        <v/>
      </c>
      <c r="AC18" s="106">
        <f>IF(C18="Gutschrift","",IF(G18="","",IF(Besatzung!$B$18="","",IFERROR(IF(I18="Zeitanteilig",(Besatzung!$G$18*(G18-IFERROR(H18,0))+((Besatzung!$B$18&lt;&gt;"")*IF(B18="",1,(IF(Besatzung!$C$18="",Besatzung!$B$5,Besatzung!$C$18)&lt;=B18)*(IF(Besatzung!$D$18="",Besatzung!$B$6,Besatzung!$D$18)&gt;=B18)))*(Besatzung!$F$18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$18&lt;&gt;"")*IF(B18="",1,(IF(Besatzung!$C$18="",Besatzung!$B$5,Besatzung!$C$18)&lt;=B18)*(IF(Besatzung!$D$18="",Besatzung!$B$6,Besatzung!$D$18)&gt;=B18)))*((G18-IFERROR(H18,0))/IFERROR(SUMPRODUCT((Besatzung!$B$11:$B$22&lt;&gt;"")*(IF(Besatzung!$C$11:$C$22="",Besatzung!$B$5,Besatzung!$C$11:$C$22)&lt;=B18)*(IF(Besatzung!$D$11:$D$22="",Besatzung!$B$6,Besatzung!$D$11:$D$22)&gt;=B18)),1)+(Besatzung!$F$18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Q18="x")*((G18-IFERROR(H18,0))/IFERROR(COUNTIF(J18:U18,"x"),1)+(Besatzung!$F$18="x")*IFERROR(H18,0)/IFERROR(SUMPRODUCT((J18:U18="x")*(Besatzung!$F$11:$F$22="x")),1))),(IF(COUNTIF(J18:U18,"x")=0,IF(Besatzung!$B$18&lt;&gt;"",1,0),(Q18="x"))*(G18-IFERROR(H18,0))/IFERROR(IF(COUNTIF(J18:U18,"x")=0,COUNTA(Besatzung!$B$11:$B$22),COUNTIF(J18:U18,"x")),1)+IF(COUNTIF(J18:U18,"x")=0,(Besatzung!$F$18="x"),(Q18="x")*(Besatzung!$F$18="x"))*IFERROR(H18,0)/IFERROR(IF(COUNTIF(J18:U18,"x")=0,SUMPRODUCT((Besatzung!$B$11:$B$22&lt;&gt;"")*(Besatzung!$F$11:$F$22="x")),SUMPRODUCT((J18:U18="x")*(Besatzung!$F$11:$F$22="x"))),1))))),0))))</f>
        <v/>
      </c>
      <c r="AD18" s="106">
        <f>IF(C18="Gutschrift","",IF(G18="","",IF(Besatzung!$B$19="","",IFERROR(IF(I18="Zeitanteilig",(Besatzung!$G$19*(G18-IFERROR(H18,0))+((Besatzung!$B$19&lt;&gt;"")*IF(B18="",1,(IF(Besatzung!$C$19="",Besatzung!$B$5,Besatzung!$C$19)&lt;=B18)*(IF(Besatzung!$D$19="",Besatzung!$B$6,Besatzung!$D$19)&gt;=B18)))*(Besatzung!$F$19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$19&lt;&gt;"")*IF(B18="",1,(IF(Besatzung!$C$19="",Besatzung!$B$5,Besatzung!$C$19)&lt;=B18)*(IF(Besatzung!$D$19="",Besatzung!$B$6,Besatzung!$D$19)&gt;=B18)))*((G18-IFERROR(H18,0))/IFERROR(SUMPRODUCT((Besatzung!$B$11:$B$22&lt;&gt;"")*(IF(Besatzung!$C$11:$C$22="",Besatzung!$B$5,Besatzung!$C$11:$C$22)&lt;=B18)*(IF(Besatzung!$D$11:$D$22="",Besatzung!$B$6,Besatzung!$D$11:$D$22)&gt;=B18)),1)+(Besatzung!$F$19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R18="x")*((G18-IFERROR(H18,0))/IFERROR(COUNTIF(J18:U18,"x"),1)+(Besatzung!$F$19="x")*IFERROR(H18,0)/IFERROR(SUMPRODUCT((J18:U18="x")*(Besatzung!$F$11:$F$22="x")),1))),(IF(COUNTIF(J18:U18,"x")=0,IF(Besatzung!$B$19&lt;&gt;"",1,0),(R18="x"))*(G18-IFERROR(H18,0))/IFERROR(IF(COUNTIF(J18:U18,"x")=0,COUNTA(Besatzung!$B$11:$B$22),COUNTIF(J18:U18,"x")),1)+IF(COUNTIF(J18:U18,"x")=0,(Besatzung!$F$19="x"),(R18="x")*(Besatzung!$F$19="x"))*IFERROR(H18,0)/IFERROR(IF(COUNTIF(J18:U18,"x")=0,SUMPRODUCT((Besatzung!$B$11:$B$22&lt;&gt;"")*(Besatzung!$F$11:$F$22="x")),SUMPRODUCT((J18:U18="x")*(Besatzung!$F$11:$F$22="x"))),1))))),0))))</f>
        <v/>
      </c>
      <c r="AE18" s="106">
        <f>IF(C18="Gutschrift","",IF(G18="","",IF(Besatzung!$B$20="","",IFERROR(IF(I18="Zeitanteilig",(Besatzung!$G$20*(G18-IFERROR(H18,0))+((Besatzung!$B$20&lt;&gt;"")*IF(B18="",1,(IF(Besatzung!$C$20="",Besatzung!$B$5,Besatzung!$C$20)&lt;=B18)*(IF(Besatzung!$D$20="",Besatzung!$B$6,Besatzung!$D$20)&gt;=B18)))*(Besatzung!$F$20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$20&lt;&gt;"")*IF(B18="",1,(IF(Besatzung!$C$20="",Besatzung!$B$5,Besatzung!$C$20)&lt;=B18)*(IF(Besatzung!$D$20="",Besatzung!$B$6,Besatzung!$D$20)&gt;=B18)))*((G18-IFERROR(H18,0))/IFERROR(SUMPRODUCT((Besatzung!$B$11:$B$22&lt;&gt;"")*(IF(Besatzung!$C$11:$C$22="",Besatzung!$B$5,Besatzung!$C$11:$C$22)&lt;=B18)*(IF(Besatzung!$D$11:$D$22="",Besatzung!$B$6,Besatzung!$D$11:$D$22)&gt;=B18)),1)+(Besatzung!$F$20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S18="x")*((G18-IFERROR(H18,0))/IFERROR(COUNTIF(J18:U18,"x"),1)+(Besatzung!$F$20="x")*IFERROR(H18,0)/IFERROR(SUMPRODUCT((J18:U18="x")*(Besatzung!$F$11:$F$22="x")),1))),(IF(COUNTIF(J18:U18,"x")=0,IF(Besatzung!$B$20&lt;&gt;"",1,0),(S18="x"))*(G18-IFERROR(H18,0))/IFERROR(IF(COUNTIF(J18:U18,"x")=0,COUNTA(Besatzung!$B$11:$B$22),COUNTIF(J18:U18,"x")),1)+IF(COUNTIF(J18:U18,"x")=0,(Besatzung!$F$20="x"),(S18="x")*(Besatzung!$F$20="x"))*IFERROR(H18,0)/IFERROR(IF(COUNTIF(J18:U18,"x")=0,SUMPRODUCT((Besatzung!$B$11:$B$22&lt;&gt;"")*(Besatzung!$F$11:$F$22="x")),SUMPRODUCT((J18:U18="x")*(Besatzung!$F$11:$F$22="x"))),1))))),0))))</f>
        <v/>
      </c>
      <c r="AF18" s="106">
        <f>IF(C18="Gutschrift","",IF(G18="","",IF(Besatzung!$B$21="","",IFERROR(IF(I18="Zeitanteilig",(Besatzung!$G$21*(G18-IFERROR(H18,0))+((Besatzung!$B$21&lt;&gt;"")*IF(B18="",1,(IF(Besatzung!$C$21="",Besatzung!$B$5,Besatzung!$C$21)&lt;=B18)*(IF(Besatzung!$D$21="",Besatzung!$B$6,Besatzung!$D$21)&gt;=B18)))*(Besatzung!$F$21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$21&lt;&gt;"")*IF(B18="",1,(IF(Besatzung!$C$21="",Besatzung!$B$5,Besatzung!$C$21)&lt;=B18)*(IF(Besatzung!$D$21="",Besatzung!$B$6,Besatzung!$D$21)&gt;=B18)))*((G18-IFERROR(H18,0))/IFERROR(SUMPRODUCT((Besatzung!$B$11:$B$22&lt;&gt;"")*(IF(Besatzung!$C$11:$C$22="",Besatzung!$B$5,Besatzung!$C$11:$C$22)&lt;=B18)*(IF(Besatzung!$D$11:$D$22="",Besatzung!$B$6,Besatzung!$D$11:$D$22)&gt;=B18)),1)+(Besatzung!$F$21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T18="x")*((G18-IFERROR(H18,0))/IFERROR(COUNTIF(J18:U18,"x"),1)+(Besatzung!$F$21="x")*IFERROR(H18,0)/IFERROR(SUMPRODUCT((J18:U18="x")*(Besatzung!$F$11:$F$22="x")),1))),(IF(COUNTIF(J18:U18,"x")=0,IF(Besatzung!$B$21&lt;&gt;"",1,0),(T18="x"))*(G18-IFERROR(H18,0))/IFERROR(IF(COUNTIF(J18:U18,"x")=0,COUNTA(Besatzung!$B$11:$B$22),COUNTIF(J18:U18,"x")),1)+IF(COUNTIF(J18:U18,"x")=0,(Besatzung!$F$21="x"),(T18="x")*(Besatzung!$F$21="x"))*IFERROR(H18,0)/IFERROR(IF(COUNTIF(J18:U18,"x")=0,SUMPRODUCT((Besatzung!$B$11:$B$22&lt;&gt;"")*(Besatzung!$F$11:$F$22="x")),SUMPRODUCT((J18:U18="x")*(Besatzung!$F$11:$F$22="x"))),1))))),0))))</f>
        <v/>
      </c>
      <c r="AG18" s="106">
        <f>IF(C18="Gutschrift","",IF(G18="","",IF(Besatzung!$B$22="","",IFERROR(IF(I18="Zeitanteilig",(Besatzung!$G$22*(G18-IFERROR(H18,0))+((Besatzung!$B$22&lt;&gt;"")*IF(B18="",1,(IF(Besatzung!$C$22="",Besatzung!$B$5,Besatzung!$C$22)&lt;=B18)*(IF(Besatzung!$D$22="",Besatzung!$B$6,Besatzung!$D$22)&gt;=B18)))*(Besatzung!$F$22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$22&lt;&gt;"")*IF(B18="",1,(IF(Besatzung!$C$22="",Besatzung!$B$5,Besatzung!$C$22)&lt;=B18)*(IF(Besatzung!$D$22="",Besatzung!$B$6,Besatzung!$D$22)&gt;=B18)))*((G18-IFERROR(H18,0))/IFERROR(SUMPRODUCT((Besatzung!$B$11:$B$22&lt;&gt;"")*(IF(Besatzung!$C$11:$C$22="",Besatzung!$B$5,Besatzung!$C$11:$C$22)&lt;=B18)*(IF(Besatzung!$D$11:$D$22="",Besatzung!$B$6,Besatzung!$D$11:$D$22)&gt;=B18)),1)+(Besatzung!$F$22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U18="x")*((G18-IFERROR(H18,0))/IFERROR(COUNTIF(J18:U18,"x"),1)+(Besatzung!$F$22="x")*IFERROR(H18,0)/IFERROR(SUMPRODUCT((J18:U18="x")*(Besatzung!$F$11:$F$22="x")),1))),(IF(COUNTIF(J18:U18,"x")=0,IF(Besatzung!$B$22&lt;&gt;"",1,0),(U18="x"))*(G18-IFERROR(H18,0))/IFERROR(IF(COUNTIF(J18:U18,"x")=0,COUNTA(Besatzung!$B$11:$B$22),COUNTIF(J18:U18,"x")),1)+IF(COUNTIF(J18:U18,"x")=0,(Besatzung!$F$22="x"),(U18="x")*(Besatzung!$F$22="x"))*IFERROR(H18,0)/IFERROR(IF(COUNTIF(J18:U18,"x")=0,SUMPRODUCT((Besatzung!$B$11:$B$22&lt;&gt;"")*(Besatzung!$F$11:$F$22="x")),SUMPRODUCT((J18:U18="x")*(Besatzung!$F$11:$F$22="x"))),1))))),0))))</f>
        <v/>
      </c>
      <c r="AH18" s="107" t="n"/>
      <c r="AI18" s="107" t="n"/>
    </row>
    <row r="19" ht="21.75" customHeight="1" s="182">
      <c r="A19" s="97">
        <f>IF(AND(D19="",C19=""),"",16)</f>
        <v/>
      </c>
      <c r="B19" s="63" t="n"/>
      <c r="C19" s="108" t="n"/>
      <c r="D19" s="109" t="n"/>
      <c r="E19" s="110" t="n"/>
      <c r="F19" s="111" t="n"/>
      <c r="G19" s="112" t="n"/>
      <c r="H19" s="113" t="n"/>
      <c r="I19" s="114" t="n"/>
      <c r="J19" s="115" t="n"/>
      <c r="K19" s="115" t="n"/>
      <c r="L19" s="115" t="n"/>
      <c r="M19" s="115" t="n"/>
      <c r="N19" s="115" t="n"/>
      <c r="O19" s="115" t="n"/>
      <c r="P19" s="115" t="n"/>
      <c r="Q19" s="115" t="n"/>
      <c r="R19" s="115" t="n"/>
      <c r="S19" s="115" t="n"/>
      <c r="T19" s="115" t="n"/>
      <c r="U19" s="115" t="n"/>
      <c r="V19" s="106">
        <f>IF(C19="Gutschrift","",IF(G19="","",IF(Besatzung!$B$11="","",IFERROR(IF(I19="Zeitanteilig",(Besatzung!$G$11*(G19-IFERROR(H19,0))+((Besatzung!$B$11&lt;&gt;"")*IF(B19="",1,(IF(Besatzung!$C$11="",Besatzung!$B$5,Besatzung!$C$11)&lt;=B19)*(IF(Besatzung!$D$11="",Besatzung!$B$6,Besatzung!$D$11)&gt;=B19)))*(Besatzung!$F$11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$11&lt;&gt;"")*IF(B19="",1,(IF(Besatzung!$C$11="",Besatzung!$B$5,Besatzung!$C$11)&lt;=B19)*(IF(Besatzung!$D$11="",Besatzung!$B$6,Besatzung!$D$11)&gt;=B19)))*((G19-IFERROR(H19,0))/IFERROR(SUMPRODUCT((Besatzung!$B$11:$B$22&lt;&gt;"")*(IF(Besatzung!$C$11:$C$22="",Besatzung!$B$5,Besatzung!$C$11:$C$22)&lt;=B19)*(IF(Besatzung!$D$11:$D$22="",Besatzung!$B$6,Besatzung!$D$11:$D$22)&gt;=B19)),1)+(Besatzung!$F$11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J19="x")*((G19-IFERROR(H19,0))/IFERROR(COUNTIF(J19:U19,"x"),1)+(Besatzung!$F$11="x")*IFERROR(H19,0)/IFERROR(SUMPRODUCT((J19:U19="x")*(Besatzung!$F$11:$F$22="x")),1))),(IF(COUNTIF(J19:U19,"x")=0,IF(Besatzung!$B$11&lt;&gt;"",1,0),(J19="x"))*(G19-IFERROR(H19,0))/IFERROR(IF(COUNTIF(J19:U19,"x")=0,COUNTA(Besatzung!$B$11:$B$22),COUNTIF(J19:U19,"x")),1)+IF(COUNTIF(J19:U19,"x")=0,(Besatzung!$F$11="x"),(J19="x")*(Besatzung!$F$11="x"))*IFERROR(H19,0)/IFERROR(IF(COUNTIF(J19:U19,"x")=0,SUMPRODUCT((Besatzung!$B$11:$B$22&lt;&gt;"")*(Besatzung!$F$11:$F$22="x")),SUMPRODUCT((J19:U19="x")*(Besatzung!$F$11:$F$22="x"))),1))))),0))))</f>
        <v/>
      </c>
      <c r="W19" s="106">
        <f>IF(C19="Gutschrift","",IF(G19="","",IF(Besatzung!$B$12="","",IFERROR(IF(I19="Zeitanteilig",(Besatzung!$G$12*(G19-IFERROR(H19,0))+((Besatzung!$B$12&lt;&gt;"")*IF(B19="",1,(IF(Besatzung!$C$12="",Besatzung!$B$5,Besatzung!$C$12)&lt;=B19)*(IF(Besatzung!$D$12="",Besatzung!$B$6,Besatzung!$D$12)&gt;=B19)))*(Besatzung!$F$12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$12&lt;&gt;"")*IF(B19="",1,(IF(Besatzung!$C$12="",Besatzung!$B$5,Besatzung!$C$12)&lt;=B19)*(IF(Besatzung!$D$12="",Besatzung!$B$6,Besatzung!$D$12)&gt;=B19)))*((G19-IFERROR(H19,0))/IFERROR(SUMPRODUCT((Besatzung!$B$11:$B$22&lt;&gt;"")*(IF(Besatzung!$C$11:$C$22="",Besatzung!$B$5,Besatzung!$C$11:$C$22)&lt;=B19)*(IF(Besatzung!$D$11:$D$22="",Besatzung!$B$6,Besatzung!$D$11:$D$22)&gt;=B19)),1)+(Besatzung!$F$12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K19="x")*((G19-IFERROR(H19,0))/IFERROR(COUNTIF(J19:U19,"x"),1)+(Besatzung!$F$12="x")*IFERROR(H19,0)/IFERROR(SUMPRODUCT((J19:U19="x")*(Besatzung!$F$11:$F$22="x")),1))),(IF(COUNTIF(J19:U19,"x")=0,IF(Besatzung!$B$12&lt;&gt;"",1,0),(K19="x"))*(G19-IFERROR(H19,0))/IFERROR(IF(COUNTIF(J19:U19,"x")=0,COUNTA(Besatzung!$B$11:$B$22),COUNTIF(J19:U19,"x")),1)+IF(COUNTIF(J19:U19,"x")=0,(Besatzung!$F$12="x"),(K19="x")*(Besatzung!$F$12="x"))*IFERROR(H19,0)/IFERROR(IF(COUNTIF(J19:U19,"x")=0,SUMPRODUCT((Besatzung!$B$11:$B$22&lt;&gt;"")*(Besatzung!$F$11:$F$22="x")),SUMPRODUCT((J19:U19="x")*(Besatzung!$F$11:$F$22="x"))),1))))),0))))</f>
        <v/>
      </c>
      <c r="X19" s="106">
        <f>IF(C19="Gutschrift","",IF(G19="","",IF(Besatzung!$B$13="","",IFERROR(IF(I19="Zeitanteilig",(Besatzung!$G$13*(G19-IFERROR(H19,0))+((Besatzung!$B$13&lt;&gt;"")*IF(B19="",1,(IF(Besatzung!$C$13="",Besatzung!$B$5,Besatzung!$C$13)&lt;=B19)*(IF(Besatzung!$D$13="",Besatzung!$B$6,Besatzung!$D$13)&gt;=B19)))*(Besatzung!$F$13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$13&lt;&gt;"")*IF(B19="",1,(IF(Besatzung!$C$13="",Besatzung!$B$5,Besatzung!$C$13)&lt;=B19)*(IF(Besatzung!$D$13="",Besatzung!$B$6,Besatzung!$D$13)&gt;=B19)))*((G19-IFERROR(H19,0))/IFERROR(SUMPRODUCT((Besatzung!$B$11:$B$22&lt;&gt;"")*(IF(Besatzung!$C$11:$C$22="",Besatzung!$B$5,Besatzung!$C$11:$C$22)&lt;=B19)*(IF(Besatzung!$D$11:$D$22="",Besatzung!$B$6,Besatzung!$D$11:$D$22)&gt;=B19)),1)+(Besatzung!$F$13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K19="x")*((G19-IFERROR(H19,0))/IFERROR(COUNTIF(J19:U19,"x"),1)+(Besatzung!$F$13="x")*IFERROR(H19,0)/IFERROR(SUMPRODUCT((J19:U19="x")*(Besatzung!$F$11:$F$22="x")),1))),(IF(COUNTIF(J19:U19,"x")=0,IF(Besatzung!$B$13&lt;&gt;"",1,0),(K19="x"))*(G19-IFERROR(H19,0))/IFERROR(IF(COUNTIF(J19:U19,"x")=0,COUNTA(Besatzung!$B$11:$B$22),COUNTIF(J19:U19,"x")),1)+IF(COUNTIF(J19:U19,"x")=0,(Besatzung!$F$13="x"),(K19="x")*(Besatzung!$F$13="x"))*IFERROR(H19,0)/IFERROR(IF(COUNTIF(J19:U19,"x")=0,SUMPRODUCT((Besatzung!$B$11:$B$22&lt;&gt;"")*(Besatzung!$F$11:$F$22="x")),SUMPRODUCT((J19:U19="x")*(Besatzung!$F$11:$F$22="x"))),1))))),0))))</f>
        <v/>
      </c>
      <c r="Y19" s="106">
        <f>IF(C19="Gutschrift","",IF(G19="","",IF(Besatzung!$B$14="","",IFERROR(IF(I19="Zeitanteilig",(Besatzung!$G$14*(G19-IFERROR(H19,0))+((Besatzung!$B$14&lt;&gt;"")*IF(B19="",1,(IF(Besatzung!$C$14="",Besatzung!$B$5,Besatzung!$C$14)&lt;=B19)*(IF(Besatzung!$D$14="",Besatzung!$B$6,Besatzung!$D$14)&gt;=B19)))*(Besatzung!$F$14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$14&lt;&gt;"")*IF(B19="",1,(IF(Besatzung!$C$14="",Besatzung!$B$5,Besatzung!$C$14)&lt;=B19)*(IF(Besatzung!$D$14="",Besatzung!$B$6,Besatzung!$D$14)&gt;=B19)))*((G19-IFERROR(H19,0))/IFERROR(SUMPRODUCT((Besatzung!$B$11:$B$22&lt;&gt;"")*(IF(Besatzung!$C$11:$C$22="",Besatzung!$B$5,Besatzung!$C$11:$C$22)&lt;=B19)*(IF(Besatzung!$D$11:$D$22="",Besatzung!$B$6,Besatzung!$D$11:$D$22)&gt;=B19)),1)+(Besatzung!$F$14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M19="x")*((G19-IFERROR(H19,0))/IFERROR(COUNTIF(J19:U19,"x"),1)+(Besatzung!$F$14="x")*IFERROR(H19,0)/IFERROR(SUMPRODUCT((J19:U19="x")*(Besatzung!$F$11:$F$22="x")),1))),(IF(COUNTIF(J19:U19,"x")=0,IF(Besatzung!$B$14&lt;&gt;"",1,0),(M19="x"))*(G19-IFERROR(H19,0))/IFERROR(IF(COUNTIF(J19:U19,"x")=0,COUNTA(Besatzung!$B$11:$B$22),COUNTIF(J19:U19,"x")),1)+IF(COUNTIF(J19:U19,"x")=0,(Besatzung!$F$14="x"),(M19="x")*(Besatzung!$F$14="x"))*IFERROR(H19,0)/IFERROR(IF(COUNTIF(J19:U19,"x")=0,SUMPRODUCT((Besatzung!$B$11:$B$22&lt;&gt;"")*(Besatzung!$F$11:$F$22="x")),SUMPRODUCT((J19:U19="x")*(Besatzung!$F$11:$F$22="x"))),1))))),0))))</f>
        <v/>
      </c>
      <c r="Z19" s="106">
        <f>IF(C19="Gutschrift","",IF(G19="","",IF(Besatzung!$B$13="","",IFERROR(IF(I19="Zeitanteilig",(Besatzung!$G$15*(G19-IFERROR(H19,0))+((Besatzung!$B$13&lt;&gt;"")*IF(B19="",1,(IF(Besatzung!$C$15="",Besatzung!$B$5,Besatzung!$C$15)&lt;=B19)*(IF(Besatzung!$D$15="",Besatzung!$B$6,Besatzung!$D$15)&gt;=B19)))*(Besatzung!$F$15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$13&lt;&gt;"")*IF(B19="",1,(IF(Besatzung!$C$15="",Besatzung!$B$5,Besatzung!$C$15)&lt;=B19)*(IF(Besatzung!$D$15="",Besatzung!$B$6,Besatzung!$D$15)&gt;=B19)))*((G19-IFERROR(H19,0))/IFERROR(SUMPRODUCT((Besatzung!$B$11:$B$22&lt;&gt;"")*(IF(Besatzung!$C$11:$C$22="",Besatzung!$B$5,Besatzung!$C$11:$C$22)&lt;=B19)*(IF(Besatzung!$D$11:$D$22="",Besatzung!$B$6,Besatzung!$D$11:$D$22)&gt;=B19)),1)+(Besatzung!$F$15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N19="x")*((G19-IFERROR(H19,0))/IFERROR(COUNTIF(J19:U19,"x"),1)+(Besatzung!$F$15="x")*IFERROR(H19,0)/IFERROR(SUMPRODUCT((J19:U19="x")*(Besatzung!$F$11:$F$22="x")),1))),(IF(COUNTIF(J19:U19,"x")=0,IF(Besatzung!$B$13&lt;&gt;"",1,0),(N19="x"))*(G19-IFERROR(H19,0))/IFERROR(IF(COUNTIF(J19:U19,"x")=0,COUNTA(Besatzung!$B$11:$B$22),COUNTIF(J19:U19,"x")),1)+IF(COUNTIF(J19:U19,"x")=0,(Besatzung!$F$15="x"),(N19="x")*(Besatzung!$F$15="x"))*IFERROR(H19,0)/IFERROR(IF(COUNTIF(J19:U19,"x")=0,SUMPRODUCT((Besatzung!$B$11:$B$22&lt;&gt;"")*(Besatzung!$F$11:$F$22="x")),SUMPRODUCT((J19:U19="x")*(Besatzung!$F$11:$F$22="x"))),1))))),0))))</f>
        <v/>
      </c>
      <c r="AA19" s="106">
        <f>IF(C19="Gutschrift","",IF(G19="","",IF(Besatzung!$B$15="","",IFERROR(IF(I19="Zeitanteilig",(Besatzung!$G$16*(G19-IFERROR(H19,0))+((Besatzung!$B$15&lt;&gt;"")*IF(B19="",1,(IF(Besatzung!$C$16="",Besatzung!$B$5,Besatzung!$C$16)&lt;=B19)*(IF(Besatzung!$D$16="",Besatzung!$B$6,Besatzung!$D$16)&gt;=B19)))*(Besatzung!$F$16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$15&lt;&gt;"")*IF(B19="",1,(IF(Besatzung!$C$16="",Besatzung!$B$5,Besatzung!$C$16)&lt;=B19)*(IF(Besatzung!$D$16="",Besatzung!$B$6,Besatzung!$D$16)&gt;=B19)))*((G19-IFERROR(H19,0))/IFERROR(SUMPRODUCT((Besatzung!$B$11:$B$22&lt;&gt;"")*(IF(Besatzung!$C$11:$C$22="",Besatzung!$B$5,Besatzung!$C$11:$C$22)&lt;=B19)*(IF(Besatzung!$D$11:$D$22="",Besatzung!$B$6,Besatzung!$D$11:$D$22)&gt;=B19)),1)+(Besatzung!$F$16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O19="x")*((G19-IFERROR(H19,0))/IFERROR(COUNTIF(J19:U19,"x"),1)+(Besatzung!$F$16="x")*IFERROR(H19,0)/IFERROR(SUMPRODUCT((J19:U19="x")*(Besatzung!$F$11:$F$22="x")),1))),(IF(COUNTIF(J19:U19,"x")=0,IF(Besatzung!$B$15&lt;&gt;"",1,0),(O19="x"))*(G19-IFERROR(H19,0))/IFERROR(IF(COUNTIF(J19:U19,"x")=0,COUNTA(Besatzung!$B$11:$B$22),COUNTIF(J19:U19,"x")),1)+IF(COUNTIF(J19:U19,"x")=0,(Besatzung!$F$16="x"),(O19="x")*(Besatzung!$F$16="x"))*IFERROR(H19,0)/IFERROR(IF(COUNTIF(J19:U19,"x")=0,SUMPRODUCT((Besatzung!$B$11:$B$22&lt;&gt;"")*(Besatzung!$F$11:$F$22="x")),SUMPRODUCT((J19:U19="x")*(Besatzung!$F$11:$F$22="x"))),1))))),0))))</f>
        <v/>
      </c>
      <c r="AB19" s="106">
        <f>IF(C19="Gutschrift","",IF(G19="","",IF(Besatzung!$B$17="","",IFERROR(IF(I19="Zeitanteilig",(Besatzung!$G$17*(G19-IFERROR(H19,0))+((Besatzung!$B$17&lt;&gt;"")*IF(B19="",1,(IF(Besatzung!$C$17="",Besatzung!$B$5,Besatzung!$C$17)&lt;=B19)*(IF(Besatzung!$D$17="",Besatzung!$B$6,Besatzung!$D$17)&gt;=B19)))*(Besatzung!$F$17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$17&lt;&gt;"")*IF(B19="",1,(IF(Besatzung!$C$17="",Besatzung!$B$5,Besatzung!$C$17)&lt;=B19)*(IF(Besatzung!$D$17="",Besatzung!$B$6,Besatzung!$D$17)&gt;=B19)))*((G19-IFERROR(H19,0))/IFERROR(SUMPRODUCT((Besatzung!$B$11:$B$22&lt;&gt;"")*(IF(Besatzung!$C$11:$C$22="",Besatzung!$B$5,Besatzung!$C$11:$C$22)&lt;=B19)*(IF(Besatzung!$D$11:$D$22="",Besatzung!$B$6,Besatzung!$D$11:$D$22)&gt;=B19)),1)+(Besatzung!$F$17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P19="x")*((G19-IFERROR(H19,0))/IFERROR(COUNTIF(J19:U19,"x"),1)+(Besatzung!$F$17="x")*IFERROR(H19,0)/IFERROR(SUMPRODUCT((J19:U19="x")*(Besatzung!$F$11:$F$22="x")),1))),(IF(COUNTIF(J19:U19,"x")=0,IF(Besatzung!$B$17&lt;&gt;"",1,0),(P19="x"))*(G19-IFERROR(H19,0))/IFERROR(IF(COUNTIF(J19:U19,"x")=0,COUNTA(Besatzung!$B$11:$B$22),COUNTIF(J19:U19,"x")),1)+IF(COUNTIF(J19:U19,"x")=0,(Besatzung!$F$17="x"),(P19="x")*(Besatzung!$F$17="x"))*IFERROR(H19,0)/IFERROR(IF(COUNTIF(J19:U19,"x")=0,SUMPRODUCT((Besatzung!$B$11:$B$22&lt;&gt;"")*(Besatzung!$F$11:$F$22="x")),SUMPRODUCT((J19:U19="x")*(Besatzung!$F$11:$F$22="x"))),1))))),0))))</f>
        <v/>
      </c>
      <c r="AC19" s="106">
        <f>IF(C19="Gutschrift","",IF(G19="","",IF(Besatzung!$B$18="","",IFERROR(IF(I19="Zeitanteilig",(Besatzung!$G$18*(G19-IFERROR(H19,0))+((Besatzung!$B$18&lt;&gt;"")*IF(B19="",1,(IF(Besatzung!$C$18="",Besatzung!$B$5,Besatzung!$C$18)&lt;=B19)*(IF(Besatzung!$D$18="",Besatzung!$B$6,Besatzung!$D$18)&gt;=B19)))*(Besatzung!$F$18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$18&lt;&gt;"")*IF(B19="",1,(IF(Besatzung!$C$18="",Besatzung!$B$5,Besatzung!$C$18)&lt;=B19)*(IF(Besatzung!$D$18="",Besatzung!$B$6,Besatzung!$D$18)&gt;=B19)))*((G19-IFERROR(H19,0))/IFERROR(SUMPRODUCT((Besatzung!$B$11:$B$22&lt;&gt;"")*(IF(Besatzung!$C$11:$C$22="",Besatzung!$B$5,Besatzung!$C$11:$C$22)&lt;=B19)*(IF(Besatzung!$D$11:$D$22="",Besatzung!$B$6,Besatzung!$D$11:$D$22)&gt;=B19)),1)+(Besatzung!$F$18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Q19="x")*((G19-IFERROR(H19,0))/IFERROR(COUNTIF(J19:U19,"x"),1)+(Besatzung!$F$18="x")*IFERROR(H19,0)/IFERROR(SUMPRODUCT((J19:U19="x")*(Besatzung!$F$11:$F$22="x")),1))),(IF(COUNTIF(J19:U19,"x")=0,IF(Besatzung!$B$18&lt;&gt;"",1,0),(Q19="x"))*(G19-IFERROR(H19,0))/IFERROR(IF(COUNTIF(J19:U19,"x")=0,COUNTA(Besatzung!$B$11:$B$22),COUNTIF(J19:U19,"x")),1)+IF(COUNTIF(J19:U19,"x")=0,(Besatzung!$F$18="x"),(Q19="x")*(Besatzung!$F$18="x"))*IFERROR(H19,0)/IFERROR(IF(COUNTIF(J19:U19,"x")=0,SUMPRODUCT((Besatzung!$B$11:$B$22&lt;&gt;"")*(Besatzung!$F$11:$F$22="x")),SUMPRODUCT((J19:U19="x")*(Besatzung!$F$11:$F$22="x"))),1))))),0))))</f>
        <v/>
      </c>
      <c r="AD19" s="106">
        <f>IF(C19="Gutschrift","",IF(G19="","",IF(Besatzung!$B$19="","",IFERROR(IF(I19="Zeitanteilig",(Besatzung!$G$19*(G19-IFERROR(H19,0))+((Besatzung!$B$19&lt;&gt;"")*IF(B19="",1,(IF(Besatzung!$C$19="",Besatzung!$B$5,Besatzung!$C$19)&lt;=B19)*(IF(Besatzung!$D$19="",Besatzung!$B$6,Besatzung!$D$19)&gt;=B19)))*(Besatzung!$F$19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$19&lt;&gt;"")*IF(B19="",1,(IF(Besatzung!$C$19="",Besatzung!$B$5,Besatzung!$C$19)&lt;=B19)*(IF(Besatzung!$D$19="",Besatzung!$B$6,Besatzung!$D$19)&gt;=B19)))*((G19-IFERROR(H19,0))/IFERROR(SUMPRODUCT((Besatzung!$B$11:$B$22&lt;&gt;"")*(IF(Besatzung!$C$11:$C$22="",Besatzung!$B$5,Besatzung!$C$11:$C$22)&lt;=B19)*(IF(Besatzung!$D$11:$D$22="",Besatzung!$B$6,Besatzung!$D$11:$D$22)&gt;=B19)),1)+(Besatzung!$F$19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R19="x")*((G19-IFERROR(H19,0))/IFERROR(COUNTIF(J19:U19,"x"),1)+(Besatzung!$F$19="x")*IFERROR(H19,0)/IFERROR(SUMPRODUCT((J19:U19="x")*(Besatzung!$F$11:$F$22="x")),1))),(IF(COUNTIF(J19:U19,"x")=0,IF(Besatzung!$B$19&lt;&gt;"",1,0),(R19="x"))*(G19-IFERROR(H19,0))/IFERROR(IF(COUNTIF(J19:U19,"x")=0,COUNTA(Besatzung!$B$11:$B$22),COUNTIF(J19:U19,"x")),1)+IF(COUNTIF(J19:U19,"x")=0,(Besatzung!$F$19="x"),(R19="x")*(Besatzung!$F$19="x"))*IFERROR(H19,0)/IFERROR(IF(COUNTIF(J19:U19,"x")=0,SUMPRODUCT((Besatzung!$B$11:$B$22&lt;&gt;"")*(Besatzung!$F$11:$F$22="x")),SUMPRODUCT((J19:U19="x")*(Besatzung!$F$11:$F$22="x"))),1))))),0))))</f>
        <v/>
      </c>
      <c r="AE19" s="106">
        <f>IF(C19="Gutschrift","",IF(G19="","",IF(Besatzung!$B$20="","",IFERROR(IF(I19="Zeitanteilig",(Besatzung!$G$20*(G19-IFERROR(H19,0))+((Besatzung!$B$20&lt;&gt;"")*IF(B19="",1,(IF(Besatzung!$C$20="",Besatzung!$B$5,Besatzung!$C$20)&lt;=B19)*(IF(Besatzung!$D$20="",Besatzung!$B$6,Besatzung!$D$20)&gt;=B19)))*(Besatzung!$F$20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$20&lt;&gt;"")*IF(B19="",1,(IF(Besatzung!$C$20="",Besatzung!$B$5,Besatzung!$C$20)&lt;=B19)*(IF(Besatzung!$D$20="",Besatzung!$B$6,Besatzung!$D$20)&gt;=B19)))*((G19-IFERROR(H19,0))/IFERROR(SUMPRODUCT((Besatzung!$B$11:$B$22&lt;&gt;"")*(IF(Besatzung!$C$11:$C$22="",Besatzung!$B$5,Besatzung!$C$11:$C$22)&lt;=B19)*(IF(Besatzung!$D$11:$D$22="",Besatzung!$B$6,Besatzung!$D$11:$D$22)&gt;=B19)),1)+(Besatzung!$F$20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S19="x")*((G19-IFERROR(H19,0))/IFERROR(COUNTIF(J19:U19,"x"),1)+(Besatzung!$F$20="x")*IFERROR(H19,0)/IFERROR(SUMPRODUCT((J19:U19="x")*(Besatzung!$F$11:$F$22="x")),1))),(IF(COUNTIF(J19:U19,"x")=0,IF(Besatzung!$B$20&lt;&gt;"",1,0),(S19="x"))*(G19-IFERROR(H19,0))/IFERROR(IF(COUNTIF(J19:U19,"x")=0,COUNTA(Besatzung!$B$11:$B$22),COUNTIF(J19:U19,"x")),1)+IF(COUNTIF(J19:U19,"x")=0,(Besatzung!$F$20="x"),(S19="x")*(Besatzung!$F$20="x"))*IFERROR(H19,0)/IFERROR(IF(COUNTIF(J19:U19,"x")=0,SUMPRODUCT((Besatzung!$B$11:$B$22&lt;&gt;"")*(Besatzung!$F$11:$F$22="x")),SUMPRODUCT((J19:U19="x")*(Besatzung!$F$11:$F$22="x"))),1))))),0))))</f>
        <v/>
      </c>
      <c r="AF19" s="106">
        <f>IF(C19="Gutschrift","",IF(G19="","",IF(Besatzung!$B$21="","",IFERROR(IF(I19="Zeitanteilig",(Besatzung!$G$21*(G19-IFERROR(H19,0))+((Besatzung!$B$21&lt;&gt;"")*IF(B19="",1,(IF(Besatzung!$C$21="",Besatzung!$B$5,Besatzung!$C$21)&lt;=B19)*(IF(Besatzung!$D$21="",Besatzung!$B$6,Besatzung!$D$21)&gt;=B19)))*(Besatzung!$F$21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$21&lt;&gt;"")*IF(B19="",1,(IF(Besatzung!$C$21="",Besatzung!$B$5,Besatzung!$C$21)&lt;=B19)*(IF(Besatzung!$D$21="",Besatzung!$B$6,Besatzung!$D$21)&gt;=B19)))*((G19-IFERROR(H19,0))/IFERROR(SUMPRODUCT((Besatzung!$B$11:$B$22&lt;&gt;"")*(IF(Besatzung!$C$11:$C$22="",Besatzung!$B$5,Besatzung!$C$11:$C$22)&lt;=B19)*(IF(Besatzung!$D$11:$D$22="",Besatzung!$B$6,Besatzung!$D$11:$D$22)&gt;=B19)),1)+(Besatzung!$F$21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T19="x")*((G19-IFERROR(H19,0))/IFERROR(COUNTIF(J19:U19,"x"),1)+(Besatzung!$F$21="x")*IFERROR(H19,0)/IFERROR(SUMPRODUCT((J19:U19="x")*(Besatzung!$F$11:$F$22="x")),1))),(IF(COUNTIF(J19:U19,"x")=0,IF(Besatzung!$B$21&lt;&gt;"",1,0),(T19="x"))*(G19-IFERROR(H19,0))/IFERROR(IF(COUNTIF(J19:U19,"x")=0,COUNTA(Besatzung!$B$11:$B$22),COUNTIF(J19:U19,"x")),1)+IF(COUNTIF(J19:U19,"x")=0,(Besatzung!$F$21="x"),(T19="x")*(Besatzung!$F$21="x"))*IFERROR(H19,0)/IFERROR(IF(COUNTIF(J19:U19,"x")=0,SUMPRODUCT((Besatzung!$B$11:$B$22&lt;&gt;"")*(Besatzung!$F$11:$F$22="x")),SUMPRODUCT((J19:U19="x")*(Besatzung!$F$11:$F$22="x"))),1))))),0))))</f>
        <v/>
      </c>
      <c r="AG19" s="106">
        <f>IF(C19="Gutschrift","",IF(G19="","",IF(Besatzung!$B$22="","",IFERROR(IF(I19="Zeitanteilig",(Besatzung!$G$22*(G19-IFERROR(H19,0))+((Besatzung!$B$22&lt;&gt;"")*IF(B19="",1,(IF(Besatzung!$C$22="",Besatzung!$B$5,Besatzung!$C$22)&lt;=B19)*(IF(Besatzung!$D$22="",Besatzung!$B$6,Besatzung!$D$22)&gt;=B19)))*(Besatzung!$F$22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$22&lt;&gt;"")*IF(B19="",1,(IF(Besatzung!$C$22="",Besatzung!$B$5,Besatzung!$C$22)&lt;=B19)*(IF(Besatzung!$D$22="",Besatzung!$B$6,Besatzung!$D$22)&gt;=B19)))*((G19-IFERROR(H19,0))/IFERROR(SUMPRODUCT((Besatzung!$B$11:$B$22&lt;&gt;"")*(IF(Besatzung!$C$11:$C$22="",Besatzung!$B$5,Besatzung!$C$11:$C$22)&lt;=B19)*(IF(Besatzung!$D$11:$D$22="",Besatzung!$B$6,Besatzung!$D$11:$D$22)&gt;=B19)),1)+(Besatzung!$F$22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U19="x")*((G19-IFERROR(H19,0))/IFERROR(COUNTIF(J19:U19,"x"),1)+(Besatzung!$F$22="x")*IFERROR(H19,0)/IFERROR(SUMPRODUCT((J19:U19="x")*(Besatzung!$F$11:$F$22="x")),1))),(IF(COUNTIF(J19:U19,"x")=0,IF(Besatzung!$B$22&lt;&gt;"",1,0),(U19="x"))*(G19-IFERROR(H19,0))/IFERROR(IF(COUNTIF(J19:U19,"x")=0,COUNTA(Besatzung!$B$11:$B$22),COUNTIF(J19:U19,"x")),1)+IF(COUNTIF(J19:U19,"x")=0,(Besatzung!$F$22="x"),(U19="x")*(Besatzung!$F$22="x"))*IFERROR(H19,0)/IFERROR(IF(COUNTIF(J19:U19,"x")=0,SUMPRODUCT((Besatzung!$B$11:$B$22&lt;&gt;"")*(Besatzung!$F$11:$F$22="x")),SUMPRODUCT((J19:U19="x")*(Besatzung!$F$11:$F$22="x"))),1))))),0))))</f>
        <v/>
      </c>
      <c r="AH19" s="107" t="n"/>
      <c r="AI19" s="107" t="n"/>
    </row>
    <row r="20" ht="21.75" customHeight="1" s="182">
      <c r="A20" s="97">
        <f>IF(AND(D20="",C20=""),"",17)</f>
        <v/>
      </c>
      <c r="B20" s="56" t="n"/>
      <c r="C20" s="98" t="n"/>
      <c r="D20" s="99" t="n"/>
      <c r="E20" s="100" t="n"/>
      <c r="F20" s="101" t="n"/>
      <c r="G20" s="102" t="n"/>
      <c r="H20" s="103" t="n"/>
      <c r="I20" s="104" t="n"/>
      <c r="J20" s="105" t="n"/>
      <c r="K20" s="105" t="n"/>
      <c r="L20" s="105" t="n"/>
      <c r="M20" s="105" t="n"/>
      <c r="N20" s="105" t="n"/>
      <c r="O20" s="105" t="n"/>
      <c r="P20" s="105" t="n"/>
      <c r="Q20" s="105" t="n"/>
      <c r="R20" s="105" t="n"/>
      <c r="S20" s="105" t="n"/>
      <c r="T20" s="105" t="n"/>
      <c r="U20" s="105" t="n"/>
      <c r="V20" s="106">
        <f>IF(C20="Gutschrift","",IF(G20="","",IF(Besatzung!$B$11="","",IFERROR(IF(I20="Zeitanteilig",(Besatzung!$G$11*(G20-IFERROR(H20,0))+((Besatzung!$B$11&lt;&gt;"")*IF(B20="",1,(IF(Besatzung!$C$11="",Besatzung!$B$5,Besatzung!$C$11)&lt;=B20)*(IF(Besatzung!$D$11="",Besatzung!$B$6,Besatzung!$D$11)&gt;=B20)))*(Besatzung!$F$11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$11&lt;&gt;"")*IF(B20="",1,(IF(Besatzung!$C$11="",Besatzung!$B$5,Besatzung!$C$11)&lt;=B20)*(IF(Besatzung!$D$11="",Besatzung!$B$6,Besatzung!$D$11)&gt;=B20)))*((G20-IFERROR(H20,0))/IFERROR(SUMPRODUCT((Besatzung!$B$11:$B$22&lt;&gt;"")*(IF(Besatzung!$C$11:$C$22="",Besatzung!$B$5,Besatzung!$C$11:$C$22)&lt;=B20)*(IF(Besatzung!$D$11:$D$22="",Besatzung!$B$6,Besatzung!$D$11:$D$22)&gt;=B20)),1)+(Besatzung!$F$11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J20="x")*((G20-IFERROR(H20,0))/IFERROR(COUNTIF(J20:U20,"x"),1)+(Besatzung!$F$11="x")*IFERROR(H20,0)/IFERROR(SUMPRODUCT((J20:U20="x")*(Besatzung!$F$11:$F$22="x")),1))),(IF(COUNTIF(J20:U20,"x")=0,IF(Besatzung!$B$11&lt;&gt;"",1,0),(J20="x"))*(G20-IFERROR(H20,0))/IFERROR(IF(COUNTIF(J20:U20,"x")=0,COUNTA(Besatzung!$B$11:$B$22),COUNTIF(J20:U20,"x")),1)+IF(COUNTIF(J20:U20,"x")=0,(Besatzung!$F$11="x"),(J20="x")*(Besatzung!$F$11="x"))*IFERROR(H20,0)/IFERROR(IF(COUNTIF(J20:U20,"x")=0,SUMPRODUCT((Besatzung!$B$11:$B$22&lt;&gt;"")*(Besatzung!$F$11:$F$22="x")),SUMPRODUCT((J20:U20="x")*(Besatzung!$F$11:$F$22="x"))),1))))),0))))</f>
        <v/>
      </c>
      <c r="W20" s="106">
        <f>IF(C20="Gutschrift","",IF(G20="","",IF(Besatzung!$B$12="","",IFERROR(IF(I20="Zeitanteilig",(Besatzung!$G$12*(G20-IFERROR(H20,0))+((Besatzung!$B$12&lt;&gt;"")*IF(B20="",1,(IF(Besatzung!$C$12="",Besatzung!$B$5,Besatzung!$C$12)&lt;=B20)*(IF(Besatzung!$D$12="",Besatzung!$B$6,Besatzung!$D$12)&gt;=B20)))*(Besatzung!$F$12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$12&lt;&gt;"")*IF(B20="",1,(IF(Besatzung!$C$12="",Besatzung!$B$5,Besatzung!$C$12)&lt;=B20)*(IF(Besatzung!$D$12="",Besatzung!$B$6,Besatzung!$D$12)&gt;=B20)))*((G20-IFERROR(H20,0))/IFERROR(SUMPRODUCT((Besatzung!$B$11:$B$22&lt;&gt;"")*(IF(Besatzung!$C$11:$C$22="",Besatzung!$B$5,Besatzung!$C$11:$C$22)&lt;=B20)*(IF(Besatzung!$D$11:$D$22="",Besatzung!$B$6,Besatzung!$D$11:$D$22)&gt;=B20)),1)+(Besatzung!$F$12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K20="x")*((G20-IFERROR(H20,0))/IFERROR(COUNTIF(J20:U20,"x"),1)+(Besatzung!$F$12="x")*IFERROR(H20,0)/IFERROR(SUMPRODUCT((J20:U20="x")*(Besatzung!$F$11:$F$22="x")),1))),(IF(COUNTIF(J20:U20,"x")=0,IF(Besatzung!$B$12&lt;&gt;"",1,0),(K20="x"))*(G20-IFERROR(H20,0))/IFERROR(IF(COUNTIF(J20:U20,"x")=0,COUNTA(Besatzung!$B$11:$B$22),COUNTIF(J20:U20,"x")),1)+IF(COUNTIF(J20:U20,"x")=0,(Besatzung!$F$12="x"),(K20="x")*(Besatzung!$F$12="x"))*IFERROR(H20,0)/IFERROR(IF(COUNTIF(J20:U20,"x")=0,SUMPRODUCT((Besatzung!$B$11:$B$22&lt;&gt;"")*(Besatzung!$F$11:$F$22="x")),SUMPRODUCT((J20:U20="x")*(Besatzung!$F$11:$F$22="x"))),1))))),0))))</f>
        <v/>
      </c>
      <c r="X20" s="106">
        <f>IF(C20="Gutschrift","",IF(G20="","",IF(Besatzung!$B$13="","",IFERROR(IF(I20="Zeitanteilig",(Besatzung!$G$13*(G20-IFERROR(H20,0))+((Besatzung!$B$13&lt;&gt;"")*IF(B20="",1,(IF(Besatzung!$C$13="",Besatzung!$B$5,Besatzung!$C$13)&lt;=B20)*(IF(Besatzung!$D$13="",Besatzung!$B$6,Besatzung!$D$13)&gt;=B20)))*(Besatzung!$F$13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$13&lt;&gt;"")*IF(B20="",1,(IF(Besatzung!$C$13="",Besatzung!$B$5,Besatzung!$C$13)&lt;=B20)*(IF(Besatzung!$D$13="",Besatzung!$B$6,Besatzung!$D$13)&gt;=B20)))*((G20-IFERROR(H20,0))/IFERROR(SUMPRODUCT((Besatzung!$B$11:$B$22&lt;&gt;"")*(IF(Besatzung!$C$11:$C$22="",Besatzung!$B$5,Besatzung!$C$11:$C$22)&lt;=B20)*(IF(Besatzung!$D$11:$D$22="",Besatzung!$B$6,Besatzung!$D$11:$D$22)&gt;=B20)),1)+(Besatzung!$F$13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K20="x")*((G20-IFERROR(H20,0))/IFERROR(COUNTIF(J20:U20,"x"),1)+(Besatzung!$F$13="x")*IFERROR(H20,0)/IFERROR(SUMPRODUCT((J20:U20="x")*(Besatzung!$F$11:$F$22="x")),1))),(IF(COUNTIF(J20:U20,"x")=0,IF(Besatzung!$B$13&lt;&gt;"",1,0),(K20="x"))*(G20-IFERROR(H20,0))/IFERROR(IF(COUNTIF(J20:U20,"x")=0,COUNTA(Besatzung!$B$11:$B$22),COUNTIF(J20:U20,"x")),1)+IF(COUNTIF(J20:U20,"x")=0,(Besatzung!$F$13="x"),(K20="x")*(Besatzung!$F$13="x"))*IFERROR(H20,0)/IFERROR(IF(COUNTIF(J20:U20,"x")=0,SUMPRODUCT((Besatzung!$B$11:$B$22&lt;&gt;"")*(Besatzung!$F$11:$F$22="x")),SUMPRODUCT((J20:U20="x")*(Besatzung!$F$11:$F$22="x"))),1))))),0))))</f>
        <v/>
      </c>
      <c r="Y20" s="106">
        <f>IF(C20="Gutschrift","",IF(G20="","",IF(Besatzung!$B$14="","",IFERROR(IF(I20="Zeitanteilig",(Besatzung!$G$14*(G20-IFERROR(H20,0))+((Besatzung!$B$14&lt;&gt;"")*IF(B20="",1,(IF(Besatzung!$C$14="",Besatzung!$B$5,Besatzung!$C$14)&lt;=B20)*(IF(Besatzung!$D$14="",Besatzung!$B$6,Besatzung!$D$14)&gt;=B20)))*(Besatzung!$F$14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$14&lt;&gt;"")*IF(B20="",1,(IF(Besatzung!$C$14="",Besatzung!$B$5,Besatzung!$C$14)&lt;=B20)*(IF(Besatzung!$D$14="",Besatzung!$B$6,Besatzung!$D$14)&gt;=B20)))*((G20-IFERROR(H20,0))/IFERROR(SUMPRODUCT((Besatzung!$B$11:$B$22&lt;&gt;"")*(IF(Besatzung!$C$11:$C$22="",Besatzung!$B$5,Besatzung!$C$11:$C$22)&lt;=B20)*(IF(Besatzung!$D$11:$D$22="",Besatzung!$B$6,Besatzung!$D$11:$D$22)&gt;=B20)),1)+(Besatzung!$F$14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M20="x")*((G20-IFERROR(H20,0))/IFERROR(COUNTIF(J20:U20,"x"),1)+(Besatzung!$F$14="x")*IFERROR(H20,0)/IFERROR(SUMPRODUCT((J20:U20="x")*(Besatzung!$F$11:$F$22="x")),1))),(IF(COUNTIF(J20:U20,"x")=0,IF(Besatzung!$B$14&lt;&gt;"",1,0),(M20="x"))*(G20-IFERROR(H20,0))/IFERROR(IF(COUNTIF(J20:U20,"x")=0,COUNTA(Besatzung!$B$11:$B$22),COUNTIF(J20:U20,"x")),1)+IF(COUNTIF(J20:U20,"x")=0,(Besatzung!$F$14="x"),(M20="x")*(Besatzung!$F$14="x"))*IFERROR(H20,0)/IFERROR(IF(COUNTIF(J20:U20,"x")=0,SUMPRODUCT((Besatzung!$B$11:$B$22&lt;&gt;"")*(Besatzung!$F$11:$F$22="x")),SUMPRODUCT((J20:U20="x")*(Besatzung!$F$11:$F$22="x"))),1))))),0))))</f>
        <v/>
      </c>
      <c r="Z20" s="106">
        <f>IF(C20="Gutschrift","",IF(G20="","",IF(Besatzung!$B$13="","",IFERROR(IF(I20="Zeitanteilig",(Besatzung!$G$15*(G20-IFERROR(H20,0))+((Besatzung!$B$13&lt;&gt;"")*IF(B20="",1,(IF(Besatzung!$C$15="",Besatzung!$B$5,Besatzung!$C$15)&lt;=B20)*(IF(Besatzung!$D$15="",Besatzung!$B$6,Besatzung!$D$15)&gt;=B20)))*(Besatzung!$F$15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$13&lt;&gt;"")*IF(B20="",1,(IF(Besatzung!$C$15="",Besatzung!$B$5,Besatzung!$C$15)&lt;=B20)*(IF(Besatzung!$D$15="",Besatzung!$B$6,Besatzung!$D$15)&gt;=B20)))*((G20-IFERROR(H20,0))/IFERROR(SUMPRODUCT((Besatzung!$B$11:$B$22&lt;&gt;"")*(IF(Besatzung!$C$11:$C$22="",Besatzung!$B$5,Besatzung!$C$11:$C$22)&lt;=B20)*(IF(Besatzung!$D$11:$D$22="",Besatzung!$B$6,Besatzung!$D$11:$D$22)&gt;=B20)),1)+(Besatzung!$F$15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N20="x")*((G20-IFERROR(H20,0))/IFERROR(COUNTIF(J20:U20,"x"),1)+(Besatzung!$F$15="x")*IFERROR(H20,0)/IFERROR(SUMPRODUCT((J20:U20="x")*(Besatzung!$F$11:$F$22="x")),1))),(IF(COUNTIF(J20:U20,"x")=0,IF(Besatzung!$B$13&lt;&gt;"",1,0),(N20="x"))*(G20-IFERROR(H20,0))/IFERROR(IF(COUNTIF(J20:U20,"x")=0,COUNTA(Besatzung!$B$11:$B$22),COUNTIF(J20:U20,"x")),1)+IF(COUNTIF(J20:U20,"x")=0,(Besatzung!$F$15="x"),(N20="x")*(Besatzung!$F$15="x"))*IFERROR(H20,0)/IFERROR(IF(COUNTIF(J20:U20,"x")=0,SUMPRODUCT((Besatzung!$B$11:$B$22&lt;&gt;"")*(Besatzung!$F$11:$F$22="x")),SUMPRODUCT((J20:U20="x")*(Besatzung!$F$11:$F$22="x"))),1))))),0))))</f>
        <v/>
      </c>
      <c r="AA20" s="106">
        <f>IF(C20="Gutschrift","",IF(G20="","",IF(Besatzung!$B$15="","",IFERROR(IF(I20="Zeitanteilig",(Besatzung!$G$16*(G20-IFERROR(H20,0))+((Besatzung!$B$15&lt;&gt;"")*IF(B20="",1,(IF(Besatzung!$C$16="",Besatzung!$B$5,Besatzung!$C$16)&lt;=B20)*(IF(Besatzung!$D$16="",Besatzung!$B$6,Besatzung!$D$16)&gt;=B20)))*(Besatzung!$F$16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$15&lt;&gt;"")*IF(B20="",1,(IF(Besatzung!$C$16="",Besatzung!$B$5,Besatzung!$C$16)&lt;=B20)*(IF(Besatzung!$D$16="",Besatzung!$B$6,Besatzung!$D$16)&gt;=B20)))*((G20-IFERROR(H20,0))/IFERROR(SUMPRODUCT((Besatzung!$B$11:$B$22&lt;&gt;"")*(IF(Besatzung!$C$11:$C$22="",Besatzung!$B$5,Besatzung!$C$11:$C$22)&lt;=B20)*(IF(Besatzung!$D$11:$D$22="",Besatzung!$B$6,Besatzung!$D$11:$D$22)&gt;=B20)),1)+(Besatzung!$F$16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O20="x")*((G20-IFERROR(H20,0))/IFERROR(COUNTIF(J20:U20,"x"),1)+(Besatzung!$F$16="x")*IFERROR(H20,0)/IFERROR(SUMPRODUCT((J20:U20="x")*(Besatzung!$F$11:$F$22="x")),1))),(IF(COUNTIF(J20:U20,"x")=0,IF(Besatzung!$B$15&lt;&gt;"",1,0),(O20="x"))*(G20-IFERROR(H20,0))/IFERROR(IF(COUNTIF(J20:U20,"x")=0,COUNTA(Besatzung!$B$11:$B$22),COUNTIF(J20:U20,"x")),1)+IF(COUNTIF(J20:U20,"x")=0,(Besatzung!$F$16="x"),(O20="x")*(Besatzung!$F$16="x"))*IFERROR(H20,0)/IFERROR(IF(COUNTIF(J20:U20,"x")=0,SUMPRODUCT((Besatzung!$B$11:$B$22&lt;&gt;"")*(Besatzung!$F$11:$F$22="x")),SUMPRODUCT((J20:U20="x")*(Besatzung!$F$11:$F$22="x"))),1))))),0))))</f>
        <v/>
      </c>
      <c r="AB20" s="106">
        <f>IF(C20="Gutschrift","",IF(G20="","",IF(Besatzung!$B$17="","",IFERROR(IF(I20="Zeitanteilig",(Besatzung!$G$17*(G20-IFERROR(H20,0))+((Besatzung!$B$17&lt;&gt;"")*IF(B20="",1,(IF(Besatzung!$C$17="",Besatzung!$B$5,Besatzung!$C$17)&lt;=B20)*(IF(Besatzung!$D$17="",Besatzung!$B$6,Besatzung!$D$17)&gt;=B20)))*(Besatzung!$F$17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$17&lt;&gt;"")*IF(B20="",1,(IF(Besatzung!$C$17="",Besatzung!$B$5,Besatzung!$C$17)&lt;=B20)*(IF(Besatzung!$D$17="",Besatzung!$B$6,Besatzung!$D$17)&gt;=B20)))*((G20-IFERROR(H20,0))/IFERROR(SUMPRODUCT((Besatzung!$B$11:$B$22&lt;&gt;"")*(IF(Besatzung!$C$11:$C$22="",Besatzung!$B$5,Besatzung!$C$11:$C$22)&lt;=B20)*(IF(Besatzung!$D$11:$D$22="",Besatzung!$B$6,Besatzung!$D$11:$D$22)&gt;=B20)),1)+(Besatzung!$F$17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P20="x")*((G20-IFERROR(H20,0))/IFERROR(COUNTIF(J20:U20,"x"),1)+(Besatzung!$F$17="x")*IFERROR(H20,0)/IFERROR(SUMPRODUCT((J20:U20="x")*(Besatzung!$F$11:$F$22="x")),1))),(IF(COUNTIF(J20:U20,"x")=0,IF(Besatzung!$B$17&lt;&gt;"",1,0),(P20="x"))*(G20-IFERROR(H20,0))/IFERROR(IF(COUNTIF(J20:U20,"x")=0,COUNTA(Besatzung!$B$11:$B$22),COUNTIF(J20:U20,"x")),1)+IF(COUNTIF(J20:U20,"x")=0,(Besatzung!$F$17="x"),(P20="x")*(Besatzung!$F$17="x"))*IFERROR(H20,0)/IFERROR(IF(COUNTIF(J20:U20,"x")=0,SUMPRODUCT((Besatzung!$B$11:$B$22&lt;&gt;"")*(Besatzung!$F$11:$F$22="x")),SUMPRODUCT((J20:U20="x")*(Besatzung!$F$11:$F$22="x"))),1))))),0))))</f>
        <v/>
      </c>
      <c r="AC20" s="106">
        <f>IF(C20="Gutschrift","",IF(G20="","",IF(Besatzung!$B$18="","",IFERROR(IF(I20="Zeitanteilig",(Besatzung!$G$18*(G20-IFERROR(H20,0))+((Besatzung!$B$18&lt;&gt;"")*IF(B20="",1,(IF(Besatzung!$C$18="",Besatzung!$B$5,Besatzung!$C$18)&lt;=B20)*(IF(Besatzung!$D$18="",Besatzung!$B$6,Besatzung!$D$18)&gt;=B20)))*(Besatzung!$F$18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$18&lt;&gt;"")*IF(B20="",1,(IF(Besatzung!$C$18="",Besatzung!$B$5,Besatzung!$C$18)&lt;=B20)*(IF(Besatzung!$D$18="",Besatzung!$B$6,Besatzung!$D$18)&gt;=B20)))*((G20-IFERROR(H20,0))/IFERROR(SUMPRODUCT((Besatzung!$B$11:$B$22&lt;&gt;"")*(IF(Besatzung!$C$11:$C$22="",Besatzung!$B$5,Besatzung!$C$11:$C$22)&lt;=B20)*(IF(Besatzung!$D$11:$D$22="",Besatzung!$B$6,Besatzung!$D$11:$D$22)&gt;=B20)),1)+(Besatzung!$F$18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Q20="x")*((G20-IFERROR(H20,0))/IFERROR(COUNTIF(J20:U20,"x"),1)+(Besatzung!$F$18="x")*IFERROR(H20,0)/IFERROR(SUMPRODUCT((J20:U20="x")*(Besatzung!$F$11:$F$22="x")),1))),(IF(COUNTIF(J20:U20,"x")=0,IF(Besatzung!$B$18&lt;&gt;"",1,0),(Q20="x"))*(G20-IFERROR(H20,0))/IFERROR(IF(COUNTIF(J20:U20,"x")=0,COUNTA(Besatzung!$B$11:$B$22),COUNTIF(J20:U20,"x")),1)+IF(COUNTIF(J20:U20,"x")=0,(Besatzung!$F$18="x"),(Q20="x")*(Besatzung!$F$18="x"))*IFERROR(H20,0)/IFERROR(IF(COUNTIF(J20:U20,"x")=0,SUMPRODUCT((Besatzung!$B$11:$B$22&lt;&gt;"")*(Besatzung!$F$11:$F$22="x")),SUMPRODUCT((J20:U20="x")*(Besatzung!$F$11:$F$22="x"))),1))))),0))))</f>
        <v/>
      </c>
      <c r="AD20" s="106">
        <f>IF(C20="Gutschrift","",IF(G20="","",IF(Besatzung!$B$19="","",IFERROR(IF(I20="Zeitanteilig",(Besatzung!$G$19*(G20-IFERROR(H20,0))+((Besatzung!$B$19&lt;&gt;"")*IF(B20="",1,(IF(Besatzung!$C$19="",Besatzung!$B$5,Besatzung!$C$19)&lt;=B20)*(IF(Besatzung!$D$19="",Besatzung!$B$6,Besatzung!$D$19)&gt;=B20)))*(Besatzung!$F$19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$19&lt;&gt;"")*IF(B20="",1,(IF(Besatzung!$C$19="",Besatzung!$B$5,Besatzung!$C$19)&lt;=B20)*(IF(Besatzung!$D$19="",Besatzung!$B$6,Besatzung!$D$19)&gt;=B20)))*((G20-IFERROR(H20,0))/IFERROR(SUMPRODUCT((Besatzung!$B$11:$B$22&lt;&gt;"")*(IF(Besatzung!$C$11:$C$22="",Besatzung!$B$5,Besatzung!$C$11:$C$22)&lt;=B20)*(IF(Besatzung!$D$11:$D$22="",Besatzung!$B$6,Besatzung!$D$11:$D$22)&gt;=B20)),1)+(Besatzung!$F$19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R20="x")*((G20-IFERROR(H20,0))/IFERROR(COUNTIF(J20:U20,"x"),1)+(Besatzung!$F$19="x")*IFERROR(H20,0)/IFERROR(SUMPRODUCT((J20:U20="x")*(Besatzung!$F$11:$F$22="x")),1))),(IF(COUNTIF(J20:U20,"x")=0,IF(Besatzung!$B$19&lt;&gt;"",1,0),(R20="x"))*(G20-IFERROR(H20,0))/IFERROR(IF(COUNTIF(J20:U20,"x")=0,COUNTA(Besatzung!$B$11:$B$22),COUNTIF(J20:U20,"x")),1)+IF(COUNTIF(J20:U20,"x")=0,(Besatzung!$F$19="x"),(R20="x")*(Besatzung!$F$19="x"))*IFERROR(H20,0)/IFERROR(IF(COUNTIF(J20:U20,"x")=0,SUMPRODUCT((Besatzung!$B$11:$B$22&lt;&gt;"")*(Besatzung!$F$11:$F$22="x")),SUMPRODUCT((J20:U20="x")*(Besatzung!$F$11:$F$22="x"))),1))))),0))))</f>
        <v/>
      </c>
      <c r="AE20" s="106">
        <f>IF(C20="Gutschrift","",IF(G20="","",IF(Besatzung!$B$20="","",IFERROR(IF(I20="Zeitanteilig",(Besatzung!$G$20*(G20-IFERROR(H20,0))+((Besatzung!$B$20&lt;&gt;"")*IF(B20="",1,(IF(Besatzung!$C$20="",Besatzung!$B$5,Besatzung!$C$20)&lt;=B20)*(IF(Besatzung!$D$20="",Besatzung!$B$6,Besatzung!$D$20)&gt;=B20)))*(Besatzung!$F$20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$20&lt;&gt;"")*IF(B20="",1,(IF(Besatzung!$C$20="",Besatzung!$B$5,Besatzung!$C$20)&lt;=B20)*(IF(Besatzung!$D$20="",Besatzung!$B$6,Besatzung!$D$20)&gt;=B20)))*((G20-IFERROR(H20,0))/IFERROR(SUMPRODUCT((Besatzung!$B$11:$B$22&lt;&gt;"")*(IF(Besatzung!$C$11:$C$22="",Besatzung!$B$5,Besatzung!$C$11:$C$22)&lt;=B20)*(IF(Besatzung!$D$11:$D$22="",Besatzung!$B$6,Besatzung!$D$11:$D$22)&gt;=B20)),1)+(Besatzung!$F$20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S20="x")*((G20-IFERROR(H20,0))/IFERROR(COUNTIF(J20:U20,"x"),1)+(Besatzung!$F$20="x")*IFERROR(H20,0)/IFERROR(SUMPRODUCT((J20:U20="x")*(Besatzung!$F$11:$F$22="x")),1))),(IF(COUNTIF(J20:U20,"x")=0,IF(Besatzung!$B$20&lt;&gt;"",1,0),(S20="x"))*(G20-IFERROR(H20,0))/IFERROR(IF(COUNTIF(J20:U20,"x")=0,COUNTA(Besatzung!$B$11:$B$22),COUNTIF(J20:U20,"x")),1)+IF(COUNTIF(J20:U20,"x")=0,(Besatzung!$F$20="x"),(S20="x")*(Besatzung!$F$20="x"))*IFERROR(H20,0)/IFERROR(IF(COUNTIF(J20:U20,"x")=0,SUMPRODUCT((Besatzung!$B$11:$B$22&lt;&gt;"")*(Besatzung!$F$11:$F$22="x")),SUMPRODUCT((J20:U20="x")*(Besatzung!$F$11:$F$22="x"))),1))))),0))))</f>
        <v/>
      </c>
      <c r="AF20" s="106">
        <f>IF(C20="Gutschrift","",IF(G20="","",IF(Besatzung!$B$21="","",IFERROR(IF(I20="Zeitanteilig",(Besatzung!$G$21*(G20-IFERROR(H20,0))+((Besatzung!$B$21&lt;&gt;"")*IF(B20="",1,(IF(Besatzung!$C$21="",Besatzung!$B$5,Besatzung!$C$21)&lt;=B20)*(IF(Besatzung!$D$21="",Besatzung!$B$6,Besatzung!$D$21)&gt;=B20)))*(Besatzung!$F$21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$21&lt;&gt;"")*IF(B20="",1,(IF(Besatzung!$C$21="",Besatzung!$B$5,Besatzung!$C$21)&lt;=B20)*(IF(Besatzung!$D$21="",Besatzung!$B$6,Besatzung!$D$21)&gt;=B20)))*((G20-IFERROR(H20,0))/IFERROR(SUMPRODUCT((Besatzung!$B$11:$B$22&lt;&gt;"")*(IF(Besatzung!$C$11:$C$22="",Besatzung!$B$5,Besatzung!$C$11:$C$22)&lt;=B20)*(IF(Besatzung!$D$11:$D$22="",Besatzung!$B$6,Besatzung!$D$11:$D$22)&gt;=B20)),1)+(Besatzung!$F$21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T20="x")*((G20-IFERROR(H20,0))/IFERROR(COUNTIF(J20:U20,"x"),1)+(Besatzung!$F$21="x")*IFERROR(H20,0)/IFERROR(SUMPRODUCT((J20:U20="x")*(Besatzung!$F$11:$F$22="x")),1))),(IF(COUNTIF(J20:U20,"x")=0,IF(Besatzung!$B$21&lt;&gt;"",1,0),(T20="x"))*(G20-IFERROR(H20,0))/IFERROR(IF(COUNTIF(J20:U20,"x")=0,COUNTA(Besatzung!$B$11:$B$22),COUNTIF(J20:U20,"x")),1)+IF(COUNTIF(J20:U20,"x")=0,(Besatzung!$F$21="x"),(T20="x")*(Besatzung!$F$21="x"))*IFERROR(H20,0)/IFERROR(IF(COUNTIF(J20:U20,"x")=0,SUMPRODUCT((Besatzung!$B$11:$B$22&lt;&gt;"")*(Besatzung!$F$11:$F$22="x")),SUMPRODUCT((J20:U20="x")*(Besatzung!$F$11:$F$22="x"))),1))))),0))))</f>
        <v/>
      </c>
      <c r="AG20" s="106">
        <f>IF(C20="Gutschrift","",IF(G20="","",IF(Besatzung!$B$22="","",IFERROR(IF(I20="Zeitanteilig",(Besatzung!$G$22*(G20-IFERROR(H20,0))+((Besatzung!$B$22&lt;&gt;"")*IF(B20="",1,(IF(Besatzung!$C$22="",Besatzung!$B$5,Besatzung!$C$22)&lt;=B20)*(IF(Besatzung!$D$22="",Besatzung!$B$6,Besatzung!$D$22)&gt;=B20)))*(Besatzung!$F$22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$22&lt;&gt;"")*IF(B20="",1,(IF(Besatzung!$C$22="",Besatzung!$B$5,Besatzung!$C$22)&lt;=B20)*(IF(Besatzung!$D$22="",Besatzung!$B$6,Besatzung!$D$22)&gt;=B20)))*((G20-IFERROR(H20,0))/IFERROR(SUMPRODUCT((Besatzung!$B$11:$B$22&lt;&gt;"")*(IF(Besatzung!$C$11:$C$22="",Besatzung!$B$5,Besatzung!$C$11:$C$22)&lt;=B20)*(IF(Besatzung!$D$11:$D$22="",Besatzung!$B$6,Besatzung!$D$11:$D$22)&gt;=B20)),1)+(Besatzung!$F$22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U20="x")*((G20-IFERROR(H20,0))/IFERROR(COUNTIF(J20:U20,"x"),1)+(Besatzung!$F$22="x")*IFERROR(H20,0)/IFERROR(SUMPRODUCT((J20:U20="x")*(Besatzung!$F$11:$F$22="x")),1))),(IF(COUNTIF(J20:U20,"x")=0,IF(Besatzung!$B$22&lt;&gt;"",1,0),(U20="x"))*(G20-IFERROR(H20,0))/IFERROR(IF(COUNTIF(J20:U20,"x")=0,COUNTA(Besatzung!$B$11:$B$22),COUNTIF(J20:U20,"x")),1)+IF(COUNTIF(J20:U20,"x")=0,(Besatzung!$F$22="x"),(U20="x")*(Besatzung!$F$22="x"))*IFERROR(H20,0)/IFERROR(IF(COUNTIF(J20:U20,"x")=0,SUMPRODUCT((Besatzung!$B$11:$B$22&lt;&gt;"")*(Besatzung!$F$11:$F$22="x")),SUMPRODUCT((J20:U20="x")*(Besatzung!$F$11:$F$22="x"))),1))))),0))))</f>
        <v/>
      </c>
      <c r="AH20" s="107" t="n"/>
      <c r="AI20" s="107" t="n"/>
    </row>
    <row r="21" ht="21.75" customHeight="1" s="182">
      <c r="A21" s="97">
        <f>IF(AND(D21="",C21=""),"",18)</f>
        <v/>
      </c>
      <c r="B21" s="63" t="n"/>
      <c r="C21" s="108" t="n"/>
      <c r="D21" s="109" t="n"/>
      <c r="E21" s="110" t="n"/>
      <c r="F21" s="111" t="n"/>
      <c r="G21" s="112" t="n"/>
      <c r="H21" s="113" t="n"/>
      <c r="I21" s="114" t="n"/>
      <c r="J21" s="115" t="n"/>
      <c r="K21" s="115" t="n"/>
      <c r="L21" s="115" t="n"/>
      <c r="M21" s="115" t="n"/>
      <c r="N21" s="115" t="n"/>
      <c r="O21" s="115" t="n"/>
      <c r="P21" s="115" t="n"/>
      <c r="Q21" s="115" t="n"/>
      <c r="R21" s="115" t="n"/>
      <c r="S21" s="115" t="n"/>
      <c r="T21" s="115" t="n"/>
      <c r="U21" s="115" t="n"/>
      <c r="V21" s="106">
        <f>IF(C21="Gutschrift","",IF(G21="","",IF(Besatzung!$B$11="","",IFERROR(IF(I21="Zeitanteilig",(Besatzung!$G$11*(G21-IFERROR(H21,0))+((Besatzung!$B$11&lt;&gt;"")*IF(B21="",1,(IF(Besatzung!$C$11="",Besatzung!$B$5,Besatzung!$C$11)&lt;=B21)*(IF(Besatzung!$D$11="",Besatzung!$B$6,Besatzung!$D$11)&gt;=B21)))*(Besatzung!$F$11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$11&lt;&gt;"")*IF(B21="",1,(IF(Besatzung!$C$11="",Besatzung!$B$5,Besatzung!$C$11)&lt;=B21)*(IF(Besatzung!$D$11="",Besatzung!$B$6,Besatzung!$D$11)&gt;=B21)))*((G21-IFERROR(H21,0))/IFERROR(SUMPRODUCT((Besatzung!$B$11:$B$22&lt;&gt;"")*(IF(Besatzung!$C$11:$C$22="",Besatzung!$B$5,Besatzung!$C$11:$C$22)&lt;=B21)*(IF(Besatzung!$D$11:$D$22="",Besatzung!$B$6,Besatzung!$D$11:$D$22)&gt;=B21)),1)+(Besatzung!$F$11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J21="x")*((G21-IFERROR(H21,0))/IFERROR(COUNTIF(J21:U21,"x"),1)+(Besatzung!$F$11="x")*IFERROR(H21,0)/IFERROR(SUMPRODUCT((J21:U21="x")*(Besatzung!$F$11:$F$22="x")),1))),(IF(COUNTIF(J21:U21,"x")=0,IF(Besatzung!$B$11&lt;&gt;"",1,0),(J21="x"))*(G21-IFERROR(H21,0))/IFERROR(IF(COUNTIF(J21:U21,"x")=0,COUNTA(Besatzung!$B$11:$B$22),COUNTIF(J21:U21,"x")),1)+IF(COUNTIF(J21:U21,"x")=0,(Besatzung!$F$11="x"),(J21="x")*(Besatzung!$F$11="x"))*IFERROR(H21,0)/IFERROR(IF(COUNTIF(J21:U21,"x")=0,SUMPRODUCT((Besatzung!$B$11:$B$22&lt;&gt;"")*(Besatzung!$F$11:$F$22="x")),SUMPRODUCT((J21:U21="x")*(Besatzung!$F$11:$F$22="x"))),1))))),0))))</f>
        <v/>
      </c>
      <c r="W21" s="106">
        <f>IF(C21="Gutschrift","",IF(G21="","",IF(Besatzung!$B$12="","",IFERROR(IF(I21="Zeitanteilig",(Besatzung!$G$12*(G21-IFERROR(H21,0))+((Besatzung!$B$12&lt;&gt;"")*IF(B21="",1,(IF(Besatzung!$C$12="",Besatzung!$B$5,Besatzung!$C$12)&lt;=B21)*(IF(Besatzung!$D$12="",Besatzung!$B$6,Besatzung!$D$12)&gt;=B21)))*(Besatzung!$F$12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$12&lt;&gt;"")*IF(B21="",1,(IF(Besatzung!$C$12="",Besatzung!$B$5,Besatzung!$C$12)&lt;=B21)*(IF(Besatzung!$D$12="",Besatzung!$B$6,Besatzung!$D$12)&gt;=B21)))*((G21-IFERROR(H21,0))/IFERROR(SUMPRODUCT((Besatzung!$B$11:$B$22&lt;&gt;"")*(IF(Besatzung!$C$11:$C$22="",Besatzung!$B$5,Besatzung!$C$11:$C$22)&lt;=B21)*(IF(Besatzung!$D$11:$D$22="",Besatzung!$B$6,Besatzung!$D$11:$D$22)&gt;=B21)),1)+(Besatzung!$F$12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K21="x")*((G21-IFERROR(H21,0))/IFERROR(COUNTIF(J21:U21,"x"),1)+(Besatzung!$F$12="x")*IFERROR(H21,0)/IFERROR(SUMPRODUCT((J21:U21="x")*(Besatzung!$F$11:$F$22="x")),1))),(IF(COUNTIF(J21:U21,"x")=0,IF(Besatzung!$B$12&lt;&gt;"",1,0),(K21="x"))*(G21-IFERROR(H21,0))/IFERROR(IF(COUNTIF(J21:U21,"x")=0,COUNTA(Besatzung!$B$11:$B$22),COUNTIF(J21:U21,"x")),1)+IF(COUNTIF(J21:U21,"x")=0,(Besatzung!$F$12="x"),(K21="x")*(Besatzung!$F$12="x"))*IFERROR(H21,0)/IFERROR(IF(COUNTIF(J21:U21,"x")=0,SUMPRODUCT((Besatzung!$B$11:$B$22&lt;&gt;"")*(Besatzung!$F$11:$F$22="x")),SUMPRODUCT((J21:U21="x")*(Besatzung!$F$11:$F$22="x"))),1))))),0))))</f>
        <v/>
      </c>
      <c r="X21" s="106">
        <f>IF(C21="Gutschrift","",IF(G21="","",IF(Besatzung!$B$13="","",IFERROR(IF(I21="Zeitanteilig",(Besatzung!$G$13*(G21-IFERROR(H21,0))+((Besatzung!$B$13&lt;&gt;"")*IF(B21="",1,(IF(Besatzung!$C$13="",Besatzung!$B$5,Besatzung!$C$13)&lt;=B21)*(IF(Besatzung!$D$13="",Besatzung!$B$6,Besatzung!$D$13)&gt;=B21)))*(Besatzung!$F$13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$13&lt;&gt;"")*IF(B21="",1,(IF(Besatzung!$C$13="",Besatzung!$B$5,Besatzung!$C$13)&lt;=B21)*(IF(Besatzung!$D$13="",Besatzung!$B$6,Besatzung!$D$13)&gt;=B21)))*((G21-IFERROR(H21,0))/IFERROR(SUMPRODUCT((Besatzung!$B$11:$B$22&lt;&gt;"")*(IF(Besatzung!$C$11:$C$22="",Besatzung!$B$5,Besatzung!$C$11:$C$22)&lt;=B21)*(IF(Besatzung!$D$11:$D$22="",Besatzung!$B$6,Besatzung!$D$11:$D$22)&gt;=B21)),1)+(Besatzung!$F$13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K21="x")*((G21-IFERROR(H21,0))/IFERROR(COUNTIF(J21:U21,"x"),1)+(Besatzung!$F$13="x")*IFERROR(H21,0)/IFERROR(SUMPRODUCT((J21:U21="x")*(Besatzung!$F$11:$F$22="x")),1))),(IF(COUNTIF(J21:U21,"x")=0,IF(Besatzung!$B$13&lt;&gt;"",1,0),(K21="x"))*(G21-IFERROR(H21,0))/IFERROR(IF(COUNTIF(J21:U21,"x")=0,COUNTA(Besatzung!$B$11:$B$22),COUNTIF(J21:U21,"x")),1)+IF(COUNTIF(J21:U21,"x")=0,(Besatzung!$F$13="x"),(K21="x")*(Besatzung!$F$13="x"))*IFERROR(H21,0)/IFERROR(IF(COUNTIF(J21:U21,"x")=0,SUMPRODUCT((Besatzung!$B$11:$B$22&lt;&gt;"")*(Besatzung!$F$11:$F$22="x")),SUMPRODUCT((J21:U21="x")*(Besatzung!$F$11:$F$22="x"))),1))))),0))))</f>
        <v/>
      </c>
      <c r="Y21" s="106">
        <f>IF(C21="Gutschrift","",IF(G21="","",IF(Besatzung!$B$14="","",IFERROR(IF(I21="Zeitanteilig",(Besatzung!$G$14*(G21-IFERROR(H21,0))+((Besatzung!$B$14&lt;&gt;"")*IF(B21="",1,(IF(Besatzung!$C$14="",Besatzung!$B$5,Besatzung!$C$14)&lt;=B21)*(IF(Besatzung!$D$14="",Besatzung!$B$6,Besatzung!$D$14)&gt;=B21)))*(Besatzung!$F$14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$14&lt;&gt;"")*IF(B21="",1,(IF(Besatzung!$C$14="",Besatzung!$B$5,Besatzung!$C$14)&lt;=B21)*(IF(Besatzung!$D$14="",Besatzung!$B$6,Besatzung!$D$14)&gt;=B21)))*((G21-IFERROR(H21,0))/IFERROR(SUMPRODUCT((Besatzung!$B$11:$B$22&lt;&gt;"")*(IF(Besatzung!$C$11:$C$22="",Besatzung!$B$5,Besatzung!$C$11:$C$22)&lt;=B21)*(IF(Besatzung!$D$11:$D$22="",Besatzung!$B$6,Besatzung!$D$11:$D$22)&gt;=B21)),1)+(Besatzung!$F$14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M21="x")*((G21-IFERROR(H21,0))/IFERROR(COUNTIF(J21:U21,"x"),1)+(Besatzung!$F$14="x")*IFERROR(H21,0)/IFERROR(SUMPRODUCT((J21:U21="x")*(Besatzung!$F$11:$F$22="x")),1))),(IF(COUNTIF(J21:U21,"x")=0,IF(Besatzung!$B$14&lt;&gt;"",1,0),(M21="x"))*(G21-IFERROR(H21,0))/IFERROR(IF(COUNTIF(J21:U21,"x")=0,COUNTA(Besatzung!$B$11:$B$22),COUNTIF(J21:U21,"x")),1)+IF(COUNTIF(J21:U21,"x")=0,(Besatzung!$F$14="x"),(M21="x")*(Besatzung!$F$14="x"))*IFERROR(H21,0)/IFERROR(IF(COUNTIF(J21:U21,"x")=0,SUMPRODUCT((Besatzung!$B$11:$B$22&lt;&gt;"")*(Besatzung!$F$11:$F$22="x")),SUMPRODUCT((J21:U21="x")*(Besatzung!$F$11:$F$22="x"))),1))))),0))))</f>
        <v/>
      </c>
      <c r="Z21" s="106">
        <f>IF(C21="Gutschrift","",IF(G21="","",IF(Besatzung!$B$13="","",IFERROR(IF(I21="Zeitanteilig",(Besatzung!$G$15*(G21-IFERROR(H21,0))+((Besatzung!$B$13&lt;&gt;"")*IF(B21="",1,(IF(Besatzung!$C$15="",Besatzung!$B$5,Besatzung!$C$15)&lt;=B21)*(IF(Besatzung!$D$15="",Besatzung!$B$6,Besatzung!$D$15)&gt;=B21)))*(Besatzung!$F$15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$13&lt;&gt;"")*IF(B21="",1,(IF(Besatzung!$C$15="",Besatzung!$B$5,Besatzung!$C$15)&lt;=B21)*(IF(Besatzung!$D$15="",Besatzung!$B$6,Besatzung!$D$15)&gt;=B21)))*((G21-IFERROR(H21,0))/IFERROR(SUMPRODUCT((Besatzung!$B$11:$B$22&lt;&gt;"")*(IF(Besatzung!$C$11:$C$22="",Besatzung!$B$5,Besatzung!$C$11:$C$22)&lt;=B21)*(IF(Besatzung!$D$11:$D$22="",Besatzung!$B$6,Besatzung!$D$11:$D$22)&gt;=B21)),1)+(Besatzung!$F$15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N21="x")*((G21-IFERROR(H21,0))/IFERROR(COUNTIF(J21:U21,"x"),1)+(Besatzung!$F$15="x")*IFERROR(H21,0)/IFERROR(SUMPRODUCT((J21:U21="x")*(Besatzung!$F$11:$F$22="x")),1))),(IF(COUNTIF(J21:U21,"x")=0,IF(Besatzung!$B$13&lt;&gt;"",1,0),(N21="x"))*(G21-IFERROR(H21,0))/IFERROR(IF(COUNTIF(J21:U21,"x")=0,COUNTA(Besatzung!$B$11:$B$22),COUNTIF(J21:U21,"x")),1)+IF(COUNTIF(J21:U21,"x")=0,(Besatzung!$F$15="x"),(N21="x")*(Besatzung!$F$15="x"))*IFERROR(H21,0)/IFERROR(IF(COUNTIF(J21:U21,"x")=0,SUMPRODUCT((Besatzung!$B$11:$B$22&lt;&gt;"")*(Besatzung!$F$11:$F$22="x")),SUMPRODUCT((J21:U21="x")*(Besatzung!$F$11:$F$22="x"))),1))))),0))))</f>
        <v/>
      </c>
      <c r="AA21" s="106">
        <f>IF(C21="Gutschrift","",IF(G21="","",IF(Besatzung!$B$15="","",IFERROR(IF(I21="Zeitanteilig",(Besatzung!$G$16*(G21-IFERROR(H21,0))+((Besatzung!$B$15&lt;&gt;"")*IF(B21="",1,(IF(Besatzung!$C$16="",Besatzung!$B$5,Besatzung!$C$16)&lt;=B21)*(IF(Besatzung!$D$16="",Besatzung!$B$6,Besatzung!$D$16)&gt;=B21)))*(Besatzung!$F$16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$15&lt;&gt;"")*IF(B21="",1,(IF(Besatzung!$C$16="",Besatzung!$B$5,Besatzung!$C$16)&lt;=B21)*(IF(Besatzung!$D$16="",Besatzung!$B$6,Besatzung!$D$16)&gt;=B21)))*((G21-IFERROR(H21,0))/IFERROR(SUMPRODUCT((Besatzung!$B$11:$B$22&lt;&gt;"")*(IF(Besatzung!$C$11:$C$22="",Besatzung!$B$5,Besatzung!$C$11:$C$22)&lt;=B21)*(IF(Besatzung!$D$11:$D$22="",Besatzung!$B$6,Besatzung!$D$11:$D$22)&gt;=B21)),1)+(Besatzung!$F$16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O21="x")*((G21-IFERROR(H21,0))/IFERROR(COUNTIF(J21:U21,"x"),1)+(Besatzung!$F$16="x")*IFERROR(H21,0)/IFERROR(SUMPRODUCT((J21:U21="x")*(Besatzung!$F$11:$F$22="x")),1))),(IF(COUNTIF(J21:U21,"x")=0,IF(Besatzung!$B$15&lt;&gt;"",1,0),(O21="x"))*(G21-IFERROR(H21,0))/IFERROR(IF(COUNTIF(J21:U21,"x")=0,COUNTA(Besatzung!$B$11:$B$22),COUNTIF(J21:U21,"x")),1)+IF(COUNTIF(J21:U21,"x")=0,(Besatzung!$F$16="x"),(O21="x")*(Besatzung!$F$16="x"))*IFERROR(H21,0)/IFERROR(IF(COUNTIF(J21:U21,"x")=0,SUMPRODUCT((Besatzung!$B$11:$B$22&lt;&gt;"")*(Besatzung!$F$11:$F$22="x")),SUMPRODUCT((J21:U21="x")*(Besatzung!$F$11:$F$22="x"))),1))))),0))))</f>
        <v/>
      </c>
      <c r="AB21" s="106">
        <f>IF(C21="Gutschrift","",IF(G21="","",IF(Besatzung!$B$17="","",IFERROR(IF(I21="Zeitanteilig",(Besatzung!$G$17*(G21-IFERROR(H21,0))+((Besatzung!$B$17&lt;&gt;"")*IF(B21="",1,(IF(Besatzung!$C$17="",Besatzung!$B$5,Besatzung!$C$17)&lt;=B21)*(IF(Besatzung!$D$17="",Besatzung!$B$6,Besatzung!$D$17)&gt;=B21)))*(Besatzung!$F$17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$17&lt;&gt;"")*IF(B21="",1,(IF(Besatzung!$C$17="",Besatzung!$B$5,Besatzung!$C$17)&lt;=B21)*(IF(Besatzung!$D$17="",Besatzung!$B$6,Besatzung!$D$17)&gt;=B21)))*((G21-IFERROR(H21,0))/IFERROR(SUMPRODUCT((Besatzung!$B$11:$B$22&lt;&gt;"")*(IF(Besatzung!$C$11:$C$22="",Besatzung!$B$5,Besatzung!$C$11:$C$22)&lt;=B21)*(IF(Besatzung!$D$11:$D$22="",Besatzung!$B$6,Besatzung!$D$11:$D$22)&gt;=B21)),1)+(Besatzung!$F$17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P21="x")*((G21-IFERROR(H21,0))/IFERROR(COUNTIF(J21:U21,"x"),1)+(Besatzung!$F$17="x")*IFERROR(H21,0)/IFERROR(SUMPRODUCT((J21:U21="x")*(Besatzung!$F$11:$F$22="x")),1))),(IF(COUNTIF(J21:U21,"x")=0,IF(Besatzung!$B$17&lt;&gt;"",1,0),(P21="x"))*(G21-IFERROR(H21,0))/IFERROR(IF(COUNTIF(J21:U21,"x")=0,COUNTA(Besatzung!$B$11:$B$22),COUNTIF(J21:U21,"x")),1)+IF(COUNTIF(J21:U21,"x")=0,(Besatzung!$F$17="x"),(P21="x")*(Besatzung!$F$17="x"))*IFERROR(H21,0)/IFERROR(IF(COUNTIF(J21:U21,"x")=0,SUMPRODUCT((Besatzung!$B$11:$B$22&lt;&gt;"")*(Besatzung!$F$11:$F$22="x")),SUMPRODUCT((J21:U21="x")*(Besatzung!$F$11:$F$22="x"))),1))))),0))))</f>
        <v/>
      </c>
      <c r="AC21" s="106">
        <f>IF(C21="Gutschrift","",IF(G21="","",IF(Besatzung!$B$18="","",IFERROR(IF(I21="Zeitanteilig",(Besatzung!$G$18*(G21-IFERROR(H21,0))+((Besatzung!$B$18&lt;&gt;"")*IF(B21="",1,(IF(Besatzung!$C$18="",Besatzung!$B$5,Besatzung!$C$18)&lt;=B21)*(IF(Besatzung!$D$18="",Besatzung!$B$6,Besatzung!$D$18)&gt;=B21)))*(Besatzung!$F$18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$18&lt;&gt;"")*IF(B21="",1,(IF(Besatzung!$C$18="",Besatzung!$B$5,Besatzung!$C$18)&lt;=B21)*(IF(Besatzung!$D$18="",Besatzung!$B$6,Besatzung!$D$18)&gt;=B21)))*((G21-IFERROR(H21,0))/IFERROR(SUMPRODUCT((Besatzung!$B$11:$B$22&lt;&gt;"")*(IF(Besatzung!$C$11:$C$22="",Besatzung!$B$5,Besatzung!$C$11:$C$22)&lt;=B21)*(IF(Besatzung!$D$11:$D$22="",Besatzung!$B$6,Besatzung!$D$11:$D$22)&gt;=B21)),1)+(Besatzung!$F$18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Q21="x")*((G21-IFERROR(H21,0))/IFERROR(COUNTIF(J21:U21,"x"),1)+(Besatzung!$F$18="x")*IFERROR(H21,0)/IFERROR(SUMPRODUCT((J21:U21="x")*(Besatzung!$F$11:$F$22="x")),1))),(IF(COUNTIF(J21:U21,"x")=0,IF(Besatzung!$B$18&lt;&gt;"",1,0),(Q21="x"))*(G21-IFERROR(H21,0))/IFERROR(IF(COUNTIF(J21:U21,"x")=0,COUNTA(Besatzung!$B$11:$B$22),COUNTIF(J21:U21,"x")),1)+IF(COUNTIF(J21:U21,"x")=0,(Besatzung!$F$18="x"),(Q21="x")*(Besatzung!$F$18="x"))*IFERROR(H21,0)/IFERROR(IF(COUNTIF(J21:U21,"x")=0,SUMPRODUCT((Besatzung!$B$11:$B$22&lt;&gt;"")*(Besatzung!$F$11:$F$22="x")),SUMPRODUCT((J21:U21="x")*(Besatzung!$F$11:$F$22="x"))),1))))),0))))</f>
        <v/>
      </c>
      <c r="AD21" s="106">
        <f>IF(C21="Gutschrift","",IF(G21="","",IF(Besatzung!$B$19="","",IFERROR(IF(I21="Zeitanteilig",(Besatzung!$G$19*(G21-IFERROR(H21,0))+((Besatzung!$B$19&lt;&gt;"")*IF(B21="",1,(IF(Besatzung!$C$19="",Besatzung!$B$5,Besatzung!$C$19)&lt;=B21)*(IF(Besatzung!$D$19="",Besatzung!$B$6,Besatzung!$D$19)&gt;=B21)))*(Besatzung!$F$19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$19&lt;&gt;"")*IF(B21="",1,(IF(Besatzung!$C$19="",Besatzung!$B$5,Besatzung!$C$19)&lt;=B21)*(IF(Besatzung!$D$19="",Besatzung!$B$6,Besatzung!$D$19)&gt;=B21)))*((G21-IFERROR(H21,0))/IFERROR(SUMPRODUCT((Besatzung!$B$11:$B$22&lt;&gt;"")*(IF(Besatzung!$C$11:$C$22="",Besatzung!$B$5,Besatzung!$C$11:$C$22)&lt;=B21)*(IF(Besatzung!$D$11:$D$22="",Besatzung!$B$6,Besatzung!$D$11:$D$22)&gt;=B21)),1)+(Besatzung!$F$19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R21="x")*((G21-IFERROR(H21,0))/IFERROR(COUNTIF(J21:U21,"x"),1)+(Besatzung!$F$19="x")*IFERROR(H21,0)/IFERROR(SUMPRODUCT((J21:U21="x")*(Besatzung!$F$11:$F$22="x")),1))),(IF(COUNTIF(J21:U21,"x")=0,IF(Besatzung!$B$19&lt;&gt;"",1,0),(R21="x"))*(G21-IFERROR(H21,0))/IFERROR(IF(COUNTIF(J21:U21,"x")=0,COUNTA(Besatzung!$B$11:$B$22),COUNTIF(J21:U21,"x")),1)+IF(COUNTIF(J21:U21,"x")=0,(Besatzung!$F$19="x"),(R21="x")*(Besatzung!$F$19="x"))*IFERROR(H21,0)/IFERROR(IF(COUNTIF(J21:U21,"x")=0,SUMPRODUCT((Besatzung!$B$11:$B$22&lt;&gt;"")*(Besatzung!$F$11:$F$22="x")),SUMPRODUCT((J21:U21="x")*(Besatzung!$F$11:$F$22="x"))),1))))),0))))</f>
        <v/>
      </c>
      <c r="AE21" s="106">
        <f>IF(C21="Gutschrift","",IF(G21="","",IF(Besatzung!$B$20="","",IFERROR(IF(I21="Zeitanteilig",(Besatzung!$G$20*(G21-IFERROR(H21,0))+((Besatzung!$B$20&lt;&gt;"")*IF(B21="",1,(IF(Besatzung!$C$20="",Besatzung!$B$5,Besatzung!$C$20)&lt;=B21)*(IF(Besatzung!$D$20="",Besatzung!$B$6,Besatzung!$D$20)&gt;=B21)))*(Besatzung!$F$20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$20&lt;&gt;"")*IF(B21="",1,(IF(Besatzung!$C$20="",Besatzung!$B$5,Besatzung!$C$20)&lt;=B21)*(IF(Besatzung!$D$20="",Besatzung!$B$6,Besatzung!$D$20)&gt;=B21)))*((G21-IFERROR(H21,0))/IFERROR(SUMPRODUCT((Besatzung!$B$11:$B$22&lt;&gt;"")*(IF(Besatzung!$C$11:$C$22="",Besatzung!$B$5,Besatzung!$C$11:$C$22)&lt;=B21)*(IF(Besatzung!$D$11:$D$22="",Besatzung!$B$6,Besatzung!$D$11:$D$22)&gt;=B21)),1)+(Besatzung!$F$20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S21="x")*((G21-IFERROR(H21,0))/IFERROR(COUNTIF(J21:U21,"x"),1)+(Besatzung!$F$20="x")*IFERROR(H21,0)/IFERROR(SUMPRODUCT((J21:U21="x")*(Besatzung!$F$11:$F$22="x")),1))),(IF(COUNTIF(J21:U21,"x")=0,IF(Besatzung!$B$20&lt;&gt;"",1,0),(S21="x"))*(G21-IFERROR(H21,0))/IFERROR(IF(COUNTIF(J21:U21,"x")=0,COUNTA(Besatzung!$B$11:$B$22),COUNTIF(J21:U21,"x")),1)+IF(COUNTIF(J21:U21,"x")=0,(Besatzung!$F$20="x"),(S21="x")*(Besatzung!$F$20="x"))*IFERROR(H21,0)/IFERROR(IF(COUNTIF(J21:U21,"x")=0,SUMPRODUCT((Besatzung!$B$11:$B$22&lt;&gt;"")*(Besatzung!$F$11:$F$22="x")),SUMPRODUCT((J21:U21="x")*(Besatzung!$F$11:$F$22="x"))),1))))),0))))</f>
        <v/>
      </c>
      <c r="AF21" s="106">
        <f>IF(C21="Gutschrift","",IF(G21="","",IF(Besatzung!$B$21="","",IFERROR(IF(I21="Zeitanteilig",(Besatzung!$G$21*(G21-IFERROR(H21,0))+((Besatzung!$B$21&lt;&gt;"")*IF(B21="",1,(IF(Besatzung!$C$21="",Besatzung!$B$5,Besatzung!$C$21)&lt;=B21)*(IF(Besatzung!$D$21="",Besatzung!$B$6,Besatzung!$D$21)&gt;=B21)))*(Besatzung!$F$21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$21&lt;&gt;"")*IF(B21="",1,(IF(Besatzung!$C$21="",Besatzung!$B$5,Besatzung!$C$21)&lt;=B21)*(IF(Besatzung!$D$21="",Besatzung!$B$6,Besatzung!$D$21)&gt;=B21)))*((G21-IFERROR(H21,0))/IFERROR(SUMPRODUCT((Besatzung!$B$11:$B$22&lt;&gt;"")*(IF(Besatzung!$C$11:$C$22="",Besatzung!$B$5,Besatzung!$C$11:$C$22)&lt;=B21)*(IF(Besatzung!$D$11:$D$22="",Besatzung!$B$6,Besatzung!$D$11:$D$22)&gt;=B21)),1)+(Besatzung!$F$21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T21="x")*((G21-IFERROR(H21,0))/IFERROR(COUNTIF(J21:U21,"x"),1)+(Besatzung!$F$21="x")*IFERROR(H21,0)/IFERROR(SUMPRODUCT((J21:U21="x")*(Besatzung!$F$11:$F$22="x")),1))),(IF(COUNTIF(J21:U21,"x")=0,IF(Besatzung!$B$21&lt;&gt;"",1,0),(T21="x"))*(G21-IFERROR(H21,0))/IFERROR(IF(COUNTIF(J21:U21,"x")=0,COUNTA(Besatzung!$B$11:$B$22),COUNTIF(J21:U21,"x")),1)+IF(COUNTIF(J21:U21,"x")=0,(Besatzung!$F$21="x"),(T21="x")*(Besatzung!$F$21="x"))*IFERROR(H21,0)/IFERROR(IF(COUNTIF(J21:U21,"x")=0,SUMPRODUCT((Besatzung!$B$11:$B$22&lt;&gt;"")*(Besatzung!$F$11:$F$22="x")),SUMPRODUCT((J21:U21="x")*(Besatzung!$F$11:$F$22="x"))),1))))),0))))</f>
        <v/>
      </c>
      <c r="AG21" s="106">
        <f>IF(C21="Gutschrift","",IF(G21="","",IF(Besatzung!$B$22="","",IFERROR(IF(I21="Zeitanteilig",(Besatzung!$G$22*(G21-IFERROR(H21,0))+((Besatzung!$B$22&lt;&gt;"")*IF(B21="",1,(IF(Besatzung!$C$22="",Besatzung!$B$5,Besatzung!$C$22)&lt;=B21)*(IF(Besatzung!$D$22="",Besatzung!$B$6,Besatzung!$D$22)&gt;=B21)))*(Besatzung!$F$22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$22&lt;&gt;"")*IF(B21="",1,(IF(Besatzung!$C$22="",Besatzung!$B$5,Besatzung!$C$22)&lt;=B21)*(IF(Besatzung!$D$22="",Besatzung!$B$6,Besatzung!$D$22)&gt;=B21)))*((G21-IFERROR(H21,0))/IFERROR(SUMPRODUCT((Besatzung!$B$11:$B$22&lt;&gt;"")*(IF(Besatzung!$C$11:$C$22="",Besatzung!$B$5,Besatzung!$C$11:$C$22)&lt;=B21)*(IF(Besatzung!$D$11:$D$22="",Besatzung!$B$6,Besatzung!$D$11:$D$22)&gt;=B21)),1)+(Besatzung!$F$22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U21="x")*((G21-IFERROR(H21,0))/IFERROR(COUNTIF(J21:U21,"x"),1)+(Besatzung!$F$22="x")*IFERROR(H21,0)/IFERROR(SUMPRODUCT((J21:U21="x")*(Besatzung!$F$11:$F$22="x")),1))),(IF(COUNTIF(J21:U21,"x")=0,IF(Besatzung!$B$22&lt;&gt;"",1,0),(U21="x"))*(G21-IFERROR(H21,0))/IFERROR(IF(COUNTIF(J21:U21,"x")=0,COUNTA(Besatzung!$B$11:$B$22),COUNTIF(J21:U21,"x")),1)+IF(COUNTIF(J21:U21,"x")=0,(Besatzung!$F$22="x"),(U21="x")*(Besatzung!$F$22="x"))*IFERROR(H21,0)/IFERROR(IF(COUNTIF(J21:U21,"x")=0,SUMPRODUCT((Besatzung!$B$11:$B$22&lt;&gt;"")*(Besatzung!$F$11:$F$22="x")),SUMPRODUCT((J21:U21="x")*(Besatzung!$F$11:$F$22="x"))),1))))),0))))</f>
        <v/>
      </c>
      <c r="AH21" s="107" t="n"/>
      <c r="AI21" s="107" t="n"/>
    </row>
    <row r="22" ht="21.75" customHeight="1" s="182">
      <c r="A22" s="97">
        <f>IF(AND(D22="",C22=""),"",19)</f>
        <v/>
      </c>
      <c r="B22" s="56" t="n"/>
      <c r="C22" s="98" t="n"/>
      <c r="D22" s="99" t="n"/>
      <c r="E22" s="100" t="n"/>
      <c r="F22" s="101" t="n"/>
      <c r="G22" s="102" t="n"/>
      <c r="H22" s="103" t="n"/>
      <c r="I22" s="104" t="n"/>
      <c r="J22" s="105" t="n"/>
      <c r="K22" s="105" t="n"/>
      <c r="L22" s="105" t="n"/>
      <c r="M22" s="105" t="n"/>
      <c r="N22" s="105" t="n"/>
      <c r="O22" s="105" t="n"/>
      <c r="P22" s="105" t="n"/>
      <c r="Q22" s="105" t="n"/>
      <c r="R22" s="105" t="n"/>
      <c r="S22" s="105" t="n"/>
      <c r="T22" s="105" t="n"/>
      <c r="U22" s="105" t="n"/>
      <c r="V22" s="106">
        <f>IF(C22="Gutschrift","",IF(G22="","",IF(Besatzung!$B$11="","",IFERROR(IF(I22="Zeitanteilig",(Besatzung!$G$11*(G22-IFERROR(H22,0))+((Besatzung!$B$11&lt;&gt;"")*IF(B22="",1,(IF(Besatzung!$C$11="",Besatzung!$B$5,Besatzung!$C$11)&lt;=B22)*(IF(Besatzung!$D$11="",Besatzung!$B$6,Besatzung!$D$11)&gt;=B22)))*(Besatzung!$F$11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$11&lt;&gt;"")*IF(B22="",1,(IF(Besatzung!$C$11="",Besatzung!$B$5,Besatzung!$C$11)&lt;=B22)*(IF(Besatzung!$D$11="",Besatzung!$B$6,Besatzung!$D$11)&gt;=B22)))*((G22-IFERROR(H22,0))/IFERROR(SUMPRODUCT((Besatzung!$B$11:$B$22&lt;&gt;"")*(IF(Besatzung!$C$11:$C$22="",Besatzung!$B$5,Besatzung!$C$11:$C$22)&lt;=B22)*(IF(Besatzung!$D$11:$D$22="",Besatzung!$B$6,Besatzung!$D$11:$D$22)&gt;=B22)),1)+(Besatzung!$F$11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J22="x")*((G22-IFERROR(H22,0))/IFERROR(COUNTIF(J22:U22,"x"),1)+(Besatzung!$F$11="x")*IFERROR(H22,0)/IFERROR(SUMPRODUCT((J22:U22="x")*(Besatzung!$F$11:$F$22="x")),1))),(IF(COUNTIF(J22:U22,"x")=0,IF(Besatzung!$B$11&lt;&gt;"",1,0),(J22="x"))*(G22-IFERROR(H22,0))/IFERROR(IF(COUNTIF(J22:U22,"x")=0,COUNTA(Besatzung!$B$11:$B$22),COUNTIF(J22:U22,"x")),1)+IF(COUNTIF(J22:U22,"x")=0,(Besatzung!$F$11="x"),(J22="x")*(Besatzung!$F$11="x"))*IFERROR(H22,0)/IFERROR(IF(COUNTIF(J22:U22,"x")=0,SUMPRODUCT((Besatzung!$B$11:$B$22&lt;&gt;"")*(Besatzung!$F$11:$F$22="x")),SUMPRODUCT((J22:U22="x")*(Besatzung!$F$11:$F$22="x"))),1))))),0))))</f>
        <v/>
      </c>
      <c r="W22" s="106">
        <f>IF(C22="Gutschrift","",IF(G22="","",IF(Besatzung!$B$12="","",IFERROR(IF(I22="Zeitanteilig",(Besatzung!$G$12*(G22-IFERROR(H22,0))+((Besatzung!$B$12&lt;&gt;"")*IF(B22="",1,(IF(Besatzung!$C$12="",Besatzung!$B$5,Besatzung!$C$12)&lt;=B22)*(IF(Besatzung!$D$12="",Besatzung!$B$6,Besatzung!$D$12)&gt;=B22)))*(Besatzung!$F$12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$12&lt;&gt;"")*IF(B22="",1,(IF(Besatzung!$C$12="",Besatzung!$B$5,Besatzung!$C$12)&lt;=B22)*(IF(Besatzung!$D$12="",Besatzung!$B$6,Besatzung!$D$12)&gt;=B22)))*((G22-IFERROR(H22,0))/IFERROR(SUMPRODUCT((Besatzung!$B$11:$B$22&lt;&gt;"")*(IF(Besatzung!$C$11:$C$22="",Besatzung!$B$5,Besatzung!$C$11:$C$22)&lt;=B22)*(IF(Besatzung!$D$11:$D$22="",Besatzung!$B$6,Besatzung!$D$11:$D$22)&gt;=B22)),1)+(Besatzung!$F$12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K22="x")*((G22-IFERROR(H22,0))/IFERROR(COUNTIF(J22:U22,"x"),1)+(Besatzung!$F$12="x")*IFERROR(H22,0)/IFERROR(SUMPRODUCT((J22:U22="x")*(Besatzung!$F$11:$F$22="x")),1))),(IF(COUNTIF(J22:U22,"x")=0,IF(Besatzung!$B$12&lt;&gt;"",1,0),(K22="x"))*(G22-IFERROR(H22,0))/IFERROR(IF(COUNTIF(J22:U22,"x")=0,COUNTA(Besatzung!$B$11:$B$22),COUNTIF(J22:U22,"x")),1)+IF(COUNTIF(J22:U22,"x")=0,(Besatzung!$F$12="x"),(K22="x")*(Besatzung!$F$12="x"))*IFERROR(H22,0)/IFERROR(IF(COUNTIF(J22:U22,"x")=0,SUMPRODUCT((Besatzung!$B$11:$B$22&lt;&gt;"")*(Besatzung!$F$11:$F$22="x")),SUMPRODUCT((J22:U22="x")*(Besatzung!$F$11:$F$22="x"))),1))))),0))))</f>
        <v/>
      </c>
      <c r="X22" s="106">
        <f>IF(C22="Gutschrift","",IF(G22="","",IF(Besatzung!$B$13="","",IFERROR(IF(I22="Zeitanteilig",(Besatzung!$G$13*(G22-IFERROR(H22,0))+((Besatzung!$B$13&lt;&gt;"")*IF(B22="",1,(IF(Besatzung!$C$13="",Besatzung!$B$5,Besatzung!$C$13)&lt;=B22)*(IF(Besatzung!$D$13="",Besatzung!$B$6,Besatzung!$D$13)&gt;=B22)))*(Besatzung!$F$13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$13&lt;&gt;"")*IF(B22="",1,(IF(Besatzung!$C$13="",Besatzung!$B$5,Besatzung!$C$13)&lt;=B22)*(IF(Besatzung!$D$13="",Besatzung!$B$6,Besatzung!$D$13)&gt;=B22)))*((G22-IFERROR(H22,0))/IFERROR(SUMPRODUCT((Besatzung!$B$11:$B$22&lt;&gt;"")*(IF(Besatzung!$C$11:$C$22="",Besatzung!$B$5,Besatzung!$C$11:$C$22)&lt;=B22)*(IF(Besatzung!$D$11:$D$22="",Besatzung!$B$6,Besatzung!$D$11:$D$22)&gt;=B22)),1)+(Besatzung!$F$13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K22="x")*((G22-IFERROR(H22,0))/IFERROR(COUNTIF(J22:U22,"x"),1)+(Besatzung!$F$13="x")*IFERROR(H22,0)/IFERROR(SUMPRODUCT((J22:U22="x")*(Besatzung!$F$11:$F$22="x")),1))),(IF(COUNTIF(J22:U22,"x")=0,IF(Besatzung!$B$13&lt;&gt;"",1,0),(K22="x"))*(G22-IFERROR(H22,0))/IFERROR(IF(COUNTIF(J22:U22,"x")=0,COUNTA(Besatzung!$B$11:$B$22),COUNTIF(J22:U22,"x")),1)+IF(COUNTIF(J22:U22,"x")=0,(Besatzung!$F$13="x"),(K22="x")*(Besatzung!$F$13="x"))*IFERROR(H22,0)/IFERROR(IF(COUNTIF(J22:U22,"x")=0,SUMPRODUCT((Besatzung!$B$11:$B$22&lt;&gt;"")*(Besatzung!$F$11:$F$22="x")),SUMPRODUCT((J22:U22="x")*(Besatzung!$F$11:$F$22="x"))),1))))),0))))</f>
        <v/>
      </c>
      <c r="Y22" s="106">
        <f>IF(C22="Gutschrift","",IF(G22="","",IF(Besatzung!$B$14="","",IFERROR(IF(I22="Zeitanteilig",(Besatzung!$G$14*(G22-IFERROR(H22,0))+((Besatzung!$B$14&lt;&gt;"")*IF(B22="",1,(IF(Besatzung!$C$14="",Besatzung!$B$5,Besatzung!$C$14)&lt;=B22)*(IF(Besatzung!$D$14="",Besatzung!$B$6,Besatzung!$D$14)&gt;=B22)))*(Besatzung!$F$14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$14&lt;&gt;"")*IF(B22="",1,(IF(Besatzung!$C$14="",Besatzung!$B$5,Besatzung!$C$14)&lt;=B22)*(IF(Besatzung!$D$14="",Besatzung!$B$6,Besatzung!$D$14)&gt;=B22)))*((G22-IFERROR(H22,0))/IFERROR(SUMPRODUCT((Besatzung!$B$11:$B$22&lt;&gt;"")*(IF(Besatzung!$C$11:$C$22="",Besatzung!$B$5,Besatzung!$C$11:$C$22)&lt;=B22)*(IF(Besatzung!$D$11:$D$22="",Besatzung!$B$6,Besatzung!$D$11:$D$22)&gt;=B22)),1)+(Besatzung!$F$14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M22="x")*((G22-IFERROR(H22,0))/IFERROR(COUNTIF(J22:U22,"x"),1)+(Besatzung!$F$14="x")*IFERROR(H22,0)/IFERROR(SUMPRODUCT((J22:U22="x")*(Besatzung!$F$11:$F$22="x")),1))),(IF(COUNTIF(J22:U22,"x")=0,IF(Besatzung!$B$14&lt;&gt;"",1,0),(M22="x"))*(G22-IFERROR(H22,0))/IFERROR(IF(COUNTIF(J22:U22,"x")=0,COUNTA(Besatzung!$B$11:$B$22),COUNTIF(J22:U22,"x")),1)+IF(COUNTIF(J22:U22,"x")=0,(Besatzung!$F$14="x"),(M22="x")*(Besatzung!$F$14="x"))*IFERROR(H22,0)/IFERROR(IF(COUNTIF(J22:U22,"x")=0,SUMPRODUCT((Besatzung!$B$11:$B$22&lt;&gt;"")*(Besatzung!$F$11:$F$22="x")),SUMPRODUCT((J22:U22="x")*(Besatzung!$F$11:$F$22="x"))),1))))),0))))</f>
        <v/>
      </c>
      <c r="Z22" s="106">
        <f>IF(C22="Gutschrift","",IF(G22="","",IF(Besatzung!$B$13="","",IFERROR(IF(I22="Zeitanteilig",(Besatzung!$G$15*(G22-IFERROR(H22,0))+((Besatzung!$B$13&lt;&gt;"")*IF(B22="",1,(IF(Besatzung!$C$15="",Besatzung!$B$5,Besatzung!$C$15)&lt;=B22)*(IF(Besatzung!$D$15="",Besatzung!$B$6,Besatzung!$D$15)&gt;=B22)))*(Besatzung!$F$15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$13&lt;&gt;"")*IF(B22="",1,(IF(Besatzung!$C$15="",Besatzung!$B$5,Besatzung!$C$15)&lt;=B22)*(IF(Besatzung!$D$15="",Besatzung!$B$6,Besatzung!$D$15)&gt;=B22)))*((G22-IFERROR(H22,0))/IFERROR(SUMPRODUCT((Besatzung!$B$11:$B$22&lt;&gt;"")*(IF(Besatzung!$C$11:$C$22="",Besatzung!$B$5,Besatzung!$C$11:$C$22)&lt;=B22)*(IF(Besatzung!$D$11:$D$22="",Besatzung!$B$6,Besatzung!$D$11:$D$22)&gt;=B22)),1)+(Besatzung!$F$15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N22="x")*((G22-IFERROR(H22,0))/IFERROR(COUNTIF(J22:U22,"x"),1)+(Besatzung!$F$15="x")*IFERROR(H22,0)/IFERROR(SUMPRODUCT((J22:U22="x")*(Besatzung!$F$11:$F$22="x")),1))),(IF(COUNTIF(J22:U22,"x")=0,IF(Besatzung!$B$13&lt;&gt;"",1,0),(N22="x"))*(G22-IFERROR(H22,0))/IFERROR(IF(COUNTIF(J22:U22,"x")=0,COUNTA(Besatzung!$B$11:$B$22),COUNTIF(J22:U22,"x")),1)+IF(COUNTIF(J22:U22,"x")=0,(Besatzung!$F$15="x"),(N22="x")*(Besatzung!$F$15="x"))*IFERROR(H22,0)/IFERROR(IF(COUNTIF(J22:U22,"x")=0,SUMPRODUCT((Besatzung!$B$11:$B$22&lt;&gt;"")*(Besatzung!$F$11:$F$22="x")),SUMPRODUCT((J22:U22="x")*(Besatzung!$F$11:$F$22="x"))),1))))),0))))</f>
        <v/>
      </c>
      <c r="AA22" s="106">
        <f>IF(C22="Gutschrift","",IF(G22="","",IF(Besatzung!$B$15="","",IFERROR(IF(I22="Zeitanteilig",(Besatzung!$G$16*(G22-IFERROR(H22,0))+((Besatzung!$B$15&lt;&gt;"")*IF(B22="",1,(IF(Besatzung!$C$16="",Besatzung!$B$5,Besatzung!$C$16)&lt;=B22)*(IF(Besatzung!$D$16="",Besatzung!$B$6,Besatzung!$D$16)&gt;=B22)))*(Besatzung!$F$16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$15&lt;&gt;"")*IF(B22="",1,(IF(Besatzung!$C$16="",Besatzung!$B$5,Besatzung!$C$16)&lt;=B22)*(IF(Besatzung!$D$16="",Besatzung!$B$6,Besatzung!$D$16)&gt;=B22)))*((G22-IFERROR(H22,0))/IFERROR(SUMPRODUCT((Besatzung!$B$11:$B$22&lt;&gt;"")*(IF(Besatzung!$C$11:$C$22="",Besatzung!$B$5,Besatzung!$C$11:$C$22)&lt;=B22)*(IF(Besatzung!$D$11:$D$22="",Besatzung!$B$6,Besatzung!$D$11:$D$22)&gt;=B22)),1)+(Besatzung!$F$16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O22="x")*((G22-IFERROR(H22,0))/IFERROR(COUNTIF(J22:U22,"x"),1)+(Besatzung!$F$16="x")*IFERROR(H22,0)/IFERROR(SUMPRODUCT((J22:U22="x")*(Besatzung!$F$11:$F$22="x")),1))),(IF(COUNTIF(J22:U22,"x")=0,IF(Besatzung!$B$15&lt;&gt;"",1,0),(O22="x"))*(G22-IFERROR(H22,0))/IFERROR(IF(COUNTIF(J22:U22,"x")=0,COUNTA(Besatzung!$B$11:$B$22),COUNTIF(J22:U22,"x")),1)+IF(COUNTIF(J22:U22,"x")=0,(Besatzung!$F$16="x"),(O22="x")*(Besatzung!$F$16="x"))*IFERROR(H22,0)/IFERROR(IF(COUNTIF(J22:U22,"x")=0,SUMPRODUCT((Besatzung!$B$11:$B$22&lt;&gt;"")*(Besatzung!$F$11:$F$22="x")),SUMPRODUCT((J22:U22="x")*(Besatzung!$F$11:$F$22="x"))),1))))),0))))</f>
        <v/>
      </c>
      <c r="AB22" s="106">
        <f>IF(C22="Gutschrift","",IF(G22="","",IF(Besatzung!$B$17="","",IFERROR(IF(I22="Zeitanteilig",(Besatzung!$G$17*(G22-IFERROR(H22,0))+((Besatzung!$B$17&lt;&gt;"")*IF(B22="",1,(IF(Besatzung!$C$17="",Besatzung!$B$5,Besatzung!$C$17)&lt;=B22)*(IF(Besatzung!$D$17="",Besatzung!$B$6,Besatzung!$D$17)&gt;=B22)))*(Besatzung!$F$17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$17&lt;&gt;"")*IF(B22="",1,(IF(Besatzung!$C$17="",Besatzung!$B$5,Besatzung!$C$17)&lt;=B22)*(IF(Besatzung!$D$17="",Besatzung!$B$6,Besatzung!$D$17)&gt;=B22)))*((G22-IFERROR(H22,0))/IFERROR(SUMPRODUCT((Besatzung!$B$11:$B$22&lt;&gt;"")*(IF(Besatzung!$C$11:$C$22="",Besatzung!$B$5,Besatzung!$C$11:$C$22)&lt;=B22)*(IF(Besatzung!$D$11:$D$22="",Besatzung!$B$6,Besatzung!$D$11:$D$22)&gt;=B22)),1)+(Besatzung!$F$17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P22="x")*((G22-IFERROR(H22,0))/IFERROR(COUNTIF(J22:U22,"x"),1)+(Besatzung!$F$17="x")*IFERROR(H22,0)/IFERROR(SUMPRODUCT((J22:U22="x")*(Besatzung!$F$11:$F$22="x")),1))),(IF(COUNTIF(J22:U22,"x")=0,IF(Besatzung!$B$17&lt;&gt;"",1,0),(P22="x"))*(G22-IFERROR(H22,0))/IFERROR(IF(COUNTIF(J22:U22,"x")=0,COUNTA(Besatzung!$B$11:$B$22),COUNTIF(J22:U22,"x")),1)+IF(COUNTIF(J22:U22,"x")=0,(Besatzung!$F$17="x"),(P22="x")*(Besatzung!$F$17="x"))*IFERROR(H22,0)/IFERROR(IF(COUNTIF(J22:U22,"x")=0,SUMPRODUCT((Besatzung!$B$11:$B$22&lt;&gt;"")*(Besatzung!$F$11:$F$22="x")),SUMPRODUCT((J22:U22="x")*(Besatzung!$F$11:$F$22="x"))),1))))),0))))</f>
        <v/>
      </c>
      <c r="AC22" s="106">
        <f>IF(C22="Gutschrift","",IF(G22="","",IF(Besatzung!$B$18="","",IFERROR(IF(I22="Zeitanteilig",(Besatzung!$G$18*(G22-IFERROR(H22,0))+((Besatzung!$B$18&lt;&gt;"")*IF(B22="",1,(IF(Besatzung!$C$18="",Besatzung!$B$5,Besatzung!$C$18)&lt;=B22)*(IF(Besatzung!$D$18="",Besatzung!$B$6,Besatzung!$D$18)&gt;=B22)))*(Besatzung!$F$18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$18&lt;&gt;"")*IF(B22="",1,(IF(Besatzung!$C$18="",Besatzung!$B$5,Besatzung!$C$18)&lt;=B22)*(IF(Besatzung!$D$18="",Besatzung!$B$6,Besatzung!$D$18)&gt;=B22)))*((G22-IFERROR(H22,0))/IFERROR(SUMPRODUCT((Besatzung!$B$11:$B$22&lt;&gt;"")*(IF(Besatzung!$C$11:$C$22="",Besatzung!$B$5,Besatzung!$C$11:$C$22)&lt;=B22)*(IF(Besatzung!$D$11:$D$22="",Besatzung!$B$6,Besatzung!$D$11:$D$22)&gt;=B22)),1)+(Besatzung!$F$18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Q22="x")*((G22-IFERROR(H22,0))/IFERROR(COUNTIF(J22:U22,"x"),1)+(Besatzung!$F$18="x")*IFERROR(H22,0)/IFERROR(SUMPRODUCT((J22:U22="x")*(Besatzung!$F$11:$F$22="x")),1))),(IF(COUNTIF(J22:U22,"x")=0,IF(Besatzung!$B$18&lt;&gt;"",1,0),(Q22="x"))*(G22-IFERROR(H22,0))/IFERROR(IF(COUNTIF(J22:U22,"x")=0,COUNTA(Besatzung!$B$11:$B$22),COUNTIF(J22:U22,"x")),1)+IF(COUNTIF(J22:U22,"x")=0,(Besatzung!$F$18="x"),(Q22="x")*(Besatzung!$F$18="x"))*IFERROR(H22,0)/IFERROR(IF(COUNTIF(J22:U22,"x")=0,SUMPRODUCT((Besatzung!$B$11:$B$22&lt;&gt;"")*(Besatzung!$F$11:$F$22="x")),SUMPRODUCT((J22:U22="x")*(Besatzung!$F$11:$F$22="x"))),1))))),0))))</f>
        <v/>
      </c>
      <c r="AD22" s="106">
        <f>IF(C22="Gutschrift","",IF(G22="","",IF(Besatzung!$B$19="","",IFERROR(IF(I22="Zeitanteilig",(Besatzung!$G$19*(G22-IFERROR(H22,0))+((Besatzung!$B$19&lt;&gt;"")*IF(B22="",1,(IF(Besatzung!$C$19="",Besatzung!$B$5,Besatzung!$C$19)&lt;=B22)*(IF(Besatzung!$D$19="",Besatzung!$B$6,Besatzung!$D$19)&gt;=B22)))*(Besatzung!$F$19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$19&lt;&gt;"")*IF(B22="",1,(IF(Besatzung!$C$19="",Besatzung!$B$5,Besatzung!$C$19)&lt;=B22)*(IF(Besatzung!$D$19="",Besatzung!$B$6,Besatzung!$D$19)&gt;=B22)))*((G22-IFERROR(H22,0))/IFERROR(SUMPRODUCT((Besatzung!$B$11:$B$22&lt;&gt;"")*(IF(Besatzung!$C$11:$C$22="",Besatzung!$B$5,Besatzung!$C$11:$C$22)&lt;=B22)*(IF(Besatzung!$D$11:$D$22="",Besatzung!$B$6,Besatzung!$D$11:$D$22)&gt;=B22)),1)+(Besatzung!$F$19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R22="x")*((G22-IFERROR(H22,0))/IFERROR(COUNTIF(J22:U22,"x"),1)+(Besatzung!$F$19="x")*IFERROR(H22,0)/IFERROR(SUMPRODUCT((J22:U22="x")*(Besatzung!$F$11:$F$22="x")),1))),(IF(COUNTIF(J22:U22,"x")=0,IF(Besatzung!$B$19&lt;&gt;"",1,0),(R22="x"))*(G22-IFERROR(H22,0))/IFERROR(IF(COUNTIF(J22:U22,"x")=0,COUNTA(Besatzung!$B$11:$B$22),COUNTIF(J22:U22,"x")),1)+IF(COUNTIF(J22:U22,"x")=0,(Besatzung!$F$19="x"),(R22="x")*(Besatzung!$F$19="x"))*IFERROR(H22,0)/IFERROR(IF(COUNTIF(J22:U22,"x")=0,SUMPRODUCT((Besatzung!$B$11:$B$22&lt;&gt;"")*(Besatzung!$F$11:$F$22="x")),SUMPRODUCT((J22:U22="x")*(Besatzung!$F$11:$F$22="x"))),1))))),0))))</f>
        <v/>
      </c>
      <c r="AE22" s="106">
        <f>IF(C22="Gutschrift","",IF(G22="","",IF(Besatzung!$B$20="","",IFERROR(IF(I22="Zeitanteilig",(Besatzung!$G$20*(G22-IFERROR(H22,0))+((Besatzung!$B$20&lt;&gt;"")*IF(B22="",1,(IF(Besatzung!$C$20="",Besatzung!$B$5,Besatzung!$C$20)&lt;=B22)*(IF(Besatzung!$D$20="",Besatzung!$B$6,Besatzung!$D$20)&gt;=B22)))*(Besatzung!$F$20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$20&lt;&gt;"")*IF(B22="",1,(IF(Besatzung!$C$20="",Besatzung!$B$5,Besatzung!$C$20)&lt;=B22)*(IF(Besatzung!$D$20="",Besatzung!$B$6,Besatzung!$D$20)&gt;=B22)))*((G22-IFERROR(H22,0))/IFERROR(SUMPRODUCT((Besatzung!$B$11:$B$22&lt;&gt;"")*(IF(Besatzung!$C$11:$C$22="",Besatzung!$B$5,Besatzung!$C$11:$C$22)&lt;=B22)*(IF(Besatzung!$D$11:$D$22="",Besatzung!$B$6,Besatzung!$D$11:$D$22)&gt;=B22)),1)+(Besatzung!$F$20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S22="x")*((G22-IFERROR(H22,0))/IFERROR(COUNTIF(J22:U22,"x"),1)+(Besatzung!$F$20="x")*IFERROR(H22,0)/IFERROR(SUMPRODUCT((J22:U22="x")*(Besatzung!$F$11:$F$22="x")),1))),(IF(COUNTIF(J22:U22,"x")=0,IF(Besatzung!$B$20&lt;&gt;"",1,0),(S22="x"))*(G22-IFERROR(H22,0))/IFERROR(IF(COUNTIF(J22:U22,"x")=0,COUNTA(Besatzung!$B$11:$B$22),COUNTIF(J22:U22,"x")),1)+IF(COUNTIF(J22:U22,"x")=0,(Besatzung!$F$20="x"),(S22="x")*(Besatzung!$F$20="x"))*IFERROR(H22,0)/IFERROR(IF(COUNTIF(J22:U22,"x")=0,SUMPRODUCT((Besatzung!$B$11:$B$22&lt;&gt;"")*(Besatzung!$F$11:$F$22="x")),SUMPRODUCT((J22:U22="x")*(Besatzung!$F$11:$F$22="x"))),1))))),0))))</f>
        <v/>
      </c>
      <c r="AF22" s="106">
        <f>IF(C22="Gutschrift","",IF(G22="","",IF(Besatzung!$B$21="","",IFERROR(IF(I22="Zeitanteilig",(Besatzung!$G$21*(G22-IFERROR(H22,0))+((Besatzung!$B$21&lt;&gt;"")*IF(B22="",1,(IF(Besatzung!$C$21="",Besatzung!$B$5,Besatzung!$C$21)&lt;=B22)*(IF(Besatzung!$D$21="",Besatzung!$B$6,Besatzung!$D$21)&gt;=B22)))*(Besatzung!$F$21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$21&lt;&gt;"")*IF(B22="",1,(IF(Besatzung!$C$21="",Besatzung!$B$5,Besatzung!$C$21)&lt;=B22)*(IF(Besatzung!$D$21="",Besatzung!$B$6,Besatzung!$D$21)&gt;=B22)))*((G22-IFERROR(H22,0))/IFERROR(SUMPRODUCT((Besatzung!$B$11:$B$22&lt;&gt;"")*(IF(Besatzung!$C$11:$C$22="",Besatzung!$B$5,Besatzung!$C$11:$C$22)&lt;=B22)*(IF(Besatzung!$D$11:$D$22="",Besatzung!$B$6,Besatzung!$D$11:$D$22)&gt;=B22)),1)+(Besatzung!$F$21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T22="x")*((G22-IFERROR(H22,0))/IFERROR(COUNTIF(J22:U22,"x"),1)+(Besatzung!$F$21="x")*IFERROR(H22,0)/IFERROR(SUMPRODUCT((J22:U22="x")*(Besatzung!$F$11:$F$22="x")),1))),(IF(COUNTIF(J22:U22,"x")=0,IF(Besatzung!$B$21&lt;&gt;"",1,0),(T22="x"))*(G22-IFERROR(H22,0))/IFERROR(IF(COUNTIF(J22:U22,"x")=0,COUNTA(Besatzung!$B$11:$B$22),COUNTIF(J22:U22,"x")),1)+IF(COUNTIF(J22:U22,"x")=0,(Besatzung!$F$21="x"),(T22="x")*(Besatzung!$F$21="x"))*IFERROR(H22,0)/IFERROR(IF(COUNTIF(J22:U22,"x")=0,SUMPRODUCT((Besatzung!$B$11:$B$22&lt;&gt;"")*(Besatzung!$F$11:$F$22="x")),SUMPRODUCT((J22:U22="x")*(Besatzung!$F$11:$F$22="x"))),1))))),0))))</f>
        <v/>
      </c>
      <c r="AG22" s="106">
        <f>IF(C22="Gutschrift","",IF(G22="","",IF(Besatzung!$B$22="","",IFERROR(IF(I22="Zeitanteilig",(Besatzung!$G$22*(G22-IFERROR(H22,0))+((Besatzung!$B$22&lt;&gt;"")*IF(B22="",1,(IF(Besatzung!$C$22="",Besatzung!$B$5,Besatzung!$C$22)&lt;=B22)*(IF(Besatzung!$D$22="",Besatzung!$B$6,Besatzung!$D$22)&gt;=B22)))*(Besatzung!$F$22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$22&lt;&gt;"")*IF(B22="",1,(IF(Besatzung!$C$22="",Besatzung!$B$5,Besatzung!$C$22)&lt;=B22)*(IF(Besatzung!$D$22="",Besatzung!$B$6,Besatzung!$D$22)&gt;=B22)))*((G22-IFERROR(H22,0))/IFERROR(SUMPRODUCT((Besatzung!$B$11:$B$22&lt;&gt;"")*(IF(Besatzung!$C$11:$C$22="",Besatzung!$B$5,Besatzung!$C$11:$C$22)&lt;=B22)*(IF(Besatzung!$D$11:$D$22="",Besatzung!$B$6,Besatzung!$D$11:$D$22)&gt;=B22)),1)+(Besatzung!$F$22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U22="x")*((G22-IFERROR(H22,0))/IFERROR(COUNTIF(J22:U22,"x"),1)+(Besatzung!$F$22="x")*IFERROR(H22,0)/IFERROR(SUMPRODUCT((J22:U22="x")*(Besatzung!$F$11:$F$22="x")),1))),(IF(COUNTIF(J22:U22,"x")=0,IF(Besatzung!$B$22&lt;&gt;"",1,0),(U22="x"))*(G22-IFERROR(H22,0))/IFERROR(IF(COUNTIF(J22:U22,"x")=0,COUNTA(Besatzung!$B$11:$B$22),COUNTIF(J22:U22,"x")),1)+IF(COUNTIF(J22:U22,"x")=0,(Besatzung!$F$22="x"),(U22="x")*(Besatzung!$F$22="x"))*IFERROR(H22,0)/IFERROR(IF(COUNTIF(J22:U22,"x")=0,SUMPRODUCT((Besatzung!$B$11:$B$22&lt;&gt;"")*(Besatzung!$F$11:$F$22="x")),SUMPRODUCT((J22:U22="x")*(Besatzung!$F$11:$F$22="x"))),1))))),0))))</f>
        <v/>
      </c>
      <c r="AH22" s="107" t="n"/>
      <c r="AI22" s="107" t="n"/>
    </row>
    <row r="23" ht="21.75" customHeight="1" s="182">
      <c r="A23" s="97">
        <f>IF(AND(D23="",C23=""),"",20)</f>
        <v/>
      </c>
      <c r="B23" s="63" t="n"/>
      <c r="C23" s="108" t="n"/>
      <c r="D23" s="109" t="n"/>
      <c r="E23" s="110" t="n"/>
      <c r="F23" s="111" t="n"/>
      <c r="G23" s="112" t="n"/>
      <c r="H23" s="113" t="n"/>
      <c r="I23" s="114" t="n"/>
      <c r="J23" s="115" t="n"/>
      <c r="K23" s="115" t="n"/>
      <c r="L23" s="115" t="n"/>
      <c r="M23" s="115" t="n"/>
      <c r="N23" s="115" t="n"/>
      <c r="O23" s="115" t="n"/>
      <c r="P23" s="115" t="n"/>
      <c r="Q23" s="115" t="n"/>
      <c r="R23" s="115" t="n"/>
      <c r="S23" s="115" t="n"/>
      <c r="T23" s="115" t="n"/>
      <c r="U23" s="115" t="n"/>
      <c r="V23" s="106">
        <f>IF(C23="Gutschrift","",IF(G23="","",IF(Besatzung!$B$11="","",IFERROR(IF(I23="Zeitanteilig",(Besatzung!$G$11*(G23-IFERROR(H23,0))+((Besatzung!$B$11&lt;&gt;"")*IF(B23="",1,(IF(Besatzung!$C$11="",Besatzung!$B$5,Besatzung!$C$11)&lt;=B23)*(IF(Besatzung!$D$11="",Besatzung!$B$6,Besatzung!$D$11)&gt;=B23)))*(Besatzung!$F$11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$11&lt;&gt;"")*IF(B23="",1,(IF(Besatzung!$C$11="",Besatzung!$B$5,Besatzung!$C$11)&lt;=B23)*(IF(Besatzung!$D$11="",Besatzung!$B$6,Besatzung!$D$11)&gt;=B23)))*((G23-IFERROR(H23,0))/IFERROR(SUMPRODUCT((Besatzung!$B$11:$B$22&lt;&gt;"")*(IF(Besatzung!$C$11:$C$22="",Besatzung!$B$5,Besatzung!$C$11:$C$22)&lt;=B23)*(IF(Besatzung!$D$11:$D$22="",Besatzung!$B$6,Besatzung!$D$11:$D$22)&gt;=B23)),1)+(Besatzung!$F$11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J23="x")*((G23-IFERROR(H23,0))/IFERROR(COUNTIF(J23:U23,"x"),1)+(Besatzung!$F$11="x")*IFERROR(H23,0)/IFERROR(SUMPRODUCT((J23:U23="x")*(Besatzung!$F$11:$F$22="x")),1))),(IF(COUNTIF(J23:U23,"x")=0,IF(Besatzung!$B$11&lt;&gt;"",1,0),(J23="x"))*(G23-IFERROR(H23,0))/IFERROR(IF(COUNTIF(J23:U23,"x")=0,COUNTA(Besatzung!$B$11:$B$22),COUNTIF(J23:U23,"x")),1)+IF(COUNTIF(J23:U23,"x")=0,(Besatzung!$F$11="x"),(J23="x")*(Besatzung!$F$11="x"))*IFERROR(H23,0)/IFERROR(IF(COUNTIF(J23:U23,"x")=0,SUMPRODUCT((Besatzung!$B$11:$B$22&lt;&gt;"")*(Besatzung!$F$11:$F$22="x")),SUMPRODUCT((J23:U23="x")*(Besatzung!$F$11:$F$22="x"))),1))))),0))))</f>
        <v/>
      </c>
      <c r="W23" s="106">
        <f>IF(C23="Gutschrift","",IF(G23="","",IF(Besatzung!$B$12="","",IFERROR(IF(I23="Zeitanteilig",(Besatzung!$G$12*(G23-IFERROR(H23,0))+((Besatzung!$B$12&lt;&gt;"")*IF(B23="",1,(IF(Besatzung!$C$12="",Besatzung!$B$5,Besatzung!$C$12)&lt;=B23)*(IF(Besatzung!$D$12="",Besatzung!$B$6,Besatzung!$D$12)&gt;=B23)))*(Besatzung!$F$12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$12&lt;&gt;"")*IF(B23="",1,(IF(Besatzung!$C$12="",Besatzung!$B$5,Besatzung!$C$12)&lt;=B23)*(IF(Besatzung!$D$12="",Besatzung!$B$6,Besatzung!$D$12)&gt;=B23)))*((G23-IFERROR(H23,0))/IFERROR(SUMPRODUCT((Besatzung!$B$11:$B$22&lt;&gt;"")*(IF(Besatzung!$C$11:$C$22="",Besatzung!$B$5,Besatzung!$C$11:$C$22)&lt;=B23)*(IF(Besatzung!$D$11:$D$22="",Besatzung!$B$6,Besatzung!$D$11:$D$22)&gt;=B23)),1)+(Besatzung!$F$12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K23="x")*((G23-IFERROR(H23,0))/IFERROR(COUNTIF(J23:U23,"x"),1)+(Besatzung!$F$12="x")*IFERROR(H23,0)/IFERROR(SUMPRODUCT((J23:U23="x")*(Besatzung!$F$11:$F$22="x")),1))),(IF(COUNTIF(J23:U23,"x")=0,IF(Besatzung!$B$12&lt;&gt;"",1,0),(K23="x"))*(G23-IFERROR(H23,0))/IFERROR(IF(COUNTIF(J23:U23,"x")=0,COUNTA(Besatzung!$B$11:$B$22),COUNTIF(J23:U23,"x")),1)+IF(COUNTIF(J23:U23,"x")=0,(Besatzung!$F$12="x"),(K23="x")*(Besatzung!$F$12="x"))*IFERROR(H23,0)/IFERROR(IF(COUNTIF(J23:U23,"x")=0,SUMPRODUCT((Besatzung!$B$11:$B$22&lt;&gt;"")*(Besatzung!$F$11:$F$22="x")),SUMPRODUCT((J23:U23="x")*(Besatzung!$F$11:$F$22="x"))),1))))),0))))</f>
        <v/>
      </c>
      <c r="X23" s="106">
        <f>IF(C23="Gutschrift","",IF(G23="","",IF(Besatzung!$B$13="","",IFERROR(IF(I23="Zeitanteilig",(Besatzung!$G$13*(G23-IFERROR(H23,0))+((Besatzung!$B$13&lt;&gt;"")*IF(B23="",1,(IF(Besatzung!$C$13="",Besatzung!$B$5,Besatzung!$C$13)&lt;=B23)*(IF(Besatzung!$D$13="",Besatzung!$B$6,Besatzung!$D$13)&gt;=B23)))*(Besatzung!$F$13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$13&lt;&gt;"")*IF(B23="",1,(IF(Besatzung!$C$13="",Besatzung!$B$5,Besatzung!$C$13)&lt;=B23)*(IF(Besatzung!$D$13="",Besatzung!$B$6,Besatzung!$D$13)&gt;=B23)))*((G23-IFERROR(H23,0))/IFERROR(SUMPRODUCT((Besatzung!$B$11:$B$22&lt;&gt;"")*(IF(Besatzung!$C$11:$C$22="",Besatzung!$B$5,Besatzung!$C$11:$C$22)&lt;=B23)*(IF(Besatzung!$D$11:$D$22="",Besatzung!$B$6,Besatzung!$D$11:$D$22)&gt;=B23)),1)+(Besatzung!$F$13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K23="x")*((G23-IFERROR(H23,0))/IFERROR(COUNTIF(J23:U23,"x"),1)+(Besatzung!$F$13="x")*IFERROR(H23,0)/IFERROR(SUMPRODUCT((J23:U23="x")*(Besatzung!$F$11:$F$22="x")),1))),(IF(COUNTIF(J23:U23,"x")=0,IF(Besatzung!$B$13&lt;&gt;"",1,0),(K23="x"))*(G23-IFERROR(H23,0))/IFERROR(IF(COUNTIF(J23:U23,"x")=0,COUNTA(Besatzung!$B$11:$B$22),COUNTIF(J23:U23,"x")),1)+IF(COUNTIF(J23:U23,"x")=0,(Besatzung!$F$13="x"),(K23="x")*(Besatzung!$F$13="x"))*IFERROR(H23,0)/IFERROR(IF(COUNTIF(J23:U23,"x")=0,SUMPRODUCT((Besatzung!$B$11:$B$22&lt;&gt;"")*(Besatzung!$F$11:$F$22="x")),SUMPRODUCT((J23:U23="x")*(Besatzung!$F$11:$F$22="x"))),1))))),0))))</f>
        <v/>
      </c>
      <c r="Y23" s="106">
        <f>IF(C23="Gutschrift","",IF(G23="","",IF(Besatzung!$B$14="","",IFERROR(IF(I23="Zeitanteilig",(Besatzung!$G$14*(G23-IFERROR(H23,0))+((Besatzung!$B$14&lt;&gt;"")*IF(B23="",1,(IF(Besatzung!$C$14="",Besatzung!$B$5,Besatzung!$C$14)&lt;=B23)*(IF(Besatzung!$D$14="",Besatzung!$B$6,Besatzung!$D$14)&gt;=B23)))*(Besatzung!$F$14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$14&lt;&gt;"")*IF(B23="",1,(IF(Besatzung!$C$14="",Besatzung!$B$5,Besatzung!$C$14)&lt;=B23)*(IF(Besatzung!$D$14="",Besatzung!$B$6,Besatzung!$D$14)&gt;=B23)))*((G23-IFERROR(H23,0))/IFERROR(SUMPRODUCT((Besatzung!$B$11:$B$22&lt;&gt;"")*(IF(Besatzung!$C$11:$C$22="",Besatzung!$B$5,Besatzung!$C$11:$C$22)&lt;=B23)*(IF(Besatzung!$D$11:$D$22="",Besatzung!$B$6,Besatzung!$D$11:$D$22)&gt;=B23)),1)+(Besatzung!$F$14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M23="x")*((G23-IFERROR(H23,0))/IFERROR(COUNTIF(J23:U23,"x"),1)+(Besatzung!$F$14="x")*IFERROR(H23,0)/IFERROR(SUMPRODUCT((J23:U23="x")*(Besatzung!$F$11:$F$22="x")),1))),(IF(COUNTIF(J23:U23,"x")=0,IF(Besatzung!$B$14&lt;&gt;"",1,0),(M23="x"))*(G23-IFERROR(H23,0))/IFERROR(IF(COUNTIF(J23:U23,"x")=0,COUNTA(Besatzung!$B$11:$B$22),COUNTIF(J23:U23,"x")),1)+IF(COUNTIF(J23:U23,"x")=0,(Besatzung!$F$14="x"),(M23="x")*(Besatzung!$F$14="x"))*IFERROR(H23,0)/IFERROR(IF(COUNTIF(J23:U23,"x")=0,SUMPRODUCT((Besatzung!$B$11:$B$22&lt;&gt;"")*(Besatzung!$F$11:$F$22="x")),SUMPRODUCT((J23:U23="x")*(Besatzung!$F$11:$F$22="x"))),1))))),0))))</f>
        <v/>
      </c>
      <c r="Z23" s="106">
        <f>IF(C23="Gutschrift","",IF(G23="","",IF(Besatzung!$B$13="","",IFERROR(IF(I23="Zeitanteilig",(Besatzung!$G$15*(G23-IFERROR(H23,0))+((Besatzung!$B$13&lt;&gt;"")*IF(B23="",1,(IF(Besatzung!$C$15="",Besatzung!$B$5,Besatzung!$C$15)&lt;=B23)*(IF(Besatzung!$D$15="",Besatzung!$B$6,Besatzung!$D$15)&gt;=B23)))*(Besatzung!$F$15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$13&lt;&gt;"")*IF(B23="",1,(IF(Besatzung!$C$15="",Besatzung!$B$5,Besatzung!$C$15)&lt;=B23)*(IF(Besatzung!$D$15="",Besatzung!$B$6,Besatzung!$D$15)&gt;=B23)))*((G23-IFERROR(H23,0))/IFERROR(SUMPRODUCT((Besatzung!$B$11:$B$22&lt;&gt;"")*(IF(Besatzung!$C$11:$C$22="",Besatzung!$B$5,Besatzung!$C$11:$C$22)&lt;=B23)*(IF(Besatzung!$D$11:$D$22="",Besatzung!$B$6,Besatzung!$D$11:$D$22)&gt;=B23)),1)+(Besatzung!$F$15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N23="x")*((G23-IFERROR(H23,0))/IFERROR(COUNTIF(J23:U23,"x"),1)+(Besatzung!$F$15="x")*IFERROR(H23,0)/IFERROR(SUMPRODUCT((J23:U23="x")*(Besatzung!$F$11:$F$22="x")),1))),(IF(COUNTIF(J23:U23,"x")=0,IF(Besatzung!$B$13&lt;&gt;"",1,0),(N23="x"))*(G23-IFERROR(H23,0))/IFERROR(IF(COUNTIF(J23:U23,"x")=0,COUNTA(Besatzung!$B$11:$B$22),COUNTIF(J23:U23,"x")),1)+IF(COUNTIF(J23:U23,"x")=0,(Besatzung!$F$15="x"),(N23="x")*(Besatzung!$F$15="x"))*IFERROR(H23,0)/IFERROR(IF(COUNTIF(J23:U23,"x")=0,SUMPRODUCT((Besatzung!$B$11:$B$22&lt;&gt;"")*(Besatzung!$F$11:$F$22="x")),SUMPRODUCT((J23:U23="x")*(Besatzung!$F$11:$F$22="x"))),1))))),0))))</f>
        <v/>
      </c>
      <c r="AA23" s="106">
        <f>IF(C23="Gutschrift","",IF(G23="","",IF(Besatzung!$B$15="","",IFERROR(IF(I23="Zeitanteilig",(Besatzung!$G$16*(G23-IFERROR(H23,0))+((Besatzung!$B$15&lt;&gt;"")*IF(B23="",1,(IF(Besatzung!$C$16="",Besatzung!$B$5,Besatzung!$C$16)&lt;=B23)*(IF(Besatzung!$D$16="",Besatzung!$B$6,Besatzung!$D$16)&gt;=B23)))*(Besatzung!$F$16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$15&lt;&gt;"")*IF(B23="",1,(IF(Besatzung!$C$16="",Besatzung!$B$5,Besatzung!$C$16)&lt;=B23)*(IF(Besatzung!$D$16="",Besatzung!$B$6,Besatzung!$D$16)&gt;=B23)))*((G23-IFERROR(H23,0))/IFERROR(SUMPRODUCT((Besatzung!$B$11:$B$22&lt;&gt;"")*(IF(Besatzung!$C$11:$C$22="",Besatzung!$B$5,Besatzung!$C$11:$C$22)&lt;=B23)*(IF(Besatzung!$D$11:$D$22="",Besatzung!$B$6,Besatzung!$D$11:$D$22)&gt;=B23)),1)+(Besatzung!$F$16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O23="x")*((G23-IFERROR(H23,0))/IFERROR(COUNTIF(J23:U23,"x"),1)+(Besatzung!$F$16="x")*IFERROR(H23,0)/IFERROR(SUMPRODUCT((J23:U23="x")*(Besatzung!$F$11:$F$22="x")),1))),(IF(COUNTIF(J23:U23,"x")=0,IF(Besatzung!$B$15&lt;&gt;"",1,0),(O23="x"))*(G23-IFERROR(H23,0))/IFERROR(IF(COUNTIF(J23:U23,"x")=0,COUNTA(Besatzung!$B$11:$B$22),COUNTIF(J23:U23,"x")),1)+IF(COUNTIF(J23:U23,"x")=0,(Besatzung!$F$16="x"),(O23="x")*(Besatzung!$F$16="x"))*IFERROR(H23,0)/IFERROR(IF(COUNTIF(J23:U23,"x")=0,SUMPRODUCT((Besatzung!$B$11:$B$22&lt;&gt;"")*(Besatzung!$F$11:$F$22="x")),SUMPRODUCT((J23:U23="x")*(Besatzung!$F$11:$F$22="x"))),1))))),0))))</f>
        <v/>
      </c>
      <c r="AB23" s="106">
        <f>IF(C23="Gutschrift","",IF(G23="","",IF(Besatzung!$B$17="","",IFERROR(IF(I23="Zeitanteilig",(Besatzung!$G$17*(G23-IFERROR(H23,0))+((Besatzung!$B$17&lt;&gt;"")*IF(B23="",1,(IF(Besatzung!$C$17="",Besatzung!$B$5,Besatzung!$C$17)&lt;=B23)*(IF(Besatzung!$D$17="",Besatzung!$B$6,Besatzung!$D$17)&gt;=B23)))*(Besatzung!$F$17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$17&lt;&gt;"")*IF(B23="",1,(IF(Besatzung!$C$17="",Besatzung!$B$5,Besatzung!$C$17)&lt;=B23)*(IF(Besatzung!$D$17="",Besatzung!$B$6,Besatzung!$D$17)&gt;=B23)))*((G23-IFERROR(H23,0))/IFERROR(SUMPRODUCT((Besatzung!$B$11:$B$22&lt;&gt;"")*(IF(Besatzung!$C$11:$C$22="",Besatzung!$B$5,Besatzung!$C$11:$C$22)&lt;=B23)*(IF(Besatzung!$D$11:$D$22="",Besatzung!$B$6,Besatzung!$D$11:$D$22)&gt;=B23)),1)+(Besatzung!$F$17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P23="x")*((G23-IFERROR(H23,0))/IFERROR(COUNTIF(J23:U23,"x"),1)+(Besatzung!$F$17="x")*IFERROR(H23,0)/IFERROR(SUMPRODUCT((J23:U23="x")*(Besatzung!$F$11:$F$22="x")),1))),(IF(COUNTIF(J23:U23,"x")=0,IF(Besatzung!$B$17&lt;&gt;"",1,0),(P23="x"))*(G23-IFERROR(H23,0))/IFERROR(IF(COUNTIF(J23:U23,"x")=0,COUNTA(Besatzung!$B$11:$B$22),COUNTIF(J23:U23,"x")),1)+IF(COUNTIF(J23:U23,"x")=0,(Besatzung!$F$17="x"),(P23="x")*(Besatzung!$F$17="x"))*IFERROR(H23,0)/IFERROR(IF(COUNTIF(J23:U23,"x")=0,SUMPRODUCT((Besatzung!$B$11:$B$22&lt;&gt;"")*(Besatzung!$F$11:$F$22="x")),SUMPRODUCT((J23:U23="x")*(Besatzung!$F$11:$F$22="x"))),1))))),0))))</f>
        <v/>
      </c>
      <c r="AC23" s="106">
        <f>IF(C23="Gutschrift","",IF(G23="","",IF(Besatzung!$B$18="","",IFERROR(IF(I23="Zeitanteilig",(Besatzung!$G$18*(G23-IFERROR(H23,0))+((Besatzung!$B$18&lt;&gt;"")*IF(B23="",1,(IF(Besatzung!$C$18="",Besatzung!$B$5,Besatzung!$C$18)&lt;=B23)*(IF(Besatzung!$D$18="",Besatzung!$B$6,Besatzung!$D$18)&gt;=B23)))*(Besatzung!$F$18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$18&lt;&gt;"")*IF(B23="",1,(IF(Besatzung!$C$18="",Besatzung!$B$5,Besatzung!$C$18)&lt;=B23)*(IF(Besatzung!$D$18="",Besatzung!$B$6,Besatzung!$D$18)&gt;=B23)))*((G23-IFERROR(H23,0))/IFERROR(SUMPRODUCT((Besatzung!$B$11:$B$22&lt;&gt;"")*(IF(Besatzung!$C$11:$C$22="",Besatzung!$B$5,Besatzung!$C$11:$C$22)&lt;=B23)*(IF(Besatzung!$D$11:$D$22="",Besatzung!$B$6,Besatzung!$D$11:$D$22)&gt;=B23)),1)+(Besatzung!$F$18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Q23="x")*((G23-IFERROR(H23,0))/IFERROR(COUNTIF(J23:U23,"x"),1)+(Besatzung!$F$18="x")*IFERROR(H23,0)/IFERROR(SUMPRODUCT((J23:U23="x")*(Besatzung!$F$11:$F$22="x")),1))),(IF(COUNTIF(J23:U23,"x")=0,IF(Besatzung!$B$18&lt;&gt;"",1,0),(Q23="x"))*(G23-IFERROR(H23,0))/IFERROR(IF(COUNTIF(J23:U23,"x")=0,COUNTA(Besatzung!$B$11:$B$22),COUNTIF(J23:U23,"x")),1)+IF(COUNTIF(J23:U23,"x")=0,(Besatzung!$F$18="x"),(Q23="x")*(Besatzung!$F$18="x"))*IFERROR(H23,0)/IFERROR(IF(COUNTIF(J23:U23,"x")=0,SUMPRODUCT((Besatzung!$B$11:$B$22&lt;&gt;"")*(Besatzung!$F$11:$F$22="x")),SUMPRODUCT((J23:U23="x")*(Besatzung!$F$11:$F$22="x"))),1))))),0))))</f>
        <v/>
      </c>
      <c r="AD23" s="106">
        <f>IF(C23="Gutschrift","",IF(G23="","",IF(Besatzung!$B$19="","",IFERROR(IF(I23="Zeitanteilig",(Besatzung!$G$19*(G23-IFERROR(H23,0))+((Besatzung!$B$19&lt;&gt;"")*IF(B23="",1,(IF(Besatzung!$C$19="",Besatzung!$B$5,Besatzung!$C$19)&lt;=B23)*(IF(Besatzung!$D$19="",Besatzung!$B$6,Besatzung!$D$19)&gt;=B23)))*(Besatzung!$F$19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$19&lt;&gt;"")*IF(B23="",1,(IF(Besatzung!$C$19="",Besatzung!$B$5,Besatzung!$C$19)&lt;=B23)*(IF(Besatzung!$D$19="",Besatzung!$B$6,Besatzung!$D$19)&gt;=B23)))*((G23-IFERROR(H23,0))/IFERROR(SUMPRODUCT((Besatzung!$B$11:$B$22&lt;&gt;"")*(IF(Besatzung!$C$11:$C$22="",Besatzung!$B$5,Besatzung!$C$11:$C$22)&lt;=B23)*(IF(Besatzung!$D$11:$D$22="",Besatzung!$B$6,Besatzung!$D$11:$D$22)&gt;=B23)),1)+(Besatzung!$F$19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R23="x")*((G23-IFERROR(H23,0))/IFERROR(COUNTIF(J23:U23,"x"),1)+(Besatzung!$F$19="x")*IFERROR(H23,0)/IFERROR(SUMPRODUCT((J23:U23="x")*(Besatzung!$F$11:$F$22="x")),1))),(IF(COUNTIF(J23:U23,"x")=0,IF(Besatzung!$B$19&lt;&gt;"",1,0),(R23="x"))*(G23-IFERROR(H23,0))/IFERROR(IF(COUNTIF(J23:U23,"x")=0,COUNTA(Besatzung!$B$11:$B$22),COUNTIF(J23:U23,"x")),1)+IF(COUNTIF(J23:U23,"x")=0,(Besatzung!$F$19="x"),(R23="x")*(Besatzung!$F$19="x"))*IFERROR(H23,0)/IFERROR(IF(COUNTIF(J23:U23,"x")=0,SUMPRODUCT((Besatzung!$B$11:$B$22&lt;&gt;"")*(Besatzung!$F$11:$F$22="x")),SUMPRODUCT((J23:U23="x")*(Besatzung!$F$11:$F$22="x"))),1))))),0))))</f>
        <v/>
      </c>
      <c r="AE23" s="106">
        <f>IF(C23="Gutschrift","",IF(G23="","",IF(Besatzung!$B$20="","",IFERROR(IF(I23="Zeitanteilig",(Besatzung!$G$20*(G23-IFERROR(H23,0))+((Besatzung!$B$20&lt;&gt;"")*IF(B23="",1,(IF(Besatzung!$C$20="",Besatzung!$B$5,Besatzung!$C$20)&lt;=B23)*(IF(Besatzung!$D$20="",Besatzung!$B$6,Besatzung!$D$20)&gt;=B23)))*(Besatzung!$F$20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$20&lt;&gt;"")*IF(B23="",1,(IF(Besatzung!$C$20="",Besatzung!$B$5,Besatzung!$C$20)&lt;=B23)*(IF(Besatzung!$D$20="",Besatzung!$B$6,Besatzung!$D$20)&gt;=B23)))*((G23-IFERROR(H23,0))/IFERROR(SUMPRODUCT((Besatzung!$B$11:$B$22&lt;&gt;"")*(IF(Besatzung!$C$11:$C$22="",Besatzung!$B$5,Besatzung!$C$11:$C$22)&lt;=B23)*(IF(Besatzung!$D$11:$D$22="",Besatzung!$B$6,Besatzung!$D$11:$D$22)&gt;=B23)),1)+(Besatzung!$F$20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S23="x")*((G23-IFERROR(H23,0))/IFERROR(COUNTIF(J23:U23,"x"),1)+(Besatzung!$F$20="x")*IFERROR(H23,0)/IFERROR(SUMPRODUCT((J23:U23="x")*(Besatzung!$F$11:$F$22="x")),1))),(IF(COUNTIF(J23:U23,"x")=0,IF(Besatzung!$B$20&lt;&gt;"",1,0),(S23="x"))*(G23-IFERROR(H23,0))/IFERROR(IF(COUNTIF(J23:U23,"x")=0,COUNTA(Besatzung!$B$11:$B$22),COUNTIF(J23:U23,"x")),1)+IF(COUNTIF(J23:U23,"x")=0,(Besatzung!$F$20="x"),(S23="x")*(Besatzung!$F$20="x"))*IFERROR(H23,0)/IFERROR(IF(COUNTIF(J23:U23,"x")=0,SUMPRODUCT((Besatzung!$B$11:$B$22&lt;&gt;"")*(Besatzung!$F$11:$F$22="x")),SUMPRODUCT((J23:U23="x")*(Besatzung!$F$11:$F$22="x"))),1))))),0))))</f>
        <v/>
      </c>
      <c r="AF23" s="106">
        <f>IF(C23="Gutschrift","",IF(G23="","",IF(Besatzung!$B$21="","",IFERROR(IF(I23="Zeitanteilig",(Besatzung!$G$21*(G23-IFERROR(H23,0))+((Besatzung!$B$21&lt;&gt;"")*IF(B23="",1,(IF(Besatzung!$C$21="",Besatzung!$B$5,Besatzung!$C$21)&lt;=B23)*(IF(Besatzung!$D$21="",Besatzung!$B$6,Besatzung!$D$21)&gt;=B23)))*(Besatzung!$F$21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$21&lt;&gt;"")*IF(B23="",1,(IF(Besatzung!$C$21="",Besatzung!$B$5,Besatzung!$C$21)&lt;=B23)*(IF(Besatzung!$D$21="",Besatzung!$B$6,Besatzung!$D$21)&gt;=B23)))*((G23-IFERROR(H23,0))/IFERROR(SUMPRODUCT((Besatzung!$B$11:$B$22&lt;&gt;"")*(IF(Besatzung!$C$11:$C$22="",Besatzung!$B$5,Besatzung!$C$11:$C$22)&lt;=B23)*(IF(Besatzung!$D$11:$D$22="",Besatzung!$B$6,Besatzung!$D$11:$D$22)&gt;=B23)),1)+(Besatzung!$F$21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T23="x")*((G23-IFERROR(H23,0))/IFERROR(COUNTIF(J23:U23,"x"),1)+(Besatzung!$F$21="x")*IFERROR(H23,0)/IFERROR(SUMPRODUCT((J23:U23="x")*(Besatzung!$F$11:$F$22="x")),1))),(IF(COUNTIF(J23:U23,"x")=0,IF(Besatzung!$B$21&lt;&gt;"",1,0),(T23="x"))*(G23-IFERROR(H23,0))/IFERROR(IF(COUNTIF(J23:U23,"x")=0,COUNTA(Besatzung!$B$11:$B$22),COUNTIF(J23:U23,"x")),1)+IF(COUNTIF(J23:U23,"x")=0,(Besatzung!$F$21="x"),(T23="x")*(Besatzung!$F$21="x"))*IFERROR(H23,0)/IFERROR(IF(COUNTIF(J23:U23,"x")=0,SUMPRODUCT((Besatzung!$B$11:$B$22&lt;&gt;"")*(Besatzung!$F$11:$F$22="x")),SUMPRODUCT((J23:U23="x")*(Besatzung!$F$11:$F$22="x"))),1))))),0))))</f>
        <v/>
      </c>
      <c r="AG23" s="106">
        <f>IF(C23="Gutschrift","",IF(G23="","",IF(Besatzung!$B$22="","",IFERROR(IF(I23="Zeitanteilig",(Besatzung!$G$22*(G23-IFERROR(H23,0))+((Besatzung!$B$22&lt;&gt;"")*IF(B23="",1,(IF(Besatzung!$C$22="",Besatzung!$B$5,Besatzung!$C$22)&lt;=B23)*(IF(Besatzung!$D$22="",Besatzung!$B$6,Besatzung!$D$22)&gt;=B23)))*(Besatzung!$F$22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$22&lt;&gt;"")*IF(B23="",1,(IF(Besatzung!$C$22="",Besatzung!$B$5,Besatzung!$C$22)&lt;=B23)*(IF(Besatzung!$D$22="",Besatzung!$B$6,Besatzung!$D$22)&gt;=B23)))*((G23-IFERROR(H23,0))/IFERROR(SUMPRODUCT((Besatzung!$B$11:$B$22&lt;&gt;"")*(IF(Besatzung!$C$11:$C$22="",Besatzung!$B$5,Besatzung!$C$11:$C$22)&lt;=B23)*(IF(Besatzung!$D$11:$D$22="",Besatzung!$B$6,Besatzung!$D$11:$D$22)&gt;=B23)),1)+(Besatzung!$F$22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U23="x")*((G23-IFERROR(H23,0))/IFERROR(COUNTIF(J23:U23,"x"),1)+(Besatzung!$F$22="x")*IFERROR(H23,0)/IFERROR(SUMPRODUCT((J23:U23="x")*(Besatzung!$F$11:$F$22="x")),1))),(IF(COUNTIF(J23:U23,"x")=0,IF(Besatzung!$B$22&lt;&gt;"",1,0),(U23="x"))*(G23-IFERROR(H23,0))/IFERROR(IF(COUNTIF(J23:U23,"x")=0,COUNTA(Besatzung!$B$11:$B$22),COUNTIF(J23:U23,"x")),1)+IF(COUNTIF(J23:U23,"x")=0,(Besatzung!$F$22="x"),(U23="x")*(Besatzung!$F$22="x"))*IFERROR(H23,0)/IFERROR(IF(COUNTIF(J23:U23,"x")=0,SUMPRODUCT((Besatzung!$B$11:$B$22&lt;&gt;"")*(Besatzung!$F$11:$F$22="x")),SUMPRODUCT((J23:U23="x")*(Besatzung!$F$11:$F$22="x"))),1))))),0))))</f>
        <v/>
      </c>
      <c r="AH23" s="107" t="n"/>
      <c r="AI23" s="107" t="n"/>
    </row>
    <row r="24" ht="21.75" customHeight="1" s="182">
      <c r="A24" s="97">
        <f>IF(AND(D24="",C24=""),"",21)</f>
        <v/>
      </c>
      <c r="B24" s="56" t="n"/>
      <c r="C24" s="98" t="n"/>
      <c r="D24" s="99" t="n"/>
      <c r="E24" s="100" t="n"/>
      <c r="F24" s="101" t="n"/>
      <c r="G24" s="102" t="n"/>
      <c r="H24" s="103" t="n"/>
      <c r="I24" s="104" t="n"/>
      <c r="J24" s="105" t="n"/>
      <c r="K24" s="105" t="n"/>
      <c r="L24" s="105" t="n"/>
      <c r="M24" s="105" t="n"/>
      <c r="N24" s="105" t="n"/>
      <c r="O24" s="105" t="n"/>
      <c r="P24" s="105" t="n"/>
      <c r="Q24" s="105" t="n"/>
      <c r="R24" s="105" t="n"/>
      <c r="S24" s="105" t="n"/>
      <c r="T24" s="105" t="n"/>
      <c r="U24" s="105" t="n"/>
      <c r="V24" s="106">
        <f>IF(C24="Gutschrift","",IF(G24="","",IF(Besatzung!$B$11="","",IFERROR(IF(I24="Zeitanteilig",(Besatzung!$G$11*(G24-IFERROR(H24,0))+((Besatzung!$B$11&lt;&gt;"")*IF(B24="",1,(IF(Besatzung!$C$11="",Besatzung!$B$5,Besatzung!$C$11)&lt;=B24)*(IF(Besatzung!$D$11="",Besatzung!$B$6,Besatzung!$D$11)&gt;=B24)))*(Besatzung!$F$11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$11&lt;&gt;"")*IF(B24="",1,(IF(Besatzung!$C$11="",Besatzung!$B$5,Besatzung!$C$11)&lt;=B24)*(IF(Besatzung!$D$11="",Besatzung!$B$6,Besatzung!$D$11)&gt;=B24)))*((G24-IFERROR(H24,0))/IFERROR(SUMPRODUCT((Besatzung!$B$11:$B$22&lt;&gt;"")*(IF(Besatzung!$C$11:$C$22="",Besatzung!$B$5,Besatzung!$C$11:$C$22)&lt;=B24)*(IF(Besatzung!$D$11:$D$22="",Besatzung!$B$6,Besatzung!$D$11:$D$22)&gt;=B24)),1)+(Besatzung!$F$11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J24="x")*((G24-IFERROR(H24,0))/IFERROR(COUNTIF(J24:U24,"x"),1)+(Besatzung!$F$11="x")*IFERROR(H24,0)/IFERROR(SUMPRODUCT((J24:U24="x")*(Besatzung!$F$11:$F$22="x")),1))),(IF(COUNTIF(J24:U24,"x")=0,IF(Besatzung!$B$11&lt;&gt;"",1,0),(J24="x"))*(G24-IFERROR(H24,0))/IFERROR(IF(COUNTIF(J24:U24,"x")=0,COUNTA(Besatzung!$B$11:$B$22),COUNTIF(J24:U24,"x")),1)+IF(COUNTIF(J24:U24,"x")=0,(Besatzung!$F$11="x"),(J24="x")*(Besatzung!$F$11="x"))*IFERROR(H24,0)/IFERROR(IF(COUNTIF(J24:U24,"x")=0,SUMPRODUCT((Besatzung!$B$11:$B$22&lt;&gt;"")*(Besatzung!$F$11:$F$22="x")),SUMPRODUCT((J24:U24="x")*(Besatzung!$F$11:$F$22="x"))),1))))),0))))</f>
        <v/>
      </c>
      <c r="W24" s="106">
        <f>IF(C24="Gutschrift","",IF(G24="","",IF(Besatzung!$B$12="","",IFERROR(IF(I24="Zeitanteilig",(Besatzung!$G$12*(G24-IFERROR(H24,0))+((Besatzung!$B$12&lt;&gt;"")*IF(B24="",1,(IF(Besatzung!$C$12="",Besatzung!$B$5,Besatzung!$C$12)&lt;=B24)*(IF(Besatzung!$D$12="",Besatzung!$B$6,Besatzung!$D$12)&gt;=B24)))*(Besatzung!$F$12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$12&lt;&gt;"")*IF(B24="",1,(IF(Besatzung!$C$12="",Besatzung!$B$5,Besatzung!$C$12)&lt;=B24)*(IF(Besatzung!$D$12="",Besatzung!$B$6,Besatzung!$D$12)&gt;=B24)))*((G24-IFERROR(H24,0))/IFERROR(SUMPRODUCT((Besatzung!$B$11:$B$22&lt;&gt;"")*(IF(Besatzung!$C$11:$C$22="",Besatzung!$B$5,Besatzung!$C$11:$C$22)&lt;=B24)*(IF(Besatzung!$D$11:$D$22="",Besatzung!$B$6,Besatzung!$D$11:$D$22)&gt;=B24)),1)+(Besatzung!$F$12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K24="x")*((G24-IFERROR(H24,0))/IFERROR(COUNTIF(J24:U24,"x"),1)+(Besatzung!$F$12="x")*IFERROR(H24,0)/IFERROR(SUMPRODUCT((J24:U24="x")*(Besatzung!$F$11:$F$22="x")),1))),(IF(COUNTIF(J24:U24,"x")=0,IF(Besatzung!$B$12&lt;&gt;"",1,0),(K24="x"))*(G24-IFERROR(H24,0))/IFERROR(IF(COUNTIF(J24:U24,"x")=0,COUNTA(Besatzung!$B$11:$B$22),COUNTIF(J24:U24,"x")),1)+IF(COUNTIF(J24:U24,"x")=0,(Besatzung!$F$12="x"),(K24="x")*(Besatzung!$F$12="x"))*IFERROR(H24,0)/IFERROR(IF(COUNTIF(J24:U24,"x")=0,SUMPRODUCT((Besatzung!$B$11:$B$22&lt;&gt;"")*(Besatzung!$F$11:$F$22="x")),SUMPRODUCT((J24:U24="x")*(Besatzung!$F$11:$F$22="x"))),1))))),0))))</f>
        <v/>
      </c>
      <c r="X24" s="106">
        <f>IF(C24="Gutschrift","",IF(G24="","",IF(Besatzung!$B$13="","",IFERROR(IF(I24="Zeitanteilig",(Besatzung!$G$13*(G24-IFERROR(H24,0))+((Besatzung!$B$13&lt;&gt;"")*IF(B24="",1,(IF(Besatzung!$C$13="",Besatzung!$B$5,Besatzung!$C$13)&lt;=B24)*(IF(Besatzung!$D$13="",Besatzung!$B$6,Besatzung!$D$13)&gt;=B24)))*(Besatzung!$F$13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$13&lt;&gt;"")*IF(B24="",1,(IF(Besatzung!$C$13="",Besatzung!$B$5,Besatzung!$C$13)&lt;=B24)*(IF(Besatzung!$D$13="",Besatzung!$B$6,Besatzung!$D$13)&gt;=B24)))*((G24-IFERROR(H24,0))/IFERROR(SUMPRODUCT((Besatzung!$B$11:$B$22&lt;&gt;"")*(IF(Besatzung!$C$11:$C$22="",Besatzung!$B$5,Besatzung!$C$11:$C$22)&lt;=B24)*(IF(Besatzung!$D$11:$D$22="",Besatzung!$B$6,Besatzung!$D$11:$D$22)&gt;=B24)),1)+(Besatzung!$F$13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K24="x")*((G24-IFERROR(H24,0))/IFERROR(COUNTIF(J24:U24,"x"),1)+(Besatzung!$F$13="x")*IFERROR(H24,0)/IFERROR(SUMPRODUCT((J24:U24="x")*(Besatzung!$F$11:$F$22="x")),1))),(IF(COUNTIF(J24:U24,"x")=0,IF(Besatzung!$B$13&lt;&gt;"",1,0),(K24="x"))*(G24-IFERROR(H24,0))/IFERROR(IF(COUNTIF(J24:U24,"x")=0,COUNTA(Besatzung!$B$11:$B$22),COUNTIF(J24:U24,"x")),1)+IF(COUNTIF(J24:U24,"x")=0,(Besatzung!$F$13="x"),(K24="x")*(Besatzung!$F$13="x"))*IFERROR(H24,0)/IFERROR(IF(COUNTIF(J24:U24,"x")=0,SUMPRODUCT((Besatzung!$B$11:$B$22&lt;&gt;"")*(Besatzung!$F$11:$F$22="x")),SUMPRODUCT((J24:U24="x")*(Besatzung!$F$11:$F$22="x"))),1))))),0))))</f>
        <v/>
      </c>
      <c r="Y24" s="106">
        <f>IF(C24="Gutschrift","",IF(G24="","",IF(Besatzung!$B$14="","",IFERROR(IF(I24="Zeitanteilig",(Besatzung!$G$14*(G24-IFERROR(H24,0))+((Besatzung!$B$14&lt;&gt;"")*IF(B24="",1,(IF(Besatzung!$C$14="",Besatzung!$B$5,Besatzung!$C$14)&lt;=B24)*(IF(Besatzung!$D$14="",Besatzung!$B$6,Besatzung!$D$14)&gt;=B24)))*(Besatzung!$F$14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$14&lt;&gt;"")*IF(B24="",1,(IF(Besatzung!$C$14="",Besatzung!$B$5,Besatzung!$C$14)&lt;=B24)*(IF(Besatzung!$D$14="",Besatzung!$B$6,Besatzung!$D$14)&gt;=B24)))*((G24-IFERROR(H24,0))/IFERROR(SUMPRODUCT((Besatzung!$B$11:$B$22&lt;&gt;"")*(IF(Besatzung!$C$11:$C$22="",Besatzung!$B$5,Besatzung!$C$11:$C$22)&lt;=B24)*(IF(Besatzung!$D$11:$D$22="",Besatzung!$B$6,Besatzung!$D$11:$D$22)&gt;=B24)),1)+(Besatzung!$F$14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M24="x")*((G24-IFERROR(H24,0))/IFERROR(COUNTIF(J24:U24,"x"),1)+(Besatzung!$F$14="x")*IFERROR(H24,0)/IFERROR(SUMPRODUCT((J24:U24="x")*(Besatzung!$F$11:$F$22="x")),1))),(IF(COUNTIF(J24:U24,"x")=0,IF(Besatzung!$B$14&lt;&gt;"",1,0),(M24="x"))*(G24-IFERROR(H24,0))/IFERROR(IF(COUNTIF(J24:U24,"x")=0,COUNTA(Besatzung!$B$11:$B$22),COUNTIF(J24:U24,"x")),1)+IF(COUNTIF(J24:U24,"x")=0,(Besatzung!$F$14="x"),(M24="x")*(Besatzung!$F$14="x"))*IFERROR(H24,0)/IFERROR(IF(COUNTIF(J24:U24,"x")=0,SUMPRODUCT((Besatzung!$B$11:$B$22&lt;&gt;"")*(Besatzung!$F$11:$F$22="x")),SUMPRODUCT((J24:U24="x")*(Besatzung!$F$11:$F$22="x"))),1))))),0))))</f>
        <v/>
      </c>
      <c r="Z24" s="106">
        <f>IF(C24="Gutschrift","",IF(G24="","",IF(Besatzung!$B$13="","",IFERROR(IF(I24="Zeitanteilig",(Besatzung!$G$15*(G24-IFERROR(H24,0))+((Besatzung!$B$13&lt;&gt;"")*IF(B24="",1,(IF(Besatzung!$C$15="",Besatzung!$B$5,Besatzung!$C$15)&lt;=B24)*(IF(Besatzung!$D$15="",Besatzung!$B$6,Besatzung!$D$15)&gt;=B24)))*(Besatzung!$F$15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$13&lt;&gt;"")*IF(B24="",1,(IF(Besatzung!$C$15="",Besatzung!$B$5,Besatzung!$C$15)&lt;=B24)*(IF(Besatzung!$D$15="",Besatzung!$B$6,Besatzung!$D$15)&gt;=B24)))*((G24-IFERROR(H24,0))/IFERROR(SUMPRODUCT((Besatzung!$B$11:$B$22&lt;&gt;"")*(IF(Besatzung!$C$11:$C$22="",Besatzung!$B$5,Besatzung!$C$11:$C$22)&lt;=B24)*(IF(Besatzung!$D$11:$D$22="",Besatzung!$B$6,Besatzung!$D$11:$D$22)&gt;=B24)),1)+(Besatzung!$F$15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N24="x")*((G24-IFERROR(H24,0))/IFERROR(COUNTIF(J24:U24,"x"),1)+(Besatzung!$F$15="x")*IFERROR(H24,0)/IFERROR(SUMPRODUCT((J24:U24="x")*(Besatzung!$F$11:$F$22="x")),1))),(IF(COUNTIF(J24:U24,"x")=0,IF(Besatzung!$B$13&lt;&gt;"",1,0),(N24="x"))*(G24-IFERROR(H24,0))/IFERROR(IF(COUNTIF(J24:U24,"x")=0,COUNTA(Besatzung!$B$11:$B$22),COUNTIF(J24:U24,"x")),1)+IF(COUNTIF(J24:U24,"x")=0,(Besatzung!$F$15="x"),(N24="x")*(Besatzung!$F$15="x"))*IFERROR(H24,0)/IFERROR(IF(COUNTIF(J24:U24,"x")=0,SUMPRODUCT((Besatzung!$B$11:$B$22&lt;&gt;"")*(Besatzung!$F$11:$F$22="x")),SUMPRODUCT((J24:U24="x")*(Besatzung!$F$11:$F$22="x"))),1))))),0))))</f>
        <v/>
      </c>
      <c r="AA24" s="106">
        <f>IF(C24="Gutschrift","",IF(G24="","",IF(Besatzung!$B$15="","",IFERROR(IF(I24="Zeitanteilig",(Besatzung!$G$16*(G24-IFERROR(H24,0))+((Besatzung!$B$15&lt;&gt;"")*IF(B24="",1,(IF(Besatzung!$C$16="",Besatzung!$B$5,Besatzung!$C$16)&lt;=B24)*(IF(Besatzung!$D$16="",Besatzung!$B$6,Besatzung!$D$16)&gt;=B24)))*(Besatzung!$F$16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$15&lt;&gt;"")*IF(B24="",1,(IF(Besatzung!$C$16="",Besatzung!$B$5,Besatzung!$C$16)&lt;=B24)*(IF(Besatzung!$D$16="",Besatzung!$B$6,Besatzung!$D$16)&gt;=B24)))*((G24-IFERROR(H24,0))/IFERROR(SUMPRODUCT((Besatzung!$B$11:$B$22&lt;&gt;"")*(IF(Besatzung!$C$11:$C$22="",Besatzung!$B$5,Besatzung!$C$11:$C$22)&lt;=B24)*(IF(Besatzung!$D$11:$D$22="",Besatzung!$B$6,Besatzung!$D$11:$D$22)&gt;=B24)),1)+(Besatzung!$F$16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O24="x")*((G24-IFERROR(H24,0))/IFERROR(COUNTIF(J24:U24,"x"),1)+(Besatzung!$F$16="x")*IFERROR(H24,0)/IFERROR(SUMPRODUCT((J24:U24="x")*(Besatzung!$F$11:$F$22="x")),1))),(IF(COUNTIF(J24:U24,"x")=0,IF(Besatzung!$B$15&lt;&gt;"",1,0),(O24="x"))*(G24-IFERROR(H24,0))/IFERROR(IF(COUNTIF(J24:U24,"x")=0,COUNTA(Besatzung!$B$11:$B$22),COUNTIF(J24:U24,"x")),1)+IF(COUNTIF(J24:U24,"x")=0,(Besatzung!$F$16="x"),(O24="x")*(Besatzung!$F$16="x"))*IFERROR(H24,0)/IFERROR(IF(COUNTIF(J24:U24,"x")=0,SUMPRODUCT((Besatzung!$B$11:$B$22&lt;&gt;"")*(Besatzung!$F$11:$F$22="x")),SUMPRODUCT((J24:U24="x")*(Besatzung!$F$11:$F$22="x"))),1))))),0))))</f>
        <v/>
      </c>
      <c r="AB24" s="106">
        <f>IF(C24="Gutschrift","",IF(G24="","",IF(Besatzung!$B$17="","",IFERROR(IF(I24="Zeitanteilig",(Besatzung!$G$17*(G24-IFERROR(H24,0))+((Besatzung!$B$17&lt;&gt;"")*IF(B24="",1,(IF(Besatzung!$C$17="",Besatzung!$B$5,Besatzung!$C$17)&lt;=B24)*(IF(Besatzung!$D$17="",Besatzung!$B$6,Besatzung!$D$17)&gt;=B24)))*(Besatzung!$F$17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$17&lt;&gt;"")*IF(B24="",1,(IF(Besatzung!$C$17="",Besatzung!$B$5,Besatzung!$C$17)&lt;=B24)*(IF(Besatzung!$D$17="",Besatzung!$B$6,Besatzung!$D$17)&gt;=B24)))*((G24-IFERROR(H24,0))/IFERROR(SUMPRODUCT((Besatzung!$B$11:$B$22&lt;&gt;"")*(IF(Besatzung!$C$11:$C$22="",Besatzung!$B$5,Besatzung!$C$11:$C$22)&lt;=B24)*(IF(Besatzung!$D$11:$D$22="",Besatzung!$B$6,Besatzung!$D$11:$D$22)&gt;=B24)),1)+(Besatzung!$F$17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P24="x")*((G24-IFERROR(H24,0))/IFERROR(COUNTIF(J24:U24,"x"),1)+(Besatzung!$F$17="x")*IFERROR(H24,0)/IFERROR(SUMPRODUCT((J24:U24="x")*(Besatzung!$F$11:$F$22="x")),1))),(IF(COUNTIF(J24:U24,"x")=0,IF(Besatzung!$B$17&lt;&gt;"",1,0),(P24="x"))*(G24-IFERROR(H24,0))/IFERROR(IF(COUNTIF(J24:U24,"x")=0,COUNTA(Besatzung!$B$11:$B$22),COUNTIF(J24:U24,"x")),1)+IF(COUNTIF(J24:U24,"x")=0,(Besatzung!$F$17="x"),(P24="x")*(Besatzung!$F$17="x"))*IFERROR(H24,0)/IFERROR(IF(COUNTIF(J24:U24,"x")=0,SUMPRODUCT((Besatzung!$B$11:$B$22&lt;&gt;"")*(Besatzung!$F$11:$F$22="x")),SUMPRODUCT((J24:U24="x")*(Besatzung!$F$11:$F$22="x"))),1))))),0))))</f>
        <v/>
      </c>
      <c r="AC24" s="106">
        <f>IF(C24="Gutschrift","",IF(G24="","",IF(Besatzung!$B$18="","",IFERROR(IF(I24="Zeitanteilig",(Besatzung!$G$18*(G24-IFERROR(H24,0))+((Besatzung!$B$18&lt;&gt;"")*IF(B24="",1,(IF(Besatzung!$C$18="",Besatzung!$B$5,Besatzung!$C$18)&lt;=B24)*(IF(Besatzung!$D$18="",Besatzung!$B$6,Besatzung!$D$18)&gt;=B24)))*(Besatzung!$F$18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$18&lt;&gt;"")*IF(B24="",1,(IF(Besatzung!$C$18="",Besatzung!$B$5,Besatzung!$C$18)&lt;=B24)*(IF(Besatzung!$D$18="",Besatzung!$B$6,Besatzung!$D$18)&gt;=B24)))*((G24-IFERROR(H24,0))/IFERROR(SUMPRODUCT((Besatzung!$B$11:$B$22&lt;&gt;"")*(IF(Besatzung!$C$11:$C$22="",Besatzung!$B$5,Besatzung!$C$11:$C$22)&lt;=B24)*(IF(Besatzung!$D$11:$D$22="",Besatzung!$B$6,Besatzung!$D$11:$D$22)&gt;=B24)),1)+(Besatzung!$F$18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Q24="x")*((G24-IFERROR(H24,0))/IFERROR(COUNTIF(J24:U24,"x"),1)+(Besatzung!$F$18="x")*IFERROR(H24,0)/IFERROR(SUMPRODUCT((J24:U24="x")*(Besatzung!$F$11:$F$22="x")),1))),(IF(COUNTIF(J24:U24,"x")=0,IF(Besatzung!$B$18&lt;&gt;"",1,0),(Q24="x"))*(G24-IFERROR(H24,0))/IFERROR(IF(COUNTIF(J24:U24,"x")=0,COUNTA(Besatzung!$B$11:$B$22),COUNTIF(J24:U24,"x")),1)+IF(COUNTIF(J24:U24,"x")=0,(Besatzung!$F$18="x"),(Q24="x")*(Besatzung!$F$18="x"))*IFERROR(H24,0)/IFERROR(IF(COUNTIF(J24:U24,"x")=0,SUMPRODUCT((Besatzung!$B$11:$B$22&lt;&gt;"")*(Besatzung!$F$11:$F$22="x")),SUMPRODUCT((J24:U24="x")*(Besatzung!$F$11:$F$22="x"))),1))))),0))))</f>
        <v/>
      </c>
      <c r="AD24" s="106">
        <f>IF(C24="Gutschrift","",IF(G24="","",IF(Besatzung!$B$19="","",IFERROR(IF(I24="Zeitanteilig",(Besatzung!$G$19*(G24-IFERROR(H24,0))+((Besatzung!$B$19&lt;&gt;"")*IF(B24="",1,(IF(Besatzung!$C$19="",Besatzung!$B$5,Besatzung!$C$19)&lt;=B24)*(IF(Besatzung!$D$19="",Besatzung!$B$6,Besatzung!$D$19)&gt;=B24)))*(Besatzung!$F$19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$19&lt;&gt;"")*IF(B24="",1,(IF(Besatzung!$C$19="",Besatzung!$B$5,Besatzung!$C$19)&lt;=B24)*(IF(Besatzung!$D$19="",Besatzung!$B$6,Besatzung!$D$19)&gt;=B24)))*((G24-IFERROR(H24,0))/IFERROR(SUMPRODUCT((Besatzung!$B$11:$B$22&lt;&gt;"")*(IF(Besatzung!$C$11:$C$22="",Besatzung!$B$5,Besatzung!$C$11:$C$22)&lt;=B24)*(IF(Besatzung!$D$11:$D$22="",Besatzung!$B$6,Besatzung!$D$11:$D$22)&gt;=B24)),1)+(Besatzung!$F$19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R24="x")*((G24-IFERROR(H24,0))/IFERROR(COUNTIF(J24:U24,"x"),1)+(Besatzung!$F$19="x")*IFERROR(H24,0)/IFERROR(SUMPRODUCT((J24:U24="x")*(Besatzung!$F$11:$F$22="x")),1))),(IF(COUNTIF(J24:U24,"x")=0,IF(Besatzung!$B$19&lt;&gt;"",1,0),(R24="x"))*(G24-IFERROR(H24,0))/IFERROR(IF(COUNTIF(J24:U24,"x")=0,COUNTA(Besatzung!$B$11:$B$22),COUNTIF(J24:U24,"x")),1)+IF(COUNTIF(J24:U24,"x")=0,(Besatzung!$F$19="x"),(R24="x")*(Besatzung!$F$19="x"))*IFERROR(H24,0)/IFERROR(IF(COUNTIF(J24:U24,"x")=0,SUMPRODUCT((Besatzung!$B$11:$B$22&lt;&gt;"")*(Besatzung!$F$11:$F$22="x")),SUMPRODUCT((J24:U24="x")*(Besatzung!$F$11:$F$22="x"))),1))))),0))))</f>
        <v/>
      </c>
      <c r="AE24" s="106">
        <f>IF(C24="Gutschrift","",IF(G24="","",IF(Besatzung!$B$20="","",IFERROR(IF(I24="Zeitanteilig",(Besatzung!$G$20*(G24-IFERROR(H24,0))+((Besatzung!$B$20&lt;&gt;"")*IF(B24="",1,(IF(Besatzung!$C$20="",Besatzung!$B$5,Besatzung!$C$20)&lt;=B24)*(IF(Besatzung!$D$20="",Besatzung!$B$6,Besatzung!$D$20)&gt;=B24)))*(Besatzung!$F$20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$20&lt;&gt;"")*IF(B24="",1,(IF(Besatzung!$C$20="",Besatzung!$B$5,Besatzung!$C$20)&lt;=B24)*(IF(Besatzung!$D$20="",Besatzung!$B$6,Besatzung!$D$20)&gt;=B24)))*((G24-IFERROR(H24,0))/IFERROR(SUMPRODUCT((Besatzung!$B$11:$B$22&lt;&gt;"")*(IF(Besatzung!$C$11:$C$22="",Besatzung!$B$5,Besatzung!$C$11:$C$22)&lt;=B24)*(IF(Besatzung!$D$11:$D$22="",Besatzung!$B$6,Besatzung!$D$11:$D$22)&gt;=B24)),1)+(Besatzung!$F$20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S24="x")*((G24-IFERROR(H24,0))/IFERROR(COUNTIF(J24:U24,"x"),1)+(Besatzung!$F$20="x")*IFERROR(H24,0)/IFERROR(SUMPRODUCT((J24:U24="x")*(Besatzung!$F$11:$F$22="x")),1))),(IF(COUNTIF(J24:U24,"x")=0,IF(Besatzung!$B$20&lt;&gt;"",1,0),(S24="x"))*(G24-IFERROR(H24,0))/IFERROR(IF(COUNTIF(J24:U24,"x")=0,COUNTA(Besatzung!$B$11:$B$22),COUNTIF(J24:U24,"x")),1)+IF(COUNTIF(J24:U24,"x")=0,(Besatzung!$F$20="x"),(S24="x")*(Besatzung!$F$20="x"))*IFERROR(H24,0)/IFERROR(IF(COUNTIF(J24:U24,"x")=0,SUMPRODUCT((Besatzung!$B$11:$B$22&lt;&gt;"")*(Besatzung!$F$11:$F$22="x")),SUMPRODUCT((J24:U24="x")*(Besatzung!$F$11:$F$22="x"))),1))))),0))))</f>
        <v/>
      </c>
      <c r="AF24" s="106">
        <f>IF(C24="Gutschrift","",IF(G24="","",IF(Besatzung!$B$21="","",IFERROR(IF(I24="Zeitanteilig",(Besatzung!$G$21*(G24-IFERROR(H24,0))+((Besatzung!$B$21&lt;&gt;"")*IF(B24="",1,(IF(Besatzung!$C$21="",Besatzung!$B$5,Besatzung!$C$21)&lt;=B24)*(IF(Besatzung!$D$21="",Besatzung!$B$6,Besatzung!$D$21)&gt;=B24)))*(Besatzung!$F$21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$21&lt;&gt;"")*IF(B24="",1,(IF(Besatzung!$C$21="",Besatzung!$B$5,Besatzung!$C$21)&lt;=B24)*(IF(Besatzung!$D$21="",Besatzung!$B$6,Besatzung!$D$21)&gt;=B24)))*((G24-IFERROR(H24,0))/IFERROR(SUMPRODUCT((Besatzung!$B$11:$B$22&lt;&gt;"")*(IF(Besatzung!$C$11:$C$22="",Besatzung!$B$5,Besatzung!$C$11:$C$22)&lt;=B24)*(IF(Besatzung!$D$11:$D$22="",Besatzung!$B$6,Besatzung!$D$11:$D$22)&gt;=B24)),1)+(Besatzung!$F$21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T24="x")*((G24-IFERROR(H24,0))/IFERROR(COUNTIF(J24:U24,"x"),1)+(Besatzung!$F$21="x")*IFERROR(H24,0)/IFERROR(SUMPRODUCT((J24:U24="x")*(Besatzung!$F$11:$F$22="x")),1))),(IF(COUNTIF(J24:U24,"x")=0,IF(Besatzung!$B$21&lt;&gt;"",1,0),(T24="x"))*(G24-IFERROR(H24,0))/IFERROR(IF(COUNTIF(J24:U24,"x")=0,COUNTA(Besatzung!$B$11:$B$22),COUNTIF(J24:U24,"x")),1)+IF(COUNTIF(J24:U24,"x")=0,(Besatzung!$F$21="x"),(T24="x")*(Besatzung!$F$21="x"))*IFERROR(H24,0)/IFERROR(IF(COUNTIF(J24:U24,"x")=0,SUMPRODUCT((Besatzung!$B$11:$B$22&lt;&gt;"")*(Besatzung!$F$11:$F$22="x")),SUMPRODUCT((J24:U24="x")*(Besatzung!$F$11:$F$22="x"))),1))))),0))))</f>
        <v/>
      </c>
      <c r="AG24" s="106">
        <f>IF(C24="Gutschrift","",IF(G24="","",IF(Besatzung!$B$22="","",IFERROR(IF(I24="Zeitanteilig",(Besatzung!$G$22*(G24-IFERROR(H24,0))+((Besatzung!$B$22&lt;&gt;"")*IF(B24="",1,(IF(Besatzung!$C$22="",Besatzung!$B$5,Besatzung!$C$22)&lt;=B24)*(IF(Besatzung!$D$22="",Besatzung!$B$6,Besatzung!$D$22)&gt;=B24)))*(Besatzung!$F$22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$22&lt;&gt;"")*IF(B24="",1,(IF(Besatzung!$C$22="",Besatzung!$B$5,Besatzung!$C$22)&lt;=B24)*(IF(Besatzung!$D$22="",Besatzung!$B$6,Besatzung!$D$22)&gt;=B24)))*((G24-IFERROR(H24,0))/IFERROR(SUMPRODUCT((Besatzung!$B$11:$B$22&lt;&gt;"")*(IF(Besatzung!$C$11:$C$22="",Besatzung!$B$5,Besatzung!$C$11:$C$22)&lt;=B24)*(IF(Besatzung!$D$11:$D$22="",Besatzung!$B$6,Besatzung!$D$11:$D$22)&gt;=B24)),1)+(Besatzung!$F$22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U24="x")*((G24-IFERROR(H24,0))/IFERROR(COUNTIF(J24:U24,"x"),1)+(Besatzung!$F$22="x")*IFERROR(H24,0)/IFERROR(SUMPRODUCT((J24:U24="x")*(Besatzung!$F$11:$F$22="x")),1))),(IF(COUNTIF(J24:U24,"x")=0,IF(Besatzung!$B$22&lt;&gt;"",1,0),(U24="x"))*(G24-IFERROR(H24,0))/IFERROR(IF(COUNTIF(J24:U24,"x")=0,COUNTA(Besatzung!$B$11:$B$22),COUNTIF(J24:U24,"x")),1)+IF(COUNTIF(J24:U24,"x")=0,(Besatzung!$F$22="x"),(U24="x")*(Besatzung!$F$22="x"))*IFERROR(H24,0)/IFERROR(IF(COUNTIF(J24:U24,"x")=0,SUMPRODUCT((Besatzung!$B$11:$B$22&lt;&gt;"")*(Besatzung!$F$11:$F$22="x")),SUMPRODUCT((J24:U24="x")*(Besatzung!$F$11:$F$22="x"))),1))))),0))))</f>
        <v/>
      </c>
      <c r="AH24" s="107" t="n"/>
      <c r="AI24" s="107" t="n"/>
    </row>
    <row r="25" ht="21.75" customHeight="1" s="182">
      <c r="A25" s="97">
        <f>IF(AND(D25="",C25=""),"",22)</f>
        <v/>
      </c>
      <c r="B25" s="63" t="n"/>
      <c r="C25" s="108" t="n"/>
      <c r="D25" s="109" t="n"/>
      <c r="E25" s="110" t="n"/>
      <c r="F25" s="111" t="n"/>
      <c r="G25" s="112" t="n"/>
      <c r="H25" s="113" t="n"/>
      <c r="I25" s="114" t="n"/>
      <c r="J25" s="115" t="n"/>
      <c r="K25" s="115" t="n"/>
      <c r="L25" s="115" t="n"/>
      <c r="M25" s="115" t="n"/>
      <c r="N25" s="115" t="n"/>
      <c r="O25" s="115" t="n"/>
      <c r="P25" s="115" t="n"/>
      <c r="Q25" s="115" t="n"/>
      <c r="R25" s="115" t="n"/>
      <c r="S25" s="115" t="n"/>
      <c r="T25" s="115" t="n"/>
      <c r="U25" s="115" t="n"/>
      <c r="V25" s="106">
        <f>IF(C25="Gutschrift","",IF(G25="","",IF(Besatzung!$B$11="","",IFERROR(IF(I25="Zeitanteilig",(Besatzung!$G$11*(G25-IFERROR(H25,0))+((Besatzung!$B$11&lt;&gt;"")*IF(B25="",1,(IF(Besatzung!$C$11="",Besatzung!$B$5,Besatzung!$C$11)&lt;=B25)*(IF(Besatzung!$D$11="",Besatzung!$B$6,Besatzung!$D$11)&gt;=B25)))*(Besatzung!$F$11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$11&lt;&gt;"")*IF(B25="",1,(IF(Besatzung!$C$11="",Besatzung!$B$5,Besatzung!$C$11)&lt;=B25)*(IF(Besatzung!$D$11="",Besatzung!$B$6,Besatzung!$D$11)&gt;=B25)))*((G25-IFERROR(H25,0))/IFERROR(SUMPRODUCT((Besatzung!$B$11:$B$22&lt;&gt;"")*(IF(Besatzung!$C$11:$C$22="",Besatzung!$B$5,Besatzung!$C$11:$C$22)&lt;=B25)*(IF(Besatzung!$D$11:$D$22="",Besatzung!$B$6,Besatzung!$D$11:$D$22)&gt;=B25)),1)+(Besatzung!$F$11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J25="x")*((G25-IFERROR(H25,0))/IFERROR(COUNTIF(J25:U25,"x"),1)+(Besatzung!$F$11="x")*IFERROR(H25,0)/IFERROR(SUMPRODUCT((J25:U25="x")*(Besatzung!$F$11:$F$22="x")),1))),(IF(COUNTIF(J25:U25,"x")=0,IF(Besatzung!$B$11&lt;&gt;"",1,0),(J25="x"))*(G25-IFERROR(H25,0))/IFERROR(IF(COUNTIF(J25:U25,"x")=0,COUNTA(Besatzung!$B$11:$B$22),COUNTIF(J25:U25,"x")),1)+IF(COUNTIF(J25:U25,"x")=0,(Besatzung!$F$11="x"),(J25="x")*(Besatzung!$F$11="x"))*IFERROR(H25,0)/IFERROR(IF(COUNTIF(J25:U25,"x")=0,SUMPRODUCT((Besatzung!$B$11:$B$22&lt;&gt;"")*(Besatzung!$F$11:$F$22="x")),SUMPRODUCT((J25:U25="x")*(Besatzung!$F$11:$F$22="x"))),1))))),0))))</f>
        <v/>
      </c>
      <c r="W25" s="106">
        <f>IF(C25="Gutschrift","",IF(G25="","",IF(Besatzung!$B$12="","",IFERROR(IF(I25="Zeitanteilig",(Besatzung!$G$12*(G25-IFERROR(H25,0))+((Besatzung!$B$12&lt;&gt;"")*IF(B25="",1,(IF(Besatzung!$C$12="",Besatzung!$B$5,Besatzung!$C$12)&lt;=B25)*(IF(Besatzung!$D$12="",Besatzung!$B$6,Besatzung!$D$12)&gt;=B25)))*(Besatzung!$F$12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$12&lt;&gt;"")*IF(B25="",1,(IF(Besatzung!$C$12="",Besatzung!$B$5,Besatzung!$C$12)&lt;=B25)*(IF(Besatzung!$D$12="",Besatzung!$B$6,Besatzung!$D$12)&gt;=B25)))*((G25-IFERROR(H25,0))/IFERROR(SUMPRODUCT((Besatzung!$B$11:$B$22&lt;&gt;"")*(IF(Besatzung!$C$11:$C$22="",Besatzung!$B$5,Besatzung!$C$11:$C$22)&lt;=B25)*(IF(Besatzung!$D$11:$D$22="",Besatzung!$B$6,Besatzung!$D$11:$D$22)&gt;=B25)),1)+(Besatzung!$F$12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K25="x")*((G25-IFERROR(H25,0))/IFERROR(COUNTIF(J25:U25,"x"),1)+(Besatzung!$F$12="x")*IFERROR(H25,0)/IFERROR(SUMPRODUCT((J25:U25="x")*(Besatzung!$F$11:$F$22="x")),1))),(IF(COUNTIF(J25:U25,"x")=0,IF(Besatzung!$B$12&lt;&gt;"",1,0),(K25="x"))*(G25-IFERROR(H25,0))/IFERROR(IF(COUNTIF(J25:U25,"x")=0,COUNTA(Besatzung!$B$11:$B$22),COUNTIF(J25:U25,"x")),1)+IF(COUNTIF(J25:U25,"x")=0,(Besatzung!$F$12="x"),(K25="x")*(Besatzung!$F$12="x"))*IFERROR(H25,0)/IFERROR(IF(COUNTIF(J25:U25,"x")=0,SUMPRODUCT((Besatzung!$B$11:$B$22&lt;&gt;"")*(Besatzung!$F$11:$F$22="x")),SUMPRODUCT((J25:U25="x")*(Besatzung!$F$11:$F$22="x"))),1))))),0))))</f>
        <v/>
      </c>
      <c r="X25" s="106">
        <f>IF(C25="Gutschrift","",IF(G25="","",IF(Besatzung!$B$13="","",IFERROR(IF(I25="Zeitanteilig",(Besatzung!$G$13*(G25-IFERROR(H25,0))+((Besatzung!$B$13&lt;&gt;"")*IF(B25="",1,(IF(Besatzung!$C$13="",Besatzung!$B$5,Besatzung!$C$13)&lt;=B25)*(IF(Besatzung!$D$13="",Besatzung!$B$6,Besatzung!$D$13)&gt;=B25)))*(Besatzung!$F$13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$13&lt;&gt;"")*IF(B25="",1,(IF(Besatzung!$C$13="",Besatzung!$B$5,Besatzung!$C$13)&lt;=B25)*(IF(Besatzung!$D$13="",Besatzung!$B$6,Besatzung!$D$13)&gt;=B25)))*((G25-IFERROR(H25,0))/IFERROR(SUMPRODUCT((Besatzung!$B$11:$B$22&lt;&gt;"")*(IF(Besatzung!$C$11:$C$22="",Besatzung!$B$5,Besatzung!$C$11:$C$22)&lt;=B25)*(IF(Besatzung!$D$11:$D$22="",Besatzung!$B$6,Besatzung!$D$11:$D$22)&gt;=B25)),1)+(Besatzung!$F$13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K25="x")*((G25-IFERROR(H25,0))/IFERROR(COUNTIF(J25:U25,"x"),1)+(Besatzung!$F$13="x")*IFERROR(H25,0)/IFERROR(SUMPRODUCT((J25:U25="x")*(Besatzung!$F$11:$F$22="x")),1))),(IF(COUNTIF(J25:U25,"x")=0,IF(Besatzung!$B$13&lt;&gt;"",1,0),(K25="x"))*(G25-IFERROR(H25,0))/IFERROR(IF(COUNTIF(J25:U25,"x")=0,COUNTA(Besatzung!$B$11:$B$22),COUNTIF(J25:U25,"x")),1)+IF(COUNTIF(J25:U25,"x")=0,(Besatzung!$F$13="x"),(K25="x")*(Besatzung!$F$13="x"))*IFERROR(H25,0)/IFERROR(IF(COUNTIF(J25:U25,"x")=0,SUMPRODUCT((Besatzung!$B$11:$B$22&lt;&gt;"")*(Besatzung!$F$11:$F$22="x")),SUMPRODUCT((J25:U25="x")*(Besatzung!$F$11:$F$22="x"))),1))))),0))))</f>
        <v/>
      </c>
      <c r="Y25" s="106">
        <f>IF(C25="Gutschrift","",IF(G25="","",IF(Besatzung!$B$14="","",IFERROR(IF(I25="Zeitanteilig",(Besatzung!$G$14*(G25-IFERROR(H25,0))+((Besatzung!$B$14&lt;&gt;"")*IF(B25="",1,(IF(Besatzung!$C$14="",Besatzung!$B$5,Besatzung!$C$14)&lt;=B25)*(IF(Besatzung!$D$14="",Besatzung!$B$6,Besatzung!$D$14)&gt;=B25)))*(Besatzung!$F$14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$14&lt;&gt;"")*IF(B25="",1,(IF(Besatzung!$C$14="",Besatzung!$B$5,Besatzung!$C$14)&lt;=B25)*(IF(Besatzung!$D$14="",Besatzung!$B$6,Besatzung!$D$14)&gt;=B25)))*((G25-IFERROR(H25,0))/IFERROR(SUMPRODUCT((Besatzung!$B$11:$B$22&lt;&gt;"")*(IF(Besatzung!$C$11:$C$22="",Besatzung!$B$5,Besatzung!$C$11:$C$22)&lt;=B25)*(IF(Besatzung!$D$11:$D$22="",Besatzung!$B$6,Besatzung!$D$11:$D$22)&gt;=B25)),1)+(Besatzung!$F$14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M25="x")*((G25-IFERROR(H25,0))/IFERROR(COUNTIF(J25:U25,"x"),1)+(Besatzung!$F$14="x")*IFERROR(H25,0)/IFERROR(SUMPRODUCT((J25:U25="x")*(Besatzung!$F$11:$F$22="x")),1))),(IF(COUNTIF(J25:U25,"x")=0,IF(Besatzung!$B$14&lt;&gt;"",1,0),(M25="x"))*(G25-IFERROR(H25,0))/IFERROR(IF(COUNTIF(J25:U25,"x")=0,COUNTA(Besatzung!$B$11:$B$22),COUNTIF(J25:U25,"x")),1)+IF(COUNTIF(J25:U25,"x")=0,(Besatzung!$F$14="x"),(M25="x")*(Besatzung!$F$14="x"))*IFERROR(H25,0)/IFERROR(IF(COUNTIF(J25:U25,"x")=0,SUMPRODUCT((Besatzung!$B$11:$B$22&lt;&gt;"")*(Besatzung!$F$11:$F$22="x")),SUMPRODUCT((J25:U25="x")*(Besatzung!$F$11:$F$22="x"))),1))))),0))))</f>
        <v/>
      </c>
      <c r="Z25" s="106">
        <f>IF(C25="Gutschrift","",IF(G25="","",IF(Besatzung!$B$13="","",IFERROR(IF(I25="Zeitanteilig",(Besatzung!$G$15*(G25-IFERROR(H25,0))+((Besatzung!$B$13&lt;&gt;"")*IF(B25="",1,(IF(Besatzung!$C$15="",Besatzung!$B$5,Besatzung!$C$15)&lt;=B25)*(IF(Besatzung!$D$15="",Besatzung!$B$6,Besatzung!$D$15)&gt;=B25)))*(Besatzung!$F$15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$13&lt;&gt;"")*IF(B25="",1,(IF(Besatzung!$C$15="",Besatzung!$B$5,Besatzung!$C$15)&lt;=B25)*(IF(Besatzung!$D$15="",Besatzung!$B$6,Besatzung!$D$15)&gt;=B25)))*((G25-IFERROR(H25,0))/IFERROR(SUMPRODUCT((Besatzung!$B$11:$B$22&lt;&gt;"")*(IF(Besatzung!$C$11:$C$22="",Besatzung!$B$5,Besatzung!$C$11:$C$22)&lt;=B25)*(IF(Besatzung!$D$11:$D$22="",Besatzung!$B$6,Besatzung!$D$11:$D$22)&gt;=B25)),1)+(Besatzung!$F$15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N25="x")*((G25-IFERROR(H25,0))/IFERROR(COUNTIF(J25:U25,"x"),1)+(Besatzung!$F$15="x")*IFERROR(H25,0)/IFERROR(SUMPRODUCT((J25:U25="x")*(Besatzung!$F$11:$F$22="x")),1))),(IF(COUNTIF(J25:U25,"x")=0,IF(Besatzung!$B$13&lt;&gt;"",1,0),(N25="x"))*(G25-IFERROR(H25,0))/IFERROR(IF(COUNTIF(J25:U25,"x")=0,COUNTA(Besatzung!$B$11:$B$22),COUNTIF(J25:U25,"x")),1)+IF(COUNTIF(J25:U25,"x")=0,(Besatzung!$F$15="x"),(N25="x")*(Besatzung!$F$15="x"))*IFERROR(H25,0)/IFERROR(IF(COUNTIF(J25:U25,"x")=0,SUMPRODUCT((Besatzung!$B$11:$B$22&lt;&gt;"")*(Besatzung!$F$11:$F$22="x")),SUMPRODUCT((J25:U25="x")*(Besatzung!$F$11:$F$22="x"))),1))))),0))))</f>
        <v/>
      </c>
      <c r="AA25" s="106">
        <f>IF(C25="Gutschrift","",IF(G25="","",IF(Besatzung!$B$15="","",IFERROR(IF(I25="Zeitanteilig",(Besatzung!$G$16*(G25-IFERROR(H25,0))+((Besatzung!$B$15&lt;&gt;"")*IF(B25="",1,(IF(Besatzung!$C$16="",Besatzung!$B$5,Besatzung!$C$16)&lt;=B25)*(IF(Besatzung!$D$16="",Besatzung!$B$6,Besatzung!$D$16)&gt;=B25)))*(Besatzung!$F$16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$15&lt;&gt;"")*IF(B25="",1,(IF(Besatzung!$C$16="",Besatzung!$B$5,Besatzung!$C$16)&lt;=B25)*(IF(Besatzung!$D$16="",Besatzung!$B$6,Besatzung!$D$16)&gt;=B25)))*((G25-IFERROR(H25,0))/IFERROR(SUMPRODUCT((Besatzung!$B$11:$B$22&lt;&gt;"")*(IF(Besatzung!$C$11:$C$22="",Besatzung!$B$5,Besatzung!$C$11:$C$22)&lt;=B25)*(IF(Besatzung!$D$11:$D$22="",Besatzung!$B$6,Besatzung!$D$11:$D$22)&gt;=B25)),1)+(Besatzung!$F$16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O25="x")*((G25-IFERROR(H25,0))/IFERROR(COUNTIF(J25:U25,"x"),1)+(Besatzung!$F$16="x")*IFERROR(H25,0)/IFERROR(SUMPRODUCT((J25:U25="x")*(Besatzung!$F$11:$F$22="x")),1))),(IF(COUNTIF(J25:U25,"x")=0,IF(Besatzung!$B$15&lt;&gt;"",1,0),(O25="x"))*(G25-IFERROR(H25,0))/IFERROR(IF(COUNTIF(J25:U25,"x")=0,COUNTA(Besatzung!$B$11:$B$22),COUNTIF(J25:U25,"x")),1)+IF(COUNTIF(J25:U25,"x")=0,(Besatzung!$F$16="x"),(O25="x")*(Besatzung!$F$16="x"))*IFERROR(H25,0)/IFERROR(IF(COUNTIF(J25:U25,"x")=0,SUMPRODUCT((Besatzung!$B$11:$B$22&lt;&gt;"")*(Besatzung!$F$11:$F$22="x")),SUMPRODUCT((J25:U25="x")*(Besatzung!$F$11:$F$22="x"))),1))))),0))))</f>
        <v/>
      </c>
      <c r="AB25" s="106">
        <f>IF(C25="Gutschrift","",IF(G25="","",IF(Besatzung!$B$17="","",IFERROR(IF(I25="Zeitanteilig",(Besatzung!$G$17*(G25-IFERROR(H25,0))+((Besatzung!$B$17&lt;&gt;"")*IF(B25="",1,(IF(Besatzung!$C$17="",Besatzung!$B$5,Besatzung!$C$17)&lt;=B25)*(IF(Besatzung!$D$17="",Besatzung!$B$6,Besatzung!$D$17)&gt;=B25)))*(Besatzung!$F$17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$17&lt;&gt;"")*IF(B25="",1,(IF(Besatzung!$C$17="",Besatzung!$B$5,Besatzung!$C$17)&lt;=B25)*(IF(Besatzung!$D$17="",Besatzung!$B$6,Besatzung!$D$17)&gt;=B25)))*((G25-IFERROR(H25,0))/IFERROR(SUMPRODUCT((Besatzung!$B$11:$B$22&lt;&gt;"")*(IF(Besatzung!$C$11:$C$22="",Besatzung!$B$5,Besatzung!$C$11:$C$22)&lt;=B25)*(IF(Besatzung!$D$11:$D$22="",Besatzung!$B$6,Besatzung!$D$11:$D$22)&gt;=B25)),1)+(Besatzung!$F$17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P25="x")*((G25-IFERROR(H25,0))/IFERROR(COUNTIF(J25:U25,"x"),1)+(Besatzung!$F$17="x")*IFERROR(H25,0)/IFERROR(SUMPRODUCT((J25:U25="x")*(Besatzung!$F$11:$F$22="x")),1))),(IF(COUNTIF(J25:U25,"x")=0,IF(Besatzung!$B$17&lt;&gt;"",1,0),(P25="x"))*(G25-IFERROR(H25,0))/IFERROR(IF(COUNTIF(J25:U25,"x")=0,COUNTA(Besatzung!$B$11:$B$22),COUNTIF(J25:U25,"x")),1)+IF(COUNTIF(J25:U25,"x")=0,(Besatzung!$F$17="x"),(P25="x")*(Besatzung!$F$17="x"))*IFERROR(H25,0)/IFERROR(IF(COUNTIF(J25:U25,"x")=0,SUMPRODUCT((Besatzung!$B$11:$B$22&lt;&gt;"")*(Besatzung!$F$11:$F$22="x")),SUMPRODUCT((J25:U25="x")*(Besatzung!$F$11:$F$22="x"))),1))))),0))))</f>
        <v/>
      </c>
      <c r="AC25" s="106">
        <f>IF(C25="Gutschrift","",IF(G25="","",IF(Besatzung!$B$18="","",IFERROR(IF(I25="Zeitanteilig",(Besatzung!$G$18*(G25-IFERROR(H25,0))+((Besatzung!$B$18&lt;&gt;"")*IF(B25="",1,(IF(Besatzung!$C$18="",Besatzung!$B$5,Besatzung!$C$18)&lt;=B25)*(IF(Besatzung!$D$18="",Besatzung!$B$6,Besatzung!$D$18)&gt;=B25)))*(Besatzung!$F$18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$18&lt;&gt;"")*IF(B25="",1,(IF(Besatzung!$C$18="",Besatzung!$B$5,Besatzung!$C$18)&lt;=B25)*(IF(Besatzung!$D$18="",Besatzung!$B$6,Besatzung!$D$18)&gt;=B25)))*((G25-IFERROR(H25,0))/IFERROR(SUMPRODUCT((Besatzung!$B$11:$B$22&lt;&gt;"")*(IF(Besatzung!$C$11:$C$22="",Besatzung!$B$5,Besatzung!$C$11:$C$22)&lt;=B25)*(IF(Besatzung!$D$11:$D$22="",Besatzung!$B$6,Besatzung!$D$11:$D$22)&gt;=B25)),1)+(Besatzung!$F$18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Q25="x")*((G25-IFERROR(H25,0))/IFERROR(COUNTIF(J25:U25,"x"),1)+(Besatzung!$F$18="x")*IFERROR(H25,0)/IFERROR(SUMPRODUCT((J25:U25="x")*(Besatzung!$F$11:$F$22="x")),1))),(IF(COUNTIF(J25:U25,"x")=0,IF(Besatzung!$B$18&lt;&gt;"",1,0),(Q25="x"))*(G25-IFERROR(H25,0))/IFERROR(IF(COUNTIF(J25:U25,"x")=0,COUNTA(Besatzung!$B$11:$B$22),COUNTIF(J25:U25,"x")),1)+IF(COUNTIF(J25:U25,"x")=0,(Besatzung!$F$18="x"),(Q25="x")*(Besatzung!$F$18="x"))*IFERROR(H25,0)/IFERROR(IF(COUNTIF(J25:U25,"x")=0,SUMPRODUCT((Besatzung!$B$11:$B$22&lt;&gt;"")*(Besatzung!$F$11:$F$22="x")),SUMPRODUCT((J25:U25="x")*(Besatzung!$F$11:$F$22="x"))),1))))),0))))</f>
        <v/>
      </c>
      <c r="AD25" s="106">
        <f>IF(C25="Gutschrift","",IF(G25="","",IF(Besatzung!$B$19="","",IFERROR(IF(I25="Zeitanteilig",(Besatzung!$G$19*(G25-IFERROR(H25,0))+((Besatzung!$B$19&lt;&gt;"")*IF(B25="",1,(IF(Besatzung!$C$19="",Besatzung!$B$5,Besatzung!$C$19)&lt;=B25)*(IF(Besatzung!$D$19="",Besatzung!$B$6,Besatzung!$D$19)&gt;=B25)))*(Besatzung!$F$19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$19&lt;&gt;"")*IF(B25="",1,(IF(Besatzung!$C$19="",Besatzung!$B$5,Besatzung!$C$19)&lt;=B25)*(IF(Besatzung!$D$19="",Besatzung!$B$6,Besatzung!$D$19)&gt;=B25)))*((G25-IFERROR(H25,0))/IFERROR(SUMPRODUCT((Besatzung!$B$11:$B$22&lt;&gt;"")*(IF(Besatzung!$C$11:$C$22="",Besatzung!$B$5,Besatzung!$C$11:$C$22)&lt;=B25)*(IF(Besatzung!$D$11:$D$22="",Besatzung!$B$6,Besatzung!$D$11:$D$22)&gt;=B25)),1)+(Besatzung!$F$19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R25="x")*((G25-IFERROR(H25,0))/IFERROR(COUNTIF(J25:U25,"x"),1)+(Besatzung!$F$19="x")*IFERROR(H25,0)/IFERROR(SUMPRODUCT((J25:U25="x")*(Besatzung!$F$11:$F$22="x")),1))),(IF(COUNTIF(J25:U25,"x")=0,IF(Besatzung!$B$19&lt;&gt;"",1,0),(R25="x"))*(G25-IFERROR(H25,0))/IFERROR(IF(COUNTIF(J25:U25,"x")=0,COUNTA(Besatzung!$B$11:$B$22),COUNTIF(J25:U25,"x")),1)+IF(COUNTIF(J25:U25,"x")=0,(Besatzung!$F$19="x"),(R25="x")*(Besatzung!$F$19="x"))*IFERROR(H25,0)/IFERROR(IF(COUNTIF(J25:U25,"x")=0,SUMPRODUCT((Besatzung!$B$11:$B$22&lt;&gt;"")*(Besatzung!$F$11:$F$22="x")),SUMPRODUCT((J25:U25="x")*(Besatzung!$F$11:$F$22="x"))),1))))),0))))</f>
        <v/>
      </c>
      <c r="AE25" s="106">
        <f>IF(C25="Gutschrift","",IF(G25="","",IF(Besatzung!$B$20="","",IFERROR(IF(I25="Zeitanteilig",(Besatzung!$G$20*(G25-IFERROR(H25,0))+((Besatzung!$B$20&lt;&gt;"")*IF(B25="",1,(IF(Besatzung!$C$20="",Besatzung!$B$5,Besatzung!$C$20)&lt;=B25)*(IF(Besatzung!$D$20="",Besatzung!$B$6,Besatzung!$D$20)&gt;=B25)))*(Besatzung!$F$20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$20&lt;&gt;"")*IF(B25="",1,(IF(Besatzung!$C$20="",Besatzung!$B$5,Besatzung!$C$20)&lt;=B25)*(IF(Besatzung!$D$20="",Besatzung!$B$6,Besatzung!$D$20)&gt;=B25)))*((G25-IFERROR(H25,0))/IFERROR(SUMPRODUCT((Besatzung!$B$11:$B$22&lt;&gt;"")*(IF(Besatzung!$C$11:$C$22="",Besatzung!$B$5,Besatzung!$C$11:$C$22)&lt;=B25)*(IF(Besatzung!$D$11:$D$22="",Besatzung!$B$6,Besatzung!$D$11:$D$22)&gt;=B25)),1)+(Besatzung!$F$20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S25="x")*((G25-IFERROR(H25,0))/IFERROR(COUNTIF(J25:U25,"x"),1)+(Besatzung!$F$20="x")*IFERROR(H25,0)/IFERROR(SUMPRODUCT((J25:U25="x")*(Besatzung!$F$11:$F$22="x")),1))),(IF(COUNTIF(J25:U25,"x")=0,IF(Besatzung!$B$20&lt;&gt;"",1,0),(S25="x"))*(G25-IFERROR(H25,0))/IFERROR(IF(COUNTIF(J25:U25,"x")=0,COUNTA(Besatzung!$B$11:$B$22),COUNTIF(J25:U25,"x")),1)+IF(COUNTIF(J25:U25,"x")=0,(Besatzung!$F$20="x"),(S25="x")*(Besatzung!$F$20="x"))*IFERROR(H25,0)/IFERROR(IF(COUNTIF(J25:U25,"x")=0,SUMPRODUCT((Besatzung!$B$11:$B$22&lt;&gt;"")*(Besatzung!$F$11:$F$22="x")),SUMPRODUCT((J25:U25="x")*(Besatzung!$F$11:$F$22="x"))),1))))),0))))</f>
        <v/>
      </c>
      <c r="AF25" s="106">
        <f>IF(C25="Gutschrift","",IF(G25="","",IF(Besatzung!$B$21="","",IFERROR(IF(I25="Zeitanteilig",(Besatzung!$G$21*(G25-IFERROR(H25,0))+((Besatzung!$B$21&lt;&gt;"")*IF(B25="",1,(IF(Besatzung!$C$21="",Besatzung!$B$5,Besatzung!$C$21)&lt;=B25)*(IF(Besatzung!$D$21="",Besatzung!$B$6,Besatzung!$D$21)&gt;=B25)))*(Besatzung!$F$21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$21&lt;&gt;"")*IF(B25="",1,(IF(Besatzung!$C$21="",Besatzung!$B$5,Besatzung!$C$21)&lt;=B25)*(IF(Besatzung!$D$21="",Besatzung!$B$6,Besatzung!$D$21)&gt;=B25)))*((G25-IFERROR(H25,0))/IFERROR(SUMPRODUCT((Besatzung!$B$11:$B$22&lt;&gt;"")*(IF(Besatzung!$C$11:$C$22="",Besatzung!$B$5,Besatzung!$C$11:$C$22)&lt;=B25)*(IF(Besatzung!$D$11:$D$22="",Besatzung!$B$6,Besatzung!$D$11:$D$22)&gt;=B25)),1)+(Besatzung!$F$21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T25="x")*((G25-IFERROR(H25,0))/IFERROR(COUNTIF(J25:U25,"x"),1)+(Besatzung!$F$21="x")*IFERROR(H25,0)/IFERROR(SUMPRODUCT((J25:U25="x")*(Besatzung!$F$11:$F$22="x")),1))),(IF(COUNTIF(J25:U25,"x")=0,IF(Besatzung!$B$21&lt;&gt;"",1,0),(T25="x"))*(G25-IFERROR(H25,0))/IFERROR(IF(COUNTIF(J25:U25,"x")=0,COUNTA(Besatzung!$B$11:$B$22),COUNTIF(J25:U25,"x")),1)+IF(COUNTIF(J25:U25,"x")=0,(Besatzung!$F$21="x"),(T25="x")*(Besatzung!$F$21="x"))*IFERROR(H25,0)/IFERROR(IF(COUNTIF(J25:U25,"x")=0,SUMPRODUCT((Besatzung!$B$11:$B$22&lt;&gt;"")*(Besatzung!$F$11:$F$22="x")),SUMPRODUCT((J25:U25="x")*(Besatzung!$F$11:$F$22="x"))),1))))),0))))</f>
        <v/>
      </c>
      <c r="AG25" s="106">
        <f>IF(C25="Gutschrift","",IF(G25="","",IF(Besatzung!$B$22="","",IFERROR(IF(I25="Zeitanteilig",(Besatzung!$G$22*(G25-IFERROR(H25,0))+((Besatzung!$B$22&lt;&gt;"")*IF(B25="",1,(IF(Besatzung!$C$22="",Besatzung!$B$5,Besatzung!$C$22)&lt;=B25)*(IF(Besatzung!$D$22="",Besatzung!$B$6,Besatzung!$D$22)&gt;=B25)))*(Besatzung!$F$22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$22&lt;&gt;"")*IF(B25="",1,(IF(Besatzung!$C$22="",Besatzung!$B$5,Besatzung!$C$22)&lt;=B25)*(IF(Besatzung!$D$22="",Besatzung!$B$6,Besatzung!$D$22)&gt;=B25)))*((G25-IFERROR(H25,0))/IFERROR(SUMPRODUCT((Besatzung!$B$11:$B$22&lt;&gt;"")*(IF(Besatzung!$C$11:$C$22="",Besatzung!$B$5,Besatzung!$C$11:$C$22)&lt;=B25)*(IF(Besatzung!$D$11:$D$22="",Besatzung!$B$6,Besatzung!$D$11:$D$22)&gt;=B25)),1)+(Besatzung!$F$22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U25="x")*((G25-IFERROR(H25,0))/IFERROR(COUNTIF(J25:U25,"x"),1)+(Besatzung!$F$22="x")*IFERROR(H25,0)/IFERROR(SUMPRODUCT((J25:U25="x")*(Besatzung!$F$11:$F$22="x")),1))),(IF(COUNTIF(J25:U25,"x")=0,IF(Besatzung!$B$22&lt;&gt;"",1,0),(U25="x"))*(G25-IFERROR(H25,0))/IFERROR(IF(COUNTIF(J25:U25,"x")=0,COUNTA(Besatzung!$B$11:$B$22),COUNTIF(J25:U25,"x")),1)+IF(COUNTIF(J25:U25,"x")=0,(Besatzung!$F$22="x"),(U25="x")*(Besatzung!$F$22="x"))*IFERROR(H25,0)/IFERROR(IF(COUNTIF(J25:U25,"x")=0,SUMPRODUCT((Besatzung!$B$11:$B$22&lt;&gt;"")*(Besatzung!$F$11:$F$22="x")),SUMPRODUCT((J25:U25="x")*(Besatzung!$F$11:$F$22="x"))),1))))),0))))</f>
        <v/>
      </c>
      <c r="AH25" s="107" t="n"/>
      <c r="AI25" s="107" t="n"/>
    </row>
    <row r="26" ht="21.75" customHeight="1" s="182">
      <c r="A26" s="97">
        <f>IF(AND(D26="",C26=""),"",23)</f>
        <v/>
      </c>
      <c r="B26" s="56" t="n"/>
      <c r="C26" s="98" t="n"/>
      <c r="D26" s="99" t="n"/>
      <c r="E26" s="100" t="n"/>
      <c r="F26" s="101" t="n"/>
      <c r="G26" s="102" t="n"/>
      <c r="H26" s="103" t="n"/>
      <c r="I26" s="104" t="n"/>
      <c r="J26" s="105" t="n"/>
      <c r="K26" s="105" t="n"/>
      <c r="L26" s="105" t="n"/>
      <c r="M26" s="105" t="n"/>
      <c r="N26" s="105" t="n"/>
      <c r="O26" s="105" t="n"/>
      <c r="P26" s="105" t="n"/>
      <c r="Q26" s="105" t="n"/>
      <c r="R26" s="105" t="n"/>
      <c r="S26" s="105" t="n"/>
      <c r="T26" s="105" t="n"/>
      <c r="U26" s="105" t="n"/>
      <c r="V26" s="106">
        <f>IF(C26="Gutschrift","",IF(G26="","",IF(Besatzung!$B$11="","",IFERROR(IF(I26="Zeitanteilig",(Besatzung!$G$11*(G26-IFERROR(H26,0))+((Besatzung!$B$11&lt;&gt;"")*IF(B26="",1,(IF(Besatzung!$C$11="",Besatzung!$B$5,Besatzung!$C$11)&lt;=B26)*(IF(Besatzung!$D$11="",Besatzung!$B$6,Besatzung!$D$11)&gt;=B26)))*(Besatzung!$F$11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$11&lt;&gt;"")*IF(B26="",1,(IF(Besatzung!$C$11="",Besatzung!$B$5,Besatzung!$C$11)&lt;=B26)*(IF(Besatzung!$D$11="",Besatzung!$B$6,Besatzung!$D$11)&gt;=B26)))*((G26-IFERROR(H26,0))/IFERROR(SUMPRODUCT((Besatzung!$B$11:$B$22&lt;&gt;"")*(IF(Besatzung!$C$11:$C$22="",Besatzung!$B$5,Besatzung!$C$11:$C$22)&lt;=B26)*(IF(Besatzung!$D$11:$D$22="",Besatzung!$B$6,Besatzung!$D$11:$D$22)&gt;=B26)),1)+(Besatzung!$F$11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J26="x")*((G26-IFERROR(H26,0))/IFERROR(COUNTIF(J26:U26,"x"),1)+(Besatzung!$F$11="x")*IFERROR(H26,0)/IFERROR(SUMPRODUCT((J26:U26="x")*(Besatzung!$F$11:$F$22="x")),1))),(IF(COUNTIF(J26:U26,"x")=0,IF(Besatzung!$B$11&lt;&gt;"",1,0),(J26="x"))*(G26-IFERROR(H26,0))/IFERROR(IF(COUNTIF(J26:U26,"x")=0,COUNTA(Besatzung!$B$11:$B$22),COUNTIF(J26:U26,"x")),1)+IF(COUNTIF(J26:U26,"x")=0,(Besatzung!$F$11="x"),(J26="x")*(Besatzung!$F$11="x"))*IFERROR(H26,0)/IFERROR(IF(COUNTIF(J26:U26,"x")=0,SUMPRODUCT((Besatzung!$B$11:$B$22&lt;&gt;"")*(Besatzung!$F$11:$F$22="x")),SUMPRODUCT((J26:U26="x")*(Besatzung!$F$11:$F$22="x"))),1))))),0))))</f>
        <v/>
      </c>
      <c r="W26" s="106">
        <f>IF(C26="Gutschrift","",IF(G26="","",IF(Besatzung!$B$12="","",IFERROR(IF(I26="Zeitanteilig",(Besatzung!$G$12*(G26-IFERROR(H26,0))+((Besatzung!$B$12&lt;&gt;"")*IF(B26="",1,(IF(Besatzung!$C$12="",Besatzung!$B$5,Besatzung!$C$12)&lt;=B26)*(IF(Besatzung!$D$12="",Besatzung!$B$6,Besatzung!$D$12)&gt;=B26)))*(Besatzung!$F$12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$12&lt;&gt;"")*IF(B26="",1,(IF(Besatzung!$C$12="",Besatzung!$B$5,Besatzung!$C$12)&lt;=B26)*(IF(Besatzung!$D$12="",Besatzung!$B$6,Besatzung!$D$12)&gt;=B26)))*((G26-IFERROR(H26,0))/IFERROR(SUMPRODUCT((Besatzung!$B$11:$B$22&lt;&gt;"")*(IF(Besatzung!$C$11:$C$22="",Besatzung!$B$5,Besatzung!$C$11:$C$22)&lt;=B26)*(IF(Besatzung!$D$11:$D$22="",Besatzung!$B$6,Besatzung!$D$11:$D$22)&gt;=B26)),1)+(Besatzung!$F$12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K26="x")*((G26-IFERROR(H26,0))/IFERROR(COUNTIF(J26:U26,"x"),1)+(Besatzung!$F$12="x")*IFERROR(H26,0)/IFERROR(SUMPRODUCT((J26:U26="x")*(Besatzung!$F$11:$F$22="x")),1))),(IF(COUNTIF(J26:U26,"x")=0,IF(Besatzung!$B$12&lt;&gt;"",1,0),(K26="x"))*(G26-IFERROR(H26,0))/IFERROR(IF(COUNTIF(J26:U26,"x")=0,COUNTA(Besatzung!$B$11:$B$22),COUNTIF(J26:U26,"x")),1)+IF(COUNTIF(J26:U26,"x")=0,(Besatzung!$F$12="x"),(K26="x")*(Besatzung!$F$12="x"))*IFERROR(H26,0)/IFERROR(IF(COUNTIF(J26:U26,"x")=0,SUMPRODUCT((Besatzung!$B$11:$B$22&lt;&gt;"")*(Besatzung!$F$11:$F$22="x")),SUMPRODUCT((J26:U26="x")*(Besatzung!$F$11:$F$22="x"))),1))))),0))))</f>
        <v/>
      </c>
      <c r="X26" s="106">
        <f>IF(C26="Gutschrift","",IF(G26="","",IF(Besatzung!$B$13="","",IFERROR(IF(I26="Zeitanteilig",(Besatzung!$G$13*(G26-IFERROR(H26,0))+((Besatzung!$B$13&lt;&gt;"")*IF(B26="",1,(IF(Besatzung!$C$13="",Besatzung!$B$5,Besatzung!$C$13)&lt;=B26)*(IF(Besatzung!$D$13="",Besatzung!$B$6,Besatzung!$D$13)&gt;=B26)))*(Besatzung!$F$13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$13&lt;&gt;"")*IF(B26="",1,(IF(Besatzung!$C$13="",Besatzung!$B$5,Besatzung!$C$13)&lt;=B26)*(IF(Besatzung!$D$13="",Besatzung!$B$6,Besatzung!$D$13)&gt;=B26)))*((G26-IFERROR(H26,0))/IFERROR(SUMPRODUCT((Besatzung!$B$11:$B$22&lt;&gt;"")*(IF(Besatzung!$C$11:$C$22="",Besatzung!$B$5,Besatzung!$C$11:$C$22)&lt;=B26)*(IF(Besatzung!$D$11:$D$22="",Besatzung!$B$6,Besatzung!$D$11:$D$22)&gt;=B26)),1)+(Besatzung!$F$13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K26="x")*((G26-IFERROR(H26,0))/IFERROR(COUNTIF(J26:U26,"x"),1)+(Besatzung!$F$13="x")*IFERROR(H26,0)/IFERROR(SUMPRODUCT((J26:U26="x")*(Besatzung!$F$11:$F$22="x")),1))),(IF(COUNTIF(J26:U26,"x")=0,IF(Besatzung!$B$13&lt;&gt;"",1,0),(K26="x"))*(G26-IFERROR(H26,0))/IFERROR(IF(COUNTIF(J26:U26,"x")=0,COUNTA(Besatzung!$B$11:$B$22),COUNTIF(J26:U26,"x")),1)+IF(COUNTIF(J26:U26,"x")=0,(Besatzung!$F$13="x"),(K26="x")*(Besatzung!$F$13="x"))*IFERROR(H26,0)/IFERROR(IF(COUNTIF(J26:U26,"x")=0,SUMPRODUCT((Besatzung!$B$11:$B$22&lt;&gt;"")*(Besatzung!$F$11:$F$22="x")),SUMPRODUCT((J26:U26="x")*(Besatzung!$F$11:$F$22="x"))),1))))),0))))</f>
        <v/>
      </c>
      <c r="Y26" s="106">
        <f>IF(C26="Gutschrift","",IF(G26="","",IF(Besatzung!$B$14="","",IFERROR(IF(I26="Zeitanteilig",(Besatzung!$G$14*(G26-IFERROR(H26,0))+((Besatzung!$B$14&lt;&gt;"")*IF(B26="",1,(IF(Besatzung!$C$14="",Besatzung!$B$5,Besatzung!$C$14)&lt;=B26)*(IF(Besatzung!$D$14="",Besatzung!$B$6,Besatzung!$D$14)&gt;=B26)))*(Besatzung!$F$14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$14&lt;&gt;"")*IF(B26="",1,(IF(Besatzung!$C$14="",Besatzung!$B$5,Besatzung!$C$14)&lt;=B26)*(IF(Besatzung!$D$14="",Besatzung!$B$6,Besatzung!$D$14)&gt;=B26)))*((G26-IFERROR(H26,0))/IFERROR(SUMPRODUCT((Besatzung!$B$11:$B$22&lt;&gt;"")*(IF(Besatzung!$C$11:$C$22="",Besatzung!$B$5,Besatzung!$C$11:$C$22)&lt;=B26)*(IF(Besatzung!$D$11:$D$22="",Besatzung!$B$6,Besatzung!$D$11:$D$22)&gt;=B26)),1)+(Besatzung!$F$14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M26="x")*((G26-IFERROR(H26,0))/IFERROR(COUNTIF(J26:U26,"x"),1)+(Besatzung!$F$14="x")*IFERROR(H26,0)/IFERROR(SUMPRODUCT((J26:U26="x")*(Besatzung!$F$11:$F$22="x")),1))),(IF(COUNTIF(J26:U26,"x")=0,IF(Besatzung!$B$14&lt;&gt;"",1,0),(M26="x"))*(G26-IFERROR(H26,0))/IFERROR(IF(COUNTIF(J26:U26,"x")=0,COUNTA(Besatzung!$B$11:$B$22),COUNTIF(J26:U26,"x")),1)+IF(COUNTIF(J26:U26,"x")=0,(Besatzung!$F$14="x"),(M26="x")*(Besatzung!$F$14="x"))*IFERROR(H26,0)/IFERROR(IF(COUNTIF(J26:U26,"x")=0,SUMPRODUCT((Besatzung!$B$11:$B$22&lt;&gt;"")*(Besatzung!$F$11:$F$22="x")),SUMPRODUCT((J26:U26="x")*(Besatzung!$F$11:$F$22="x"))),1))))),0))))</f>
        <v/>
      </c>
      <c r="Z26" s="106">
        <f>IF(C26="Gutschrift","",IF(G26="","",IF(Besatzung!$B$13="","",IFERROR(IF(I26="Zeitanteilig",(Besatzung!$G$15*(G26-IFERROR(H26,0))+((Besatzung!$B$13&lt;&gt;"")*IF(B26="",1,(IF(Besatzung!$C$15="",Besatzung!$B$5,Besatzung!$C$15)&lt;=B26)*(IF(Besatzung!$D$15="",Besatzung!$B$6,Besatzung!$D$15)&gt;=B26)))*(Besatzung!$F$15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$13&lt;&gt;"")*IF(B26="",1,(IF(Besatzung!$C$15="",Besatzung!$B$5,Besatzung!$C$15)&lt;=B26)*(IF(Besatzung!$D$15="",Besatzung!$B$6,Besatzung!$D$15)&gt;=B26)))*((G26-IFERROR(H26,0))/IFERROR(SUMPRODUCT((Besatzung!$B$11:$B$22&lt;&gt;"")*(IF(Besatzung!$C$11:$C$22="",Besatzung!$B$5,Besatzung!$C$11:$C$22)&lt;=B26)*(IF(Besatzung!$D$11:$D$22="",Besatzung!$B$6,Besatzung!$D$11:$D$22)&gt;=B26)),1)+(Besatzung!$F$15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N26="x")*((G26-IFERROR(H26,0))/IFERROR(COUNTIF(J26:U26,"x"),1)+(Besatzung!$F$15="x")*IFERROR(H26,0)/IFERROR(SUMPRODUCT((J26:U26="x")*(Besatzung!$F$11:$F$22="x")),1))),(IF(COUNTIF(J26:U26,"x")=0,IF(Besatzung!$B$13&lt;&gt;"",1,0),(N26="x"))*(G26-IFERROR(H26,0))/IFERROR(IF(COUNTIF(J26:U26,"x")=0,COUNTA(Besatzung!$B$11:$B$22),COUNTIF(J26:U26,"x")),1)+IF(COUNTIF(J26:U26,"x")=0,(Besatzung!$F$15="x"),(N26="x")*(Besatzung!$F$15="x"))*IFERROR(H26,0)/IFERROR(IF(COUNTIF(J26:U26,"x")=0,SUMPRODUCT((Besatzung!$B$11:$B$22&lt;&gt;"")*(Besatzung!$F$11:$F$22="x")),SUMPRODUCT((J26:U26="x")*(Besatzung!$F$11:$F$22="x"))),1))))),0))))</f>
        <v/>
      </c>
      <c r="AA26" s="106">
        <f>IF(C26="Gutschrift","",IF(G26="","",IF(Besatzung!$B$15="","",IFERROR(IF(I26="Zeitanteilig",(Besatzung!$G$16*(G26-IFERROR(H26,0))+((Besatzung!$B$15&lt;&gt;"")*IF(B26="",1,(IF(Besatzung!$C$16="",Besatzung!$B$5,Besatzung!$C$16)&lt;=B26)*(IF(Besatzung!$D$16="",Besatzung!$B$6,Besatzung!$D$16)&gt;=B26)))*(Besatzung!$F$16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$15&lt;&gt;"")*IF(B26="",1,(IF(Besatzung!$C$16="",Besatzung!$B$5,Besatzung!$C$16)&lt;=B26)*(IF(Besatzung!$D$16="",Besatzung!$B$6,Besatzung!$D$16)&gt;=B26)))*((G26-IFERROR(H26,0))/IFERROR(SUMPRODUCT((Besatzung!$B$11:$B$22&lt;&gt;"")*(IF(Besatzung!$C$11:$C$22="",Besatzung!$B$5,Besatzung!$C$11:$C$22)&lt;=B26)*(IF(Besatzung!$D$11:$D$22="",Besatzung!$B$6,Besatzung!$D$11:$D$22)&gt;=B26)),1)+(Besatzung!$F$16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O26="x")*((G26-IFERROR(H26,0))/IFERROR(COUNTIF(J26:U26,"x"),1)+(Besatzung!$F$16="x")*IFERROR(H26,0)/IFERROR(SUMPRODUCT((J26:U26="x")*(Besatzung!$F$11:$F$22="x")),1))),(IF(COUNTIF(J26:U26,"x")=0,IF(Besatzung!$B$15&lt;&gt;"",1,0),(O26="x"))*(G26-IFERROR(H26,0))/IFERROR(IF(COUNTIF(J26:U26,"x")=0,COUNTA(Besatzung!$B$11:$B$22),COUNTIF(J26:U26,"x")),1)+IF(COUNTIF(J26:U26,"x")=0,(Besatzung!$F$16="x"),(O26="x")*(Besatzung!$F$16="x"))*IFERROR(H26,0)/IFERROR(IF(COUNTIF(J26:U26,"x")=0,SUMPRODUCT((Besatzung!$B$11:$B$22&lt;&gt;"")*(Besatzung!$F$11:$F$22="x")),SUMPRODUCT((J26:U26="x")*(Besatzung!$F$11:$F$22="x"))),1))))),0))))</f>
        <v/>
      </c>
      <c r="AB26" s="106">
        <f>IF(C26="Gutschrift","",IF(G26="","",IF(Besatzung!$B$17="","",IFERROR(IF(I26="Zeitanteilig",(Besatzung!$G$17*(G26-IFERROR(H26,0))+((Besatzung!$B$17&lt;&gt;"")*IF(B26="",1,(IF(Besatzung!$C$17="",Besatzung!$B$5,Besatzung!$C$17)&lt;=B26)*(IF(Besatzung!$D$17="",Besatzung!$B$6,Besatzung!$D$17)&gt;=B26)))*(Besatzung!$F$17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$17&lt;&gt;"")*IF(B26="",1,(IF(Besatzung!$C$17="",Besatzung!$B$5,Besatzung!$C$17)&lt;=B26)*(IF(Besatzung!$D$17="",Besatzung!$B$6,Besatzung!$D$17)&gt;=B26)))*((G26-IFERROR(H26,0))/IFERROR(SUMPRODUCT((Besatzung!$B$11:$B$22&lt;&gt;"")*(IF(Besatzung!$C$11:$C$22="",Besatzung!$B$5,Besatzung!$C$11:$C$22)&lt;=B26)*(IF(Besatzung!$D$11:$D$22="",Besatzung!$B$6,Besatzung!$D$11:$D$22)&gt;=B26)),1)+(Besatzung!$F$17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P26="x")*((G26-IFERROR(H26,0))/IFERROR(COUNTIF(J26:U26,"x"),1)+(Besatzung!$F$17="x")*IFERROR(H26,0)/IFERROR(SUMPRODUCT((J26:U26="x")*(Besatzung!$F$11:$F$22="x")),1))),(IF(COUNTIF(J26:U26,"x")=0,IF(Besatzung!$B$17&lt;&gt;"",1,0),(P26="x"))*(G26-IFERROR(H26,0))/IFERROR(IF(COUNTIF(J26:U26,"x")=0,COUNTA(Besatzung!$B$11:$B$22),COUNTIF(J26:U26,"x")),1)+IF(COUNTIF(J26:U26,"x")=0,(Besatzung!$F$17="x"),(P26="x")*(Besatzung!$F$17="x"))*IFERROR(H26,0)/IFERROR(IF(COUNTIF(J26:U26,"x")=0,SUMPRODUCT((Besatzung!$B$11:$B$22&lt;&gt;"")*(Besatzung!$F$11:$F$22="x")),SUMPRODUCT((J26:U26="x")*(Besatzung!$F$11:$F$22="x"))),1))))),0))))</f>
        <v/>
      </c>
      <c r="AC26" s="106">
        <f>IF(C26="Gutschrift","",IF(G26="","",IF(Besatzung!$B$18="","",IFERROR(IF(I26="Zeitanteilig",(Besatzung!$G$18*(G26-IFERROR(H26,0))+((Besatzung!$B$18&lt;&gt;"")*IF(B26="",1,(IF(Besatzung!$C$18="",Besatzung!$B$5,Besatzung!$C$18)&lt;=B26)*(IF(Besatzung!$D$18="",Besatzung!$B$6,Besatzung!$D$18)&gt;=B26)))*(Besatzung!$F$18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$18&lt;&gt;"")*IF(B26="",1,(IF(Besatzung!$C$18="",Besatzung!$B$5,Besatzung!$C$18)&lt;=B26)*(IF(Besatzung!$D$18="",Besatzung!$B$6,Besatzung!$D$18)&gt;=B26)))*((G26-IFERROR(H26,0))/IFERROR(SUMPRODUCT((Besatzung!$B$11:$B$22&lt;&gt;"")*(IF(Besatzung!$C$11:$C$22="",Besatzung!$B$5,Besatzung!$C$11:$C$22)&lt;=B26)*(IF(Besatzung!$D$11:$D$22="",Besatzung!$B$6,Besatzung!$D$11:$D$22)&gt;=B26)),1)+(Besatzung!$F$18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Q26="x")*((G26-IFERROR(H26,0))/IFERROR(COUNTIF(J26:U26,"x"),1)+(Besatzung!$F$18="x")*IFERROR(H26,0)/IFERROR(SUMPRODUCT((J26:U26="x")*(Besatzung!$F$11:$F$22="x")),1))),(IF(COUNTIF(J26:U26,"x")=0,IF(Besatzung!$B$18&lt;&gt;"",1,0),(Q26="x"))*(G26-IFERROR(H26,0))/IFERROR(IF(COUNTIF(J26:U26,"x")=0,COUNTA(Besatzung!$B$11:$B$22),COUNTIF(J26:U26,"x")),1)+IF(COUNTIF(J26:U26,"x")=0,(Besatzung!$F$18="x"),(Q26="x")*(Besatzung!$F$18="x"))*IFERROR(H26,0)/IFERROR(IF(COUNTIF(J26:U26,"x")=0,SUMPRODUCT((Besatzung!$B$11:$B$22&lt;&gt;"")*(Besatzung!$F$11:$F$22="x")),SUMPRODUCT((J26:U26="x")*(Besatzung!$F$11:$F$22="x"))),1))))),0))))</f>
        <v/>
      </c>
      <c r="AD26" s="106">
        <f>IF(C26="Gutschrift","",IF(G26="","",IF(Besatzung!$B$19="","",IFERROR(IF(I26="Zeitanteilig",(Besatzung!$G$19*(G26-IFERROR(H26,0))+((Besatzung!$B$19&lt;&gt;"")*IF(B26="",1,(IF(Besatzung!$C$19="",Besatzung!$B$5,Besatzung!$C$19)&lt;=B26)*(IF(Besatzung!$D$19="",Besatzung!$B$6,Besatzung!$D$19)&gt;=B26)))*(Besatzung!$F$19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$19&lt;&gt;"")*IF(B26="",1,(IF(Besatzung!$C$19="",Besatzung!$B$5,Besatzung!$C$19)&lt;=B26)*(IF(Besatzung!$D$19="",Besatzung!$B$6,Besatzung!$D$19)&gt;=B26)))*((G26-IFERROR(H26,0))/IFERROR(SUMPRODUCT((Besatzung!$B$11:$B$22&lt;&gt;"")*(IF(Besatzung!$C$11:$C$22="",Besatzung!$B$5,Besatzung!$C$11:$C$22)&lt;=B26)*(IF(Besatzung!$D$11:$D$22="",Besatzung!$B$6,Besatzung!$D$11:$D$22)&gt;=B26)),1)+(Besatzung!$F$19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R26="x")*((G26-IFERROR(H26,0))/IFERROR(COUNTIF(J26:U26,"x"),1)+(Besatzung!$F$19="x")*IFERROR(H26,0)/IFERROR(SUMPRODUCT((J26:U26="x")*(Besatzung!$F$11:$F$22="x")),1))),(IF(COUNTIF(J26:U26,"x")=0,IF(Besatzung!$B$19&lt;&gt;"",1,0),(R26="x"))*(G26-IFERROR(H26,0))/IFERROR(IF(COUNTIF(J26:U26,"x")=0,COUNTA(Besatzung!$B$11:$B$22),COUNTIF(J26:U26,"x")),1)+IF(COUNTIF(J26:U26,"x")=0,(Besatzung!$F$19="x"),(R26="x")*(Besatzung!$F$19="x"))*IFERROR(H26,0)/IFERROR(IF(COUNTIF(J26:U26,"x")=0,SUMPRODUCT((Besatzung!$B$11:$B$22&lt;&gt;"")*(Besatzung!$F$11:$F$22="x")),SUMPRODUCT((J26:U26="x")*(Besatzung!$F$11:$F$22="x"))),1))))),0))))</f>
        <v/>
      </c>
      <c r="AE26" s="106">
        <f>IF(C26="Gutschrift","",IF(G26="","",IF(Besatzung!$B$20="","",IFERROR(IF(I26="Zeitanteilig",(Besatzung!$G$20*(G26-IFERROR(H26,0))+((Besatzung!$B$20&lt;&gt;"")*IF(B26="",1,(IF(Besatzung!$C$20="",Besatzung!$B$5,Besatzung!$C$20)&lt;=B26)*(IF(Besatzung!$D$20="",Besatzung!$B$6,Besatzung!$D$20)&gt;=B26)))*(Besatzung!$F$20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$20&lt;&gt;"")*IF(B26="",1,(IF(Besatzung!$C$20="",Besatzung!$B$5,Besatzung!$C$20)&lt;=B26)*(IF(Besatzung!$D$20="",Besatzung!$B$6,Besatzung!$D$20)&gt;=B26)))*((G26-IFERROR(H26,0))/IFERROR(SUMPRODUCT((Besatzung!$B$11:$B$22&lt;&gt;"")*(IF(Besatzung!$C$11:$C$22="",Besatzung!$B$5,Besatzung!$C$11:$C$22)&lt;=B26)*(IF(Besatzung!$D$11:$D$22="",Besatzung!$B$6,Besatzung!$D$11:$D$22)&gt;=B26)),1)+(Besatzung!$F$20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S26="x")*((G26-IFERROR(H26,0))/IFERROR(COUNTIF(J26:U26,"x"),1)+(Besatzung!$F$20="x")*IFERROR(H26,0)/IFERROR(SUMPRODUCT((J26:U26="x")*(Besatzung!$F$11:$F$22="x")),1))),(IF(COUNTIF(J26:U26,"x")=0,IF(Besatzung!$B$20&lt;&gt;"",1,0),(S26="x"))*(G26-IFERROR(H26,0))/IFERROR(IF(COUNTIF(J26:U26,"x")=0,COUNTA(Besatzung!$B$11:$B$22),COUNTIF(J26:U26,"x")),1)+IF(COUNTIF(J26:U26,"x")=0,(Besatzung!$F$20="x"),(S26="x")*(Besatzung!$F$20="x"))*IFERROR(H26,0)/IFERROR(IF(COUNTIF(J26:U26,"x")=0,SUMPRODUCT((Besatzung!$B$11:$B$22&lt;&gt;"")*(Besatzung!$F$11:$F$22="x")),SUMPRODUCT((J26:U26="x")*(Besatzung!$F$11:$F$22="x"))),1))))),0))))</f>
        <v/>
      </c>
      <c r="AF26" s="106">
        <f>IF(C26="Gutschrift","",IF(G26="","",IF(Besatzung!$B$21="","",IFERROR(IF(I26="Zeitanteilig",(Besatzung!$G$21*(G26-IFERROR(H26,0))+((Besatzung!$B$21&lt;&gt;"")*IF(B26="",1,(IF(Besatzung!$C$21="",Besatzung!$B$5,Besatzung!$C$21)&lt;=B26)*(IF(Besatzung!$D$21="",Besatzung!$B$6,Besatzung!$D$21)&gt;=B26)))*(Besatzung!$F$21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$21&lt;&gt;"")*IF(B26="",1,(IF(Besatzung!$C$21="",Besatzung!$B$5,Besatzung!$C$21)&lt;=B26)*(IF(Besatzung!$D$21="",Besatzung!$B$6,Besatzung!$D$21)&gt;=B26)))*((G26-IFERROR(H26,0))/IFERROR(SUMPRODUCT((Besatzung!$B$11:$B$22&lt;&gt;"")*(IF(Besatzung!$C$11:$C$22="",Besatzung!$B$5,Besatzung!$C$11:$C$22)&lt;=B26)*(IF(Besatzung!$D$11:$D$22="",Besatzung!$B$6,Besatzung!$D$11:$D$22)&gt;=B26)),1)+(Besatzung!$F$21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T26="x")*((G26-IFERROR(H26,0))/IFERROR(COUNTIF(J26:U26,"x"),1)+(Besatzung!$F$21="x")*IFERROR(H26,0)/IFERROR(SUMPRODUCT((J26:U26="x")*(Besatzung!$F$11:$F$22="x")),1))),(IF(COUNTIF(J26:U26,"x")=0,IF(Besatzung!$B$21&lt;&gt;"",1,0),(T26="x"))*(G26-IFERROR(H26,0))/IFERROR(IF(COUNTIF(J26:U26,"x")=0,COUNTA(Besatzung!$B$11:$B$22),COUNTIF(J26:U26,"x")),1)+IF(COUNTIF(J26:U26,"x")=0,(Besatzung!$F$21="x"),(T26="x")*(Besatzung!$F$21="x"))*IFERROR(H26,0)/IFERROR(IF(COUNTIF(J26:U26,"x")=0,SUMPRODUCT((Besatzung!$B$11:$B$22&lt;&gt;"")*(Besatzung!$F$11:$F$22="x")),SUMPRODUCT((J26:U26="x")*(Besatzung!$F$11:$F$22="x"))),1))))),0))))</f>
        <v/>
      </c>
      <c r="AG26" s="106">
        <f>IF(C26="Gutschrift","",IF(G26="","",IF(Besatzung!$B$22="","",IFERROR(IF(I26="Zeitanteilig",(Besatzung!$G$22*(G26-IFERROR(H26,0))+((Besatzung!$B$22&lt;&gt;"")*IF(B26="",1,(IF(Besatzung!$C$22="",Besatzung!$B$5,Besatzung!$C$22)&lt;=B26)*(IF(Besatzung!$D$22="",Besatzung!$B$6,Besatzung!$D$22)&gt;=B26)))*(Besatzung!$F$22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$22&lt;&gt;"")*IF(B26="",1,(IF(Besatzung!$C$22="",Besatzung!$B$5,Besatzung!$C$22)&lt;=B26)*(IF(Besatzung!$D$22="",Besatzung!$B$6,Besatzung!$D$22)&gt;=B26)))*((G26-IFERROR(H26,0))/IFERROR(SUMPRODUCT((Besatzung!$B$11:$B$22&lt;&gt;"")*(IF(Besatzung!$C$11:$C$22="",Besatzung!$B$5,Besatzung!$C$11:$C$22)&lt;=B26)*(IF(Besatzung!$D$11:$D$22="",Besatzung!$B$6,Besatzung!$D$11:$D$22)&gt;=B26)),1)+(Besatzung!$F$22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U26="x")*((G26-IFERROR(H26,0))/IFERROR(COUNTIF(J26:U26,"x"),1)+(Besatzung!$F$22="x")*IFERROR(H26,0)/IFERROR(SUMPRODUCT((J26:U26="x")*(Besatzung!$F$11:$F$22="x")),1))),(IF(COUNTIF(J26:U26,"x")=0,IF(Besatzung!$B$22&lt;&gt;"",1,0),(U26="x"))*(G26-IFERROR(H26,0))/IFERROR(IF(COUNTIF(J26:U26,"x")=0,COUNTA(Besatzung!$B$11:$B$22),COUNTIF(J26:U26,"x")),1)+IF(COUNTIF(J26:U26,"x")=0,(Besatzung!$F$22="x"),(U26="x")*(Besatzung!$F$22="x"))*IFERROR(H26,0)/IFERROR(IF(COUNTIF(J26:U26,"x")=0,SUMPRODUCT((Besatzung!$B$11:$B$22&lt;&gt;"")*(Besatzung!$F$11:$F$22="x")),SUMPRODUCT((J26:U26="x")*(Besatzung!$F$11:$F$22="x"))),1))))),0))))</f>
        <v/>
      </c>
      <c r="AH26" s="107" t="n"/>
      <c r="AI26" s="107" t="n"/>
    </row>
    <row r="27" ht="21.75" customHeight="1" s="182">
      <c r="A27" s="97">
        <f>IF(AND(D27="",C27=""),"",24)</f>
        <v/>
      </c>
      <c r="B27" s="63" t="n"/>
      <c r="C27" s="108" t="n"/>
      <c r="D27" s="109" t="n"/>
      <c r="E27" s="110" t="n"/>
      <c r="F27" s="111" t="n"/>
      <c r="G27" s="112" t="n"/>
      <c r="H27" s="113" t="n"/>
      <c r="I27" s="114" t="n"/>
      <c r="J27" s="115" t="n"/>
      <c r="K27" s="115" t="n"/>
      <c r="L27" s="115" t="n"/>
      <c r="M27" s="115" t="n"/>
      <c r="N27" s="115" t="n"/>
      <c r="O27" s="115" t="n"/>
      <c r="P27" s="115" t="n"/>
      <c r="Q27" s="115" t="n"/>
      <c r="R27" s="115" t="n"/>
      <c r="S27" s="115" t="n"/>
      <c r="T27" s="115" t="n"/>
      <c r="U27" s="115" t="n"/>
      <c r="V27" s="106">
        <f>IF(C27="Gutschrift","",IF(G27="","",IF(Besatzung!$B$11="","",IFERROR(IF(I27="Zeitanteilig",(Besatzung!$G$11*(G27-IFERROR(H27,0))+((Besatzung!$B$11&lt;&gt;"")*IF(B27="",1,(IF(Besatzung!$C$11="",Besatzung!$B$5,Besatzung!$C$11)&lt;=B27)*(IF(Besatzung!$D$11="",Besatzung!$B$6,Besatzung!$D$11)&gt;=B27)))*(Besatzung!$F$11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$11&lt;&gt;"")*IF(B27="",1,(IF(Besatzung!$C$11="",Besatzung!$B$5,Besatzung!$C$11)&lt;=B27)*(IF(Besatzung!$D$11="",Besatzung!$B$6,Besatzung!$D$11)&gt;=B27)))*((G27-IFERROR(H27,0))/IFERROR(SUMPRODUCT((Besatzung!$B$11:$B$22&lt;&gt;"")*(IF(Besatzung!$C$11:$C$22="",Besatzung!$B$5,Besatzung!$C$11:$C$22)&lt;=B27)*(IF(Besatzung!$D$11:$D$22="",Besatzung!$B$6,Besatzung!$D$11:$D$22)&gt;=B27)),1)+(Besatzung!$F$11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J27="x")*((G27-IFERROR(H27,0))/IFERROR(COUNTIF(J27:U27,"x"),1)+(Besatzung!$F$11="x")*IFERROR(H27,0)/IFERROR(SUMPRODUCT((J27:U27="x")*(Besatzung!$F$11:$F$22="x")),1))),(IF(COUNTIF(J27:U27,"x")=0,IF(Besatzung!$B$11&lt;&gt;"",1,0),(J27="x"))*(G27-IFERROR(H27,0))/IFERROR(IF(COUNTIF(J27:U27,"x")=0,COUNTA(Besatzung!$B$11:$B$22),COUNTIF(J27:U27,"x")),1)+IF(COUNTIF(J27:U27,"x")=0,(Besatzung!$F$11="x"),(J27="x")*(Besatzung!$F$11="x"))*IFERROR(H27,0)/IFERROR(IF(COUNTIF(J27:U27,"x")=0,SUMPRODUCT((Besatzung!$B$11:$B$22&lt;&gt;"")*(Besatzung!$F$11:$F$22="x")),SUMPRODUCT((J27:U27="x")*(Besatzung!$F$11:$F$22="x"))),1))))),0))))</f>
        <v/>
      </c>
      <c r="W27" s="106">
        <f>IF(C27="Gutschrift","",IF(G27="","",IF(Besatzung!$B$12="","",IFERROR(IF(I27="Zeitanteilig",(Besatzung!$G$12*(G27-IFERROR(H27,0))+((Besatzung!$B$12&lt;&gt;"")*IF(B27="",1,(IF(Besatzung!$C$12="",Besatzung!$B$5,Besatzung!$C$12)&lt;=B27)*(IF(Besatzung!$D$12="",Besatzung!$B$6,Besatzung!$D$12)&gt;=B27)))*(Besatzung!$F$12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$12&lt;&gt;"")*IF(B27="",1,(IF(Besatzung!$C$12="",Besatzung!$B$5,Besatzung!$C$12)&lt;=B27)*(IF(Besatzung!$D$12="",Besatzung!$B$6,Besatzung!$D$12)&gt;=B27)))*((G27-IFERROR(H27,0))/IFERROR(SUMPRODUCT((Besatzung!$B$11:$B$22&lt;&gt;"")*(IF(Besatzung!$C$11:$C$22="",Besatzung!$B$5,Besatzung!$C$11:$C$22)&lt;=B27)*(IF(Besatzung!$D$11:$D$22="",Besatzung!$B$6,Besatzung!$D$11:$D$22)&gt;=B27)),1)+(Besatzung!$F$12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K27="x")*((G27-IFERROR(H27,0))/IFERROR(COUNTIF(J27:U27,"x"),1)+(Besatzung!$F$12="x")*IFERROR(H27,0)/IFERROR(SUMPRODUCT((J27:U27="x")*(Besatzung!$F$11:$F$22="x")),1))),(IF(COUNTIF(J27:U27,"x")=0,IF(Besatzung!$B$12&lt;&gt;"",1,0),(K27="x"))*(G27-IFERROR(H27,0))/IFERROR(IF(COUNTIF(J27:U27,"x")=0,COUNTA(Besatzung!$B$11:$B$22),COUNTIF(J27:U27,"x")),1)+IF(COUNTIF(J27:U27,"x")=0,(Besatzung!$F$12="x"),(K27="x")*(Besatzung!$F$12="x"))*IFERROR(H27,0)/IFERROR(IF(COUNTIF(J27:U27,"x")=0,SUMPRODUCT((Besatzung!$B$11:$B$22&lt;&gt;"")*(Besatzung!$F$11:$F$22="x")),SUMPRODUCT((J27:U27="x")*(Besatzung!$F$11:$F$22="x"))),1))))),0))))</f>
        <v/>
      </c>
      <c r="X27" s="106">
        <f>IF(C27="Gutschrift","",IF(G27="","",IF(Besatzung!$B$13="","",IFERROR(IF(I27="Zeitanteilig",(Besatzung!$G$13*(G27-IFERROR(H27,0))+((Besatzung!$B$13&lt;&gt;"")*IF(B27="",1,(IF(Besatzung!$C$13="",Besatzung!$B$5,Besatzung!$C$13)&lt;=B27)*(IF(Besatzung!$D$13="",Besatzung!$B$6,Besatzung!$D$13)&gt;=B27)))*(Besatzung!$F$13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$13&lt;&gt;"")*IF(B27="",1,(IF(Besatzung!$C$13="",Besatzung!$B$5,Besatzung!$C$13)&lt;=B27)*(IF(Besatzung!$D$13="",Besatzung!$B$6,Besatzung!$D$13)&gt;=B27)))*((G27-IFERROR(H27,0))/IFERROR(SUMPRODUCT((Besatzung!$B$11:$B$22&lt;&gt;"")*(IF(Besatzung!$C$11:$C$22="",Besatzung!$B$5,Besatzung!$C$11:$C$22)&lt;=B27)*(IF(Besatzung!$D$11:$D$22="",Besatzung!$B$6,Besatzung!$D$11:$D$22)&gt;=B27)),1)+(Besatzung!$F$13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K27="x")*((G27-IFERROR(H27,0))/IFERROR(COUNTIF(J27:U27,"x"),1)+(Besatzung!$F$13="x")*IFERROR(H27,0)/IFERROR(SUMPRODUCT((J27:U27="x")*(Besatzung!$F$11:$F$22="x")),1))),(IF(COUNTIF(J27:U27,"x")=0,IF(Besatzung!$B$13&lt;&gt;"",1,0),(K27="x"))*(G27-IFERROR(H27,0))/IFERROR(IF(COUNTIF(J27:U27,"x")=0,COUNTA(Besatzung!$B$11:$B$22),COUNTIF(J27:U27,"x")),1)+IF(COUNTIF(J27:U27,"x")=0,(Besatzung!$F$13="x"),(K27="x")*(Besatzung!$F$13="x"))*IFERROR(H27,0)/IFERROR(IF(COUNTIF(J27:U27,"x")=0,SUMPRODUCT((Besatzung!$B$11:$B$22&lt;&gt;"")*(Besatzung!$F$11:$F$22="x")),SUMPRODUCT((J27:U27="x")*(Besatzung!$F$11:$F$22="x"))),1))))),0))))</f>
        <v/>
      </c>
      <c r="Y27" s="106">
        <f>IF(C27="Gutschrift","",IF(G27="","",IF(Besatzung!$B$14="","",IFERROR(IF(I27="Zeitanteilig",(Besatzung!$G$14*(G27-IFERROR(H27,0))+((Besatzung!$B$14&lt;&gt;"")*IF(B27="",1,(IF(Besatzung!$C$14="",Besatzung!$B$5,Besatzung!$C$14)&lt;=B27)*(IF(Besatzung!$D$14="",Besatzung!$B$6,Besatzung!$D$14)&gt;=B27)))*(Besatzung!$F$14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$14&lt;&gt;"")*IF(B27="",1,(IF(Besatzung!$C$14="",Besatzung!$B$5,Besatzung!$C$14)&lt;=B27)*(IF(Besatzung!$D$14="",Besatzung!$B$6,Besatzung!$D$14)&gt;=B27)))*((G27-IFERROR(H27,0))/IFERROR(SUMPRODUCT((Besatzung!$B$11:$B$22&lt;&gt;"")*(IF(Besatzung!$C$11:$C$22="",Besatzung!$B$5,Besatzung!$C$11:$C$22)&lt;=B27)*(IF(Besatzung!$D$11:$D$22="",Besatzung!$B$6,Besatzung!$D$11:$D$22)&gt;=B27)),1)+(Besatzung!$F$14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M27="x")*((G27-IFERROR(H27,0))/IFERROR(COUNTIF(J27:U27,"x"),1)+(Besatzung!$F$14="x")*IFERROR(H27,0)/IFERROR(SUMPRODUCT((J27:U27="x")*(Besatzung!$F$11:$F$22="x")),1))),(IF(COUNTIF(J27:U27,"x")=0,IF(Besatzung!$B$14&lt;&gt;"",1,0),(M27="x"))*(G27-IFERROR(H27,0))/IFERROR(IF(COUNTIF(J27:U27,"x")=0,COUNTA(Besatzung!$B$11:$B$22),COUNTIF(J27:U27,"x")),1)+IF(COUNTIF(J27:U27,"x")=0,(Besatzung!$F$14="x"),(M27="x")*(Besatzung!$F$14="x"))*IFERROR(H27,0)/IFERROR(IF(COUNTIF(J27:U27,"x")=0,SUMPRODUCT((Besatzung!$B$11:$B$22&lt;&gt;"")*(Besatzung!$F$11:$F$22="x")),SUMPRODUCT((J27:U27="x")*(Besatzung!$F$11:$F$22="x"))),1))))),0))))</f>
        <v/>
      </c>
      <c r="Z27" s="106">
        <f>IF(C27="Gutschrift","",IF(G27="","",IF(Besatzung!$B$13="","",IFERROR(IF(I27="Zeitanteilig",(Besatzung!$G$15*(G27-IFERROR(H27,0))+((Besatzung!$B$13&lt;&gt;"")*IF(B27="",1,(IF(Besatzung!$C$15="",Besatzung!$B$5,Besatzung!$C$15)&lt;=B27)*(IF(Besatzung!$D$15="",Besatzung!$B$6,Besatzung!$D$15)&gt;=B27)))*(Besatzung!$F$15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$13&lt;&gt;"")*IF(B27="",1,(IF(Besatzung!$C$15="",Besatzung!$B$5,Besatzung!$C$15)&lt;=B27)*(IF(Besatzung!$D$15="",Besatzung!$B$6,Besatzung!$D$15)&gt;=B27)))*((G27-IFERROR(H27,0))/IFERROR(SUMPRODUCT((Besatzung!$B$11:$B$22&lt;&gt;"")*(IF(Besatzung!$C$11:$C$22="",Besatzung!$B$5,Besatzung!$C$11:$C$22)&lt;=B27)*(IF(Besatzung!$D$11:$D$22="",Besatzung!$B$6,Besatzung!$D$11:$D$22)&gt;=B27)),1)+(Besatzung!$F$15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N27="x")*((G27-IFERROR(H27,0))/IFERROR(COUNTIF(J27:U27,"x"),1)+(Besatzung!$F$15="x")*IFERROR(H27,0)/IFERROR(SUMPRODUCT((J27:U27="x")*(Besatzung!$F$11:$F$22="x")),1))),(IF(COUNTIF(J27:U27,"x")=0,IF(Besatzung!$B$13&lt;&gt;"",1,0),(N27="x"))*(G27-IFERROR(H27,0))/IFERROR(IF(COUNTIF(J27:U27,"x")=0,COUNTA(Besatzung!$B$11:$B$22),COUNTIF(J27:U27,"x")),1)+IF(COUNTIF(J27:U27,"x")=0,(Besatzung!$F$15="x"),(N27="x")*(Besatzung!$F$15="x"))*IFERROR(H27,0)/IFERROR(IF(COUNTIF(J27:U27,"x")=0,SUMPRODUCT((Besatzung!$B$11:$B$22&lt;&gt;"")*(Besatzung!$F$11:$F$22="x")),SUMPRODUCT((J27:U27="x")*(Besatzung!$F$11:$F$22="x"))),1))))),0))))</f>
        <v/>
      </c>
      <c r="AA27" s="106">
        <f>IF(C27="Gutschrift","",IF(G27="","",IF(Besatzung!$B$15="","",IFERROR(IF(I27="Zeitanteilig",(Besatzung!$G$16*(G27-IFERROR(H27,0))+((Besatzung!$B$15&lt;&gt;"")*IF(B27="",1,(IF(Besatzung!$C$16="",Besatzung!$B$5,Besatzung!$C$16)&lt;=B27)*(IF(Besatzung!$D$16="",Besatzung!$B$6,Besatzung!$D$16)&gt;=B27)))*(Besatzung!$F$16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$15&lt;&gt;"")*IF(B27="",1,(IF(Besatzung!$C$16="",Besatzung!$B$5,Besatzung!$C$16)&lt;=B27)*(IF(Besatzung!$D$16="",Besatzung!$B$6,Besatzung!$D$16)&gt;=B27)))*((G27-IFERROR(H27,0))/IFERROR(SUMPRODUCT((Besatzung!$B$11:$B$22&lt;&gt;"")*(IF(Besatzung!$C$11:$C$22="",Besatzung!$B$5,Besatzung!$C$11:$C$22)&lt;=B27)*(IF(Besatzung!$D$11:$D$22="",Besatzung!$B$6,Besatzung!$D$11:$D$22)&gt;=B27)),1)+(Besatzung!$F$16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O27="x")*((G27-IFERROR(H27,0))/IFERROR(COUNTIF(J27:U27,"x"),1)+(Besatzung!$F$16="x")*IFERROR(H27,0)/IFERROR(SUMPRODUCT((J27:U27="x")*(Besatzung!$F$11:$F$22="x")),1))),(IF(COUNTIF(J27:U27,"x")=0,IF(Besatzung!$B$15&lt;&gt;"",1,0),(O27="x"))*(G27-IFERROR(H27,0))/IFERROR(IF(COUNTIF(J27:U27,"x")=0,COUNTA(Besatzung!$B$11:$B$22),COUNTIF(J27:U27,"x")),1)+IF(COUNTIF(J27:U27,"x")=0,(Besatzung!$F$16="x"),(O27="x")*(Besatzung!$F$16="x"))*IFERROR(H27,0)/IFERROR(IF(COUNTIF(J27:U27,"x")=0,SUMPRODUCT((Besatzung!$B$11:$B$22&lt;&gt;"")*(Besatzung!$F$11:$F$22="x")),SUMPRODUCT((J27:U27="x")*(Besatzung!$F$11:$F$22="x"))),1))))),0))))</f>
        <v/>
      </c>
      <c r="AB27" s="106">
        <f>IF(C27="Gutschrift","",IF(G27="","",IF(Besatzung!$B$17="","",IFERROR(IF(I27="Zeitanteilig",(Besatzung!$G$17*(G27-IFERROR(H27,0))+((Besatzung!$B$17&lt;&gt;"")*IF(B27="",1,(IF(Besatzung!$C$17="",Besatzung!$B$5,Besatzung!$C$17)&lt;=B27)*(IF(Besatzung!$D$17="",Besatzung!$B$6,Besatzung!$D$17)&gt;=B27)))*(Besatzung!$F$17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$17&lt;&gt;"")*IF(B27="",1,(IF(Besatzung!$C$17="",Besatzung!$B$5,Besatzung!$C$17)&lt;=B27)*(IF(Besatzung!$D$17="",Besatzung!$B$6,Besatzung!$D$17)&gt;=B27)))*((G27-IFERROR(H27,0))/IFERROR(SUMPRODUCT((Besatzung!$B$11:$B$22&lt;&gt;"")*(IF(Besatzung!$C$11:$C$22="",Besatzung!$B$5,Besatzung!$C$11:$C$22)&lt;=B27)*(IF(Besatzung!$D$11:$D$22="",Besatzung!$B$6,Besatzung!$D$11:$D$22)&gt;=B27)),1)+(Besatzung!$F$17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P27="x")*((G27-IFERROR(H27,0))/IFERROR(COUNTIF(J27:U27,"x"),1)+(Besatzung!$F$17="x")*IFERROR(H27,0)/IFERROR(SUMPRODUCT((J27:U27="x")*(Besatzung!$F$11:$F$22="x")),1))),(IF(COUNTIF(J27:U27,"x")=0,IF(Besatzung!$B$17&lt;&gt;"",1,0),(P27="x"))*(G27-IFERROR(H27,0))/IFERROR(IF(COUNTIF(J27:U27,"x")=0,COUNTA(Besatzung!$B$11:$B$22),COUNTIF(J27:U27,"x")),1)+IF(COUNTIF(J27:U27,"x")=0,(Besatzung!$F$17="x"),(P27="x")*(Besatzung!$F$17="x"))*IFERROR(H27,0)/IFERROR(IF(COUNTIF(J27:U27,"x")=0,SUMPRODUCT((Besatzung!$B$11:$B$22&lt;&gt;"")*(Besatzung!$F$11:$F$22="x")),SUMPRODUCT((J27:U27="x")*(Besatzung!$F$11:$F$22="x"))),1))))),0))))</f>
        <v/>
      </c>
      <c r="AC27" s="106">
        <f>IF(C27="Gutschrift","",IF(G27="","",IF(Besatzung!$B$18="","",IFERROR(IF(I27="Zeitanteilig",(Besatzung!$G$18*(G27-IFERROR(H27,0))+((Besatzung!$B$18&lt;&gt;"")*IF(B27="",1,(IF(Besatzung!$C$18="",Besatzung!$B$5,Besatzung!$C$18)&lt;=B27)*(IF(Besatzung!$D$18="",Besatzung!$B$6,Besatzung!$D$18)&gt;=B27)))*(Besatzung!$F$18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$18&lt;&gt;"")*IF(B27="",1,(IF(Besatzung!$C$18="",Besatzung!$B$5,Besatzung!$C$18)&lt;=B27)*(IF(Besatzung!$D$18="",Besatzung!$B$6,Besatzung!$D$18)&gt;=B27)))*((G27-IFERROR(H27,0))/IFERROR(SUMPRODUCT((Besatzung!$B$11:$B$22&lt;&gt;"")*(IF(Besatzung!$C$11:$C$22="",Besatzung!$B$5,Besatzung!$C$11:$C$22)&lt;=B27)*(IF(Besatzung!$D$11:$D$22="",Besatzung!$B$6,Besatzung!$D$11:$D$22)&gt;=B27)),1)+(Besatzung!$F$18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Q27="x")*((G27-IFERROR(H27,0))/IFERROR(COUNTIF(J27:U27,"x"),1)+(Besatzung!$F$18="x")*IFERROR(H27,0)/IFERROR(SUMPRODUCT((J27:U27="x")*(Besatzung!$F$11:$F$22="x")),1))),(IF(COUNTIF(J27:U27,"x")=0,IF(Besatzung!$B$18&lt;&gt;"",1,0),(Q27="x"))*(G27-IFERROR(H27,0))/IFERROR(IF(COUNTIF(J27:U27,"x")=0,COUNTA(Besatzung!$B$11:$B$22),COUNTIF(J27:U27,"x")),1)+IF(COUNTIF(J27:U27,"x")=0,(Besatzung!$F$18="x"),(Q27="x")*(Besatzung!$F$18="x"))*IFERROR(H27,0)/IFERROR(IF(COUNTIF(J27:U27,"x")=0,SUMPRODUCT((Besatzung!$B$11:$B$22&lt;&gt;"")*(Besatzung!$F$11:$F$22="x")),SUMPRODUCT((J27:U27="x")*(Besatzung!$F$11:$F$22="x"))),1))))),0))))</f>
        <v/>
      </c>
      <c r="AD27" s="106">
        <f>IF(C27="Gutschrift","",IF(G27="","",IF(Besatzung!$B$19="","",IFERROR(IF(I27="Zeitanteilig",(Besatzung!$G$19*(G27-IFERROR(H27,0))+((Besatzung!$B$19&lt;&gt;"")*IF(B27="",1,(IF(Besatzung!$C$19="",Besatzung!$B$5,Besatzung!$C$19)&lt;=B27)*(IF(Besatzung!$D$19="",Besatzung!$B$6,Besatzung!$D$19)&gt;=B27)))*(Besatzung!$F$19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$19&lt;&gt;"")*IF(B27="",1,(IF(Besatzung!$C$19="",Besatzung!$B$5,Besatzung!$C$19)&lt;=B27)*(IF(Besatzung!$D$19="",Besatzung!$B$6,Besatzung!$D$19)&gt;=B27)))*((G27-IFERROR(H27,0))/IFERROR(SUMPRODUCT((Besatzung!$B$11:$B$22&lt;&gt;"")*(IF(Besatzung!$C$11:$C$22="",Besatzung!$B$5,Besatzung!$C$11:$C$22)&lt;=B27)*(IF(Besatzung!$D$11:$D$22="",Besatzung!$B$6,Besatzung!$D$11:$D$22)&gt;=B27)),1)+(Besatzung!$F$19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R27="x")*((G27-IFERROR(H27,0))/IFERROR(COUNTIF(J27:U27,"x"),1)+(Besatzung!$F$19="x")*IFERROR(H27,0)/IFERROR(SUMPRODUCT((J27:U27="x")*(Besatzung!$F$11:$F$22="x")),1))),(IF(COUNTIF(J27:U27,"x")=0,IF(Besatzung!$B$19&lt;&gt;"",1,0),(R27="x"))*(G27-IFERROR(H27,0))/IFERROR(IF(COUNTIF(J27:U27,"x")=0,COUNTA(Besatzung!$B$11:$B$22),COUNTIF(J27:U27,"x")),1)+IF(COUNTIF(J27:U27,"x")=0,(Besatzung!$F$19="x"),(R27="x")*(Besatzung!$F$19="x"))*IFERROR(H27,0)/IFERROR(IF(COUNTIF(J27:U27,"x")=0,SUMPRODUCT((Besatzung!$B$11:$B$22&lt;&gt;"")*(Besatzung!$F$11:$F$22="x")),SUMPRODUCT((J27:U27="x")*(Besatzung!$F$11:$F$22="x"))),1))))),0))))</f>
        <v/>
      </c>
      <c r="AE27" s="106">
        <f>IF(C27="Gutschrift","",IF(G27="","",IF(Besatzung!$B$20="","",IFERROR(IF(I27="Zeitanteilig",(Besatzung!$G$20*(G27-IFERROR(H27,0))+((Besatzung!$B$20&lt;&gt;"")*IF(B27="",1,(IF(Besatzung!$C$20="",Besatzung!$B$5,Besatzung!$C$20)&lt;=B27)*(IF(Besatzung!$D$20="",Besatzung!$B$6,Besatzung!$D$20)&gt;=B27)))*(Besatzung!$F$20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$20&lt;&gt;"")*IF(B27="",1,(IF(Besatzung!$C$20="",Besatzung!$B$5,Besatzung!$C$20)&lt;=B27)*(IF(Besatzung!$D$20="",Besatzung!$B$6,Besatzung!$D$20)&gt;=B27)))*((G27-IFERROR(H27,0))/IFERROR(SUMPRODUCT((Besatzung!$B$11:$B$22&lt;&gt;"")*(IF(Besatzung!$C$11:$C$22="",Besatzung!$B$5,Besatzung!$C$11:$C$22)&lt;=B27)*(IF(Besatzung!$D$11:$D$22="",Besatzung!$B$6,Besatzung!$D$11:$D$22)&gt;=B27)),1)+(Besatzung!$F$20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S27="x")*((G27-IFERROR(H27,0))/IFERROR(COUNTIF(J27:U27,"x"),1)+(Besatzung!$F$20="x")*IFERROR(H27,0)/IFERROR(SUMPRODUCT((J27:U27="x")*(Besatzung!$F$11:$F$22="x")),1))),(IF(COUNTIF(J27:U27,"x")=0,IF(Besatzung!$B$20&lt;&gt;"",1,0),(S27="x"))*(G27-IFERROR(H27,0))/IFERROR(IF(COUNTIF(J27:U27,"x")=0,COUNTA(Besatzung!$B$11:$B$22),COUNTIF(J27:U27,"x")),1)+IF(COUNTIF(J27:U27,"x")=0,(Besatzung!$F$20="x"),(S27="x")*(Besatzung!$F$20="x"))*IFERROR(H27,0)/IFERROR(IF(COUNTIF(J27:U27,"x")=0,SUMPRODUCT((Besatzung!$B$11:$B$22&lt;&gt;"")*(Besatzung!$F$11:$F$22="x")),SUMPRODUCT((J27:U27="x")*(Besatzung!$F$11:$F$22="x"))),1))))),0))))</f>
        <v/>
      </c>
      <c r="AF27" s="106">
        <f>IF(C27="Gutschrift","",IF(G27="","",IF(Besatzung!$B$21="","",IFERROR(IF(I27="Zeitanteilig",(Besatzung!$G$21*(G27-IFERROR(H27,0))+((Besatzung!$B$21&lt;&gt;"")*IF(B27="",1,(IF(Besatzung!$C$21="",Besatzung!$B$5,Besatzung!$C$21)&lt;=B27)*(IF(Besatzung!$D$21="",Besatzung!$B$6,Besatzung!$D$21)&gt;=B27)))*(Besatzung!$F$21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$21&lt;&gt;"")*IF(B27="",1,(IF(Besatzung!$C$21="",Besatzung!$B$5,Besatzung!$C$21)&lt;=B27)*(IF(Besatzung!$D$21="",Besatzung!$B$6,Besatzung!$D$21)&gt;=B27)))*((G27-IFERROR(H27,0))/IFERROR(SUMPRODUCT((Besatzung!$B$11:$B$22&lt;&gt;"")*(IF(Besatzung!$C$11:$C$22="",Besatzung!$B$5,Besatzung!$C$11:$C$22)&lt;=B27)*(IF(Besatzung!$D$11:$D$22="",Besatzung!$B$6,Besatzung!$D$11:$D$22)&gt;=B27)),1)+(Besatzung!$F$21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T27="x")*((G27-IFERROR(H27,0))/IFERROR(COUNTIF(J27:U27,"x"),1)+(Besatzung!$F$21="x")*IFERROR(H27,0)/IFERROR(SUMPRODUCT((J27:U27="x")*(Besatzung!$F$11:$F$22="x")),1))),(IF(COUNTIF(J27:U27,"x")=0,IF(Besatzung!$B$21&lt;&gt;"",1,0),(T27="x"))*(G27-IFERROR(H27,0))/IFERROR(IF(COUNTIF(J27:U27,"x")=0,COUNTA(Besatzung!$B$11:$B$22),COUNTIF(J27:U27,"x")),1)+IF(COUNTIF(J27:U27,"x")=0,(Besatzung!$F$21="x"),(T27="x")*(Besatzung!$F$21="x"))*IFERROR(H27,0)/IFERROR(IF(COUNTIF(J27:U27,"x")=0,SUMPRODUCT((Besatzung!$B$11:$B$22&lt;&gt;"")*(Besatzung!$F$11:$F$22="x")),SUMPRODUCT((J27:U27="x")*(Besatzung!$F$11:$F$22="x"))),1))))),0))))</f>
        <v/>
      </c>
      <c r="AG27" s="106">
        <f>IF(C27="Gutschrift","",IF(G27="","",IF(Besatzung!$B$22="","",IFERROR(IF(I27="Zeitanteilig",(Besatzung!$G$22*(G27-IFERROR(H27,0))+((Besatzung!$B$22&lt;&gt;"")*IF(B27="",1,(IF(Besatzung!$C$22="",Besatzung!$B$5,Besatzung!$C$22)&lt;=B27)*(IF(Besatzung!$D$22="",Besatzung!$B$6,Besatzung!$D$22)&gt;=B27)))*(Besatzung!$F$22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$22&lt;&gt;"")*IF(B27="",1,(IF(Besatzung!$C$22="",Besatzung!$B$5,Besatzung!$C$22)&lt;=B27)*(IF(Besatzung!$D$22="",Besatzung!$B$6,Besatzung!$D$22)&gt;=B27)))*((G27-IFERROR(H27,0))/IFERROR(SUMPRODUCT((Besatzung!$B$11:$B$22&lt;&gt;"")*(IF(Besatzung!$C$11:$C$22="",Besatzung!$B$5,Besatzung!$C$11:$C$22)&lt;=B27)*(IF(Besatzung!$D$11:$D$22="",Besatzung!$B$6,Besatzung!$D$11:$D$22)&gt;=B27)),1)+(Besatzung!$F$22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U27="x")*((G27-IFERROR(H27,0))/IFERROR(COUNTIF(J27:U27,"x"),1)+(Besatzung!$F$22="x")*IFERROR(H27,0)/IFERROR(SUMPRODUCT((J27:U27="x")*(Besatzung!$F$11:$F$22="x")),1))),(IF(COUNTIF(J27:U27,"x")=0,IF(Besatzung!$B$22&lt;&gt;"",1,0),(U27="x"))*(G27-IFERROR(H27,0))/IFERROR(IF(COUNTIF(J27:U27,"x")=0,COUNTA(Besatzung!$B$11:$B$22),COUNTIF(J27:U27,"x")),1)+IF(COUNTIF(J27:U27,"x")=0,(Besatzung!$F$22="x"),(U27="x")*(Besatzung!$F$22="x"))*IFERROR(H27,0)/IFERROR(IF(COUNTIF(J27:U27,"x")=0,SUMPRODUCT((Besatzung!$B$11:$B$22&lt;&gt;"")*(Besatzung!$F$11:$F$22="x")),SUMPRODUCT((J27:U27="x")*(Besatzung!$F$11:$F$22="x"))),1))))),0))))</f>
        <v/>
      </c>
      <c r="AH27" s="107" t="n"/>
      <c r="AI27" s="107" t="n"/>
    </row>
    <row r="28" ht="21.75" customHeight="1" s="182">
      <c r="A28" s="97">
        <f>IF(AND(D28="",C28=""),"",25)</f>
        <v/>
      </c>
      <c r="B28" s="56" t="n"/>
      <c r="C28" s="98" t="n"/>
      <c r="D28" s="99" t="n"/>
      <c r="E28" s="100" t="n"/>
      <c r="F28" s="101" t="n"/>
      <c r="G28" s="102" t="n"/>
      <c r="H28" s="103" t="n"/>
      <c r="I28" s="104" t="n"/>
      <c r="J28" s="105" t="n"/>
      <c r="K28" s="105" t="n"/>
      <c r="L28" s="105" t="n"/>
      <c r="M28" s="105" t="n"/>
      <c r="N28" s="105" t="n"/>
      <c r="O28" s="105" t="n"/>
      <c r="P28" s="105" t="n"/>
      <c r="Q28" s="105" t="n"/>
      <c r="R28" s="105" t="n"/>
      <c r="S28" s="105" t="n"/>
      <c r="T28" s="105" t="n"/>
      <c r="U28" s="105" t="n"/>
      <c r="V28" s="106">
        <f>IF(C28="Gutschrift","",IF(G28="","",IF(Besatzung!$B$11="","",IFERROR(IF(I28="Zeitanteilig",(Besatzung!$G$11*(G28-IFERROR(H28,0))+((Besatzung!$B$11&lt;&gt;"")*IF(B28="",1,(IF(Besatzung!$C$11="",Besatzung!$B$5,Besatzung!$C$11)&lt;=B28)*(IF(Besatzung!$D$11="",Besatzung!$B$6,Besatzung!$D$11)&gt;=B28)))*(Besatzung!$F$11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$11&lt;&gt;"")*IF(B28="",1,(IF(Besatzung!$C$11="",Besatzung!$B$5,Besatzung!$C$11)&lt;=B28)*(IF(Besatzung!$D$11="",Besatzung!$B$6,Besatzung!$D$11)&gt;=B28)))*((G28-IFERROR(H28,0))/IFERROR(SUMPRODUCT((Besatzung!$B$11:$B$22&lt;&gt;"")*(IF(Besatzung!$C$11:$C$22="",Besatzung!$B$5,Besatzung!$C$11:$C$22)&lt;=B28)*(IF(Besatzung!$D$11:$D$22="",Besatzung!$B$6,Besatzung!$D$11:$D$22)&gt;=B28)),1)+(Besatzung!$F$11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J28="x")*((G28-IFERROR(H28,0))/IFERROR(COUNTIF(J28:U28,"x"),1)+(Besatzung!$F$11="x")*IFERROR(H28,0)/IFERROR(SUMPRODUCT((J28:U28="x")*(Besatzung!$F$11:$F$22="x")),1))),(IF(COUNTIF(J28:U28,"x")=0,IF(Besatzung!$B$11&lt;&gt;"",1,0),(J28="x"))*(G28-IFERROR(H28,0))/IFERROR(IF(COUNTIF(J28:U28,"x")=0,COUNTA(Besatzung!$B$11:$B$22),COUNTIF(J28:U28,"x")),1)+IF(COUNTIF(J28:U28,"x")=0,(Besatzung!$F$11="x"),(J28="x")*(Besatzung!$F$11="x"))*IFERROR(H28,0)/IFERROR(IF(COUNTIF(J28:U28,"x")=0,SUMPRODUCT((Besatzung!$B$11:$B$22&lt;&gt;"")*(Besatzung!$F$11:$F$22="x")),SUMPRODUCT((J28:U28="x")*(Besatzung!$F$11:$F$22="x"))),1))))),0))))</f>
        <v/>
      </c>
      <c r="W28" s="106">
        <f>IF(C28="Gutschrift","",IF(G28="","",IF(Besatzung!$B$12="","",IFERROR(IF(I28="Zeitanteilig",(Besatzung!$G$12*(G28-IFERROR(H28,0))+((Besatzung!$B$12&lt;&gt;"")*IF(B28="",1,(IF(Besatzung!$C$12="",Besatzung!$B$5,Besatzung!$C$12)&lt;=B28)*(IF(Besatzung!$D$12="",Besatzung!$B$6,Besatzung!$D$12)&gt;=B28)))*(Besatzung!$F$12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$12&lt;&gt;"")*IF(B28="",1,(IF(Besatzung!$C$12="",Besatzung!$B$5,Besatzung!$C$12)&lt;=B28)*(IF(Besatzung!$D$12="",Besatzung!$B$6,Besatzung!$D$12)&gt;=B28)))*((G28-IFERROR(H28,0))/IFERROR(SUMPRODUCT((Besatzung!$B$11:$B$22&lt;&gt;"")*(IF(Besatzung!$C$11:$C$22="",Besatzung!$B$5,Besatzung!$C$11:$C$22)&lt;=B28)*(IF(Besatzung!$D$11:$D$22="",Besatzung!$B$6,Besatzung!$D$11:$D$22)&gt;=B28)),1)+(Besatzung!$F$12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K28="x")*((G28-IFERROR(H28,0))/IFERROR(COUNTIF(J28:U28,"x"),1)+(Besatzung!$F$12="x")*IFERROR(H28,0)/IFERROR(SUMPRODUCT((J28:U28="x")*(Besatzung!$F$11:$F$22="x")),1))),(IF(COUNTIF(J28:U28,"x")=0,IF(Besatzung!$B$12&lt;&gt;"",1,0),(K28="x"))*(G28-IFERROR(H28,0))/IFERROR(IF(COUNTIF(J28:U28,"x")=0,COUNTA(Besatzung!$B$11:$B$22),COUNTIF(J28:U28,"x")),1)+IF(COUNTIF(J28:U28,"x")=0,(Besatzung!$F$12="x"),(K28="x")*(Besatzung!$F$12="x"))*IFERROR(H28,0)/IFERROR(IF(COUNTIF(J28:U28,"x")=0,SUMPRODUCT((Besatzung!$B$11:$B$22&lt;&gt;"")*(Besatzung!$F$11:$F$22="x")),SUMPRODUCT((J28:U28="x")*(Besatzung!$F$11:$F$22="x"))),1))))),0))))</f>
        <v/>
      </c>
      <c r="X28" s="106">
        <f>IF(C28="Gutschrift","",IF(G28="","",IF(Besatzung!$B$13="","",IFERROR(IF(I28="Zeitanteilig",(Besatzung!$G$13*(G28-IFERROR(H28,0))+((Besatzung!$B$13&lt;&gt;"")*IF(B28="",1,(IF(Besatzung!$C$13="",Besatzung!$B$5,Besatzung!$C$13)&lt;=B28)*(IF(Besatzung!$D$13="",Besatzung!$B$6,Besatzung!$D$13)&gt;=B28)))*(Besatzung!$F$13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$13&lt;&gt;"")*IF(B28="",1,(IF(Besatzung!$C$13="",Besatzung!$B$5,Besatzung!$C$13)&lt;=B28)*(IF(Besatzung!$D$13="",Besatzung!$B$6,Besatzung!$D$13)&gt;=B28)))*((G28-IFERROR(H28,0))/IFERROR(SUMPRODUCT((Besatzung!$B$11:$B$22&lt;&gt;"")*(IF(Besatzung!$C$11:$C$22="",Besatzung!$B$5,Besatzung!$C$11:$C$22)&lt;=B28)*(IF(Besatzung!$D$11:$D$22="",Besatzung!$B$6,Besatzung!$D$11:$D$22)&gt;=B28)),1)+(Besatzung!$F$13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K28="x")*((G28-IFERROR(H28,0))/IFERROR(COUNTIF(J28:U28,"x"),1)+(Besatzung!$F$13="x")*IFERROR(H28,0)/IFERROR(SUMPRODUCT((J28:U28="x")*(Besatzung!$F$11:$F$22="x")),1))),(IF(COUNTIF(J28:U28,"x")=0,IF(Besatzung!$B$13&lt;&gt;"",1,0),(K28="x"))*(G28-IFERROR(H28,0))/IFERROR(IF(COUNTIF(J28:U28,"x")=0,COUNTA(Besatzung!$B$11:$B$22),COUNTIF(J28:U28,"x")),1)+IF(COUNTIF(J28:U28,"x")=0,(Besatzung!$F$13="x"),(K28="x")*(Besatzung!$F$13="x"))*IFERROR(H28,0)/IFERROR(IF(COUNTIF(J28:U28,"x")=0,SUMPRODUCT((Besatzung!$B$11:$B$22&lt;&gt;"")*(Besatzung!$F$11:$F$22="x")),SUMPRODUCT((J28:U28="x")*(Besatzung!$F$11:$F$22="x"))),1))))),0))))</f>
        <v/>
      </c>
      <c r="Y28" s="106">
        <f>IF(C28="Gutschrift","",IF(G28="","",IF(Besatzung!$B$14="","",IFERROR(IF(I28="Zeitanteilig",(Besatzung!$G$14*(G28-IFERROR(H28,0))+((Besatzung!$B$14&lt;&gt;"")*IF(B28="",1,(IF(Besatzung!$C$14="",Besatzung!$B$5,Besatzung!$C$14)&lt;=B28)*(IF(Besatzung!$D$14="",Besatzung!$B$6,Besatzung!$D$14)&gt;=B28)))*(Besatzung!$F$14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$14&lt;&gt;"")*IF(B28="",1,(IF(Besatzung!$C$14="",Besatzung!$B$5,Besatzung!$C$14)&lt;=B28)*(IF(Besatzung!$D$14="",Besatzung!$B$6,Besatzung!$D$14)&gt;=B28)))*((G28-IFERROR(H28,0))/IFERROR(SUMPRODUCT((Besatzung!$B$11:$B$22&lt;&gt;"")*(IF(Besatzung!$C$11:$C$22="",Besatzung!$B$5,Besatzung!$C$11:$C$22)&lt;=B28)*(IF(Besatzung!$D$11:$D$22="",Besatzung!$B$6,Besatzung!$D$11:$D$22)&gt;=B28)),1)+(Besatzung!$F$14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M28="x")*((G28-IFERROR(H28,0))/IFERROR(COUNTIF(J28:U28,"x"),1)+(Besatzung!$F$14="x")*IFERROR(H28,0)/IFERROR(SUMPRODUCT((J28:U28="x")*(Besatzung!$F$11:$F$22="x")),1))),(IF(COUNTIF(J28:U28,"x")=0,IF(Besatzung!$B$14&lt;&gt;"",1,0),(M28="x"))*(G28-IFERROR(H28,0))/IFERROR(IF(COUNTIF(J28:U28,"x")=0,COUNTA(Besatzung!$B$11:$B$22),COUNTIF(J28:U28,"x")),1)+IF(COUNTIF(J28:U28,"x")=0,(Besatzung!$F$14="x"),(M28="x")*(Besatzung!$F$14="x"))*IFERROR(H28,0)/IFERROR(IF(COUNTIF(J28:U28,"x")=0,SUMPRODUCT((Besatzung!$B$11:$B$22&lt;&gt;"")*(Besatzung!$F$11:$F$22="x")),SUMPRODUCT((J28:U28="x")*(Besatzung!$F$11:$F$22="x"))),1))))),0))))</f>
        <v/>
      </c>
      <c r="Z28" s="106">
        <f>IF(C28="Gutschrift","",IF(G28="","",IF(Besatzung!$B$13="","",IFERROR(IF(I28="Zeitanteilig",(Besatzung!$G$15*(G28-IFERROR(H28,0))+((Besatzung!$B$13&lt;&gt;"")*IF(B28="",1,(IF(Besatzung!$C$15="",Besatzung!$B$5,Besatzung!$C$15)&lt;=B28)*(IF(Besatzung!$D$15="",Besatzung!$B$6,Besatzung!$D$15)&gt;=B28)))*(Besatzung!$F$15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$13&lt;&gt;"")*IF(B28="",1,(IF(Besatzung!$C$15="",Besatzung!$B$5,Besatzung!$C$15)&lt;=B28)*(IF(Besatzung!$D$15="",Besatzung!$B$6,Besatzung!$D$15)&gt;=B28)))*((G28-IFERROR(H28,0))/IFERROR(SUMPRODUCT((Besatzung!$B$11:$B$22&lt;&gt;"")*(IF(Besatzung!$C$11:$C$22="",Besatzung!$B$5,Besatzung!$C$11:$C$22)&lt;=B28)*(IF(Besatzung!$D$11:$D$22="",Besatzung!$B$6,Besatzung!$D$11:$D$22)&gt;=B28)),1)+(Besatzung!$F$15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N28="x")*((G28-IFERROR(H28,0))/IFERROR(COUNTIF(J28:U28,"x"),1)+(Besatzung!$F$15="x")*IFERROR(H28,0)/IFERROR(SUMPRODUCT((J28:U28="x")*(Besatzung!$F$11:$F$22="x")),1))),(IF(COUNTIF(J28:U28,"x")=0,IF(Besatzung!$B$13&lt;&gt;"",1,0),(N28="x"))*(G28-IFERROR(H28,0))/IFERROR(IF(COUNTIF(J28:U28,"x")=0,COUNTA(Besatzung!$B$11:$B$22),COUNTIF(J28:U28,"x")),1)+IF(COUNTIF(J28:U28,"x")=0,(Besatzung!$F$15="x"),(N28="x")*(Besatzung!$F$15="x"))*IFERROR(H28,0)/IFERROR(IF(COUNTIF(J28:U28,"x")=0,SUMPRODUCT((Besatzung!$B$11:$B$22&lt;&gt;"")*(Besatzung!$F$11:$F$22="x")),SUMPRODUCT((J28:U28="x")*(Besatzung!$F$11:$F$22="x"))),1))))),0))))</f>
        <v/>
      </c>
      <c r="AA28" s="106">
        <f>IF(C28="Gutschrift","",IF(G28="","",IF(Besatzung!$B$15="","",IFERROR(IF(I28="Zeitanteilig",(Besatzung!$G$16*(G28-IFERROR(H28,0))+((Besatzung!$B$15&lt;&gt;"")*IF(B28="",1,(IF(Besatzung!$C$16="",Besatzung!$B$5,Besatzung!$C$16)&lt;=B28)*(IF(Besatzung!$D$16="",Besatzung!$B$6,Besatzung!$D$16)&gt;=B28)))*(Besatzung!$F$16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$15&lt;&gt;"")*IF(B28="",1,(IF(Besatzung!$C$16="",Besatzung!$B$5,Besatzung!$C$16)&lt;=B28)*(IF(Besatzung!$D$16="",Besatzung!$B$6,Besatzung!$D$16)&gt;=B28)))*((G28-IFERROR(H28,0))/IFERROR(SUMPRODUCT((Besatzung!$B$11:$B$22&lt;&gt;"")*(IF(Besatzung!$C$11:$C$22="",Besatzung!$B$5,Besatzung!$C$11:$C$22)&lt;=B28)*(IF(Besatzung!$D$11:$D$22="",Besatzung!$B$6,Besatzung!$D$11:$D$22)&gt;=B28)),1)+(Besatzung!$F$16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O28="x")*((G28-IFERROR(H28,0))/IFERROR(COUNTIF(J28:U28,"x"),1)+(Besatzung!$F$16="x")*IFERROR(H28,0)/IFERROR(SUMPRODUCT((J28:U28="x")*(Besatzung!$F$11:$F$22="x")),1))),(IF(COUNTIF(J28:U28,"x")=0,IF(Besatzung!$B$15&lt;&gt;"",1,0),(O28="x"))*(G28-IFERROR(H28,0))/IFERROR(IF(COUNTIF(J28:U28,"x")=0,COUNTA(Besatzung!$B$11:$B$22),COUNTIF(J28:U28,"x")),1)+IF(COUNTIF(J28:U28,"x")=0,(Besatzung!$F$16="x"),(O28="x")*(Besatzung!$F$16="x"))*IFERROR(H28,0)/IFERROR(IF(COUNTIF(J28:U28,"x")=0,SUMPRODUCT((Besatzung!$B$11:$B$22&lt;&gt;"")*(Besatzung!$F$11:$F$22="x")),SUMPRODUCT((J28:U28="x")*(Besatzung!$F$11:$F$22="x"))),1))))),0))))</f>
        <v/>
      </c>
      <c r="AB28" s="106">
        <f>IF(C28="Gutschrift","",IF(G28="","",IF(Besatzung!$B$17="","",IFERROR(IF(I28="Zeitanteilig",(Besatzung!$G$17*(G28-IFERROR(H28,0))+((Besatzung!$B$17&lt;&gt;"")*IF(B28="",1,(IF(Besatzung!$C$17="",Besatzung!$B$5,Besatzung!$C$17)&lt;=B28)*(IF(Besatzung!$D$17="",Besatzung!$B$6,Besatzung!$D$17)&gt;=B28)))*(Besatzung!$F$17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$17&lt;&gt;"")*IF(B28="",1,(IF(Besatzung!$C$17="",Besatzung!$B$5,Besatzung!$C$17)&lt;=B28)*(IF(Besatzung!$D$17="",Besatzung!$B$6,Besatzung!$D$17)&gt;=B28)))*((G28-IFERROR(H28,0))/IFERROR(SUMPRODUCT((Besatzung!$B$11:$B$22&lt;&gt;"")*(IF(Besatzung!$C$11:$C$22="",Besatzung!$B$5,Besatzung!$C$11:$C$22)&lt;=B28)*(IF(Besatzung!$D$11:$D$22="",Besatzung!$B$6,Besatzung!$D$11:$D$22)&gt;=B28)),1)+(Besatzung!$F$17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P28="x")*((G28-IFERROR(H28,0))/IFERROR(COUNTIF(J28:U28,"x"),1)+(Besatzung!$F$17="x")*IFERROR(H28,0)/IFERROR(SUMPRODUCT((J28:U28="x")*(Besatzung!$F$11:$F$22="x")),1))),(IF(COUNTIF(J28:U28,"x")=0,IF(Besatzung!$B$17&lt;&gt;"",1,0),(P28="x"))*(G28-IFERROR(H28,0))/IFERROR(IF(COUNTIF(J28:U28,"x")=0,COUNTA(Besatzung!$B$11:$B$22),COUNTIF(J28:U28,"x")),1)+IF(COUNTIF(J28:U28,"x")=0,(Besatzung!$F$17="x"),(P28="x")*(Besatzung!$F$17="x"))*IFERROR(H28,0)/IFERROR(IF(COUNTIF(J28:U28,"x")=0,SUMPRODUCT((Besatzung!$B$11:$B$22&lt;&gt;"")*(Besatzung!$F$11:$F$22="x")),SUMPRODUCT((J28:U28="x")*(Besatzung!$F$11:$F$22="x"))),1))))),0))))</f>
        <v/>
      </c>
      <c r="AC28" s="106">
        <f>IF(C28="Gutschrift","",IF(G28="","",IF(Besatzung!$B$18="","",IFERROR(IF(I28="Zeitanteilig",(Besatzung!$G$18*(G28-IFERROR(H28,0))+((Besatzung!$B$18&lt;&gt;"")*IF(B28="",1,(IF(Besatzung!$C$18="",Besatzung!$B$5,Besatzung!$C$18)&lt;=B28)*(IF(Besatzung!$D$18="",Besatzung!$B$6,Besatzung!$D$18)&gt;=B28)))*(Besatzung!$F$18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$18&lt;&gt;"")*IF(B28="",1,(IF(Besatzung!$C$18="",Besatzung!$B$5,Besatzung!$C$18)&lt;=B28)*(IF(Besatzung!$D$18="",Besatzung!$B$6,Besatzung!$D$18)&gt;=B28)))*((G28-IFERROR(H28,0))/IFERROR(SUMPRODUCT((Besatzung!$B$11:$B$22&lt;&gt;"")*(IF(Besatzung!$C$11:$C$22="",Besatzung!$B$5,Besatzung!$C$11:$C$22)&lt;=B28)*(IF(Besatzung!$D$11:$D$22="",Besatzung!$B$6,Besatzung!$D$11:$D$22)&gt;=B28)),1)+(Besatzung!$F$18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Q28="x")*((G28-IFERROR(H28,0))/IFERROR(COUNTIF(J28:U28,"x"),1)+(Besatzung!$F$18="x")*IFERROR(H28,0)/IFERROR(SUMPRODUCT((J28:U28="x")*(Besatzung!$F$11:$F$22="x")),1))),(IF(COUNTIF(J28:U28,"x")=0,IF(Besatzung!$B$18&lt;&gt;"",1,0),(Q28="x"))*(G28-IFERROR(H28,0))/IFERROR(IF(COUNTIF(J28:U28,"x")=0,COUNTA(Besatzung!$B$11:$B$22),COUNTIF(J28:U28,"x")),1)+IF(COUNTIF(J28:U28,"x")=0,(Besatzung!$F$18="x"),(Q28="x")*(Besatzung!$F$18="x"))*IFERROR(H28,0)/IFERROR(IF(COUNTIF(J28:U28,"x")=0,SUMPRODUCT((Besatzung!$B$11:$B$22&lt;&gt;"")*(Besatzung!$F$11:$F$22="x")),SUMPRODUCT((J28:U28="x")*(Besatzung!$F$11:$F$22="x"))),1))))),0))))</f>
        <v/>
      </c>
      <c r="AD28" s="106">
        <f>IF(C28="Gutschrift","",IF(G28="","",IF(Besatzung!$B$19="","",IFERROR(IF(I28="Zeitanteilig",(Besatzung!$G$19*(G28-IFERROR(H28,0))+((Besatzung!$B$19&lt;&gt;"")*IF(B28="",1,(IF(Besatzung!$C$19="",Besatzung!$B$5,Besatzung!$C$19)&lt;=B28)*(IF(Besatzung!$D$19="",Besatzung!$B$6,Besatzung!$D$19)&gt;=B28)))*(Besatzung!$F$19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$19&lt;&gt;"")*IF(B28="",1,(IF(Besatzung!$C$19="",Besatzung!$B$5,Besatzung!$C$19)&lt;=B28)*(IF(Besatzung!$D$19="",Besatzung!$B$6,Besatzung!$D$19)&gt;=B28)))*((G28-IFERROR(H28,0))/IFERROR(SUMPRODUCT((Besatzung!$B$11:$B$22&lt;&gt;"")*(IF(Besatzung!$C$11:$C$22="",Besatzung!$B$5,Besatzung!$C$11:$C$22)&lt;=B28)*(IF(Besatzung!$D$11:$D$22="",Besatzung!$B$6,Besatzung!$D$11:$D$22)&gt;=B28)),1)+(Besatzung!$F$19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R28="x")*((G28-IFERROR(H28,0))/IFERROR(COUNTIF(J28:U28,"x"),1)+(Besatzung!$F$19="x")*IFERROR(H28,0)/IFERROR(SUMPRODUCT((J28:U28="x")*(Besatzung!$F$11:$F$22="x")),1))),(IF(COUNTIF(J28:U28,"x")=0,IF(Besatzung!$B$19&lt;&gt;"",1,0),(R28="x"))*(G28-IFERROR(H28,0))/IFERROR(IF(COUNTIF(J28:U28,"x")=0,COUNTA(Besatzung!$B$11:$B$22),COUNTIF(J28:U28,"x")),1)+IF(COUNTIF(J28:U28,"x")=0,(Besatzung!$F$19="x"),(R28="x")*(Besatzung!$F$19="x"))*IFERROR(H28,0)/IFERROR(IF(COUNTIF(J28:U28,"x")=0,SUMPRODUCT((Besatzung!$B$11:$B$22&lt;&gt;"")*(Besatzung!$F$11:$F$22="x")),SUMPRODUCT((J28:U28="x")*(Besatzung!$F$11:$F$22="x"))),1))))),0))))</f>
        <v/>
      </c>
      <c r="AE28" s="106">
        <f>IF(C28="Gutschrift","",IF(G28="","",IF(Besatzung!$B$20="","",IFERROR(IF(I28="Zeitanteilig",(Besatzung!$G$20*(G28-IFERROR(H28,0))+((Besatzung!$B$20&lt;&gt;"")*IF(B28="",1,(IF(Besatzung!$C$20="",Besatzung!$B$5,Besatzung!$C$20)&lt;=B28)*(IF(Besatzung!$D$20="",Besatzung!$B$6,Besatzung!$D$20)&gt;=B28)))*(Besatzung!$F$20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$20&lt;&gt;"")*IF(B28="",1,(IF(Besatzung!$C$20="",Besatzung!$B$5,Besatzung!$C$20)&lt;=B28)*(IF(Besatzung!$D$20="",Besatzung!$B$6,Besatzung!$D$20)&gt;=B28)))*((G28-IFERROR(H28,0))/IFERROR(SUMPRODUCT((Besatzung!$B$11:$B$22&lt;&gt;"")*(IF(Besatzung!$C$11:$C$22="",Besatzung!$B$5,Besatzung!$C$11:$C$22)&lt;=B28)*(IF(Besatzung!$D$11:$D$22="",Besatzung!$B$6,Besatzung!$D$11:$D$22)&gt;=B28)),1)+(Besatzung!$F$20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S28="x")*((G28-IFERROR(H28,0))/IFERROR(COUNTIF(J28:U28,"x"),1)+(Besatzung!$F$20="x")*IFERROR(H28,0)/IFERROR(SUMPRODUCT((J28:U28="x")*(Besatzung!$F$11:$F$22="x")),1))),(IF(COUNTIF(J28:U28,"x")=0,IF(Besatzung!$B$20&lt;&gt;"",1,0),(S28="x"))*(G28-IFERROR(H28,0))/IFERROR(IF(COUNTIF(J28:U28,"x")=0,COUNTA(Besatzung!$B$11:$B$22),COUNTIF(J28:U28,"x")),1)+IF(COUNTIF(J28:U28,"x")=0,(Besatzung!$F$20="x"),(S28="x")*(Besatzung!$F$20="x"))*IFERROR(H28,0)/IFERROR(IF(COUNTIF(J28:U28,"x")=0,SUMPRODUCT((Besatzung!$B$11:$B$22&lt;&gt;"")*(Besatzung!$F$11:$F$22="x")),SUMPRODUCT((J28:U28="x")*(Besatzung!$F$11:$F$22="x"))),1))))),0))))</f>
        <v/>
      </c>
      <c r="AF28" s="106">
        <f>IF(C28="Gutschrift","",IF(G28="","",IF(Besatzung!$B$21="","",IFERROR(IF(I28="Zeitanteilig",(Besatzung!$G$21*(G28-IFERROR(H28,0))+((Besatzung!$B$21&lt;&gt;"")*IF(B28="",1,(IF(Besatzung!$C$21="",Besatzung!$B$5,Besatzung!$C$21)&lt;=B28)*(IF(Besatzung!$D$21="",Besatzung!$B$6,Besatzung!$D$21)&gt;=B28)))*(Besatzung!$F$21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$21&lt;&gt;"")*IF(B28="",1,(IF(Besatzung!$C$21="",Besatzung!$B$5,Besatzung!$C$21)&lt;=B28)*(IF(Besatzung!$D$21="",Besatzung!$B$6,Besatzung!$D$21)&gt;=B28)))*((G28-IFERROR(H28,0))/IFERROR(SUMPRODUCT((Besatzung!$B$11:$B$22&lt;&gt;"")*(IF(Besatzung!$C$11:$C$22="",Besatzung!$B$5,Besatzung!$C$11:$C$22)&lt;=B28)*(IF(Besatzung!$D$11:$D$22="",Besatzung!$B$6,Besatzung!$D$11:$D$22)&gt;=B28)),1)+(Besatzung!$F$21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T28="x")*((G28-IFERROR(H28,0))/IFERROR(COUNTIF(J28:U28,"x"),1)+(Besatzung!$F$21="x")*IFERROR(H28,0)/IFERROR(SUMPRODUCT((J28:U28="x")*(Besatzung!$F$11:$F$22="x")),1))),(IF(COUNTIF(J28:U28,"x")=0,IF(Besatzung!$B$21&lt;&gt;"",1,0),(T28="x"))*(G28-IFERROR(H28,0))/IFERROR(IF(COUNTIF(J28:U28,"x")=0,COUNTA(Besatzung!$B$11:$B$22),COUNTIF(J28:U28,"x")),1)+IF(COUNTIF(J28:U28,"x")=0,(Besatzung!$F$21="x"),(T28="x")*(Besatzung!$F$21="x"))*IFERROR(H28,0)/IFERROR(IF(COUNTIF(J28:U28,"x")=0,SUMPRODUCT((Besatzung!$B$11:$B$22&lt;&gt;"")*(Besatzung!$F$11:$F$22="x")),SUMPRODUCT((J28:U28="x")*(Besatzung!$F$11:$F$22="x"))),1))))),0))))</f>
        <v/>
      </c>
      <c r="AG28" s="106">
        <f>IF(C28="Gutschrift","",IF(G28="","",IF(Besatzung!$B$22="","",IFERROR(IF(I28="Zeitanteilig",(Besatzung!$G$22*(G28-IFERROR(H28,0))+((Besatzung!$B$22&lt;&gt;"")*IF(B28="",1,(IF(Besatzung!$C$22="",Besatzung!$B$5,Besatzung!$C$22)&lt;=B28)*(IF(Besatzung!$D$22="",Besatzung!$B$6,Besatzung!$D$22)&gt;=B28)))*(Besatzung!$F$22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$22&lt;&gt;"")*IF(B28="",1,(IF(Besatzung!$C$22="",Besatzung!$B$5,Besatzung!$C$22)&lt;=B28)*(IF(Besatzung!$D$22="",Besatzung!$B$6,Besatzung!$D$22)&gt;=B28)))*((G28-IFERROR(H28,0))/IFERROR(SUMPRODUCT((Besatzung!$B$11:$B$22&lt;&gt;"")*(IF(Besatzung!$C$11:$C$22="",Besatzung!$B$5,Besatzung!$C$11:$C$22)&lt;=B28)*(IF(Besatzung!$D$11:$D$22="",Besatzung!$B$6,Besatzung!$D$11:$D$22)&gt;=B28)),1)+(Besatzung!$F$22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U28="x")*((G28-IFERROR(H28,0))/IFERROR(COUNTIF(J28:U28,"x"),1)+(Besatzung!$F$22="x")*IFERROR(H28,0)/IFERROR(SUMPRODUCT((J28:U28="x")*(Besatzung!$F$11:$F$22="x")),1))),(IF(COUNTIF(J28:U28,"x")=0,IF(Besatzung!$B$22&lt;&gt;"",1,0),(U28="x"))*(G28-IFERROR(H28,0))/IFERROR(IF(COUNTIF(J28:U28,"x")=0,COUNTA(Besatzung!$B$11:$B$22),COUNTIF(J28:U28,"x")),1)+IF(COUNTIF(J28:U28,"x")=0,(Besatzung!$F$22="x"),(U28="x")*(Besatzung!$F$22="x"))*IFERROR(H28,0)/IFERROR(IF(COUNTIF(J28:U28,"x")=0,SUMPRODUCT((Besatzung!$B$11:$B$22&lt;&gt;"")*(Besatzung!$F$11:$F$22="x")),SUMPRODUCT((J28:U28="x")*(Besatzung!$F$11:$F$22="x"))),1))))),0))))</f>
        <v/>
      </c>
      <c r="AH28" s="107" t="n"/>
      <c r="AI28" s="107" t="n"/>
    </row>
    <row r="29" ht="21.75" customHeight="1" s="182">
      <c r="A29" s="97">
        <f>IF(AND(D29="",C29=""),"",26)</f>
        <v/>
      </c>
      <c r="B29" s="63" t="n"/>
      <c r="C29" s="108" t="n"/>
      <c r="D29" s="109" t="n"/>
      <c r="E29" s="110" t="n"/>
      <c r="F29" s="111" t="n"/>
      <c r="G29" s="112" t="n"/>
      <c r="H29" s="113" t="n"/>
      <c r="I29" s="114" t="n"/>
      <c r="J29" s="115" t="n"/>
      <c r="K29" s="115" t="n"/>
      <c r="L29" s="115" t="n"/>
      <c r="M29" s="115" t="n"/>
      <c r="N29" s="115" t="n"/>
      <c r="O29" s="115" t="n"/>
      <c r="P29" s="115" t="n"/>
      <c r="Q29" s="115" t="n"/>
      <c r="R29" s="115" t="n"/>
      <c r="S29" s="115" t="n"/>
      <c r="T29" s="115" t="n"/>
      <c r="U29" s="115" t="n"/>
      <c r="V29" s="106">
        <f>IF(C29="Gutschrift","",IF(G29="","",IF(Besatzung!$B$11="","",IFERROR(IF(I29="Zeitanteilig",(Besatzung!$G$11*(G29-IFERROR(H29,0))+((Besatzung!$B$11&lt;&gt;"")*IF(B29="",1,(IF(Besatzung!$C$11="",Besatzung!$B$5,Besatzung!$C$11)&lt;=B29)*(IF(Besatzung!$D$11="",Besatzung!$B$6,Besatzung!$D$11)&gt;=B29)))*(Besatzung!$F$11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$11&lt;&gt;"")*IF(B29="",1,(IF(Besatzung!$C$11="",Besatzung!$B$5,Besatzung!$C$11)&lt;=B29)*(IF(Besatzung!$D$11="",Besatzung!$B$6,Besatzung!$D$11)&gt;=B29)))*((G29-IFERROR(H29,0))/IFERROR(SUMPRODUCT((Besatzung!$B$11:$B$22&lt;&gt;"")*(IF(Besatzung!$C$11:$C$22="",Besatzung!$B$5,Besatzung!$C$11:$C$22)&lt;=B29)*(IF(Besatzung!$D$11:$D$22="",Besatzung!$B$6,Besatzung!$D$11:$D$22)&gt;=B29)),1)+(Besatzung!$F$11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J29="x")*((G29-IFERROR(H29,0))/IFERROR(COUNTIF(J29:U29,"x"),1)+(Besatzung!$F$11="x")*IFERROR(H29,0)/IFERROR(SUMPRODUCT((J29:U29="x")*(Besatzung!$F$11:$F$22="x")),1))),(IF(COUNTIF(J29:U29,"x")=0,IF(Besatzung!$B$11&lt;&gt;"",1,0),(J29="x"))*(G29-IFERROR(H29,0))/IFERROR(IF(COUNTIF(J29:U29,"x")=0,COUNTA(Besatzung!$B$11:$B$22),COUNTIF(J29:U29,"x")),1)+IF(COUNTIF(J29:U29,"x")=0,(Besatzung!$F$11="x"),(J29="x")*(Besatzung!$F$11="x"))*IFERROR(H29,0)/IFERROR(IF(COUNTIF(J29:U29,"x")=0,SUMPRODUCT((Besatzung!$B$11:$B$22&lt;&gt;"")*(Besatzung!$F$11:$F$22="x")),SUMPRODUCT((J29:U29="x")*(Besatzung!$F$11:$F$22="x"))),1))))),0))))</f>
        <v/>
      </c>
      <c r="W29" s="106">
        <f>IF(C29="Gutschrift","",IF(G29="","",IF(Besatzung!$B$12="","",IFERROR(IF(I29="Zeitanteilig",(Besatzung!$G$12*(G29-IFERROR(H29,0))+((Besatzung!$B$12&lt;&gt;"")*IF(B29="",1,(IF(Besatzung!$C$12="",Besatzung!$B$5,Besatzung!$C$12)&lt;=B29)*(IF(Besatzung!$D$12="",Besatzung!$B$6,Besatzung!$D$12)&gt;=B29)))*(Besatzung!$F$12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$12&lt;&gt;"")*IF(B29="",1,(IF(Besatzung!$C$12="",Besatzung!$B$5,Besatzung!$C$12)&lt;=B29)*(IF(Besatzung!$D$12="",Besatzung!$B$6,Besatzung!$D$12)&gt;=B29)))*((G29-IFERROR(H29,0))/IFERROR(SUMPRODUCT((Besatzung!$B$11:$B$22&lt;&gt;"")*(IF(Besatzung!$C$11:$C$22="",Besatzung!$B$5,Besatzung!$C$11:$C$22)&lt;=B29)*(IF(Besatzung!$D$11:$D$22="",Besatzung!$B$6,Besatzung!$D$11:$D$22)&gt;=B29)),1)+(Besatzung!$F$12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K29="x")*((G29-IFERROR(H29,0))/IFERROR(COUNTIF(J29:U29,"x"),1)+(Besatzung!$F$12="x")*IFERROR(H29,0)/IFERROR(SUMPRODUCT((J29:U29="x")*(Besatzung!$F$11:$F$22="x")),1))),(IF(COUNTIF(J29:U29,"x")=0,IF(Besatzung!$B$12&lt;&gt;"",1,0),(K29="x"))*(G29-IFERROR(H29,0))/IFERROR(IF(COUNTIF(J29:U29,"x")=0,COUNTA(Besatzung!$B$11:$B$22),COUNTIF(J29:U29,"x")),1)+IF(COUNTIF(J29:U29,"x")=0,(Besatzung!$F$12="x"),(K29="x")*(Besatzung!$F$12="x"))*IFERROR(H29,0)/IFERROR(IF(COUNTIF(J29:U29,"x")=0,SUMPRODUCT((Besatzung!$B$11:$B$22&lt;&gt;"")*(Besatzung!$F$11:$F$22="x")),SUMPRODUCT((J29:U29="x")*(Besatzung!$F$11:$F$22="x"))),1))))),0))))</f>
        <v/>
      </c>
      <c r="X29" s="106">
        <f>IF(C29="Gutschrift","",IF(G29="","",IF(Besatzung!$B$13="","",IFERROR(IF(I29="Zeitanteilig",(Besatzung!$G$13*(G29-IFERROR(H29,0))+((Besatzung!$B$13&lt;&gt;"")*IF(B29="",1,(IF(Besatzung!$C$13="",Besatzung!$B$5,Besatzung!$C$13)&lt;=B29)*(IF(Besatzung!$D$13="",Besatzung!$B$6,Besatzung!$D$13)&gt;=B29)))*(Besatzung!$F$13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$13&lt;&gt;"")*IF(B29="",1,(IF(Besatzung!$C$13="",Besatzung!$B$5,Besatzung!$C$13)&lt;=B29)*(IF(Besatzung!$D$13="",Besatzung!$B$6,Besatzung!$D$13)&gt;=B29)))*((G29-IFERROR(H29,0))/IFERROR(SUMPRODUCT((Besatzung!$B$11:$B$22&lt;&gt;"")*(IF(Besatzung!$C$11:$C$22="",Besatzung!$B$5,Besatzung!$C$11:$C$22)&lt;=B29)*(IF(Besatzung!$D$11:$D$22="",Besatzung!$B$6,Besatzung!$D$11:$D$22)&gt;=B29)),1)+(Besatzung!$F$13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K29="x")*((G29-IFERROR(H29,0))/IFERROR(COUNTIF(J29:U29,"x"),1)+(Besatzung!$F$13="x")*IFERROR(H29,0)/IFERROR(SUMPRODUCT((J29:U29="x")*(Besatzung!$F$11:$F$22="x")),1))),(IF(COUNTIF(J29:U29,"x")=0,IF(Besatzung!$B$13&lt;&gt;"",1,0),(K29="x"))*(G29-IFERROR(H29,0))/IFERROR(IF(COUNTIF(J29:U29,"x")=0,COUNTA(Besatzung!$B$11:$B$22),COUNTIF(J29:U29,"x")),1)+IF(COUNTIF(J29:U29,"x")=0,(Besatzung!$F$13="x"),(K29="x")*(Besatzung!$F$13="x"))*IFERROR(H29,0)/IFERROR(IF(COUNTIF(J29:U29,"x")=0,SUMPRODUCT((Besatzung!$B$11:$B$22&lt;&gt;"")*(Besatzung!$F$11:$F$22="x")),SUMPRODUCT((J29:U29="x")*(Besatzung!$F$11:$F$22="x"))),1))))),0))))</f>
        <v/>
      </c>
      <c r="Y29" s="106">
        <f>IF(C29="Gutschrift","",IF(G29="","",IF(Besatzung!$B$14="","",IFERROR(IF(I29="Zeitanteilig",(Besatzung!$G$14*(G29-IFERROR(H29,0))+((Besatzung!$B$14&lt;&gt;"")*IF(B29="",1,(IF(Besatzung!$C$14="",Besatzung!$B$5,Besatzung!$C$14)&lt;=B29)*(IF(Besatzung!$D$14="",Besatzung!$B$6,Besatzung!$D$14)&gt;=B29)))*(Besatzung!$F$14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$14&lt;&gt;"")*IF(B29="",1,(IF(Besatzung!$C$14="",Besatzung!$B$5,Besatzung!$C$14)&lt;=B29)*(IF(Besatzung!$D$14="",Besatzung!$B$6,Besatzung!$D$14)&gt;=B29)))*((G29-IFERROR(H29,0))/IFERROR(SUMPRODUCT((Besatzung!$B$11:$B$22&lt;&gt;"")*(IF(Besatzung!$C$11:$C$22="",Besatzung!$B$5,Besatzung!$C$11:$C$22)&lt;=B29)*(IF(Besatzung!$D$11:$D$22="",Besatzung!$B$6,Besatzung!$D$11:$D$22)&gt;=B29)),1)+(Besatzung!$F$14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M29="x")*((G29-IFERROR(H29,0))/IFERROR(COUNTIF(J29:U29,"x"),1)+(Besatzung!$F$14="x")*IFERROR(H29,0)/IFERROR(SUMPRODUCT((J29:U29="x")*(Besatzung!$F$11:$F$22="x")),1))),(IF(COUNTIF(J29:U29,"x")=0,IF(Besatzung!$B$14&lt;&gt;"",1,0),(M29="x"))*(G29-IFERROR(H29,0))/IFERROR(IF(COUNTIF(J29:U29,"x")=0,COUNTA(Besatzung!$B$11:$B$22),COUNTIF(J29:U29,"x")),1)+IF(COUNTIF(J29:U29,"x")=0,(Besatzung!$F$14="x"),(M29="x")*(Besatzung!$F$14="x"))*IFERROR(H29,0)/IFERROR(IF(COUNTIF(J29:U29,"x")=0,SUMPRODUCT((Besatzung!$B$11:$B$22&lt;&gt;"")*(Besatzung!$F$11:$F$22="x")),SUMPRODUCT((J29:U29="x")*(Besatzung!$F$11:$F$22="x"))),1))))),0))))</f>
        <v/>
      </c>
      <c r="Z29" s="106">
        <f>IF(C29="Gutschrift","",IF(G29="","",IF(Besatzung!$B$13="","",IFERROR(IF(I29="Zeitanteilig",(Besatzung!$G$15*(G29-IFERROR(H29,0))+((Besatzung!$B$13&lt;&gt;"")*IF(B29="",1,(IF(Besatzung!$C$15="",Besatzung!$B$5,Besatzung!$C$15)&lt;=B29)*(IF(Besatzung!$D$15="",Besatzung!$B$6,Besatzung!$D$15)&gt;=B29)))*(Besatzung!$F$15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$13&lt;&gt;"")*IF(B29="",1,(IF(Besatzung!$C$15="",Besatzung!$B$5,Besatzung!$C$15)&lt;=B29)*(IF(Besatzung!$D$15="",Besatzung!$B$6,Besatzung!$D$15)&gt;=B29)))*((G29-IFERROR(H29,0))/IFERROR(SUMPRODUCT((Besatzung!$B$11:$B$22&lt;&gt;"")*(IF(Besatzung!$C$11:$C$22="",Besatzung!$B$5,Besatzung!$C$11:$C$22)&lt;=B29)*(IF(Besatzung!$D$11:$D$22="",Besatzung!$B$6,Besatzung!$D$11:$D$22)&gt;=B29)),1)+(Besatzung!$F$15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N29="x")*((G29-IFERROR(H29,0))/IFERROR(COUNTIF(J29:U29,"x"),1)+(Besatzung!$F$15="x")*IFERROR(H29,0)/IFERROR(SUMPRODUCT((J29:U29="x")*(Besatzung!$F$11:$F$22="x")),1))),(IF(COUNTIF(J29:U29,"x")=0,IF(Besatzung!$B$13&lt;&gt;"",1,0),(N29="x"))*(G29-IFERROR(H29,0))/IFERROR(IF(COUNTIF(J29:U29,"x")=0,COUNTA(Besatzung!$B$11:$B$22),COUNTIF(J29:U29,"x")),1)+IF(COUNTIF(J29:U29,"x")=0,(Besatzung!$F$15="x"),(N29="x")*(Besatzung!$F$15="x"))*IFERROR(H29,0)/IFERROR(IF(COUNTIF(J29:U29,"x")=0,SUMPRODUCT((Besatzung!$B$11:$B$22&lt;&gt;"")*(Besatzung!$F$11:$F$22="x")),SUMPRODUCT((J29:U29="x")*(Besatzung!$F$11:$F$22="x"))),1))))),0))))</f>
        <v/>
      </c>
      <c r="AA29" s="106">
        <f>IF(C29="Gutschrift","",IF(G29="","",IF(Besatzung!$B$15="","",IFERROR(IF(I29="Zeitanteilig",(Besatzung!$G$16*(G29-IFERROR(H29,0))+((Besatzung!$B$15&lt;&gt;"")*IF(B29="",1,(IF(Besatzung!$C$16="",Besatzung!$B$5,Besatzung!$C$16)&lt;=B29)*(IF(Besatzung!$D$16="",Besatzung!$B$6,Besatzung!$D$16)&gt;=B29)))*(Besatzung!$F$16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$15&lt;&gt;"")*IF(B29="",1,(IF(Besatzung!$C$16="",Besatzung!$B$5,Besatzung!$C$16)&lt;=B29)*(IF(Besatzung!$D$16="",Besatzung!$B$6,Besatzung!$D$16)&gt;=B29)))*((G29-IFERROR(H29,0))/IFERROR(SUMPRODUCT((Besatzung!$B$11:$B$22&lt;&gt;"")*(IF(Besatzung!$C$11:$C$22="",Besatzung!$B$5,Besatzung!$C$11:$C$22)&lt;=B29)*(IF(Besatzung!$D$11:$D$22="",Besatzung!$B$6,Besatzung!$D$11:$D$22)&gt;=B29)),1)+(Besatzung!$F$16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O29="x")*((G29-IFERROR(H29,0))/IFERROR(COUNTIF(J29:U29,"x"),1)+(Besatzung!$F$16="x")*IFERROR(H29,0)/IFERROR(SUMPRODUCT((J29:U29="x")*(Besatzung!$F$11:$F$22="x")),1))),(IF(COUNTIF(J29:U29,"x")=0,IF(Besatzung!$B$15&lt;&gt;"",1,0),(O29="x"))*(G29-IFERROR(H29,0))/IFERROR(IF(COUNTIF(J29:U29,"x")=0,COUNTA(Besatzung!$B$11:$B$22),COUNTIF(J29:U29,"x")),1)+IF(COUNTIF(J29:U29,"x")=0,(Besatzung!$F$16="x"),(O29="x")*(Besatzung!$F$16="x"))*IFERROR(H29,0)/IFERROR(IF(COUNTIF(J29:U29,"x")=0,SUMPRODUCT((Besatzung!$B$11:$B$22&lt;&gt;"")*(Besatzung!$F$11:$F$22="x")),SUMPRODUCT((J29:U29="x")*(Besatzung!$F$11:$F$22="x"))),1))))),0))))</f>
        <v/>
      </c>
      <c r="AB29" s="106">
        <f>IF(C29="Gutschrift","",IF(G29="","",IF(Besatzung!$B$17="","",IFERROR(IF(I29="Zeitanteilig",(Besatzung!$G$17*(G29-IFERROR(H29,0))+((Besatzung!$B$17&lt;&gt;"")*IF(B29="",1,(IF(Besatzung!$C$17="",Besatzung!$B$5,Besatzung!$C$17)&lt;=B29)*(IF(Besatzung!$D$17="",Besatzung!$B$6,Besatzung!$D$17)&gt;=B29)))*(Besatzung!$F$17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$17&lt;&gt;"")*IF(B29="",1,(IF(Besatzung!$C$17="",Besatzung!$B$5,Besatzung!$C$17)&lt;=B29)*(IF(Besatzung!$D$17="",Besatzung!$B$6,Besatzung!$D$17)&gt;=B29)))*((G29-IFERROR(H29,0))/IFERROR(SUMPRODUCT((Besatzung!$B$11:$B$22&lt;&gt;"")*(IF(Besatzung!$C$11:$C$22="",Besatzung!$B$5,Besatzung!$C$11:$C$22)&lt;=B29)*(IF(Besatzung!$D$11:$D$22="",Besatzung!$B$6,Besatzung!$D$11:$D$22)&gt;=B29)),1)+(Besatzung!$F$17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P29="x")*((G29-IFERROR(H29,0))/IFERROR(COUNTIF(J29:U29,"x"),1)+(Besatzung!$F$17="x")*IFERROR(H29,0)/IFERROR(SUMPRODUCT((J29:U29="x")*(Besatzung!$F$11:$F$22="x")),1))),(IF(COUNTIF(J29:U29,"x")=0,IF(Besatzung!$B$17&lt;&gt;"",1,0),(P29="x"))*(G29-IFERROR(H29,0))/IFERROR(IF(COUNTIF(J29:U29,"x")=0,COUNTA(Besatzung!$B$11:$B$22),COUNTIF(J29:U29,"x")),1)+IF(COUNTIF(J29:U29,"x")=0,(Besatzung!$F$17="x"),(P29="x")*(Besatzung!$F$17="x"))*IFERROR(H29,0)/IFERROR(IF(COUNTIF(J29:U29,"x")=0,SUMPRODUCT((Besatzung!$B$11:$B$22&lt;&gt;"")*(Besatzung!$F$11:$F$22="x")),SUMPRODUCT((J29:U29="x")*(Besatzung!$F$11:$F$22="x"))),1))))),0))))</f>
        <v/>
      </c>
      <c r="AC29" s="106">
        <f>IF(C29="Gutschrift","",IF(G29="","",IF(Besatzung!$B$18="","",IFERROR(IF(I29="Zeitanteilig",(Besatzung!$G$18*(G29-IFERROR(H29,0))+((Besatzung!$B$18&lt;&gt;"")*IF(B29="",1,(IF(Besatzung!$C$18="",Besatzung!$B$5,Besatzung!$C$18)&lt;=B29)*(IF(Besatzung!$D$18="",Besatzung!$B$6,Besatzung!$D$18)&gt;=B29)))*(Besatzung!$F$18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$18&lt;&gt;"")*IF(B29="",1,(IF(Besatzung!$C$18="",Besatzung!$B$5,Besatzung!$C$18)&lt;=B29)*(IF(Besatzung!$D$18="",Besatzung!$B$6,Besatzung!$D$18)&gt;=B29)))*((G29-IFERROR(H29,0))/IFERROR(SUMPRODUCT((Besatzung!$B$11:$B$22&lt;&gt;"")*(IF(Besatzung!$C$11:$C$22="",Besatzung!$B$5,Besatzung!$C$11:$C$22)&lt;=B29)*(IF(Besatzung!$D$11:$D$22="",Besatzung!$B$6,Besatzung!$D$11:$D$22)&gt;=B29)),1)+(Besatzung!$F$18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Q29="x")*((G29-IFERROR(H29,0))/IFERROR(COUNTIF(J29:U29,"x"),1)+(Besatzung!$F$18="x")*IFERROR(H29,0)/IFERROR(SUMPRODUCT((J29:U29="x")*(Besatzung!$F$11:$F$22="x")),1))),(IF(COUNTIF(J29:U29,"x")=0,IF(Besatzung!$B$18&lt;&gt;"",1,0),(Q29="x"))*(G29-IFERROR(H29,0))/IFERROR(IF(COUNTIF(J29:U29,"x")=0,COUNTA(Besatzung!$B$11:$B$22),COUNTIF(J29:U29,"x")),1)+IF(COUNTIF(J29:U29,"x")=0,(Besatzung!$F$18="x"),(Q29="x")*(Besatzung!$F$18="x"))*IFERROR(H29,0)/IFERROR(IF(COUNTIF(J29:U29,"x")=0,SUMPRODUCT((Besatzung!$B$11:$B$22&lt;&gt;"")*(Besatzung!$F$11:$F$22="x")),SUMPRODUCT((J29:U29="x")*(Besatzung!$F$11:$F$22="x"))),1))))),0))))</f>
        <v/>
      </c>
      <c r="AD29" s="106">
        <f>IF(C29="Gutschrift","",IF(G29="","",IF(Besatzung!$B$19="","",IFERROR(IF(I29="Zeitanteilig",(Besatzung!$G$19*(G29-IFERROR(H29,0))+((Besatzung!$B$19&lt;&gt;"")*IF(B29="",1,(IF(Besatzung!$C$19="",Besatzung!$B$5,Besatzung!$C$19)&lt;=B29)*(IF(Besatzung!$D$19="",Besatzung!$B$6,Besatzung!$D$19)&gt;=B29)))*(Besatzung!$F$19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$19&lt;&gt;"")*IF(B29="",1,(IF(Besatzung!$C$19="",Besatzung!$B$5,Besatzung!$C$19)&lt;=B29)*(IF(Besatzung!$D$19="",Besatzung!$B$6,Besatzung!$D$19)&gt;=B29)))*((G29-IFERROR(H29,0))/IFERROR(SUMPRODUCT((Besatzung!$B$11:$B$22&lt;&gt;"")*(IF(Besatzung!$C$11:$C$22="",Besatzung!$B$5,Besatzung!$C$11:$C$22)&lt;=B29)*(IF(Besatzung!$D$11:$D$22="",Besatzung!$B$6,Besatzung!$D$11:$D$22)&gt;=B29)),1)+(Besatzung!$F$19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R29="x")*((G29-IFERROR(H29,0))/IFERROR(COUNTIF(J29:U29,"x"),1)+(Besatzung!$F$19="x")*IFERROR(H29,0)/IFERROR(SUMPRODUCT((J29:U29="x")*(Besatzung!$F$11:$F$22="x")),1))),(IF(COUNTIF(J29:U29,"x")=0,IF(Besatzung!$B$19&lt;&gt;"",1,0),(R29="x"))*(G29-IFERROR(H29,0))/IFERROR(IF(COUNTIF(J29:U29,"x")=0,COUNTA(Besatzung!$B$11:$B$22),COUNTIF(J29:U29,"x")),1)+IF(COUNTIF(J29:U29,"x")=0,(Besatzung!$F$19="x"),(R29="x")*(Besatzung!$F$19="x"))*IFERROR(H29,0)/IFERROR(IF(COUNTIF(J29:U29,"x")=0,SUMPRODUCT((Besatzung!$B$11:$B$22&lt;&gt;"")*(Besatzung!$F$11:$F$22="x")),SUMPRODUCT((J29:U29="x")*(Besatzung!$F$11:$F$22="x"))),1))))),0))))</f>
        <v/>
      </c>
      <c r="AE29" s="106">
        <f>IF(C29="Gutschrift","",IF(G29="","",IF(Besatzung!$B$20="","",IFERROR(IF(I29="Zeitanteilig",(Besatzung!$G$20*(G29-IFERROR(H29,0))+((Besatzung!$B$20&lt;&gt;"")*IF(B29="",1,(IF(Besatzung!$C$20="",Besatzung!$B$5,Besatzung!$C$20)&lt;=B29)*(IF(Besatzung!$D$20="",Besatzung!$B$6,Besatzung!$D$20)&gt;=B29)))*(Besatzung!$F$20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$20&lt;&gt;"")*IF(B29="",1,(IF(Besatzung!$C$20="",Besatzung!$B$5,Besatzung!$C$20)&lt;=B29)*(IF(Besatzung!$D$20="",Besatzung!$B$6,Besatzung!$D$20)&gt;=B29)))*((G29-IFERROR(H29,0))/IFERROR(SUMPRODUCT((Besatzung!$B$11:$B$22&lt;&gt;"")*(IF(Besatzung!$C$11:$C$22="",Besatzung!$B$5,Besatzung!$C$11:$C$22)&lt;=B29)*(IF(Besatzung!$D$11:$D$22="",Besatzung!$B$6,Besatzung!$D$11:$D$22)&gt;=B29)),1)+(Besatzung!$F$20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S29="x")*((G29-IFERROR(H29,0))/IFERROR(COUNTIF(J29:U29,"x"),1)+(Besatzung!$F$20="x")*IFERROR(H29,0)/IFERROR(SUMPRODUCT((J29:U29="x")*(Besatzung!$F$11:$F$22="x")),1))),(IF(COUNTIF(J29:U29,"x")=0,IF(Besatzung!$B$20&lt;&gt;"",1,0),(S29="x"))*(G29-IFERROR(H29,0))/IFERROR(IF(COUNTIF(J29:U29,"x")=0,COUNTA(Besatzung!$B$11:$B$22),COUNTIF(J29:U29,"x")),1)+IF(COUNTIF(J29:U29,"x")=0,(Besatzung!$F$20="x"),(S29="x")*(Besatzung!$F$20="x"))*IFERROR(H29,0)/IFERROR(IF(COUNTIF(J29:U29,"x")=0,SUMPRODUCT((Besatzung!$B$11:$B$22&lt;&gt;"")*(Besatzung!$F$11:$F$22="x")),SUMPRODUCT((J29:U29="x")*(Besatzung!$F$11:$F$22="x"))),1))))),0))))</f>
        <v/>
      </c>
      <c r="AF29" s="106">
        <f>IF(C29="Gutschrift","",IF(G29="","",IF(Besatzung!$B$21="","",IFERROR(IF(I29="Zeitanteilig",(Besatzung!$G$21*(G29-IFERROR(H29,0))+((Besatzung!$B$21&lt;&gt;"")*IF(B29="",1,(IF(Besatzung!$C$21="",Besatzung!$B$5,Besatzung!$C$21)&lt;=B29)*(IF(Besatzung!$D$21="",Besatzung!$B$6,Besatzung!$D$21)&gt;=B29)))*(Besatzung!$F$21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$21&lt;&gt;"")*IF(B29="",1,(IF(Besatzung!$C$21="",Besatzung!$B$5,Besatzung!$C$21)&lt;=B29)*(IF(Besatzung!$D$21="",Besatzung!$B$6,Besatzung!$D$21)&gt;=B29)))*((G29-IFERROR(H29,0))/IFERROR(SUMPRODUCT((Besatzung!$B$11:$B$22&lt;&gt;"")*(IF(Besatzung!$C$11:$C$22="",Besatzung!$B$5,Besatzung!$C$11:$C$22)&lt;=B29)*(IF(Besatzung!$D$11:$D$22="",Besatzung!$B$6,Besatzung!$D$11:$D$22)&gt;=B29)),1)+(Besatzung!$F$21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T29="x")*((G29-IFERROR(H29,0))/IFERROR(COUNTIF(J29:U29,"x"),1)+(Besatzung!$F$21="x")*IFERROR(H29,0)/IFERROR(SUMPRODUCT((J29:U29="x")*(Besatzung!$F$11:$F$22="x")),1))),(IF(COUNTIF(J29:U29,"x")=0,IF(Besatzung!$B$21&lt;&gt;"",1,0),(T29="x"))*(G29-IFERROR(H29,0))/IFERROR(IF(COUNTIF(J29:U29,"x")=0,COUNTA(Besatzung!$B$11:$B$22),COUNTIF(J29:U29,"x")),1)+IF(COUNTIF(J29:U29,"x")=0,(Besatzung!$F$21="x"),(T29="x")*(Besatzung!$F$21="x"))*IFERROR(H29,0)/IFERROR(IF(COUNTIF(J29:U29,"x")=0,SUMPRODUCT((Besatzung!$B$11:$B$22&lt;&gt;"")*(Besatzung!$F$11:$F$22="x")),SUMPRODUCT((J29:U29="x")*(Besatzung!$F$11:$F$22="x"))),1))))),0))))</f>
        <v/>
      </c>
      <c r="AG29" s="106">
        <f>IF(C29="Gutschrift","",IF(G29="","",IF(Besatzung!$B$22="","",IFERROR(IF(I29="Zeitanteilig",(Besatzung!$G$22*(G29-IFERROR(H29,0))+((Besatzung!$B$22&lt;&gt;"")*IF(B29="",1,(IF(Besatzung!$C$22="",Besatzung!$B$5,Besatzung!$C$22)&lt;=B29)*(IF(Besatzung!$D$22="",Besatzung!$B$6,Besatzung!$D$22)&gt;=B29)))*(Besatzung!$F$22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$22&lt;&gt;"")*IF(B29="",1,(IF(Besatzung!$C$22="",Besatzung!$B$5,Besatzung!$C$22)&lt;=B29)*(IF(Besatzung!$D$22="",Besatzung!$B$6,Besatzung!$D$22)&gt;=B29)))*((G29-IFERROR(H29,0))/IFERROR(SUMPRODUCT((Besatzung!$B$11:$B$22&lt;&gt;"")*(IF(Besatzung!$C$11:$C$22="",Besatzung!$B$5,Besatzung!$C$11:$C$22)&lt;=B29)*(IF(Besatzung!$D$11:$D$22="",Besatzung!$B$6,Besatzung!$D$11:$D$22)&gt;=B29)),1)+(Besatzung!$F$22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U29="x")*((G29-IFERROR(H29,0))/IFERROR(COUNTIF(J29:U29,"x"),1)+(Besatzung!$F$22="x")*IFERROR(H29,0)/IFERROR(SUMPRODUCT((J29:U29="x")*(Besatzung!$F$11:$F$22="x")),1))),(IF(COUNTIF(J29:U29,"x")=0,IF(Besatzung!$B$22&lt;&gt;"",1,0),(U29="x"))*(G29-IFERROR(H29,0))/IFERROR(IF(COUNTIF(J29:U29,"x")=0,COUNTA(Besatzung!$B$11:$B$22),COUNTIF(J29:U29,"x")),1)+IF(COUNTIF(J29:U29,"x")=0,(Besatzung!$F$22="x"),(U29="x")*(Besatzung!$F$22="x"))*IFERROR(H29,0)/IFERROR(IF(COUNTIF(J29:U29,"x")=0,SUMPRODUCT((Besatzung!$B$11:$B$22&lt;&gt;"")*(Besatzung!$F$11:$F$22="x")),SUMPRODUCT((J29:U29="x")*(Besatzung!$F$11:$F$22="x"))),1))))),0))))</f>
        <v/>
      </c>
      <c r="AH29" s="107" t="n"/>
      <c r="AI29" s="107" t="n"/>
    </row>
    <row r="30" ht="21.75" customHeight="1" s="182">
      <c r="A30" s="97">
        <f>IF(AND(D30="",C30=""),"",27)</f>
        <v/>
      </c>
      <c r="B30" s="56" t="n"/>
      <c r="C30" s="98" t="n"/>
      <c r="D30" s="99" t="n"/>
      <c r="E30" s="100" t="n"/>
      <c r="F30" s="101" t="n"/>
      <c r="G30" s="102" t="n"/>
      <c r="H30" s="103" t="n"/>
      <c r="I30" s="104" t="n"/>
      <c r="J30" s="105" t="n"/>
      <c r="K30" s="105" t="n"/>
      <c r="L30" s="105" t="n"/>
      <c r="M30" s="105" t="n"/>
      <c r="N30" s="105" t="n"/>
      <c r="O30" s="105" t="n"/>
      <c r="P30" s="105" t="n"/>
      <c r="Q30" s="105" t="n"/>
      <c r="R30" s="105" t="n"/>
      <c r="S30" s="105" t="n"/>
      <c r="T30" s="105" t="n"/>
      <c r="U30" s="105" t="n"/>
      <c r="V30" s="106">
        <f>IF(C30="Gutschrift","",IF(G30="","",IF(Besatzung!$B$11="","",IFERROR(IF(I30="Zeitanteilig",(Besatzung!$G$11*(G30-IFERROR(H30,0))+((Besatzung!$B$11&lt;&gt;"")*IF(B30="",1,(IF(Besatzung!$C$11="",Besatzung!$B$5,Besatzung!$C$11)&lt;=B30)*(IF(Besatzung!$D$11="",Besatzung!$B$6,Besatzung!$D$11)&gt;=B30)))*(Besatzung!$F$11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$11&lt;&gt;"")*IF(B30="",1,(IF(Besatzung!$C$11="",Besatzung!$B$5,Besatzung!$C$11)&lt;=B30)*(IF(Besatzung!$D$11="",Besatzung!$B$6,Besatzung!$D$11)&gt;=B30)))*((G30-IFERROR(H30,0))/IFERROR(SUMPRODUCT((Besatzung!$B$11:$B$22&lt;&gt;"")*(IF(Besatzung!$C$11:$C$22="",Besatzung!$B$5,Besatzung!$C$11:$C$22)&lt;=B30)*(IF(Besatzung!$D$11:$D$22="",Besatzung!$B$6,Besatzung!$D$11:$D$22)&gt;=B30)),1)+(Besatzung!$F$11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J30="x")*((G30-IFERROR(H30,0))/IFERROR(COUNTIF(J30:U30,"x"),1)+(Besatzung!$F$11="x")*IFERROR(H30,0)/IFERROR(SUMPRODUCT((J30:U30="x")*(Besatzung!$F$11:$F$22="x")),1))),(IF(COUNTIF(J30:U30,"x")=0,IF(Besatzung!$B$11&lt;&gt;"",1,0),(J30="x"))*(G30-IFERROR(H30,0))/IFERROR(IF(COUNTIF(J30:U30,"x")=0,COUNTA(Besatzung!$B$11:$B$22),COUNTIF(J30:U30,"x")),1)+IF(COUNTIF(J30:U30,"x")=0,(Besatzung!$F$11="x"),(J30="x")*(Besatzung!$F$11="x"))*IFERROR(H30,0)/IFERROR(IF(COUNTIF(J30:U30,"x")=0,SUMPRODUCT((Besatzung!$B$11:$B$22&lt;&gt;"")*(Besatzung!$F$11:$F$22="x")),SUMPRODUCT((J30:U30="x")*(Besatzung!$F$11:$F$22="x"))),1))))),0))))</f>
        <v/>
      </c>
      <c r="W30" s="106">
        <f>IF(C30="Gutschrift","",IF(G30="","",IF(Besatzung!$B$12="","",IFERROR(IF(I30="Zeitanteilig",(Besatzung!$G$12*(G30-IFERROR(H30,0))+((Besatzung!$B$12&lt;&gt;"")*IF(B30="",1,(IF(Besatzung!$C$12="",Besatzung!$B$5,Besatzung!$C$12)&lt;=B30)*(IF(Besatzung!$D$12="",Besatzung!$B$6,Besatzung!$D$12)&gt;=B30)))*(Besatzung!$F$12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$12&lt;&gt;"")*IF(B30="",1,(IF(Besatzung!$C$12="",Besatzung!$B$5,Besatzung!$C$12)&lt;=B30)*(IF(Besatzung!$D$12="",Besatzung!$B$6,Besatzung!$D$12)&gt;=B30)))*((G30-IFERROR(H30,0))/IFERROR(SUMPRODUCT((Besatzung!$B$11:$B$22&lt;&gt;"")*(IF(Besatzung!$C$11:$C$22="",Besatzung!$B$5,Besatzung!$C$11:$C$22)&lt;=B30)*(IF(Besatzung!$D$11:$D$22="",Besatzung!$B$6,Besatzung!$D$11:$D$22)&gt;=B30)),1)+(Besatzung!$F$12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K30="x")*((G30-IFERROR(H30,0))/IFERROR(COUNTIF(J30:U30,"x"),1)+(Besatzung!$F$12="x")*IFERROR(H30,0)/IFERROR(SUMPRODUCT((J30:U30="x")*(Besatzung!$F$11:$F$22="x")),1))),(IF(COUNTIF(J30:U30,"x")=0,IF(Besatzung!$B$12&lt;&gt;"",1,0),(K30="x"))*(G30-IFERROR(H30,0))/IFERROR(IF(COUNTIF(J30:U30,"x")=0,COUNTA(Besatzung!$B$11:$B$22),COUNTIF(J30:U30,"x")),1)+IF(COUNTIF(J30:U30,"x")=0,(Besatzung!$F$12="x"),(K30="x")*(Besatzung!$F$12="x"))*IFERROR(H30,0)/IFERROR(IF(COUNTIF(J30:U30,"x")=0,SUMPRODUCT((Besatzung!$B$11:$B$22&lt;&gt;"")*(Besatzung!$F$11:$F$22="x")),SUMPRODUCT((J30:U30="x")*(Besatzung!$F$11:$F$22="x"))),1))))),0))))</f>
        <v/>
      </c>
      <c r="X30" s="106">
        <f>IF(C30="Gutschrift","",IF(G30="","",IF(Besatzung!$B$13="","",IFERROR(IF(I30="Zeitanteilig",(Besatzung!$G$13*(G30-IFERROR(H30,0))+((Besatzung!$B$13&lt;&gt;"")*IF(B30="",1,(IF(Besatzung!$C$13="",Besatzung!$B$5,Besatzung!$C$13)&lt;=B30)*(IF(Besatzung!$D$13="",Besatzung!$B$6,Besatzung!$D$13)&gt;=B30)))*(Besatzung!$F$13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$13&lt;&gt;"")*IF(B30="",1,(IF(Besatzung!$C$13="",Besatzung!$B$5,Besatzung!$C$13)&lt;=B30)*(IF(Besatzung!$D$13="",Besatzung!$B$6,Besatzung!$D$13)&gt;=B30)))*((G30-IFERROR(H30,0))/IFERROR(SUMPRODUCT((Besatzung!$B$11:$B$22&lt;&gt;"")*(IF(Besatzung!$C$11:$C$22="",Besatzung!$B$5,Besatzung!$C$11:$C$22)&lt;=B30)*(IF(Besatzung!$D$11:$D$22="",Besatzung!$B$6,Besatzung!$D$11:$D$22)&gt;=B30)),1)+(Besatzung!$F$13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K30="x")*((G30-IFERROR(H30,0))/IFERROR(COUNTIF(J30:U30,"x"),1)+(Besatzung!$F$13="x")*IFERROR(H30,0)/IFERROR(SUMPRODUCT((J30:U30="x")*(Besatzung!$F$11:$F$22="x")),1))),(IF(COUNTIF(J30:U30,"x")=0,IF(Besatzung!$B$13&lt;&gt;"",1,0),(K30="x"))*(G30-IFERROR(H30,0))/IFERROR(IF(COUNTIF(J30:U30,"x")=0,COUNTA(Besatzung!$B$11:$B$22),COUNTIF(J30:U30,"x")),1)+IF(COUNTIF(J30:U30,"x")=0,(Besatzung!$F$13="x"),(K30="x")*(Besatzung!$F$13="x"))*IFERROR(H30,0)/IFERROR(IF(COUNTIF(J30:U30,"x")=0,SUMPRODUCT((Besatzung!$B$11:$B$22&lt;&gt;"")*(Besatzung!$F$11:$F$22="x")),SUMPRODUCT((J30:U30="x")*(Besatzung!$F$11:$F$22="x"))),1))))),0))))</f>
        <v/>
      </c>
      <c r="Y30" s="106">
        <f>IF(C30="Gutschrift","",IF(G30="","",IF(Besatzung!$B$14="","",IFERROR(IF(I30="Zeitanteilig",(Besatzung!$G$14*(G30-IFERROR(H30,0))+((Besatzung!$B$14&lt;&gt;"")*IF(B30="",1,(IF(Besatzung!$C$14="",Besatzung!$B$5,Besatzung!$C$14)&lt;=B30)*(IF(Besatzung!$D$14="",Besatzung!$B$6,Besatzung!$D$14)&gt;=B30)))*(Besatzung!$F$14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$14&lt;&gt;"")*IF(B30="",1,(IF(Besatzung!$C$14="",Besatzung!$B$5,Besatzung!$C$14)&lt;=B30)*(IF(Besatzung!$D$14="",Besatzung!$B$6,Besatzung!$D$14)&gt;=B30)))*((G30-IFERROR(H30,0))/IFERROR(SUMPRODUCT((Besatzung!$B$11:$B$22&lt;&gt;"")*(IF(Besatzung!$C$11:$C$22="",Besatzung!$B$5,Besatzung!$C$11:$C$22)&lt;=B30)*(IF(Besatzung!$D$11:$D$22="",Besatzung!$B$6,Besatzung!$D$11:$D$22)&gt;=B30)),1)+(Besatzung!$F$14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M30="x")*((G30-IFERROR(H30,0))/IFERROR(COUNTIF(J30:U30,"x"),1)+(Besatzung!$F$14="x")*IFERROR(H30,0)/IFERROR(SUMPRODUCT((J30:U30="x")*(Besatzung!$F$11:$F$22="x")),1))),(IF(COUNTIF(J30:U30,"x")=0,IF(Besatzung!$B$14&lt;&gt;"",1,0),(M30="x"))*(G30-IFERROR(H30,0))/IFERROR(IF(COUNTIF(J30:U30,"x")=0,COUNTA(Besatzung!$B$11:$B$22),COUNTIF(J30:U30,"x")),1)+IF(COUNTIF(J30:U30,"x")=0,(Besatzung!$F$14="x"),(M30="x")*(Besatzung!$F$14="x"))*IFERROR(H30,0)/IFERROR(IF(COUNTIF(J30:U30,"x")=0,SUMPRODUCT((Besatzung!$B$11:$B$22&lt;&gt;"")*(Besatzung!$F$11:$F$22="x")),SUMPRODUCT((J30:U30="x")*(Besatzung!$F$11:$F$22="x"))),1))))),0))))</f>
        <v/>
      </c>
      <c r="Z30" s="106">
        <f>IF(C30="Gutschrift","",IF(G30="","",IF(Besatzung!$B$13="","",IFERROR(IF(I30="Zeitanteilig",(Besatzung!$G$15*(G30-IFERROR(H30,0))+((Besatzung!$B$13&lt;&gt;"")*IF(B30="",1,(IF(Besatzung!$C$15="",Besatzung!$B$5,Besatzung!$C$15)&lt;=B30)*(IF(Besatzung!$D$15="",Besatzung!$B$6,Besatzung!$D$15)&gt;=B30)))*(Besatzung!$F$15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$13&lt;&gt;"")*IF(B30="",1,(IF(Besatzung!$C$15="",Besatzung!$B$5,Besatzung!$C$15)&lt;=B30)*(IF(Besatzung!$D$15="",Besatzung!$B$6,Besatzung!$D$15)&gt;=B30)))*((G30-IFERROR(H30,0))/IFERROR(SUMPRODUCT((Besatzung!$B$11:$B$22&lt;&gt;"")*(IF(Besatzung!$C$11:$C$22="",Besatzung!$B$5,Besatzung!$C$11:$C$22)&lt;=B30)*(IF(Besatzung!$D$11:$D$22="",Besatzung!$B$6,Besatzung!$D$11:$D$22)&gt;=B30)),1)+(Besatzung!$F$15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N30="x")*((G30-IFERROR(H30,0))/IFERROR(COUNTIF(J30:U30,"x"),1)+(Besatzung!$F$15="x")*IFERROR(H30,0)/IFERROR(SUMPRODUCT((J30:U30="x")*(Besatzung!$F$11:$F$22="x")),1))),(IF(COUNTIF(J30:U30,"x")=0,IF(Besatzung!$B$13&lt;&gt;"",1,0),(N30="x"))*(G30-IFERROR(H30,0))/IFERROR(IF(COUNTIF(J30:U30,"x")=0,COUNTA(Besatzung!$B$11:$B$22),COUNTIF(J30:U30,"x")),1)+IF(COUNTIF(J30:U30,"x")=0,(Besatzung!$F$15="x"),(N30="x")*(Besatzung!$F$15="x"))*IFERROR(H30,0)/IFERROR(IF(COUNTIF(J30:U30,"x")=0,SUMPRODUCT((Besatzung!$B$11:$B$22&lt;&gt;"")*(Besatzung!$F$11:$F$22="x")),SUMPRODUCT((J30:U30="x")*(Besatzung!$F$11:$F$22="x"))),1))))),0))))</f>
        <v/>
      </c>
      <c r="AA30" s="106">
        <f>IF(C30="Gutschrift","",IF(G30="","",IF(Besatzung!$B$15="","",IFERROR(IF(I30="Zeitanteilig",(Besatzung!$G$16*(G30-IFERROR(H30,0))+((Besatzung!$B$15&lt;&gt;"")*IF(B30="",1,(IF(Besatzung!$C$16="",Besatzung!$B$5,Besatzung!$C$16)&lt;=B30)*(IF(Besatzung!$D$16="",Besatzung!$B$6,Besatzung!$D$16)&gt;=B30)))*(Besatzung!$F$16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$15&lt;&gt;"")*IF(B30="",1,(IF(Besatzung!$C$16="",Besatzung!$B$5,Besatzung!$C$16)&lt;=B30)*(IF(Besatzung!$D$16="",Besatzung!$B$6,Besatzung!$D$16)&gt;=B30)))*((G30-IFERROR(H30,0))/IFERROR(SUMPRODUCT((Besatzung!$B$11:$B$22&lt;&gt;"")*(IF(Besatzung!$C$11:$C$22="",Besatzung!$B$5,Besatzung!$C$11:$C$22)&lt;=B30)*(IF(Besatzung!$D$11:$D$22="",Besatzung!$B$6,Besatzung!$D$11:$D$22)&gt;=B30)),1)+(Besatzung!$F$16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O30="x")*((G30-IFERROR(H30,0))/IFERROR(COUNTIF(J30:U30,"x"),1)+(Besatzung!$F$16="x")*IFERROR(H30,0)/IFERROR(SUMPRODUCT((J30:U30="x")*(Besatzung!$F$11:$F$22="x")),1))),(IF(COUNTIF(J30:U30,"x")=0,IF(Besatzung!$B$15&lt;&gt;"",1,0),(O30="x"))*(G30-IFERROR(H30,0))/IFERROR(IF(COUNTIF(J30:U30,"x")=0,COUNTA(Besatzung!$B$11:$B$22),COUNTIF(J30:U30,"x")),1)+IF(COUNTIF(J30:U30,"x")=0,(Besatzung!$F$16="x"),(O30="x")*(Besatzung!$F$16="x"))*IFERROR(H30,0)/IFERROR(IF(COUNTIF(J30:U30,"x")=0,SUMPRODUCT((Besatzung!$B$11:$B$22&lt;&gt;"")*(Besatzung!$F$11:$F$22="x")),SUMPRODUCT((J30:U30="x")*(Besatzung!$F$11:$F$22="x"))),1))))),0))))</f>
        <v/>
      </c>
      <c r="AB30" s="106">
        <f>IF(C30="Gutschrift","",IF(G30="","",IF(Besatzung!$B$17="","",IFERROR(IF(I30="Zeitanteilig",(Besatzung!$G$17*(G30-IFERROR(H30,0))+((Besatzung!$B$17&lt;&gt;"")*IF(B30="",1,(IF(Besatzung!$C$17="",Besatzung!$B$5,Besatzung!$C$17)&lt;=B30)*(IF(Besatzung!$D$17="",Besatzung!$B$6,Besatzung!$D$17)&gt;=B30)))*(Besatzung!$F$17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$17&lt;&gt;"")*IF(B30="",1,(IF(Besatzung!$C$17="",Besatzung!$B$5,Besatzung!$C$17)&lt;=B30)*(IF(Besatzung!$D$17="",Besatzung!$B$6,Besatzung!$D$17)&gt;=B30)))*((G30-IFERROR(H30,0))/IFERROR(SUMPRODUCT((Besatzung!$B$11:$B$22&lt;&gt;"")*(IF(Besatzung!$C$11:$C$22="",Besatzung!$B$5,Besatzung!$C$11:$C$22)&lt;=B30)*(IF(Besatzung!$D$11:$D$22="",Besatzung!$B$6,Besatzung!$D$11:$D$22)&gt;=B30)),1)+(Besatzung!$F$17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P30="x")*((G30-IFERROR(H30,0))/IFERROR(COUNTIF(J30:U30,"x"),1)+(Besatzung!$F$17="x")*IFERROR(H30,0)/IFERROR(SUMPRODUCT((J30:U30="x")*(Besatzung!$F$11:$F$22="x")),1))),(IF(COUNTIF(J30:U30,"x")=0,IF(Besatzung!$B$17&lt;&gt;"",1,0),(P30="x"))*(G30-IFERROR(H30,0))/IFERROR(IF(COUNTIF(J30:U30,"x")=0,COUNTA(Besatzung!$B$11:$B$22),COUNTIF(J30:U30,"x")),1)+IF(COUNTIF(J30:U30,"x")=0,(Besatzung!$F$17="x"),(P30="x")*(Besatzung!$F$17="x"))*IFERROR(H30,0)/IFERROR(IF(COUNTIF(J30:U30,"x")=0,SUMPRODUCT((Besatzung!$B$11:$B$22&lt;&gt;"")*(Besatzung!$F$11:$F$22="x")),SUMPRODUCT((J30:U30="x")*(Besatzung!$F$11:$F$22="x"))),1))))),0))))</f>
        <v/>
      </c>
      <c r="AC30" s="106">
        <f>IF(C30="Gutschrift","",IF(G30="","",IF(Besatzung!$B$18="","",IFERROR(IF(I30="Zeitanteilig",(Besatzung!$G$18*(G30-IFERROR(H30,0))+((Besatzung!$B$18&lt;&gt;"")*IF(B30="",1,(IF(Besatzung!$C$18="",Besatzung!$B$5,Besatzung!$C$18)&lt;=B30)*(IF(Besatzung!$D$18="",Besatzung!$B$6,Besatzung!$D$18)&gt;=B30)))*(Besatzung!$F$18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$18&lt;&gt;"")*IF(B30="",1,(IF(Besatzung!$C$18="",Besatzung!$B$5,Besatzung!$C$18)&lt;=B30)*(IF(Besatzung!$D$18="",Besatzung!$B$6,Besatzung!$D$18)&gt;=B30)))*((G30-IFERROR(H30,0))/IFERROR(SUMPRODUCT((Besatzung!$B$11:$B$22&lt;&gt;"")*(IF(Besatzung!$C$11:$C$22="",Besatzung!$B$5,Besatzung!$C$11:$C$22)&lt;=B30)*(IF(Besatzung!$D$11:$D$22="",Besatzung!$B$6,Besatzung!$D$11:$D$22)&gt;=B30)),1)+(Besatzung!$F$18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Q30="x")*((G30-IFERROR(H30,0))/IFERROR(COUNTIF(J30:U30,"x"),1)+(Besatzung!$F$18="x")*IFERROR(H30,0)/IFERROR(SUMPRODUCT((J30:U30="x")*(Besatzung!$F$11:$F$22="x")),1))),(IF(COUNTIF(J30:U30,"x")=0,IF(Besatzung!$B$18&lt;&gt;"",1,0),(Q30="x"))*(G30-IFERROR(H30,0))/IFERROR(IF(COUNTIF(J30:U30,"x")=0,COUNTA(Besatzung!$B$11:$B$22),COUNTIF(J30:U30,"x")),1)+IF(COUNTIF(J30:U30,"x")=0,(Besatzung!$F$18="x"),(Q30="x")*(Besatzung!$F$18="x"))*IFERROR(H30,0)/IFERROR(IF(COUNTIF(J30:U30,"x")=0,SUMPRODUCT((Besatzung!$B$11:$B$22&lt;&gt;"")*(Besatzung!$F$11:$F$22="x")),SUMPRODUCT((J30:U30="x")*(Besatzung!$F$11:$F$22="x"))),1))))),0))))</f>
        <v/>
      </c>
      <c r="AD30" s="106">
        <f>IF(C30="Gutschrift","",IF(G30="","",IF(Besatzung!$B$19="","",IFERROR(IF(I30="Zeitanteilig",(Besatzung!$G$19*(G30-IFERROR(H30,0))+((Besatzung!$B$19&lt;&gt;"")*IF(B30="",1,(IF(Besatzung!$C$19="",Besatzung!$B$5,Besatzung!$C$19)&lt;=B30)*(IF(Besatzung!$D$19="",Besatzung!$B$6,Besatzung!$D$19)&gt;=B30)))*(Besatzung!$F$19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$19&lt;&gt;"")*IF(B30="",1,(IF(Besatzung!$C$19="",Besatzung!$B$5,Besatzung!$C$19)&lt;=B30)*(IF(Besatzung!$D$19="",Besatzung!$B$6,Besatzung!$D$19)&gt;=B30)))*((G30-IFERROR(H30,0))/IFERROR(SUMPRODUCT((Besatzung!$B$11:$B$22&lt;&gt;"")*(IF(Besatzung!$C$11:$C$22="",Besatzung!$B$5,Besatzung!$C$11:$C$22)&lt;=B30)*(IF(Besatzung!$D$11:$D$22="",Besatzung!$B$6,Besatzung!$D$11:$D$22)&gt;=B30)),1)+(Besatzung!$F$19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R30="x")*((G30-IFERROR(H30,0))/IFERROR(COUNTIF(J30:U30,"x"),1)+(Besatzung!$F$19="x")*IFERROR(H30,0)/IFERROR(SUMPRODUCT((J30:U30="x")*(Besatzung!$F$11:$F$22="x")),1))),(IF(COUNTIF(J30:U30,"x")=0,IF(Besatzung!$B$19&lt;&gt;"",1,0),(R30="x"))*(G30-IFERROR(H30,0))/IFERROR(IF(COUNTIF(J30:U30,"x")=0,COUNTA(Besatzung!$B$11:$B$22),COUNTIF(J30:U30,"x")),1)+IF(COUNTIF(J30:U30,"x")=0,(Besatzung!$F$19="x"),(R30="x")*(Besatzung!$F$19="x"))*IFERROR(H30,0)/IFERROR(IF(COUNTIF(J30:U30,"x")=0,SUMPRODUCT((Besatzung!$B$11:$B$22&lt;&gt;"")*(Besatzung!$F$11:$F$22="x")),SUMPRODUCT((J30:U30="x")*(Besatzung!$F$11:$F$22="x"))),1))))),0))))</f>
        <v/>
      </c>
      <c r="AE30" s="106">
        <f>IF(C30="Gutschrift","",IF(G30="","",IF(Besatzung!$B$20="","",IFERROR(IF(I30="Zeitanteilig",(Besatzung!$G$20*(G30-IFERROR(H30,0))+((Besatzung!$B$20&lt;&gt;"")*IF(B30="",1,(IF(Besatzung!$C$20="",Besatzung!$B$5,Besatzung!$C$20)&lt;=B30)*(IF(Besatzung!$D$20="",Besatzung!$B$6,Besatzung!$D$20)&gt;=B30)))*(Besatzung!$F$20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$20&lt;&gt;"")*IF(B30="",1,(IF(Besatzung!$C$20="",Besatzung!$B$5,Besatzung!$C$20)&lt;=B30)*(IF(Besatzung!$D$20="",Besatzung!$B$6,Besatzung!$D$20)&gt;=B30)))*((G30-IFERROR(H30,0))/IFERROR(SUMPRODUCT((Besatzung!$B$11:$B$22&lt;&gt;"")*(IF(Besatzung!$C$11:$C$22="",Besatzung!$B$5,Besatzung!$C$11:$C$22)&lt;=B30)*(IF(Besatzung!$D$11:$D$22="",Besatzung!$B$6,Besatzung!$D$11:$D$22)&gt;=B30)),1)+(Besatzung!$F$20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S30="x")*((G30-IFERROR(H30,0))/IFERROR(COUNTIF(J30:U30,"x"),1)+(Besatzung!$F$20="x")*IFERROR(H30,0)/IFERROR(SUMPRODUCT((J30:U30="x")*(Besatzung!$F$11:$F$22="x")),1))),(IF(COUNTIF(J30:U30,"x")=0,IF(Besatzung!$B$20&lt;&gt;"",1,0),(S30="x"))*(G30-IFERROR(H30,0))/IFERROR(IF(COUNTIF(J30:U30,"x")=0,COUNTA(Besatzung!$B$11:$B$22),COUNTIF(J30:U30,"x")),1)+IF(COUNTIF(J30:U30,"x")=0,(Besatzung!$F$20="x"),(S30="x")*(Besatzung!$F$20="x"))*IFERROR(H30,0)/IFERROR(IF(COUNTIF(J30:U30,"x")=0,SUMPRODUCT((Besatzung!$B$11:$B$22&lt;&gt;"")*(Besatzung!$F$11:$F$22="x")),SUMPRODUCT((J30:U30="x")*(Besatzung!$F$11:$F$22="x"))),1))))),0))))</f>
        <v/>
      </c>
      <c r="AF30" s="106">
        <f>IF(C30="Gutschrift","",IF(G30="","",IF(Besatzung!$B$21="","",IFERROR(IF(I30="Zeitanteilig",(Besatzung!$G$21*(G30-IFERROR(H30,0))+((Besatzung!$B$21&lt;&gt;"")*IF(B30="",1,(IF(Besatzung!$C$21="",Besatzung!$B$5,Besatzung!$C$21)&lt;=B30)*(IF(Besatzung!$D$21="",Besatzung!$B$6,Besatzung!$D$21)&gt;=B30)))*(Besatzung!$F$21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$21&lt;&gt;"")*IF(B30="",1,(IF(Besatzung!$C$21="",Besatzung!$B$5,Besatzung!$C$21)&lt;=B30)*(IF(Besatzung!$D$21="",Besatzung!$B$6,Besatzung!$D$21)&gt;=B30)))*((G30-IFERROR(H30,0))/IFERROR(SUMPRODUCT((Besatzung!$B$11:$B$22&lt;&gt;"")*(IF(Besatzung!$C$11:$C$22="",Besatzung!$B$5,Besatzung!$C$11:$C$22)&lt;=B30)*(IF(Besatzung!$D$11:$D$22="",Besatzung!$B$6,Besatzung!$D$11:$D$22)&gt;=B30)),1)+(Besatzung!$F$21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T30="x")*((G30-IFERROR(H30,0))/IFERROR(COUNTIF(J30:U30,"x"),1)+(Besatzung!$F$21="x")*IFERROR(H30,0)/IFERROR(SUMPRODUCT((J30:U30="x")*(Besatzung!$F$11:$F$22="x")),1))),(IF(COUNTIF(J30:U30,"x")=0,IF(Besatzung!$B$21&lt;&gt;"",1,0),(T30="x"))*(G30-IFERROR(H30,0))/IFERROR(IF(COUNTIF(J30:U30,"x")=0,COUNTA(Besatzung!$B$11:$B$22),COUNTIF(J30:U30,"x")),1)+IF(COUNTIF(J30:U30,"x")=0,(Besatzung!$F$21="x"),(T30="x")*(Besatzung!$F$21="x"))*IFERROR(H30,0)/IFERROR(IF(COUNTIF(J30:U30,"x")=0,SUMPRODUCT((Besatzung!$B$11:$B$22&lt;&gt;"")*(Besatzung!$F$11:$F$22="x")),SUMPRODUCT((J30:U30="x")*(Besatzung!$F$11:$F$22="x"))),1))))),0))))</f>
        <v/>
      </c>
      <c r="AG30" s="106">
        <f>IF(C30="Gutschrift","",IF(G30="","",IF(Besatzung!$B$22="","",IFERROR(IF(I30="Zeitanteilig",(Besatzung!$G$22*(G30-IFERROR(H30,0))+((Besatzung!$B$22&lt;&gt;"")*IF(B30="",1,(IF(Besatzung!$C$22="",Besatzung!$B$5,Besatzung!$C$22)&lt;=B30)*(IF(Besatzung!$D$22="",Besatzung!$B$6,Besatzung!$D$22)&gt;=B30)))*(Besatzung!$F$22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$22&lt;&gt;"")*IF(B30="",1,(IF(Besatzung!$C$22="",Besatzung!$B$5,Besatzung!$C$22)&lt;=B30)*(IF(Besatzung!$D$22="",Besatzung!$B$6,Besatzung!$D$22)&gt;=B30)))*((G30-IFERROR(H30,0))/IFERROR(SUMPRODUCT((Besatzung!$B$11:$B$22&lt;&gt;"")*(IF(Besatzung!$C$11:$C$22="",Besatzung!$B$5,Besatzung!$C$11:$C$22)&lt;=B30)*(IF(Besatzung!$D$11:$D$22="",Besatzung!$B$6,Besatzung!$D$11:$D$22)&gt;=B30)),1)+(Besatzung!$F$22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U30="x")*((G30-IFERROR(H30,0))/IFERROR(COUNTIF(J30:U30,"x"),1)+(Besatzung!$F$22="x")*IFERROR(H30,0)/IFERROR(SUMPRODUCT((J30:U30="x")*(Besatzung!$F$11:$F$22="x")),1))),(IF(COUNTIF(J30:U30,"x")=0,IF(Besatzung!$B$22&lt;&gt;"",1,0),(U30="x"))*(G30-IFERROR(H30,0))/IFERROR(IF(COUNTIF(J30:U30,"x")=0,COUNTA(Besatzung!$B$11:$B$22),COUNTIF(J30:U30,"x")),1)+IF(COUNTIF(J30:U30,"x")=0,(Besatzung!$F$22="x"),(U30="x")*(Besatzung!$F$22="x"))*IFERROR(H30,0)/IFERROR(IF(COUNTIF(J30:U30,"x")=0,SUMPRODUCT((Besatzung!$B$11:$B$22&lt;&gt;"")*(Besatzung!$F$11:$F$22="x")),SUMPRODUCT((J30:U30="x")*(Besatzung!$F$11:$F$22="x"))),1))))),0))))</f>
        <v/>
      </c>
      <c r="AH30" s="107" t="n"/>
      <c r="AI30" s="107" t="n"/>
    </row>
    <row r="31" ht="21.75" customHeight="1" s="182">
      <c r="A31" s="97">
        <f>IF(AND(D31="",C31=""),"",28)</f>
        <v/>
      </c>
      <c r="B31" s="63" t="n"/>
      <c r="C31" s="108" t="n"/>
      <c r="D31" s="109" t="n"/>
      <c r="E31" s="110" t="n"/>
      <c r="F31" s="111" t="n"/>
      <c r="G31" s="112" t="n"/>
      <c r="H31" s="113" t="n"/>
      <c r="I31" s="114" t="n"/>
      <c r="J31" s="115" t="n"/>
      <c r="K31" s="115" t="n"/>
      <c r="L31" s="115" t="n"/>
      <c r="M31" s="115" t="n"/>
      <c r="N31" s="115" t="n"/>
      <c r="O31" s="115" t="n"/>
      <c r="P31" s="115" t="n"/>
      <c r="Q31" s="115" t="n"/>
      <c r="R31" s="115" t="n"/>
      <c r="S31" s="115" t="n"/>
      <c r="T31" s="115" t="n"/>
      <c r="U31" s="115" t="n"/>
      <c r="V31" s="106">
        <f>IF(C31="Gutschrift","",IF(G31="","",IF(Besatzung!$B$11="","",IFERROR(IF(I31="Zeitanteilig",(Besatzung!$G$11*(G31-IFERROR(H31,0))+((Besatzung!$B$11&lt;&gt;"")*IF(B31="",1,(IF(Besatzung!$C$11="",Besatzung!$B$5,Besatzung!$C$11)&lt;=B31)*(IF(Besatzung!$D$11="",Besatzung!$B$6,Besatzung!$D$11)&gt;=B31)))*(Besatzung!$F$11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$11&lt;&gt;"")*IF(B31="",1,(IF(Besatzung!$C$11="",Besatzung!$B$5,Besatzung!$C$11)&lt;=B31)*(IF(Besatzung!$D$11="",Besatzung!$B$6,Besatzung!$D$11)&gt;=B31)))*((G31-IFERROR(H31,0))/IFERROR(SUMPRODUCT((Besatzung!$B$11:$B$22&lt;&gt;"")*(IF(Besatzung!$C$11:$C$22="",Besatzung!$B$5,Besatzung!$C$11:$C$22)&lt;=B31)*(IF(Besatzung!$D$11:$D$22="",Besatzung!$B$6,Besatzung!$D$11:$D$22)&gt;=B31)),1)+(Besatzung!$F$11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J31="x")*((G31-IFERROR(H31,0))/IFERROR(COUNTIF(J31:U31,"x"),1)+(Besatzung!$F$11="x")*IFERROR(H31,0)/IFERROR(SUMPRODUCT((J31:U31="x")*(Besatzung!$F$11:$F$22="x")),1))),(IF(COUNTIF(J31:U31,"x")=0,IF(Besatzung!$B$11&lt;&gt;"",1,0),(J31="x"))*(G31-IFERROR(H31,0))/IFERROR(IF(COUNTIF(J31:U31,"x")=0,COUNTA(Besatzung!$B$11:$B$22),COUNTIF(J31:U31,"x")),1)+IF(COUNTIF(J31:U31,"x")=0,(Besatzung!$F$11="x"),(J31="x")*(Besatzung!$F$11="x"))*IFERROR(H31,0)/IFERROR(IF(COUNTIF(J31:U31,"x")=0,SUMPRODUCT((Besatzung!$B$11:$B$22&lt;&gt;"")*(Besatzung!$F$11:$F$22="x")),SUMPRODUCT((J31:U31="x")*(Besatzung!$F$11:$F$22="x"))),1))))),0))))</f>
        <v/>
      </c>
      <c r="W31" s="106">
        <f>IF(C31="Gutschrift","",IF(G31="","",IF(Besatzung!$B$12="","",IFERROR(IF(I31="Zeitanteilig",(Besatzung!$G$12*(G31-IFERROR(H31,0))+((Besatzung!$B$12&lt;&gt;"")*IF(B31="",1,(IF(Besatzung!$C$12="",Besatzung!$B$5,Besatzung!$C$12)&lt;=B31)*(IF(Besatzung!$D$12="",Besatzung!$B$6,Besatzung!$D$12)&gt;=B31)))*(Besatzung!$F$12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$12&lt;&gt;"")*IF(B31="",1,(IF(Besatzung!$C$12="",Besatzung!$B$5,Besatzung!$C$12)&lt;=B31)*(IF(Besatzung!$D$12="",Besatzung!$B$6,Besatzung!$D$12)&gt;=B31)))*((G31-IFERROR(H31,0))/IFERROR(SUMPRODUCT((Besatzung!$B$11:$B$22&lt;&gt;"")*(IF(Besatzung!$C$11:$C$22="",Besatzung!$B$5,Besatzung!$C$11:$C$22)&lt;=B31)*(IF(Besatzung!$D$11:$D$22="",Besatzung!$B$6,Besatzung!$D$11:$D$22)&gt;=B31)),1)+(Besatzung!$F$12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K31="x")*((G31-IFERROR(H31,0))/IFERROR(COUNTIF(J31:U31,"x"),1)+(Besatzung!$F$12="x")*IFERROR(H31,0)/IFERROR(SUMPRODUCT((J31:U31="x")*(Besatzung!$F$11:$F$22="x")),1))),(IF(COUNTIF(J31:U31,"x")=0,IF(Besatzung!$B$12&lt;&gt;"",1,0),(K31="x"))*(G31-IFERROR(H31,0))/IFERROR(IF(COUNTIF(J31:U31,"x")=0,COUNTA(Besatzung!$B$11:$B$22),COUNTIF(J31:U31,"x")),1)+IF(COUNTIF(J31:U31,"x")=0,(Besatzung!$F$12="x"),(K31="x")*(Besatzung!$F$12="x"))*IFERROR(H31,0)/IFERROR(IF(COUNTIF(J31:U31,"x")=0,SUMPRODUCT((Besatzung!$B$11:$B$22&lt;&gt;"")*(Besatzung!$F$11:$F$22="x")),SUMPRODUCT((J31:U31="x")*(Besatzung!$F$11:$F$22="x"))),1))))),0))))</f>
        <v/>
      </c>
      <c r="X31" s="106">
        <f>IF(C31="Gutschrift","",IF(G31="","",IF(Besatzung!$B$13="","",IFERROR(IF(I31="Zeitanteilig",(Besatzung!$G$13*(G31-IFERROR(H31,0))+((Besatzung!$B$13&lt;&gt;"")*IF(B31="",1,(IF(Besatzung!$C$13="",Besatzung!$B$5,Besatzung!$C$13)&lt;=B31)*(IF(Besatzung!$D$13="",Besatzung!$B$6,Besatzung!$D$13)&gt;=B31)))*(Besatzung!$F$13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$13&lt;&gt;"")*IF(B31="",1,(IF(Besatzung!$C$13="",Besatzung!$B$5,Besatzung!$C$13)&lt;=B31)*(IF(Besatzung!$D$13="",Besatzung!$B$6,Besatzung!$D$13)&gt;=B31)))*((G31-IFERROR(H31,0))/IFERROR(SUMPRODUCT((Besatzung!$B$11:$B$22&lt;&gt;"")*(IF(Besatzung!$C$11:$C$22="",Besatzung!$B$5,Besatzung!$C$11:$C$22)&lt;=B31)*(IF(Besatzung!$D$11:$D$22="",Besatzung!$B$6,Besatzung!$D$11:$D$22)&gt;=B31)),1)+(Besatzung!$F$13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K31="x")*((G31-IFERROR(H31,0))/IFERROR(COUNTIF(J31:U31,"x"),1)+(Besatzung!$F$13="x")*IFERROR(H31,0)/IFERROR(SUMPRODUCT((J31:U31="x")*(Besatzung!$F$11:$F$22="x")),1))),(IF(COUNTIF(J31:U31,"x")=0,IF(Besatzung!$B$13&lt;&gt;"",1,0),(K31="x"))*(G31-IFERROR(H31,0))/IFERROR(IF(COUNTIF(J31:U31,"x")=0,COUNTA(Besatzung!$B$11:$B$22),COUNTIF(J31:U31,"x")),1)+IF(COUNTIF(J31:U31,"x")=0,(Besatzung!$F$13="x"),(K31="x")*(Besatzung!$F$13="x"))*IFERROR(H31,0)/IFERROR(IF(COUNTIF(J31:U31,"x")=0,SUMPRODUCT((Besatzung!$B$11:$B$22&lt;&gt;"")*(Besatzung!$F$11:$F$22="x")),SUMPRODUCT((J31:U31="x")*(Besatzung!$F$11:$F$22="x"))),1))))),0))))</f>
        <v/>
      </c>
      <c r="Y31" s="106">
        <f>IF(C31="Gutschrift","",IF(G31="","",IF(Besatzung!$B$14="","",IFERROR(IF(I31="Zeitanteilig",(Besatzung!$G$14*(G31-IFERROR(H31,0))+((Besatzung!$B$14&lt;&gt;"")*IF(B31="",1,(IF(Besatzung!$C$14="",Besatzung!$B$5,Besatzung!$C$14)&lt;=B31)*(IF(Besatzung!$D$14="",Besatzung!$B$6,Besatzung!$D$14)&gt;=B31)))*(Besatzung!$F$14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$14&lt;&gt;"")*IF(B31="",1,(IF(Besatzung!$C$14="",Besatzung!$B$5,Besatzung!$C$14)&lt;=B31)*(IF(Besatzung!$D$14="",Besatzung!$B$6,Besatzung!$D$14)&gt;=B31)))*((G31-IFERROR(H31,0))/IFERROR(SUMPRODUCT((Besatzung!$B$11:$B$22&lt;&gt;"")*(IF(Besatzung!$C$11:$C$22="",Besatzung!$B$5,Besatzung!$C$11:$C$22)&lt;=B31)*(IF(Besatzung!$D$11:$D$22="",Besatzung!$B$6,Besatzung!$D$11:$D$22)&gt;=B31)),1)+(Besatzung!$F$14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M31="x")*((G31-IFERROR(H31,0))/IFERROR(COUNTIF(J31:U31,"x"),1)+(Besatzung!$F$14="x")*IFERROR(H31,0)/IFERROR(SUMPRODUCT((J31:U31="x")*(Besatzung!$F$11:$F$22="x")),1))),(IF(COUNTIF(J31:U31,"x")=0,IF(Besatzung!$B$14&lt;&gt;"",1,0),(M31="x"))*(G31-IFERROR(H31,0))/IFERROR(IF(COUNTIF(J31:U31,"x")=0,COUNTA(Besatzung!$B$11:$B$22),COUNTIF(J31:U31,"x")),1)+IF(COUNTIF(J31:U31,"x")=0,(Besatzung!$F$14="x"),(M31="x")*(Besatzung!$F$14="x"))*IFERROR(H31,0)/IFERROR(IF(COUNTIF(J31:U31,"x")=0,SUMPRODUCT((Besatzung!$B$11:$B$22&lt;&gt;"")*(Besatzung!$F$11:$F$22="x")),SUMPRODUCT((J31:U31="x")*(Besatzung!$F$11:$F$22="x"))),1))))),0))))</f>
        <v/>
      </c>
      <c r="Z31" s="106">
        <f>IF(C31="Gutschrift","",IF(G31="","",IF(Besatzung!$B$13="","",IFERROR(IF(I31="Zeitanteilig",(Besatzung!$G$15*(G31-IFERROR(H31,0))+((Besatzung!$B$13&lt;&gt;"")*IF(B31="",1,(IF(Besatzung!$C$15="",Besatzung!$B$5,Besatzung!$C$15)&lt;=B31)*(IF(Besatzung!$D$15="",Besatzung!$B$6,Besatzung!$D$15)&gt;=B31)))*(Besatzung!$F$15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$13&lt;&gt;"")*IF(B31="",1,(IF(Besatzung!$C$15="",Besatzung!$B$5,Besatzung!$C$15)&lt;=B31)*(IF(Besatzung!$D$15="",Besatzung!$B$6,Besatzung!$D$15)&gt;=B31)))*((G31-IFERROR(H31,0))/IFERROR(SUMPRODUCT((Besatzung!$B$11:$B$22&lt;&gt;"")*(IF(Besatzung!$C$11:$C$22="",Besatzung!$B$5,Besatzung!$C$11:$C$22)&lt;=B31)*(IF(Besatzung!$D$11:$D$22="",Besatzung!$B$6,Besatzung!$D$11:$D$22)&gt;=B31)),1)+(Besatzung!$F$15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N31="x")*((G31-IFERROR(H31,0))/IFERROR(COUNTIF(J31:U31,"x"),1)+(Besatzung!$F$15="x")*IFERROR(H31,0)/IFERROR(SUMPRODUCT((J31:U31="x")*(Besatzung!$F$11:$F$22="x")),1))),(IF(COUNTIF(J31:U31,"x")=0,IF(Besatzung!$B$13&lt;&gt;"",1,0),(N31="x"))*(G31-IFERROR(H31,0))/IFERROR(IF(COUNTIF(J31:U31,"x")=0,COUNTA(Besatzung!$B$11:$B$22),COUNTIF(J31:U31,"x")),1)+IF(COUNTIF(J31:U31,"x")=0,(Besatzung!$F$15="x"),(N31="x")*(Besatzung!$F$15="x"))*IFERROR(H31,0)/IFERROR(IF(COUNTIF(J31:U31,"x")=0,SUMPRODUCT((Besatzung!$B$11:$B$22&lt;&gt;"")*(Besatzung!$F$11:$F$22="x")),SUMPRODUCT((J31:U31="x")*(Besatzung!$F$11:$F$22="x"))),1))))),0))))</f>
        <v/>
      </c>
      <c r="AA31" s="106">
        <f>IF(C31="Gutschrift","",IF(G31="","",IF(Besatzung!$B$15="","",IFERROR(IF(I31="Zeitanteilig",(Besatzung!$G$16*(G31-IFERROR(H31,0))+((Besatzung!$B$15&lt;&gt;"")*IF(B31="",1,(IF(Besatzung!$C$16="",Besatzung!$B$5,Besatzung!$C$16)&lt;=B31)*(IF(Besatzung!$D$16="",Besatzung!$B$6,Besatzung!$D$16)&gt;=B31)))*(Besatzung!$F$16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$15&lt;&gt;"")*IF(B31="",1,(IF(Besatzung!$C$16="",Besatzung!$B$5,Besatzung!$C$16)&lt;=B31)*(IF(Besatzung!$D$16="",Besatzung!$B$6,Besatzung!$D$16)&gt;=B31)))*((G31-IFERROR(H31,0))/IFERROR(SUMPRODUCT((Besatzung!$B$11:$B$22&lt;&gt;"")*(IF(Besatzung!$C$11:$C$22="",Besatzung!$B$5,Besatzung!$C$11:$C$22)&lt;=B31)*(IF(Besatzung!$D$11:$D$22="",Besatzung!$B$6,Besatzung!$D$11:$D$22)&gt;=B31)),1)+(Besatzung!$F$16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O31="x")*((G31-IFERROR(H31,0))/IFERROR(COUNTIF(J31:U31,"x"),1)+(Besatzung!$F$16="x")*IFERROR(H31,0)/IFERROR(SUMPRODUCT((J31:U31="x")*(Besatzung!$F$11:$F$22="x")),1))),(IF(COUNTIF(J31:U31,"x")=0,IF(Besatzung!$B$15&lt;&gt;"",1,0),(O31="x"))*(G31-IFERROR(H31,0))/IFERROR(IF(COUNTIF(J31:U31,"x")=0,COUNTA(Besatzung!$B$11:$B$22),COUNTIF(J31:U31,"x")),1)+IF(COUNTIF(J31:U31,"x")=0,(Besatzung!$F$16="x"),(O31="x")*(Besatzung!$F$16="x"))*IFERROR(H31,0)/IFERROR(IF(COUNTIF(J31:U31,"x")=0,SUMPRODUCT((Besatzung!$B$11:$B$22&lt;&gt;"")*(Besatzung!$F$11:$F$22="x")),SUMPRODUCT((J31:U31="x")*(Besatzung!$F$11:$F$22="x"))),1))))),0))))</f>
        <v/>
      </c>
      <c r="AB31" s="106">
        <f>IF(C31="Gutschrift","",IF(G31="","",IF(Besatzung!$B$17="","",IFERROR(IF(I31="Zeitanteilig",(Besatzung!$G$17*(G31-IFERROR(H31,0))+((Besatzung!$B$17&lt;&gt;"")*IF(B31="",1,(IF(Besatzung!$C$17="",Besatzung!$B$5,Besatzung!$C$17)&lt;=B31)*(IF(Besatzung!$D$17="",Besatzung!$B$6,Besatzung!$D$17)&gt;=B31)))*(Besatzung!$F$17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$17&lt;&gt;"")*IF(B31="",1,(IF(Besatzung!$C$17="",Besatzung!$B$5,Besatzung!$C$17)&lt;=B31)*(IF(Besatzung!$D$17="",Besatzung!$B$6,Besatzung!$D$17)&gt;=B31)))*((G31-IFERROR(H31,0))/IFERROR(SUMPRODUCT((Besatzung!$B$11:$B$22&lt;&gt;"")*(IF(Besatzung!$C$11:$C$22="",Besatzung!$B$5,Besatzung!$C$11:$C$22)&lt;=B31)*(IF(Besatzung!$D$11:$D$22="",Besatzung!$B$6,Besatzung!$D$11:$D$22)&gt;=B31)),1)+(Besatzung!$F$17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P31="x")*((G31-IFERROR(H31,0))/IFERROR(COUNTIF(J31:U31,"x"),1)+(Besatzung!$F$17="x")*IFERROR(H31,0)/IFERROR(SUMPRODUCT((J31:U31="x")*(Besatzung!$F$11:$F$22="x")),1))),(IF(COUNTIF(J31:U31,"x")=0,IF(Besatzung!$B$17&lt;&gt;"",1,0),(P31="x"))*(G31-IFERROR(H31,0))/IFERROR(IF(COUNTIF(J31:U31,"x")=0,COUNTA(Besatzung!$B$11:$B$22),COUNTIF(J31:U31,"x")),1)+IF(COUNTIF(J31:U31,"x")=0,(Besatzung!$F$17="x"),(P31="x")*(Besatzung!$F$17="x"))*IFERROR(H31,0)/IFERROR(IF(COUNTIF(J31:U31,"x")=0,SUMPRODUCT((Besatzung!$B$11:$B$22&lt;&gt;"")*(Besatzung!$F$11:$F$22="x")),SUMPRODUCT((J31:U31="x")*(Besatzung!$F$11:$F$22="x"))),1))))),0))))</f>
        <v/>
      </c>
      <c r="AC31" s="106">
        <f>IF(C31="Gutschrift","",IF(G31="","",IF(Besatzung!$B$18="","",IFERROR(IF(I31="Zeitanteilig",(Besatzung!$G$18*(G31-IFERROR(H31,0))+((Besatzung!$B$18&lt;&gt;"")*IF(B31="",1,(IF(Besatzung!$C$18="",Besatzung!$B$5,Besatzung!$C$18)&lt;=B31)*(IF(Besatzung!$D$18="",Besatzung!$B$6,Besatzung!$D$18)&gt;=B31)))*(Besatzung!$F$18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$18&lt;&gt;"")*IF(B31="",1,(IF(Besatzung!$C$18="",Besatzung!$B$5,Besatzung!$C$18)&lt;=B31)*(IF(Besatzung!$D$18="",Besatzung!$B$6,Besatzung!$D$18)&gt;=B31)))*((G31-IFERROR(H31,0))/IFERROR(SUMPRODUCT((Besatzung!$B$11:$B$22&lt;&gt;"")*(IF(Besatzung!$C$11:$C$22="",Besatzung!$B$5,Besatzung!$C$11:$C$22)&lt;=B31)*(IF(Besatzung!$D$11:$D$22="",Besatzung!$B$6,Besatzung!$D$11:$D$22)&gt;=B31)),1)+(Besatzung!$F$18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Q31="x")*((G31-IFERROR(H31,0))/IFERROR(COUNTIF(J31:U31,"x"),1)+(Besatzung!$F$18="x")*IFERROR(H31,0)/IFERROR(SUMPRODUCT((J31:U31="x")*(Besatzung!$F$11:$F$22="x")),1))),(IF(COUNTIF(J31:U31,"x")=0,IF(Besatzung!$B$18&lt;&gt;"",1,0),(Q31="x"))*(G31-IFERROR(H31,0))/IFERROR(IF(COUNTIF(J31:U31,"x")=0,COUNTA(Besatzung!$B$11:$B$22),COUNTIF(J31:U31,"x")),1)+IF(COUNTIF(J31:U31,"x")=0,(Besatzung!$F$18="x"),(Q31="x")*(Besatzung!$F$18="x"))*IFERROR(H31,0)/IFERROR(IF(COUNTIF(J31:U31,"x")=0,SUMPRODUCT((Besatzung!$B$11:$B$22&lt;&gt;"")*(Besatzung!$F$11:$F$22="x")),SUMPRODUCT((J31:U31="x")*(Besatzung!$F$11:$F$22="x"))),1))))),0))))</f>
        <v/>
      </c>
      <c r="AD31" s="106">
        <f>IF(C31="Gutschrift","",IF(G31="","",IF(Besatzung!$B$19="","",IFERROR(IF(I31="Zeitanteilig",(Besatzung!$G$19*(G31-IFERROR(H31,0))+((Besatzung!$B$19&lt;&gt;"")*IF(B31="",1,(IF(Besatzung!$C$19="",Besatzung!$B$5,Besatzung!$C$19)&lt;=B31)*(IF(Besatzung!$D$19="",Besatzung!$B$6,Besatzung!$D$19)&gt;=B31)))*(Besatzung!$F$19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$19&lt;&gt;"")*IF(B31="",1,(IF(Besatzung!$C$19="",Besatzung!$B$5,Besatzung!$C$19)&lt;=B31)*(IF(Besatzung!$D$19="",Besatzung!$B$6,Besatzung!$D$19)&gt;=B31)))*((G31-IFERROR(H31,0))/IFERROR(SUMPRODUCT((Besatzung!$B$11:$B$22&lt;&gt;"")*(IF(Besatzung!$C$11:$C$22="",Besatzung!$B$5,Besatzung!$C$11:$C$22)&lt;=B31)*(IF(Besatzung!$D$11:$D$22="",Besatzung!$B$6,Besatzung!$D$11:$D$22)&gt;=B31)),1)+(Besatzung!$F$19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R31="x")*((G31-IFERROR(H31,0))/IFERROR(COUNTIF(J31:U31,"x"),1)+(Besatzung!$F$19="x")*IFERROR(H31,0)/IFERROR(SUMPRODUCT((J31:U31="x")*(Besatzung!$F$11:$F$22="x")),1))),(IF(COUNTIF(J31:U31,"x")=0,IF(Besatzung!$B$19&lt;&gt;"",1,0),(R31="x"))*(G31-IFERROR(H31,0))/IFERROR(IF(COUNTIF(J31:U31,"x")=0,COUNTA(Besatzung!$B$11:$B$22),COUNTIF(J31:U31,"x")),1)+IF(COUNTIF(J31:U31,"x")=0,(Besatzung!$F$19="x"),(R31="x")*(Besatzung!$F$19="x"))*IFERROR(H31,0)/IFERROR(IF(COUNTIF(J31:U31,"x")=0,SUMPRODUCT((Besatzung!$B$11:$B$22&lt;&gt;"")*(Besatzung!$F$11:$F$22="x")),SUMPRODUCT((J31:U31="x")*(Besatzung!$F$11:$F$22="x"))),1))))),0))))</f>
        <v/>
      </c>
      <c r="AE31" s="106">
        <f>IF(C31="Gutschrift","",IF(G31="","",IF(Besatzung!$B$20="","",IFERROR(IF(I31="Zeitanteilig",(Besatzung!$G$20*(G31-IFERROR(H31,0))+((Besatzung!$B$20&lt;&gt;"")*IF(B31="",1,(IF(Besatzung!$C$20="",Besatzung!$B$5,Besatzung!$C$20)&lt;=B31)*(IF(Besatzung!$D$20="",Besatzung!$B$6,Besatzung!$D$20)&gt;=B31)))*(Besatzung!$F$20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$20&lt;&gt;"")*IF(B31="",1,(IF(Besatzung!$C$20="",Besatzung!$B$5,Besatzung!$C$20)&lt;=B31)*(IF(Besatzung!$D$20="",Besatzung!$B$6,Besatzung!$D$20)&gt;=B31)))*((G31-IFERROR(H31,0))/IFERROR(SUMPRODUCT((Besatzung!$B$11:$B$22&lt;&gt;"")*(IF(Besatzung!$C$11:$C$22="",Besatzung!$B$5,Besatzung!$C$11:$C$22)&lt;=B31)*(IF(Besatzung!$D$11:$D$22="",Besatzung!$B$6,Besatzung!$D$11:$D$22)&gt;=B31)),1)+(Besatzung!$F$20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S31="x")*((G31-IFERROR(H31,0))/IFERROR(COUNTIF(J31:U31,"x"),1)+(Besatzung!$F$20="x")*IFERROR(H31,0)/IFERROR(SUMPRODUCT((J31:U31="x")*(Besatzung!$F$11:$F$22="x")),1))),(IF(COUNTIF(J31:U31,"x")=0,IF(Besatzung!$B$20&lt;&gt;"",1,0),(S31="x"))*(G31-IFERROR(H31,0))/IFERROR(IF(COUNTIF(J31:U31,"x")=0,COUNTA(Besatzung!$B$11:$B$22),COUNTIF(J31:U31,"x")),1)+IF(COUNTIF(J31:U31,"x")=0,(Besatzung!$F$20="x"),(S31="x")*(Besatzung!$F$20="x"))*IFERROR(H31,0)/IFERROR(IF(COUNTIF(J31:U31,"x")=0,SUMPRODUCT((Besatzung!$B$11:$B$22&lt;&gt;"")*(Besatzung!$F$11:$F$22="x")),SUMPRODUCT((J31:U31="x")*(Besatzung!$F$11:$F$22="x"))),1))))),0))))</f>
        <v/>
      </c>
      <c r="AF31" s="106">
        <f>IF(C31="Gutschrift","",IF(G31="","",IF(Besatzung!$B$21="","",IFERROR(IF(I31="Zeitanteilig",(Besatzung!$G$21*(G31-IFERROR(H31,0))+((Besatzung!$B$21&lt;&gt;"")*IF(B31="",1,(IF(Besatzung!$C$21="",Besatzung!$B$5,Besatzung!$C$21)&lt;=B31)*(IF(Besatzung!$D$21="",Besatzung!$B$6,Besatzung!$D$21)&gt;=B31)))*(Besatzung!$F$21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$21&lt;&gt;"")*IF(B31="",1,(IF(Besatzung!$C$21="",Besatzung!$B$5,Besatzung!$C$21)&lt;=B31)*(IF(Besatzung!$D$21="",Besatzung!$B$6,Besatzung!$D$21)&gt;=B31)))*((G31-IFERROR(H31,0))/IFERROR(SUMPRODUCT((Besatzung!$B$11:$B$22&lt;&gt;"")*(IF(Besatzung!$C$11:$C$22="",Besatzung!$B$5,Besatzung!$C$11:$C$22)&lt;=B31)*(IF(Besatzung!$D$11:$D$22="",Besatzung!$B$6,Besatzung!$D$11:$D$22)&gt;=B31)),1)+(Besatzung!$F$21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T31="x")*((G31-IFERROR(H31,0))/IFERROR(COUNTIF(J31:U31,"x"),1)+(Besatzung!$F$21="x")*IFERROR(H31,0)/IFERROR(SUMPRODUCT((J31:U31="x")*(Besatzung!$F$11:$F$22="x")),1))),(IF(COUNTIF(J31:U31,"x")=0,IF(Besatzung!$B$21&lt;&gt;"",1,0),(T31="x"))*(G31-IFERROR(H31,0))/IFERROR(IF(COUNTIF(J31:U31,"x")=0,COUNTA(Besatzung!$B$11:$B$22),COUNTIF(J31:U31,"x")),1)+IF(COUNTIF(J31:U31,"x")=0,(Besatzung!$F$21="x"),(T31="x")*(Besatzung!$F$21="x"))*IFERROR(H31,0)/IFERROR(IF(COUNTIF(J31:U31,"x")=0,SUMPRODUCT((Besatzung!$B$11:$B$22&lt;&gt;"")*(Besatzung!$F$11:$F$22="x")),SUMPRODUCT((J31:U31="x")*(Besatzung!$F$11:$F$22="x"))),1))))),0))))</f>
        <v/>
      </c>
      <c r="AG31" s="106">
        <f>IF(C31="Gutschrift","",IF(G31="","",IF(Besatzung!$B$22="","",IFERROR(IF(I31="Zeitanteilig",(Besatzung!$G$22*(G31-IFERROR(H31,0))+((Besatzung!$B$22&lt;&gt;"")*IF(B31="",1,(IF(Besatzung!$C$22="",Besatzung!$B$5,Besatzung!$C$22)&lt;=B31)*(IF(Besatzung!$D$22="",Besatzung!$B$6,Besatzung!$D$22)&gt;=B31)))*(Besatzung!$F$22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$22&lt;&gt;"")*IF(B31="",1,(IF(Besatzung!$C$22="",Besatzung!$B$5,Besatzung!$C$22)&lt;=B31)*(IF(Besatzung!$D$22="",Besatzung!$B$6,Besatzung!$D$22)&gt;=B31)))*((G31-IFERROR(H31,0))/IFERROR(SUMPRODUCT((Besatzung!$B$11:$B$22&lt;&gt;"")*(IF(Besatzung!$C$11:$C$22="",Besatzung!$B$5,Besatzung!$C$11:$C$22)&lt;=B31)*(IF(Besatzung!$D$11:$D$22="",Besatzung!$B$6,Besatzung!$D$11:$D$22)&gt;=B31)),1)+(Besatzung!$F$22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U31="x")*((G31-IFERROR(H31,0))/IFERROR(COUNTIF(J31:U31,"x"),1)+(Besatzung!$F$22="x")*IFERROR(H31,0)/IFERROR(SUMPRODUCT((J31:U31="x")*(Besatzung!$F$11:$F$22="x")),1))),(IF(COUNTIF(J31:U31,"x")=0,IF(Besatzung!$B$22&lt;&gt;"",1,0),(U31="x"))*(G31-IFERROR(H31,0))/IFERROR(IF(COUNTIF(J31:U31,"x")=0,COUNTA(Besatzung!$B$11:$B$22),COUNTIF(J31:U31,"x")),1)+IF(COUNTIF(J31:U31,"x")=0,(Besatzung!$F$22="x"),(U31="x")*(Besatzung!$F$22="x"))*IFERROR(H31,0)/IFERROR(IF(COUNTIF(J31:U31,"x")=0,SUMPRODUCT((Besatzung!$B$11:$B$22&lt;&gt;"")*(Besatzung!$F$11:$F$22="x")),SUMPRODUCT((J31:U31="x")*(Besatzung!$F$11:$F$22="x"))),1))))),0))))</f>
        <v/>
      </c>
      <c r="AH31" s="107" t="n"/>
      <c r="AI31" s="107" t="n"/>
    </row>
    <row r="32" ht="21.75" customHeight="1" s="182">
      <c r="A32" s="97">
        <f>IF(AND(D32="",C32=""),"",29)</f>
        <v/>
      </c>
      <c r="B32" s="56" t="n"/>
      <c r="C32" s="98" t="n"/>
      <c r="D32" s="99" t="n"/>
      <c r="E32" s="100" t="n"/>
      <c r="F32" s="101" t="n"/>
      <c r="G32" s="102" t="n"/>
      <c r="H32" s="103" t="n"/>
      <c r="I32" s="104" t="n"/>
      <c r="J32" s="105" t="n"/>
      <c r="K32" s="105" t="n"/>
      <c r="L32" s="105" t="n"/>
      <c r="M32" s="105" t="n"/>
      <c r="N32" s="105" t="n"/>
      <c r="O32" s="105" t="n"/>
      <c r="P32" s="105" t="n"/>
      <c r="Q32" s="105" t="n"/>
      <c r="R32" s="105" t="n"/>
      <c r="S32" s="105" t="n"/>
      <c r="T32" s="105" t="n"/>
      <c r="U32" s="105" t="n"/>
      <c r="V32" s="106">
        <f>IF(C32="Gutschrift","",IF(G32="","",IF(Besatzung!$B$11="","",IFERROR(IF(I32="Zeitanteilig",(Besatzung!$G$11*(G32-IFERROR(H32,0))+((Besatzung!$B$11&lt;&gt;"")*IF(B32="",1,(IF(Besatzung!$C$11="",Besatzung!$B$5,Besatzung!$C$11)&lt;=B32)*(IF(Besatzung!$D$11="",Besatzung!$B$6,Besatzung!$D$11)&gt;=B32)))*(Besatzung!$F$11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$11&lt;&gt;"")*IF(B32="",1,(IF(Besatzung!$C$11="",Besatzung!$B$5,Besatzung!$C$11)&lt;=B32)*(IF(Besatzung!$D$11="",Besatzung!$B$6,Besatzung!$D$11)&gt;=B32)))*((G32-IFERROR(H32,0))/IFERROR(SUMPRODUCT((Besatzung!$B$11:$B$22&lt;&gt;"")*(IF(Besatzung!$C$11:$C$22="",Besatzung!$B$5,Besatzung!$C$11:$C$22)&lt;=B32)*(IF(Besatzung!$D$11:$D$22="",Besatzung!$B$6,Besatzung!$D$11:$D$22)&gt;=B32)),1)+(Besatzung!$F$11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J32="x")*((G32-IFERROR(H32,0))/IFERROR(COUNTIF(J32:U32,"x"),1)+(Besatzung!$F$11="x")*IFERROR(H32,0)/IFERROR(SUMPRODUCT((J32:U32="x")*(Besatzung!$F$11:$F$22="x")),1))),(IF(COUNTIF(J32:U32,"x")=0,IF(Besatzung!$B$11&lt;&gt;"",1,0),(J32="x"))*(G32-IFERROR(H32,0))/IFERROR(IF(COUNTIF(J32:U32,"x")=0,COUNTA(Besatzung!$B$11:$B$22),COUNTIF(J32:U32,"x")),1)+IF(COUNTIF(J32:U32,"x")=0,(Besatzung!$F$11="x"),(J32="x")*(Besatzung!$F$11="x"))*IFERROR(H32,0)/IFERROR(IF(COUNTIF(J32:U32,"x")=0,SUMPRODUCT((Besatzung!$B$11:$B$22&lt;&gt;"")*(Besatzung!$F$11:$F$22="x")),SUMPRODUCT((J32:U32="x")*(Besatzung!$F$11:$F$22="x"))),1))))),0))))</f>
        <v/>
      </c>
      <c r="W32" s="106">
        <f>IF(C32="Gutschrift","",IF(G32="","",IF(Besatzung!$B$12="","",IFERROR(IF(I32="Zeitanteilig",(Besatzung!$G$12*(G32-IFERROR(H32,0))+((Besatzung!$B$12&lt;&gt;"")*IF(B32="",1,(IF(Besatzung!$C$12="",Besatzung!$B$5,Besatzung!$C$12)&lt;=B32)*(IF(Besatzung!$D$12="",Besatzung!$B$6,Besatzung!$D$12)&gt;=B32)))*(Besatzung!$F$12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$12&lt;&gt;"")*IF(B32="",1,(IF(Besatzung!$C$12="",Besatzung!$B$5,Besatzung!$C$12)&lt;=B32)*(IF(Besatzung!$D$12="",Besatzung!$B$6,Besatzung!$D$12)&gt;=B32)))*((G32-IFERROR(H32,0))/IFERROR(SUMPRODUCT((Besatzung!$B$11:$B$22&lt;&gt;"")*(IF(Besatzung!$C$11:$C$22="",Besatzung!$B$5,Besatzung!$C$11:$C$22)&lt;=B32)*(IF(Besatzung!$D$11:$D$22="",Besatzung!$B$6,Besatzung!$D$11:$D$22)&gt;=B32)),1)+(Besatzung!$F$12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K32="x")*((G32-IFERROR(H32,0))/IFERROR(COUNTIF(J32:U32,"x"),1)+(Besatzung!$F$12="x")*IFERROR(H32,0)/IFERROR(SUMPRODUCT((J32:U32="x")*(Besatzung!$F$11:$F$22="x")),1))),(IF(COUNTIF(J32:U32,"x")=0,IF(Besatzung!$B$12&lt;&gt;"",1,0),(K32="x"))*(G32-IFERROR(H32,0))/IFERROR(IF(COUNTIF(J32:U32,"x")=0,COUNTA(Besatzung!$B$11:$B$22),COUNTIF(J32:U32,"x")),1)+IF(COUNTIF(J32:U32,"x")=0,(Besatzung!$F$12="x"),(K32="x")*(Besatzung!$F$12="x"))*IFERROR(H32,0)/IFERROR(IF(COUNTIF(J32:U32,"x")=0,SUMPRODUCT((Besatzung!$B$11:$B$22&lt;&gt;"")*(Besatzung!$F$11:$F$22="x")),SUMPRODUCT((J32:U32="x")*(Besatzung!$F$11:$F$22="x"))),1))))),0))))</f>
        <v/>
      </c>
      <c r="X32" s="106">
        <f>IF(C32="Gutschrift","",IF(G32="","",IF(Besatzung!$B$13="","",IFERROR(IF(I32="Zeitanteilig",(Besatzung!$G$13*(G32-IFERROR(H32,0))+((Besatzung!$B$13&lt;&gt;"")*IF(B32="",1,(IF(Besatzung!$C$13="",Besatzung!$B$5,Besatzung!$C$13)&lt;=B32)*(IF(Besatzung!$D$13="",Besatzung!$B$6,Besatzung!$D$13)&gt;=B32)))*(Besatzung!$F$13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$13&lt;&gt;"")*IF(B32="",1,(IF(Besatzung!$C$13="",Besatzung!$B$5,Besatzung!$C$13)&lt;=B32)*(IF(Besatzung!$D$13="",Besatzung!$B$6,Besatzung!$D$13)&gt;=B32)))*((G32-IFERROR(H32,0))/IFERROR(SUMPRODUCT((Besatzung!$B$11:$B$22&lt;&gt;"")*(IF(Besatzung!$C$11:$C$22="",Besatzung!$B$5,Besatzung!$C$11:$C$22)&lt;=B32)*(IF(Besatzung!$D$11:$D$22="",Besatzung!$B$6,Besatzung!$D$11:$D$22)&gt;=B32)),1)+(Besatzung!$F$13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K32="x")*((G32-IFERROR(H32,0))/IFERROR(COUNTIF(J32:U32,"x"),1)+(Besatzung!$F$13="x")*IFERROR(H32,0)/IFERROR(SUMPRODUCT((J32:U32="x")*(Besatzung!$F$11:$F$22="x")),1))),(IF(COUNTIF(J32:U32,"x")=0,IF(Besatzung!$B$13&lt;&gt;"",1,0),(K32="x"))*(G32-IFERROR(H32,0))/IFERROR(IF(COUNTIF(J32:U32,"x")=0,COUNTA(Besatzung!$B$11:$B$22),COUNTIF(J32:U32,"x")),1)+IF(COUNTIF(J32:U32,"x")=0,(Besatzung!$F$13="x"),(K32="x")*(Besatzung!$F$13="x"))*IFERROR(H32,0)/IFERROR(IF(COUNTIF(J32:U32,"x")=0,SUMPRODUCT((Besatzung!$B$11:$B$22&lt;&gt;"")*(Besatzung!$F$11:$F$22="x")),SUMPRODUCT((J32:U32="x")*(Besatzung!$F$11:$F$22="x"))),1))))),0))))</f>
        <v/>
      </c>
      <c r="Y32" s="106">
        <f>IF(C32="Gutschrift","",IF(G32="","",IF(Besatzung!$B$14="","",IFERROR(IF(I32="Zeitanteilig",(Besatzung!$G$14*(G32-IFERROR(H32,0))+((Besatzung!$B$14&lt;&gt;"")*IF(B32="",1,(IF(Besatzung!$C$14="",Besatzung!$B$5,Besatzung!$C$14)&lt;=B32)*(IF(Besatzung!$D$14="",Besatzung!$B$6,Besatzung!$D$14)&gt;=B32)))*(Besatzung!$F$14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$14&lt;&gt;"")*IF(B32="",1,(IF(Besatzung!$C$14="",Besatzung!$B$5,Besatzung!$C$14)&lt;=B32)*(IF(Besatzung!$D$14="",Besatzung!$B$6,Besatzung!$D$14)&gt;=B32)))*((G32-IFERROR(H32,0))/IFERROR(SUMPRODUCT((Besatzung!$B$11:$B$22&lt;&gt;"")*(IF(Besatzung!$C$11:$C$22="",Besatzung!$B$5,Besatzung!$C$11:$C$22)&lt;=B32)*(IF(Besatzung!$D$11:$D$22="",Besatzung!$B$6,Besatzung!$D$11:$D$22)&gt;=B32)),1)+(Besatzung!$F$14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M32="x")*((G32-IFERROR(H32,0))/IFERROR(COUNTIF(J32:U32,"x"),1)+(Besatzung!$F$14="x")*IFERROR(H32,0)/IFERROR(SUMPRODUCT((J32:U32="x")*(Besatzung!$F$11:$F$22="x")),1))),(IF(COUNTIF(J32:U32,"x")=0,IF(Besatzung!$B$14&lt;&gt;"",1,0),(M32="x"))*(G32-IFERROR(H32,0))/IFERROR(IF(COUNTIF(J32:U32,"x")=0,COUNTA(Besatzung!$B$11:$B$22),COUNTIF(J32:U32,"x")),1)+IF(COUNTIF(J32:U32,"x")=0,(Besatzung!$F$14="x"),(M32="x")*(Besatzung!$F$14="x"))*IFERROR(H32,0)/IFERROR(IF(COUNTIF(J32:U32,"x")=0,SUMPRODUCT((Besatzung!$B$11:$B$22&lt;&gt;"")*(Besatzung!$F$11:$F$22="x")),SUMPRODUCT((J32:U32="x")*(Besatzung!$F$11:$F$22="x"))),1))))),0))))</f>
        <v/>
      </c>
      <c r="Z32" s="106">
        <f>IF(C32="Gutschrift","",IF(G32="","",IF(Besatzung!$B$13="","",IFERROR(IF(I32="Zeitanteilig",(Besatzung!$G$15*(G32-IFERROR(H32,0))+((Besatzung!$B$13&lt;&gt;"")*IF(B32="",1,(IF(Besatzung!$C$15="",Besatzung!$B$5,Besatzung!$C$15)&lt;=B32)*(IF(Besatzung!$D$15="",Besatzung!$B$6,Besatzung!$D$15)&gt;=B32)))*(Besatzung!$F$15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$13&lt;&gt;"")*IF(B32="",1,(IF(Besatzung!$C$15="",Besatzung!$B$5,Besatzung!$C$15)&lt;=B32)*(IF(Besatzung!$D$15="",Besatzung!$B$6,Besatzung!$D$15)&gt;=B32)))*((G32-IFERROR(H32,0))/IFERROR(SUMPRODUCT((Besatzung!$B$11:$B$22&lt;&gt;"")*(IF(Besatzung!$C$11:$C$22="",Besatzung!$B$5,Besatzung!$C$11:$C$22)&lt;=B32)*(IF(Besatzung!$D$11:$D$22="",Besatzung!$B$6,Besatzung!$D$11:$D$22)&gt;=B32)),1)+(Besatzung!$F$15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N32="x")*((G32-IFERROR(H32,0))/IFERROR(COUNTIF(J32:U32,"x"),1)+(Besatzung!$F$15="x")*IFERROR(H32,0)/IFERROR(SUMPRODUCT((J32:U32="x")*(Besatzung!$F$11:$F$22="x")),1))),(IF(COUNTIF(J32:U32,"x")=0,IF(Besatzung!$B$13&lt;&gt;"",1,0),(N32="x"))*(G32-IFERROR(H32,0))/IFERROR(IF(COUNTIF(J32:U32,"x")=0,COUNTA(Besatzung!$B$11:$B$22),COUNTIF(J32:U32,"x")),1)+IF(COUNTIF(J32:U32,"x")=0,(Besatzung!$F$15="x"),(N32="x")*(Besatzung!$F$15="x"))*IFERROR(H32,0)/IFERROR(IF(COUNTIF(J32:U32,"x")=0,SUMPRODUCT((Besatzung!$B$11:$B$22&lt;&gt;"")*(Besatzung!$F$11:$F$22="x")),SUMPRODUCT((J32:U32="x")*(Besatzung!$F$11:$F$22="x"))),1))))),0))))</f>
        <v/>
      </c>
      <c r="AA32" s="106">
        <f>IF(C32="Gutschrift","",IF(G32="","",IF(Besatzung!$B$15="","",IFERROR(IF(I32="Zeitanteilig",(Besatzung!$G$16*(G32-IFERROR(H32,0))+((Besatzung!$B$15&lt;&gt;"")*IF(B32="",1,(IF(Besatzung!$C$16="",Besatzung!$B$5,Besatzung!$C$16)&lt;=B32)*(IF(Besatzung!$D$16="",Besatzung!$B$6,Besatzung!$D$16)&gt;=B32)))*(Besatzung!$F$16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$15&lt;&gt;"")*IF(B32="",1,(IF(Besatzung!$C$16="",Besatzung!$B$5,Besatzung!$C$16)&lt;=B32)*(IF(Besatzung!$D$16="",Besatzung!$B$6,Besatzung!$D$16)&gt;=B32)))*((G32-IFERROR(H32,0))/IFERROR(SUMPRODUCT((Besatzung!$B$11:$B$22&lt;&gt;"")*(IF(Besatzung!$C$11:$C$22="",Besatzung!$B$5,Besatzung!$C$11:$C$22)&lt;=B32)*(IF(Besatzung!$D$11:$D$22="",Besatzung!$B$6,Besatzung!$D$11:$D$22)&gt;=B32)),1)+(Besatzung!$F$16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O32="x")*((G32-IFERROR(H32,0))/IFERROR(COUNTIF(J32:U32,"x"),1)+(Besatzung!$F$16="x")*IFERROR(H32,0)/IFERROR(SUMPRODUCT((J32:U32="x")*(Besatzung!$F$11:$F$22="x")),1))),(IF(COUNTIF(J32:U32,"x")=0,IF(Besatzung!$B$15&lt;&gt;"",1,0),(O32="x"))*(G32-IFERROR(H32,0))/IFERROR(IF(COUNTIF(J32:U32,"x")=0,COUNTA(Besatzung!$B$11:$B$22),COUNTIF(J32:U32,"x")),1)+IF(COUNTIF(J32:U32,"x")=0,(Besatzung!$F$16="x"),(O32="x")*(Besatzung!$F$16="x"))*IFERROR(H32,0)/IFERROR(IF(COUNTIF(J32:U32,"x")=0,SUMPRODUCT((Besatzung!$B$11:$B$22&lt;&gt;"")*(Besatzung!$F$11:$F$22="x")),SUMPRODUCT((J32:U32="x")*(Besatzung!$F$11:$F$22="x"))),1))))),0))))</f>
        <v/>
      </c>
      <c r="AB32" s="106">
        <f>IF(C32="Gutschrift","",IF(G32="","",IF(Besatzung!$B$17="","",IFERROR(IF(I32="Zeitanteilig",(Besatzung!$G$17*(G32-IFERROR(H32,0))+((Besatzung!$B$17&lt;&gt;"")*IF(B32="",1,(IF(Besatzung!$C$17="",Besatzung!$B$5,Besatzung!$C$17)&lt;=B32)*(IF(Besatzung!$D$17="",Besatzung!$B$6,Besatzung!$D$17)&gt;=B32)))*(Besatzung!$F$17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$17&lt;&gt;"")*IF(B32="",1,(IF(Besatzung!$C$17="",Besatzung!$B$5,Besatzung!$C$17)&lt;=B32)*(IF(Besatzung!$D$17="",Besatzung!$B$6,Besatzung!$D$17)&gt;=B32)))*((G32-IFERROR(H32,0))/IFERROR(SUMPRODUCT((Besatzung!$B$11:$B$22&lt;&gt;"")*(IF(Besatzung!$C$11:$C$22="",Besatzung!$B$5,Besatzung!$C$11:$C$22)&lt;=B32)*(IF(Besatzung!$D$11:$D$22="",Besatzung!$B$6,Besatzung!$D$11:$D$22)&gt;=B32)),1)+(Besatzung!$F$17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P32="x")*((G32-IFERROR(H32,0))/IFERROR(COUNTIF(J32:U32,"x"),1)+(Besatzung!$F$17="x")*IFERROR(H32,0)/IFERROR(SUMPRODUCT((J32:U32="x")*(Besatzung!$F$11:$F$22="x")),1))),(IF(COUNTIF(J32:U32,"x")=0,IF(Besatzung!$B$17&lt;&gt;"",1,0),(P32="x"))*(G32-IFERROR(H32,0))/IFERROR(IF(COUNTIF(J32:U32,"x")=0,COUNTA(Besatzung!$B$11:$B$22),COUNTIF(J32:U32,"x")),1)+IF(COUNTIF(J32:U32,"x")=0,(Besatzung!$F$17="x"),(P32="x")*(Besatzung!$F$17="x"))*IFERROR(H32,0)/IFERROR(IF(COUNTIF(J32:U32,"x")=0,SUMPRODUCT((Besatzung!$B$11:$B$22&lt;&gt;"")*(Besatzung!$F$11:$F$22="x")),SUMPRODUCT((J32:U32="x")*(Besatzung!$F$11:$F$22="x"))),1))))),0))))</f>
        <v/>
      </c>
      <c r="AC32" s="106">
        <f>IF(C32="Gutschrift","",IF(G32="","",IF(Besatzung!$B$18="","",IFERROR(IF(I32="Zeitanteilig",(Besatzung!$G$18*(G32-IFERROR(H32,0))+((Besatzung!$B$18&lt;&gt;"")*IF(B32="",1,(IF(Besatzung!$C$18="",Besatzung!$B$5,Besatzung!$C$18)&lt;=B32)*(IF(Besatzung!$D$18="",Besatzung!$B$6,Besatzung!$D$18)&gt;=B32)))*(Besatzung!$F$18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$18&lt;&gt;"")*IF(B32="",1,(IF(Besatzung!$C$18="",Besatzung!$B$5,Besatzung!$C$18)&lt;=B32)*(IF(Besatzung!$D$18="",Besatzung!$B$6,Besatzung!$D$18)&gt;=B32)))*((G32-IFERROR(H32,0))/IFERROR(SUMPRODUCT((Besatzung!$B$11:$B$22&lt;&gt;"")*(IF(Besatzung!$C$11:$C$22="",Besatzung!$B$5,Besatzung!$C$11:$C$22)&lt;=B32)*(IF(Besatzung!$D$11:$D$22="",Besatzung!$B$6,Besatzung!$D$11:$D$22)&gt;=B32)),1)+(Besatzung!$F$18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Q32="x")*((G32-IFERROR(H32,0))/IFERROR(COUNTIF(J32:U32,"x"),1)+(Besatzung!$F$18="x")*IFERROR(H32,0)/IFERROR(SUMPRODUCT((J32:U32="x")*(Besatzung!$F$11:$F$22="x")),1))),(IF(COUNTIF(J32:U32,"x")=0,IF(Besatzung!$B$18&lt;&gt;"",1,0),(Q32="x"))*(G32-IFERROR(H32,0))/IFERROR(IF(COUNTIF(J32:U32,"x")=0,COUNTA(Besatzung!$B$11:$B$22),COUNTIF(J32:U32,"x")),1)+IF(COUNTIF(J32:U32,"x")=0,(Besatzung!$F$18="x"),(Q32="x")*(Besatzung!$F$18="x"))*IFERROR(H32,0)/IFERROR(IF(COUNTIF(J32:U32,"x")=0,SUMPRODUCT((Besatzung!$B$11:$B$22&lt;&gt;"")*(Besatzung!$F$11:$F$22="x")),SUMPRODUCT((J32:U32="x")*(Besatzung!$F$11:$F$22="x"))),1))))),0))))</f>
        <v/>
      </c>
      <c r="AD32" s="106">
        <f>IF(C32="Gutschrift","",IF(G32="","",IF(Besatzung!$B$19="","",IFERROR(IF(I32="Zeitanteilig",(Besatzung!$G$19*(G32-IFERROR(H32,0))+((Besatzung!$B$19&lt;&gt;"")*IF(B32="",1,(IF(Besatzung!$C$19="",Besatzung!$B$5,Besatzung!$C$19)&lt;=B32)*(IF(Besatzung!$D$19="",Besatzung!$B$6,Besatzung!$D$19)&gt;=B32)))*(Besatzung!$F$19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$19&lt;&gt;"")*IF(B32="",1,(IF(Besatzung!$C$19="",Besatzung!$B$5,Besatzung!$C$19)&lt;=B32)*(IF(Besatzung!$D$19="",Besatzung!$B$6,Besatzung!$D$19)&gt;=B32)))*((G32-IFERROR(H32,0))/IFERROR(SUMPRODUCT((Besatzung!$B$11:$B$22&lt;&gt;"")*(IF(Besatzung!$C$11:$C$22="",Besatzung!$B$5,Besatzung!$C$11:$C$22)&lt;=B32)*(IF(Besatzung!$D$11:$D$22="",Besatzung!$B$6,Besatzung!$D$11:$D$22)&gt;=B32)),1)+(Besatzung!$F$19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R32="x")*((G32-IFERROR(H32,0))/IFERROR(COUNTIF(J32:U32,"x"),1)+(Besatzung!$F$19="x")*IFERROR(H32,0)/IFERROR(SUMPRODUCT((J32:U32="x")*(Besatzung!$F$11:$F$22="x")),1))),(IF(COUNTIF(J32:U32,"x")=0,IF(Besatzung!$B$19&lt;&gt;"",1,0),(R32="x"))*(G32-IFERROR(H32,0))/IFERROR(IF(COUNTIF(J32:U32,"x")=0,COUNTA(Besatzung!$B$11:$B$22),COUNTIF(J32:U32,"x")),1)+IF(COUNTIF(J32:U32,"x")=0,(Besatzung!$F$19="x"),(R32="x")*(Besatzung!$F$19="x"))*IFERROR(H32,0)/IFERROR(IF(COUNTIF(J32:U32,"x")=0,SUMPRODUCT((Besatzung!$B$11:$B$22&lt;&gt;"")*(Besatzung!$F$11:$F$22="x")),SUMPRODUCT((J32:U32="x")*(Besatzung!$F$11:$F$22="x"))),1))))),0))))</f>
        <v/>
      </c>
      <c r="AE32" s="106">
        <f>IF(C32="Gutschrift","",IF(G32="","",IF(Besatzung!$B$20="","",IFERROR(IF(I32="Zeitanteilig",(Besatzung!$G$20*(G32-IFERROR(H32,0))+((Besatzung!$B$20&lt;&gt;"")*IF(B32="",1,(IF(Besatzung!$C$20="",Besatzung!$B$5,Besatzung!$C$20)&lt;=B32)*(IF(Besatzung!$D$20="",Besatzung!$B$6,Besatzung!$D$20)&gt;=B32)))*(Besatzung!$F$20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$20&lt;&gt;"")*IF(B32="",1,(IF(Besatzung!$C$20="",Besatzung!$B$5,Besatzung!$C$20)&lt;=B32)*(IF(Besatzung!$D$20="",Besatzung!$B$6,Besatzung!$D$20)&gt;=B32)))*((G32-IFERROR(H32,0))/IFERROR(SUMPRODUCT((Besatzung!$B$11:$B$22&lt;&gt;"")*(IF(Besatzung!$C$11:$C$22="",Besatzung!$B$5,Besatzung!$C$11:$C$22)&lt;=B32)*(IF(Besatzung!$D$11:$D$22="",Besatzung!$B$6,Besatzung!$D$11:$D$22)&gt;=B32)),1)+(Besatzung!$F$20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S32="x")*((G32-IFERROR(H32,0))/IFERROR(COUNTIF(J32:U32,"x"),1)+(Besatzung!$F$20="x")*IFERROR(H32,0)/IFERROR(SUMPRODUCT((J32:U32="x")*(Besatzung!$F$11:$F$22="x")),1))),(IF(COUNTIF(J32:U32,"x")=0,IF(Besatzung!$B$20&lt;&gt;"",1,0),(S32="x"))*(G32-IFERROR(H32,0))/IFERROR(IF(COUNTIF(J32:U32,"x")=0,COUNTA(Besatzung!$B$11:$B$22),COUNTIF(J32:U32,"x")),1)+IF(COUNTIF(J32:U32,"x")=0,(Besatzung!$F$20="x"),(S32="x")*(Besatzung!$F$20="x"))*IFERROR(H32,0)/IFERROR(IF(COUNTIF(J32:U32,"x")=0,SUMPRODUCT((Besatzung!$B$11:$B$22&lt;&gt;"")*(Besatzung!$F$11:$F$22="x")),SUMPRODUCT((J32:U32="x")*(Besatzung!$F$11:$F$22="x"))),1))))),0))))</f>
        <v/>
      </c>
      <c r="AF32" s="106">
        <f>IF(C32="Gutschrift","",IF(G32="","",IF(Besatzung!$B$21="","",IFERROR(IF(I32="Zeitanteilig",(Besatzung!$G$21*(G32-IFERROR(H32,0))+((Besatzung!$B$21&lt;&gt;"")*IF(B32="",1,(IF(Besatzung!$C$21="",Besatzung!$B$5,Besatzung!$C$21)&lt;=B32)*(IF(Besatzung!$D$21="",Besatzung!$B$6,Besatzung!$D$21)&gt;=B32)))*(Besatzung!$F$21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$21&lt;&gt;"")*IF(B32="",1,(IF(Besatzung!$C$21="",Besatzung!$B$5,Besatzung!$C$21)&lt;=B32)*(IF(Besatzung!$D$21="",Besatzung!$B$6,Besatzung!$D$21)&gt;=B32)))*((G32-IFERROR(H32,0))/IFERROR(SUMPRODUCT((Besatzung!$B$11:$B$22&lt;&gt;"")*(IF(Besatzung!$C$11:$C$22="",Besatzung!$B$5,Besatzung!$C$11:$C$22)&lt;=B32)*(IF(Besatzung!$D$11:$D$22="",Besatzung!$B$6,Besatzung!$D$11:$D$22)&gt;=B32)),1)+(Besatzung!$F$21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T32="x")*((G32-IFERROR(H32,0))/IFERROR(COUNTIF(J32:U32,"x"),1)+(Besatzung!$F$21="x")*IFERROR(H32,0)/IFERROR(SUMPRODUCT((J32:U32="x")*(Besatzung!$F$11:$F$22="x")),1))),(IF(COUNTIF(J32:U32,"x")=0,IF(Besatzung!$B$21&lt;&gt;"",1,0),(T32="x"))*(G32-IFERROR(H32,0))/IFERROR(IF(COUNTIF(J32:U32,"x")=0,COUNTA(Besatzung!$B$11:$B$22),COUNTIF(J32:U32,"x")),1)+IF(COUNTIF(J32:U32,"x")=0,(Besatzung!$F$21="x"),(T32="x")*(Besatzung!$F$21="x"))*IFERROR(H32,0)/IFERROR(IF(COUNTIF(J32:U32,"x")=0,SUMPRODUCT((Besatzung!$B$11:$B$22&lt;&gt;"")*(Besatzung!$F$11:$F$22="x")),SUMPRODUCT((J32:U32="x")*(Besatzung!$F$11:$F$22="x"))),1))))),0))))</f>
        <v/>
      </c>
      <c r="AG32" s="106">
        <f>IF(C32="Gutschrift","",IF(G32="","",IF(Besatzung!$B$22="","",IFERROR(IF(I32="Zeitanteilig",(Besatzung!$G$22*(G32-IFERROR(H32,0))+((Besatzung!$B$22&lt;&gt;"")*IF(B32="",1,(IF(Besatzung!$C$22="",Besatzung!$B$5,Besatzung!$C$22)&lt;=B32)*(IF(Besatzung!$D$22="",Besatzung!$B$6,Besatzung!$D$22)&gt;=B32)))*(Besatzung!$F$22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$22&lt;&gt;"")*IF(B32="",1,(IF(Besatzung!$C$22="",Besatzung!$B$5,Besatzung!$C$22)&lt;=B32)*(IF(Besatzung!$D$22="",Besatzung!$B$6,Besatzung!$D$22)&gt;=B32)))*((G32-IFERROR(H32,0))/IFERROR(SUMPRODUCT((Besatzung!$B$11:$B$22&lt;&gt;"")*(IF(Besatzung!$C$11:$C$22="",Besatzung!$B$5,Besatzung!$C$11:$C$22)&lt;=B32)*(IF(Besatzung!$D$11:$D$22="",Besatzung!$B$6,Besatzung!$D$11:$D$22)&gt;=B32)),1)+(Besatzung!$F$22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U32="x")*((G32-IFERROR(H32,0))/IFERROR(COUNTIF(J32:U32,"x"),1)+(Besatzung!$F$22="x")*IFERROR(H32,0)/IFERROR(SUMPRODUCT((J32:U32="x")*(Besatzung!$F$11:$F$22="x")),1))),(IF(COUNTIF(J32:U32,"x")=0,IF(Besatzung!$B$22&lt;&gt;"",1,0),(U32="x"))*(G32-IFERROR(H32,0))/IFERROR(IF(COUNTIF(J32:U32,"x")=0,COUNTA(Besatzung!$B$11:$B$22),COUNTIF(J32:U32,"x")),1)+IF(COUNTIF(J32:U32,"x")=0,(Besatzung!$F$22="x"),(U32="x")*(Besatzung!$F$22="x"))*IFERROR(H32,0)/IFERROR(IF(COUNTIF(J32:U32,"x")=0,SUMPRODUCT((Besatzung!$B$11:$B$22&lt;&gt;"")*(Besatzung!$F$11:$F$22="x")),SUMPRODUCT((J32:U32="x")*(Besatzung!$F$11:$F$22="x"))),1))))),0))))</f>
        <v/>
      </c>
      <c r="AH32" s="107" t="n"/>
      <c r="AI32" s="107" t="n"/>
    </row>
    <row r="33" ht="21.75" customHeight="1" s="182">
      <c r="A33" s="97">
        <f>IF(AND(D33="",C33=""),"",30)</f>
        <v/>
      </c>
      <c r="B33" s="63" t="n"/>
      <c r="C33" s="108" t="n"/>
      <c r="D33" s="109" t="n"/>
      <c r="E33" s="110" t="n"/>
      <c r="F33" s="111" t="n"/>
      <c r="G33" s="112" t="n"/>
      <c r="H33" s="113" t="n"/>
      <c r="I33" s="114" t="n"/>
      <c r="J33" s="115" t="n"/>
      <c r="K33" s="115" t="n"/>
      <c r="L33" s="115" t="n"/>
      <c r="M33" s="115" t="n"/>
      <c r="N33" s="115" t="n"/>
      <c r="O33" s="115" t="n"/>
      <c r="P33" s="115" t="n"/>
      <c r="Q33" s="115" t="n"/>
      <c r="R33" s="115" t="n"/>
      <c r="S33" s="115" t="n"/>
      <c r="T33" s="115" t="n"/>
      <c r="U33" s="115" t="n"/>
      <c r="V33" s="106">
        <f>IF(C33="Gutschrift","",IF(G33="","",IF(Besatzung!$B$11="","",IFERROR(IF(I33="Zeitanteilig",(Besatzung!$G$11*(G33-IFERROR(H33,0))+((Besatzung!$B$11&lt;&gt;"")*IF(B33="",1,(IF(Besatzung!$C$11="",Besatzung!$B$5,Besatzung!$C$11)&lt;=B33)*(IF(Besatzung!$D$11="",Besatzung!$B$6,Besatzung!$D$11)&gt;=B33)))*(Besatzung!$F$11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$11&lt;&gt;"")*IF(B33="",1,(IF(Besatzung!$C$11="",Besatzung!$B$5,Besatzung!$C$11)&lt;=B33)*(IF(Besatzung!$D$11="",Besatzung!$B$6,Besatzung!$D$11)&gt;=B33)))*((G33-IFERROR(H33,0))/IFERROR(SUMPRODUCT((Besatzung!$B$11:$B$22&lt;&gt;"")*(IF(Besatzung!$C$11:$C$22="",Besatzung!$B$5,Besatzung!$C$11:$C$22)&lt;=B33)*(IF(Besatzung!$D$11:$D$22="",Besatzung!$B$6,Besatzung!$D$11:$D$22)&gt;=B33)),1)+(Besatzung!$F$11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J33="x")*((G33-IFERROR(H33,0))/IFERROR(COUNTIF(J33:U33,"x"),1)+(Besatzung!$F$11="x")*IFERROR(H33,0)/IFERROR(SUMPRODUCT((J33:U33="x")*(Besatzung!$F$11:$F$22="x")),1))),(IF(COUNTIF(J33:U33,"x")=0,IF(Besatzung!$B$11&lt;&gt;"",1,0),(J33="x"))*(G33-IFERROR(H33,0))/IFERROR(IF(COUNTIF(J33:U33,"x")=0,COUNTA(Besatzung!$B$11:$B$22),COUNTIF(J33:U33,"x")),1)+IF(COUNTIF(J33:U33,"x")=0,(Besatzung!$F$11="x"),(J33="x")*(Besatzung!$F$11="x"))*IFERROR(H33,0)/IFERROR(IF(COUNTIF(J33:U33,"x")=0,SUMPRODUCT((Besatzung!$B$11:$B$22&lt;&gt;"")*(Besatzung!$F$11:$F$22="x")),SUMPRODUCT((J33:U33="x")*(Besatzung!$F$11:$F$22="x"))),1))))),0))))</f>
        <v/>
      </c>
      <c r="W33" s="106">
        <f>IF(C33="Gutschrift","",IF(G33="","",IF(Besatzung!$B$12="","",IFERROR(IF(I33="Zeitanteilig",(Besatzung!$G$12*(G33-IFERROR(H33,0))+((Besatzung!$B$12&lt;&gt;"")*IF(B33="",1,(IF(Besatzung!$C$12="",Besatzung!$B$5,Besatzung!$C$12)&lt;=B33)*(IF(Besatzung!$D$12="",Besatzung!$B$6,Besatzung!$D$12)&gt;=B33)))*(Besatzung!$F$12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$12&lt;&gt;"")*IF(B33="",1,(IF(Besatzung!$C$12="",Besatzung!$B$5,Besatzung!$C$12)&lt;=B33)*(IF(Besatzung!$D$12="",Besatzung!$B$6,Besatzung!$D$12)&gt;=B33)))*((G33-IFERROR(H33,0))/IFERROR(SUMPRODUCT((Besatzung!$B$11:$B$22&lt;&gt;"")*(IF(Besatzung!$C$11:$C$22="",Besatzung!$B$5,Besatzung!$C$11:$C$22)&lt;=B33)*(IF(Besatzung!$D$11:$D$22="",Besatzung!$B$6,Besatzung!$D$11:$D$22)&gt;=B33)),1)+(Besatzung!$F$12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K33="x")*((G33-IFERROR(H33,0))/IFERROR(COUNTIF(J33:U33,"x"),1)+(Besatzung!$F$12="x")*IFERROR(H33,0)/IFERROR(SUMPRODUCT((J33:U33="x")*(Besatzung!$F$11:$F$22="x")),1))),(IF(COUNTIF(J33:U33,"x")=0,IF(Besatzung!$B$12&lt;&gt;"",1,0),(K33="x"))*(G33-IFERROR(H33,0))/IFERROR(IF(COUNTIF(J33:U33,"x")=0,COUNTA(Besatzung!$B$11:$B$22),COUNTIF(J33:U33,"x")),1)+IF(COUNTIF(J33:U33,"x")=0,(Besatzung!$F$12="x"),(K33="x")*(Besatzung!$F$12="x"))*IFERROR(H33,0)/IFERROR(IF(COUNTIF(J33:U33,"x")=0,SUMPRODUCT((Besatzung!$B$11:$B$22&lt;&gt;"")*(Besatzung!$F$11:$F$22="x")),SUMPRODUCT((J33:U33="x")*(Besatzung!$F$11:$F$22="x"))),1))))),0))))</f>
        <v/>
      </c>
      <c r="X33" s="106">
        <f>IF(C33="Gutschrift","",IF(G33="","",IF(Besatzung!$B$13="","",IFERROR(IF(I33="Zeitanteilig",(Besatzung!$G$13*(G33-IFERROR(H33,0))+((Besatzung!$B$13&lt;&gt;"")*IF(B33="",1,(IF(Besatzung!$C$13="",Besatzung!$B$5,Besatzung!$C$13)&lt;=B33)*(IF(Besatzung!$D$13="",Besatzung!$B$6,Besatzung!$D$13)&gt;=B33)))*(Besatzung!$F$13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$13&lt;&gt;"")*IF(B33="",1,(IF(Besatzung!$C$13="",Besatzung!$B$5,Besatzung!$C$13)&lt;=B33)*(IF(Besatzung!$D$13="",Besatzung!$B$6,Besatzung!$D$13)&gt;=B33)))*((G33-IFERROR(H33,0))/IFERROR(SUMPRODUCT((Besatzung!$B$11:$B$22&lt;&gt;"")*(IF(Besatzung!$C$11:$C$22="",Besatzung!$B$5,Besatzung!$C$11:$C$22)&lt;=B33)*(IF(Besatzung!$D$11:$D$22="",Besatzung!$B$6,Besatzung!$D$11:$D$22)&gt;=B33)),1)+(Besatzung!$F$13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K33="x")*((G33-IFERROR(H33,0))/IFERROR(COUNTIF(J33:U33,"x"),1)+(Besatzung!$F$13="x")*IFERROR(H33,0)/IFERROR(SUMPRODUCT((J33:U33="x")*(Besatzung!$F$11:$F$22="x")),1))),(IF(COUNTIF(J33:U33,"x")=0,IF(Besatzung!$B$13&lt;&gt;"",1,0),(K33="x"))*(G33-IFERROR(H33,0))/IFERROR(IF(COUNTIF(J33:U33,"x")=0,COUNTA(Besatzung!$B$11:$B$22),COUNTIF(J33:U33,"x")),1)+IF(COUNTIF(J33:U33,"x")=0,(Besatzung!$F$13="x"),(K33="x")*(Besatzung!$F$13="x"))*IFERROR(H33,0)/IFERROR(IF(COUNTIF(J33:U33,"x")=0,SUMPRODUCT((Besatzung!$B$11:$B$22&lt;&gt;"")*(Besatzung!$F$11:$F$22="x")),SUMPRODUCT((J33:U33="x")*(Besatzung!$F$11:$F$22="x"))),1))))),0))))</f>
        <v/>
      </c>
      <c r="Y33" s="106">
        <f>IF(C33="Gutschrift","",IF(G33="","",IF(Besatzung!$B$14="","",IFERROR(IF(I33="Zeitanteilig",(Besatzung!$G$14*(G33-IFERROR(H33,0))+((Besatzung!$B$14&lt;&gt;"")*IF(B33="",1,(IF(Besatzung!$C$14="",Besatzung!$B$5,Besatzung!$C$14)&lt;=B33)*(IF(Besatzung!$D$14="",Besatzung!$B$6,Besatzung!$D$14)&gt;=B33)))*(Besatzung!$F$14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$14&lt;&gt;"")*IF(B33="",1,(IF(Besatzung!$C$14="",Besatzung!$B$5,Besatzung!$C$14)&lt;=B33)*(IF(Besatzung!$D$14="",Besatzung!$B$6,Besatzung!$D$14)&gt;=B33)))*((G33-IFERROR(H33,0))/IFERROR(SUMPRODUCT((Besatzung!$B$11:$B$22&lt;&gt;"")*(IF(Besatzung!$C$11:$C$22="",Besatzung!$B$5,Besatzung!$C$11:$C$22)&lt;=B33)*(IF(Besatzung!$D$11:$D$22="",Besatzung!$B$6,Besatzung!$D$11:$D$22)&gt;=B33)),1)+(Besatzung!$F$14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M33="x")*((G33-IFERROR(H33,0))/IFERROR(COUNTIF(J33:U33,"x"),1)+(Besatzung!$F$14="x")*IFERROR(H33,0)/IFERROR(SUMPRODUCT((J33:U33="x")*(Besatzung!$F$11:$F$22="x")),1))),(IF(COUNTIF(J33:U33,"x")=0,IF(Besatzung!$B$14&lt;&gt;"",1,0),(M33="x"))*(G33-IFERROR(H33,0))/IFERROR(IF(COUNTIF(J33:U33,"x")=0,COUNTA(Besatzung!$B$11:$B$22),COUNTIF(J33:U33,"x")),1)+IF(COUNTIF(J33:U33,"x")=0,(Besatzung!$F$14="x"),(M33="x")*(Besatzung!$F$14="x"))*IFERROR(H33,0)/IFERROR(IF(COUNTIF(J33:U33,"x")=0,SUMPRODUCT((Besatzung!$B$11:$B$22&lt;&gt;"")*(Besatzung!$F$11:$F$22="x")),SUMPRODUCT((J33:U33="x")*(Besatzung!$F$11:$F$22="x"))),1))))),0))))</f>
        <v/>
      </c>
      <c r="Z33" s="106">
        <f>IF(C33="Gutschrift","",IF(G33="","",IF(Besatzung!$B$13="","",IFERROR(IF(I33="Zeitanteilig",(Besatzung!$G$15*(G33-IFERROR(H33,0))+((Besatzung!$B$13&lt;&gt;"")*IF(B33="",1,(IF(Besatzung!$C$15="",Besatzung!$B$5,Besatzung!$C$15)&lt;=B33)*(IF(Besatzung!$D$15="",Besatzung!$B$6,Besatzung!$D$15)&gt;=B33)))*(Besatzung!$F$15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$13&lt;&gt;"")*IF(B33="",1,(IF(Besatzung!$C$15="",Besatzung!$B$5,Besatzung!$C$15)&lt;=B33)*(IF(Besatzung!$D$15="",Besatzung!$B$6,Besatzung!$D$15)&gt;=B33)))*((G33-IFERROR(H33,0))/IFERROR(SUMPRODUCT((Besatzung!$B$11:$B$22&lt;&gt;"")*(IF(Besatzung!$C$11:$C$22="",Besatzung!$B$5,Besatzung!$C$11:$C$22)&lt;=B33)*(IF(Besatzung!$D$11:$D$22="",Besatzung!$B$6,Besatzung!$D$11:$D$22)&gt;=B33)),1)+(Besatzung!$F$15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N33="x")*((G33-IFERROR(H33,0))/IFERROR(COUNTIF(J33:U33,"x"),1)+(Besatzung!$F$15="x")*IFERROR(H33,0)/IFERROR(SUMPRODUCT((J33:U33="x")*(Besatzung!$F$11:$F$22="x")),1))),(IF(COUNTIF(J33:U33,"x")=0,IF(Besatzung!$B$13&lt;&gt;"",1,0),(N33="x"))*(G33-IFERROR(H33,0))/IFERROR(IF(COUNTIF(J33:U33,"x")=0,COUNTA(Besatzung!$B$11:$B$22),COUNTIF(J33:U33,"x")),1)+IF(COUNTIF(J33:U33,"x")=0,(Besatzung!$F$15="x"),(N33="x")*(Besatzung!$F$15="x"))*IFERROR(H33,0)/IFERROR(IF(COUNTIF(J33:U33,"x")=0,SUMPRODUCT((Besatzung!$B$11:$B$22&lt;&gt;"")*(Besatzung!$F$11:$F$22="x")),SUMPRODUCT((J33:U33="x")*(Besatzung!$F$11:$F$22="x"))),1))))),0))))</f>
        <v/>
      </c>
      <c r="AA33" s="106">
        <f>IF(C33="Gutschrift","",IF(G33="","",IF(Besatzung!$B$15="","",IFERROR(IF(I33="Zeitanteilig",(Besatzung!$G$16*(G33-IFERROR(H33,0))+((Besatzung!$B$15&lt;&gt;"")*IF(B33="",1,(IF(Besatzung!$C$16="",Besatzung!$B$5,Besatzung!$C$16)&lt;=B33)*(IF(Besatzung!$D$16="",Besatzung!$B$6,Besatzung!$D$16)&gt;=B33)))*(Besatzung!$F$16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$15&lt;&gt;"")*IF(B33="",1,(IF(Besatzung!$C$16="",Besatzung!$B$5,Besatzung!$C$16)&lt;=B33)*(IF(Besatzung!$D$16="",Besatzung!$B$6,Besatzung!$D$16)&gt;=B33)))*((G33-IFERROR(H33,0))/IFERROR(SUMPRODUCT((Besatzung!$B$11:$B$22&lt;&gt;"")*(IF(Besatzung!$C$11:$C$22="",Besatzung!$B$5,Besatzung!$C$11:$C$22)&lt;=B33)*(IF(Besatzung!$D$11:$D$22="",Besatzung!$B$6,Besatzung!$D$11:$D$22)&gt;=B33)),1)+(Besatzung!$F$16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O33="x")*((G33-IFERROR(H33,0))/IFERROR(COUNTIF(J33:U33,"x"),1)+(Besatzung!$F$16="x")*IFERROR(H33,0)/IFERROR(SUMPRODUCT((J33:U33="x")*(Besatzung!$F$11:$F$22="x")),1))),(IF(COUNTIF(J33:U33,"x")=0,IF(Besatzung!$B$15&lt;&gt;"",1,0),(O33="x"))*(G33-IFERROR(H33,0))/IFERROR(IF(COUNTIF(J33:U33,"x")=0,COUNTA(Besatzung!$B$11:$B$22),COUNTIF(J33:U33,"x")),1)+IF(COUNTIF(J33:U33,"x")=0,(Besatzung!$F$16="x"),(O33="x")*(Besatzung!$F$16="x"))*IFERROR(H33,0)/IFERROR(IF(COUNTIF(J33:U33,"x")=0,SUMPRODUCT((Besatzung!$B$11:$B$22&lt;&gt;"")*(Besatzung!$F$11:$F$22="x")),SUMPRODUCT((J33:U33="x")*(Besatzung!$F$11:$F$22="x"))),1))))),0))))</f>
        <v/>
      </c>
      <c r="AB33" s="106">
        <f>IF(C33="Gutschrift","",IF(G33="","",IF(Besatzung!$B$17="","",IFERROR(IF(I33="Zeitanteilig",(Besatzung!$G$17*(G33-IFERROR(H33,0))+((Besatzung!$B$17&lt;&gt;"")*IF(B33="",1,(IF(Besatzung!$C$17="",Besatzung!$B$5,Besatzung!$C$17)&lt;=B33)*(IF(Besatzung!$D$17="",Besatzung!$B$6,Besatzung!$D$17)&gt;=B33)))*(Besatzung!$F$17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$17&lt;&gt;"")*IF(B33="",1,(IF(Besatzung!$C$17="",Besatzung!$B$5,Besatzung!$C$17)&lt;=B33)*(IF(Besatzung!$D$17="",Besatzung!$B$6,Besatzung!$D$17)&gt;=B33)))*((G33-IFERROR(H33,0))/IFERROR(SUMPRODUCT((Besatzung!$B$11:$B$22&lt;&gt;"")*(IF(Besatzung!$C$11:$C$22="",Besatzung!$B$5,Besatzung!$C$11:$C$22)&lt;=B33)*(IF(Besatzung!$D$11:$D$22="",Besatzung!$B$6,Besatzung!$D$11:$D$22)&gt;=B33)),1)+(Besatzung!$F$17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P33="x")*((G33-IFERROR(H33,0))/IFERROR(COUNTIF(J33:U33,"x"),1)+(Besatzung!$F$17="x")*IFERROR(H33,0)/IFERROR(SUMPRODUCT((J33:U33="x")*(Besatzung!$F$11:$F$22="x")),1))),(IF(COUNTIF(J33:U33,"x")=0,IF(Besatzung!$B$17&lt;&gt;"",1,0),(P33="x"))*(G33-IFERROR(H33,0))/IFERROR(IF(COUNTIF(J33:U33,"x")=0,COUNTA(Besatzung!$B$11:$B$22),COUNTIF(J33:U33,"x")),1)+IF(COUNTIF(J33:U33,"x")=0,(Besatzung!$F$17="x"),(P33="x")*(Besatzung!$F$17="x"))*IFERROR(H33,0)/IFERROR(IF(COUNTIF(J33:U33,"x")=0,SUMPRODUCT((Besatzung!$B$11:$B$22&lt;&gt;"")*(Besatzung!$F$11:$F$22="x")),SUMPRODUCT((J33:U33="x")*(Besatzung!$F$11:$F$22="x"))),1))))),0))))</f>
        <v/>
      </c>
      <c r="AC33" s="106">
        <f>IF(C33="Gutschrift","",IF(G33="","",IF(Besatzung!$B$18="","",IFERROR(IF(I33="Zeitanteilig",(Besatzung!$G$18*(G33-IFERROR(H33,0))+((Besatzung!$B$18&lt;&gt;"")*IF(B33="",1,(IF(Besatzung!$C$18="",Besatzung!$B$5,Besatzung!$C$18)&lt;=B33)*(IF(Besatzung!$D$18="",Besatzung!$B$6,Besatzung!$D$18)&gt;=B33)))*(Besatzung!$F$18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$18&lt;&gt;"")*IF(B33="",1,(IF(Besatzung!$C$18="",Besatzung!$B$5,Besatzung!$C$18)&lt;=B33)*(IF(Besatzung!$D$18="",Besatzung!$B$6,Besatzung!$D$18)&gt;=B33)))*((G33-IFERROR(H33,0))/IFERROR(SUMPRODUCT((Besatzung!$B$11:$B$22&lt;&gt;"")*(IF(Besatzung!$C$11:$C$22="",Besatzung!$B$5,Besatzung!$C$11:$C$22)&lt;=B33)*(IF(Besatzung!$D$11:$D$22="",Besatzung!$B$6,Besatzung!$D$11:$D$22)&gt;=B33)),1)+(Besatzung!$F$18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Q33="x")*((G33-IFERROR(H33,0))/IFERROR(COUNTIF(J33:U33,"x"),1)+(Besatzung!$F$18="x")*IFERROR(H33,0)/IFERROR(SUMPRODUCT((J33:U33="x")*(Besatzung!$F$11:$F$22="x")),1))),(IF(COUNTIF(J33:U33,"x")=0,IF(Besatzung!$B$18&lt;&gt;"",1,0),(Q33="x"))*(G33-IFERROR(H33,0))/IFERROR(IF(COUNTIF(J33:U33,"x")=0,COUNTA(Besatzung!$B$11:$B$22),COUNTIF(J33:U33,"x")),1)+IF(COUNTIF(J33:U33,"x")=0,(Besatzung!$F$18="x"),(Q33="x")*(Besatzung!$F$18="x"))*IFERROR(H33,0)/IFERROR(IF(COUNTIF(J33:U33,"x")=0,SUMPRODUCT((Besatzung!$B$11:$B$22&lt;&gt;"")*(Besatzung!$F$11:$F$22="x")),SUMPRODUCT((J33:U33="x")*(Besatzung!$F$11:$F$22="x"))),1))))),0))))</f>
        <v/>
      </c>
      <c r="AD33" s="106">
        <f>IF(C33="Gutschrift","",IF(G33="","",IF(Besatzung!$B$19="","",IFERROR(IF(I33="Zeitanteilig",(Besatzung!$G$19*(G33-IFERROR(H33,0))+((Besatzung!$B$19&lt;&gt;"")*IF(B33="",1,(IF(Besatzung!$C$19="",Besatzung!$B$5,Besatzung!$C$19)&lt;=B33)*(IF(Besatzung!$D$19="",Besatzung!$B$6,Besatzung!$D$19)&gt;=B33)))*(Besatzung!$F$19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$19&lt;&gt;"")*IF(B33="",1,(IF(Besatzung!$C$19="",Besatzung!$B$5,Besatzung!$C$19)&lt;=B33)*(IF(Besatzung!$D$19="",Besatzung!$B$6,Besatzung!$D$19)&gt;=B33)))*((G33-IFERROR(H33,0))/IFERROR(SUMPRODUCT((Besatzung!$B$11:$B$22&lt;&gt;"")*(IF(Besatzung!$C$11:$C$22="",Besatzung!$B$5,Besatzung!$C$11:$C$22)&lt;=B33)*(IF(Besatzung!$D$11:$D$22="",Besatzung!$B$6,Besatzung!$D$11:$D$22)&gt;=B33)),1)+(Besatzung!$F$19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R33="x")*((G33-IFERROR(H33,0))/IFERROR(COUNTIF(J33:U33,"x"),1)+(Besatzung!$F$19="x")*IFERROR(H33,0)/IFERROR(SUMPRODUCT((J33:U33="x")*(Besatzung!$F$11:$F$22="x")),1))),(IF(COUNTIF(J33:U33,"x")=0,IF(Besatzung!$B$19&lt;&gt;"",1,0),(R33="x"))*(G33-IFERROR(H33,0))/IFERROR(IF(COUNTIF(J33:U33,"x")=0,COUNTA(Besatzung!$B$11:$B$22),COUNTIF(J33:U33,"x")),1)+IF(COUNTIF(J33:U33,"x")=0,(Besatzung!$F$19="x"),(R33="x")*(Besatzung!$F$19="x"))*IFERROR(H33,0)/IFERROR(IF(COUNTIF(J33:U33,"x")=0,SUMPRODUCT((Besatzung!$B$11:$B$22&lt;&gt;"")*(Besatzung!$F$11:$F$22="x")),SUMPRODUCT((J33:U33="x")*(Besatzung!$F$11:$F$22="x"))),1))))),0))))</f>
        <v/>
      </c>
      <c r="AE33" s="106">
        <f>IF(C33="Gutschrift","",IF(G33="","",IF(Besatzung!$B$20="","",IFERROR(IF(I33="Zeitanteilig",(Besatzung!$G$20*(G33-IFERROR(H33,0))+((Besatzung!$B$20&lt;&gt;"")*IF(B33="",1,(IF(Besatzung!$C$20="",Besatzung!$B$5,Besatzung!$C$20)&lt;=B33)*(IF(Besatzung!$D$20="",Besatzung!$B$6,Besatzung!$D$20)&gt;=B33)))*(Besatzung!$F$20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$20&lt;&gt;"")*IF(B33="",1,(IF(Besatzung!$C$20="",Besatzung!$B$5,Besatzung!$C$20)&lt;=B33)*(IF(Besatzung!$D$20="",Besatzung!$B$6,Besatzung!$D$20)&gt;=B33)))*((G33-IFERROR(H33,0))/IFERROR(SUMPRODUCT((Besatzung!$B$11:$B$22&lt;&gt;"")*(IF(Besatzung!$C$11:$C$22="",Besatzung!$B$5,Besatzung!$C$11:$C$22)&lt;=B33)*(IF(Besatzung!$D$11:$D$22="",Besatzung!$B$6,Besatzung!$D$11:$D$22)&gt;=B33)),1)+(Besatzung!$F$20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S33="x")*((G33-IFERROR(H33,0))/IFERROR(COUNTIF(J33:U33,"x"),1)+(Besatzung!$F$20="x")*IFERROR(H33,0)/IFERROR(SUMPRODUCT((J33:U33="x")*(Besatzung!$F$11:$F$22="x")),1))),(IF(COUNTIF(J33:U33,"x")=0,IF(Besatzung!$B$20&lt;&gt;"",1,0),(S33="x"))*(G33-IFERROR(H33,0))/IFERROR(IF(COUNTIF(J33:U33,"x")=0,COUNTA(Besatzung!$B$11:$B$22),COUNTIF(J33:U33,"x")),1)+IF(COUNTIF(J33:U33,"x")=0,(Besatzung!$F$20="x"),(S33="x")*(Besatzung!$F$20="x"))*IFERROR(H33,0)/IFERROR(IF(COUNTIF(J33:U33,"x")=0,SUMPRODUCT((Besatzung!$B$11:$B$22&lt;&gt;"")*(Besatzung!$F$11:$F$22="x")),SUMPRODUCT((J33:U33="x")*(Besatzung!$F$11:$F$22="x"))),1))))),0))))</f>
        <v/>
      </c>
      <c r="AF33" s="106">
        <f>IF(C33="Gutschrift","",IF(G33="","",IF(Besatzung!$B$21="","",IFERROR(IF(I33="Zeitanteilig",(Besatzung!$G$21*(G33-IFERROR(H33,0))+((Besatzung!$B$21&lt;&gt;"")*IF(B33="",1,(IF(Besatzung!$C$21="",Besatzung!$B$5,Besatzung!$C$21)&lt;=B33)*(IF(Besatzung!$D$21="",Besatzung!$B$6,Besatzung!$D$21)&gt;=B33)))*(Besatzung!$F$21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$21&lt;&gt;"")*IF(B33="",1,(IF(Besatzung!$C$21="",Besatzung!$B$5,Besatzung!$C$21)&lt;=B33)*(IF(Besatzung!$D$21="",Besatzung!$B$6,Besatzung!$D$21)&gt;=B33)))*((G33-IFERROR(H33,0))/IFERROR(SUMPRODUCT((Besatzung!$B$11:$B$22&lt;&gt;"")*(IF(Besatzung!$C$11:$C$22="",Besatzung!$B$5,Besatzung!$C$11:$C$22)&lt;=B33)*(IF(Besatzung!$D$11:$D$22="",Besatzung!$B$6,Besatzung!$D$11:$D$22)&gt;=B33)),1)+(Besatzung!$F$21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T33="x")*((G33-IFERROR(H33,0))/IFERROR(COUNTIF(J33:U33,"x"),1)+(Besatzung!$F$21="x")*IFERROR(H33,0)/IFERROR(SUMPRODUCT((J33:U33="x")*(Besatzung!$F$11:$F$22="x")),1))),(IF(COUNTIF(J33:U33,"x")=0,IF(Besatzung!$B$21&lt;&gt;"",1,0),(T33="x"))*(G33-IFERROR(H33,0))/IFERROR(IF(COUNTIF(J33:U33,"x")=0,COUNTA(Besatzung!$B$11:$B$22),COUNTIF(J33:U33,"x")),1)+IF(COUNTIF(J33:U33,"x")=0,(Besatzung!$F$21="x"),(T33="x")*(Besatzung!$F$21="x"))*IFERROR(H33,0)/IFERROR(IF(COUNTIF(J33:U33,"x")=0,SUMPRODUCT((Besatzung!$B$11:$B$22&lt;&gt;"")*(Besatzung!$F$11:$F$22="x")),SUMPRODUCT((J33:U33="x")*(Besatzung!$F$11:$F$22="x"))),1))))),0))))</f>
        <v/>
      </c>
      <c r="AG33" s="106">
        <f>IF(C33="Gutschrift","",IF(G33="","",IF(Besatzung!$B$22="","",IFERROR(IF(I33="Zeitanteilig",(Besatzung!$G$22*(G33-IFERROR(H33,0))+((Besatzung!$B$22&lt;&gt;"")*IF(B33="",1,(IF(Besatzung!$C$22="",Besatzung!$B$5,Besatzung!$C$22)&lt;=B33)*(IF(Besatzung!$D$22="",Besatzung!$B$6,Besatzung!$D$22)&gt;=B33)))*(Besatzung!$F$22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$22&lt;&gt;"")*IF(B33="",1,(IF(Besatzung!$C$22="",Besatzung!$B$5,Besatzung!$C$22)&lt;=B33)*(IF(Besatzung!$D$22="",Besatzung!$B$6,Besatzung!$D$22)&gt;=B33)))*((G33-IFERROR(H33,0))/IFERROR(SUMPRODUCT((Besatzung!$B$11:$B$22&lt;&gt;"")*(IF(Besatzung!$C$11:$C$22="",Besatzung!$B$5,Besatzung!$C$11:$C$22)&lt;=B33)*(IF(Besatzung!$D$11:$D$22="",Besatzung!$B$6,Besatzung!$D$11:$D$22)&gt;=B33)),1)+(Besatzung!$F$22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U33="x")*((G33-IFERROR(H33,0))/IFERROR(COUNTIF(J33:U33,"x"),1)+(Besatzung!$F$22="x")*IFERROR(H33,0)/IFERROR(SUMPRODUCT((J33:U33="x")*(Besatzung!$F$11:$F$22="x")),1))),(IF(COUNTIF(J33:U33,"x")=0,IF(Besatzung!$B$22&lt;&gt;"",1,0),(U33="x"))*(G33-IFERROR(H33,0))/IFERROR(IF(COUNTIF(J33:U33,"x")=0,COUNTA(Besatzung!$B$11:$B$22),COUNTIF(J33:U33,"x")),1)+IF(COUNTIF(J33:U33,"x")=0,(Besatzung!$F$22="x"),(U33="x")*(Besatzung!$F$22="x"))*IFERROR(H33,0)/IFERROR(IF(COUNTIF(J33:U33,"x")=0,SUMPRODUCT((Besatzung!$B$11:$B$22&lt;&gt;"")*(Besatzung!$F$11:$F$22="x")),SUMPRODUCT((J33:U33="x")*(Besatzung!$F$11:$F$22="x"))),1))))),0))))</f>
        <v/>
      </c>
      <c r="AH33" s="107" t="n"/>
      <c r="AI33" s="107" t="n"/>
    </row>
    <row r="34" ht="21.75" customHeight="1" s="182">
      <c r="A34" s="97">
        <f>IF(AND(D34="",C34=""),"",31)</f>
        <v/>
      </c>
      <c r="B34" s="56" t="n"/>
      <c r="C34" s="98" t="n"/>
      <c r="D34" s="99" t="n"/>
      <c r="E34" s="100" t="n"/>
      <c r="F34" s="101" t="n"/>
      <c r="G34" s="102" t="n"/>
      <c r="H34" s="103" t="n"/>
      <c r="I34" s="104" t="n"/>
      <c r="J34" s="105" t="n"/>
      <c r="K34" s="105" t="n"/>
      <c r="L34" s="105" t="n"/>
      <c r="M34" s="105" t="n"/>
      <c r="N34" s="105" t="n"/>
      <c r="O34" s="105" t="n"/>
      <c r="P34" s="105" t="n"/>
      <c r="Q34" s="105" t="n"/>
      <c r="R34" s="105" t="n"/>
      <c r="S34" s="105" t="n"/>
      <c r="T34" s="105" t="n"/>
      <c r="U34" s="105" t="n"/>
      <c r="V34" s="106">
        <f>IF(C34="Gutschrift","",IF(G34="","",IF(Besatzung!$B$11="","",IFERROR(IF(I34="Zeitanteilig",(Besatzung!$G$11*(G34-IFERROR(H34,0))+((Besatzung!$B$11&lt;&gt;"")*IF(B34="",1,(IF(Besatzung!$C$11="",Besatzung!$B$5,Besatzung!$C$11)&lt;=B34)*(IF(Besatzung!$D$11="",Besatzung!$B$6,Besatzung!$D$11)&gt;=B34)))*(Besatzung!$F$11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$11&lt;&gt;"")*IF(B34="",1,(IF(Besatzung!$C$11="",Besatzung!$B$5,Besatzung!$C$11)&lt;=B34)*(IF(Besatzung!$D$11="",Besatzung!$B$6,Besatzung!$D$11)&gt;=B34)))*((G34-IFERROR(H34,0))/IFERROR(SUMPRODUCT((Besatzung!$B$11:$B$22&lt;&gt;"")*(IF(Besatzung!$C$11:$C$22="",Besatzung!$B$5,Besatzung!$C$11:$C$22)&lt;=B34)*(IF(Besatzung!$D$11:$D$22="",Besatzung!$B$6,Besatzung!$D$11:$D$22)&gt;=B34)),1)+(Besatzung!$F$11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J34="x")*((G34-IFERROR(H34,0))/IFERROR(COUNTIF(J34:U34,"x"),1)+(Besatzung!$F$11="x")*IFERROR(H34,0)/IFERROR(SUMPRODUCT((J34:U34="x")*(Besatzung!$F$11:$F$22="x")),1))),(IF(COUNTIF(J34:U34,"x")=0,IF(Besatzung!$B$11&lt;&gt;"",1,0),(J34="x"))*(G34-IFERROR(H34,0))/IFERROR(IF(COUNTIF(J34:U34,"x")=0,COUNTA(Besatzung!$B$11:$B$22),COUNTIF(J34:U34,"x")),1)+IF(COUNTIF(J34:U34,"x")=0,(Besatzung!$F$11="x"),(J34="x")*(Besatzung!$F$11="x"))*IFERROR(H34,0)/IFERROR(IF(COUNTIF(J34:U34,"x")=0,SUMPRODUCT((Besatzung!$B$11:$B$22&lt;&gt;"")*(Besatzung!$F$11:$F$22="x")),SUMPRODUCT((J34:U34="x")*(Besatzung!$F$11:$F$22="x"))),1))))),0))))</f>
        <v/>
      </c>
      <c r="W34" s="106">
        <f>IF(C34="Gutschrift","",IF(G34="","",IF(Besatzung!$B$12="","",IFERROR(IF(I34="Zeitanteilig",(Besatzung!$G$12*(G34-IFERROR(H34,0))+((Besatzung!$B$12&lt;&gt;"")*IF(B34="",1,(IF(Besatzung!$C$12="",Besatzung!$B$5,Besatzung!$C$12)&lt;=B34)*(IF(Besatzung!$D$12="",Besatzung!$B$6,Besatzung!$D$12)&gt;=B34)))*(Besatzung!$F$12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$12&lt;&gt;"")*IF(B34="",1,(IF(Besatzung!$C$12="",Besatzung!$B$5,Besatzung!$C$12)&lt;=B34)*(IF(Besatzung!$D$12="",Besatzung!$B$6,Besatzung!$D$12)&gt;=B34)))*((G34-IFERROR(H34,0))/IFERROR(SUMPRODUCT((Besatzung!$B$11:$B$22&lt;&gt;"")*(IF(Besatzung!$C$11:$C$22="",Besatzung!$B$5,Besatzung!$C$11:$C$22)&lt;=B34)*(IF(Besatzung!$D$11:$D$22="",Besatzung!$B$6,Besatzung!$D$11:$D$22)&gt;=B34)),1)+(Besatzung!$F$12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K34="x")*((G34-IFERROR(H34,0))/IFERROR(COUNTIF(J34:U34,"x"),1)+(Besatzung!$F$12="x")*IFERROR(H34,0)/IFERROR(SUMPRODUCT((J34:U34="x")*(Besatzung!$F$11:$F$22="x")),1))),(IF(COUNTIF(J34:U34,"x")=0,IF(Besatzung!$B$12&lt;&gt;"",1,0),(K34="x"))*(G34-IFERROR(H34,0))/IFERROR(IF(COUNTIF(J34:U34,"x")=0,COUNTA(Besatzung!$B$11:$B$22),COUNTIF(J34:U34,"x")),1)+IF(COUNTIF(J34:U34,"x")=0,(Besatzung!$F$12="x"),(K34="x")*(Besatzung!$F$12="x"))*IFERROR(H34,0)/IFERROR(IF(COUNTIF(J34:U34,"x")=0,SUMPRODUCT((Besatzung!$B$11:$B$22&lt;&gt;"")*(Besatzung!$F$11:$F$22="x")),SUMPRODUCT((J34:U34="x")*(Besatzung!$F$11:$F$22="x"))),1))))),0))))</f>
        <v/>
      </c>
      <c r="X34" s="106">
        <f>IF(C34="Gutschrift","",IF(G34="","",IF(Besatzung!$B$13="","",IFERROR(IF(I34="Zeitanteilig",(Besatzung!$G$13*(G34-IFERROR(H34,0))+((Besatzung!$B$13&lt;&gt;"")*IF(B34="",1,(IF(Besatzung!$C$13="",Besatzung!$B$5,Besatzung!$C$13)&lt;=B34)*(IF(Besatzung!$D$13="",Besatzung!$B$6,Besatzung!$D$13)&gt;=B34)))*(Besatzung!$F$13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$13&lt;&gt;"")*IF(B34="",1,(IF(Besatzung!$C$13="",Besatzung!$B$5,Besatzung!$C$13)&lt;=B34)*(IF(Besatzung!$D$13="",Besatzung!$B$6,Besatzung!$D$13)&gt;=B34)))*((G34-IFERROR(H34,0))/IFERROR(SUMPRODUCT((Besatzung!$B$11:$B$22&lt;&gt;"")*(IF(Besatzung!$C$11:$C$22="",Besatzung!$B$5,Besatzung!$C$11:$C$22)&lt;=B34)*(IF(Besatzung!$D$11:$D$22="",Besatzung!$B$6,Besatzung!$D$11:$D$22)&gt;=B34)),1)+(Besatzung!$F$13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K34="x")*((G34-IFERROR(H34,0))/IFERROR(COUNTIF(J34:U34,"x"),1)+(Besatzung!$F$13="x")*IFERROR(H34,0)/IFERROR(SUMPRODUCT((J34:U34="x")*(Besatzung!$F$11:$F$22="x")),1))),(IF(COUNTIF(J34:U34,"x")=0,IF(Besatzung!$B$13&lt;&gt;"",1,0),(K34="x"))*(G34-IFERROR(H34,0))/IFERROR(IF(COUNTIF(J34:U34,"x")=0,COUNTA(Besatzung!$B$11:$B$22),COUNTIF(J34:U34,"x")),1)+IF(COUNTIF(J34:U34,"x")=0,(Besatzung!$F$13="x"),(K34="x")*(Besatzung!$F$13="x"))*IFERROR(H34,0)/IFERROR(IF(COUNTIF(J34:U34,"x")=0,SUMPRODUCT((Besatzung!$B$11:$B$22&lt;&gt;"")*(Besatzung!$F$11:$F$22="x")),SUMPRODUCT((J34:U34="x")*(Besatzung!$F$11:$F$22="x"))),1))))),0))))</f>
        <v/>
      </c>
      <c r="Y34" s="106">
        <f>IF(C34="Gutschrift","",IF(G34="","",IF(Besatzung!$B$14="","",IFERROR(IF(I34="Zeitanteilig",(Besatzung!$G$14*(G34-IFERROR(H34,0))+((Besatzung!$B$14&lt;&gt;"")*IF(B34="",1,(IF(Besatzung!$C$14="",Besatzung!$B$5,Besatzung!$C$14)&lt;=B34)*(IF(Besatzung!$D$14="",Besatzung!$B$6,Besatzung!$D$14)&gt;=B34)))*(Besatzung!$F$14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$14&lt;&gt;"")*IF(B34="",1,(IF(Besatzung!$C$14="",Besatzung!$B$5,Besatzung!$C$14)&lt;=B34)*(IF(Besatzung!$D$14="",Besatzung!$B$6,Besatzung!$D$14)&gt;=B34)))*((G34-IFERROR(H34,0))/IFERROR(SUMPRODUCT((Besatzung!$B$11:$B$22&lt;&gt;"")*(IF(Besatzung!$C$11:$C$22="",Besatzung!$B$5,Besatzung!$C$11:$C$22)&lt;=B34)*(IF(Besatzung!$D$11:$D$22="",Besatzung!$B$6,Besatzung!$D$11:$D$22)&gt;=B34)),1)+(Besatzung!$F$14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M34="x")*((G34-IFERROR(H34,0))/IFERROR(COUNTIF(J34:U34,"x"),1)+(Besatzung!$F$14="x")*IFERROR(H34,0)/IFERROR(SUMPRODUCT((J34:U34="x")*(Besatzung!$F$11:$F$22="x")),1))),(IF(COUNTIF(J34:U34,"x")=0,IF(Besatzung!$B$14&lt;&gt;"",1,0),(M34="x"))*(G34-IFERROR(H34,0))/IFERROR(IF(COUNTIF(J34:U34,"x")=0,COUNTA(Besatzung!$B$11:$B$22),COUNTIF(J34:U34,"x")),1)+IF(COUNTIF(J34:U34,"x")=0,(Besatzung!$F$14="x"),(M34="x")*(Besatzung!$F$14="x"))*IFERROR(H34,0)/IFERROR(IF(COUNTIF(J34:U34,"x")=0,SUMPRODUCT((Besatzung!$B$11:$B$22&lt;&gt;"")*(Besatzung!$F$11:$F$22="x")),SUMPRODUCT((J34:U34="x")*(Besatzung!$F$11:$F$22="x"))),1))))),0))))</f>
        <v/>
      </c>
      <c r="Z34" s="106">
        <f>IF(C34="Gutschrift","",IF(G34="","",IF(Besatzung!$B$13="","",IFERROR(IF(I34="Zeitanteilig",(Besatzung!$G$15*(G34-IFERROR(H34,0))+((Besatzung!$B$13&lt;&gt;"")*IF(B34="",1,(IF(Besatzung!$C$15="",Besatzung!$B$5,Besatzung!$C$15)&lt;=B34)*(IF(Besatzung!$D$15="",Besatzung!$B$6,Besatzung!$D$15)&gt;=B34)))*(Besatzung!$F$15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$13&lt;&gt;"")*IF(B34="",1,(IF(Besatzung!$C$15="",Besatzung!$B$5,Besatzung!$C$15)&lt;=B34)*(IF(Besatzung!$D$15="",Besatzung!$B$6,Besatzung!$D$15)&gt;=B34)))*((G34-IFERROR(H34,0))/IFERROR(SUMPRODUCT((Besatzung!$B$11:$B$22&lt;&gt;"")*(IF(Besatzung!$C$11:$C$22="",Besatzung!$B$5,Besatzung!$C$11:$C$22)&lt;=B34)*(IF(Besatzung!$D$11:$D$22="",Besatzung!$B$6,Besatzung!$D$11:$D$22)&gt;=B34)),1)+(Besatzung!$F$15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N34="x")*((G34-IFERROR(H34,0))/IFERROR(COUNTIF(J34:U34,"x"),1)+(Besatzung!$F$15="x")*IFERROR(H34,0)/IFERROR(SUMPRODUCT((J34:U34="x")*(Besatzung!$F$11:$F$22="x")),1))),(IF(COUNTIF(J34:U34,"x")=0,IF(Besatzung!$B$13&lt;&gt;"",1,0),(N34="x"))*(G34-IFERROR(H34,0))/IFERROR(IF(COUNTIF(J34:U34,"x")=0,COUNTA(Besatzung!$B$11:$B$22),COUNTIF(J34:U34,"x")),1)+IF(COUNTIF(J34:U34,"x")=0,(Besatzung!$F$15="x"),(N34="x")*(Besatzung!$F$15="x"))*IFERROR(H34,0)/IFERROR(IF(COUNTIF(J34:U34,"x")=0,SUMPRODUCT((Besatzung!$B$11:$B$22&lt;&gt;"")*(Besatzung!$F$11:$F$22="x")),SUMPRODUCT((J34:U34="x")*(Besatzung!$F$11:$F$22="x"))),1))))),0))))</f>
        <v/>
      </c>
      <c r="AA34" s="106">
        <f>IF(C34="Gutschrift","",IF(G34="","",IF(Besatzung!$B$15="","",IFERROR(IF(I34="Zeitanteilig",(Besatzung!$G$16*(G34-IFERROR(H34,0))+((Besatzung!$B$15&lt;&gt;"")*IF(B34="",1,(IF(Besatzung!$C$16="",Besatzung!$B$5,Besatzung!$C$16)&lt;=B34)*(IF(Besatzung!$D$16="",Besatzung!$B$6,Besatzung!$D$16)&gt;=B34)))*(Besatzung!$F$16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$15&lt;&gt;"")*IF(B34="",1,(IF(Besatzung!$C$16="",Besatzung!$B$5,Besatzung!$C$16)&lt;=B34)*(IF(Besatzung!$D$16="",Besatzung!$B$6,Besatzung!$D$16)&gt;=B34)))*((G34-IFERROR(H34,0))/IFERROR(SUMPRODUCT((Besatzung!$B$11:$B$22&lt;&gt;"")*(IF(Besatzung!$C$11:$C$22="",Besatzung!$B$5,Besatzung!$C$11:$C$22)&lt;=B34)*(IF(Besatzung!$D$11:$D$22="",Besatzung!$B$6,Besatzung!$D$11:$D$22)&gt;=B34)),1)+(Besatzung!$F$16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O34="x")*((G34-IFERROR(H34,0))/IFERROR(COUNTIF(J34:U34,"x"),1)+(Besatzung!$F$16="x")*IFERROR(H34,0)/IFERROR(SUMPRODUCT((J34:U34="x")*(Besatzung!$F$11:$F$22="x")),1))),(IF(COUNTIF(J34:U34,"x")=0,IF(Besatzung!$B$15&lt;&gt;"",1,0),(O34="x"))*(G34-IFERROR(H34,0))/IFERROR(IF(COUNTIF(J34:U34,"x")=0,COUNTA(Besatzung!$B$11:$B$22),COUNTIF(J34:U34,"x")),1)+IF(COUNTIF(J34:U34,"x")=0,(Besatzung!$F$16="x"),(O34="x")*(Besatzung!$F$16="x"))*IFERROR(H34,0)/IFERROR(IF(COUNTIF(J34:U34,"x")=0,SUMPRODUCT((Besatzung!$B$11:$B$22&lt;&gt;"")*(Besatzung!$F$11:$F$22="x")),SUMPRODUCT((J34:U34="x")*(Besatzung!$F$11:$F$22="x"))),1))))),0))))</f>
        <v/>
      </c>
      <c r="AB34" s="106">
        <f>IF(C34="Gutschrift","",IF(G34="","",IF(Besatzung!$B$17="","",IFERROR(IF(I34="Zeitanteilig",(Besatzung!$G$17*(G34-IFERROR(H34,0))+((Besatzung!$B$17&lt;&gt;"")*IF(B34="",1,(IF(Besatzung!$C$17="",Besatzung!$B$5,Besatzung!$C$17)&lt;=B34)*(IF(Besatzung!$D$17="",Besatzung!$B$6,Besatzung!$D$17)&gt;=B34)))*(Besatzung!$F$17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$17&lt;&gt;"")*IF(B34="",1,(IF(Besatzung!$C$17="",Besatzung!$B$5,Besatzung!$C$17)&lt;=B34)*(IF(Besatzung!$D$17="",Besatzung!$B$6,Besatzung!$D$17)&gt;=B34)))*((G34-IFERROR(H34,0))/IFERROR(SUMPRODUCT((Besatzung!$B$11:$B$22&lt;&gt;"")*(IF(Besatzung!$C$11:$C$22="",Besatzung!$B$5,Besatzung!$C$11:$C$22)&lt;=B34)*(IF(Besatzung!$D$11:$D$22="",Besatzung!$B$6,Besatzung!$D$11:$D$22)&gt;=B34)),1)+(Besatzung!$F$17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P34="x")*((G34-IFERROR(H34,0))/IFERROR(COUNTIF(J34:U34,"x"),1)+(Besatzung!$F$17="x")*IFERROR(H34,0)/IFERROR(SUMPRODUCT((J34:U34="x")*(Besatzung!$F$11:$F$22="x")),1))),(IF(COUNTIF(J34:U34,"x")=0,IF(Besatzung!$B$17&lt;&gt;"",1,0),(P34="x"))*(G34-IFERROR(H34,0))/IFERROR(IF(COUNTIF(J34:U34,"x")=0,COUNTA(Besatzung!$B$11:$B$22),COUNTIF(J34:U34,"x")),1)+IF(COUNTIF(J34:U34,"x")=0,(Besatzung!$F$17="x"),(P34="x")*(Besatzung!$F$17="x"))*IFERROR(H34,0)/IFERROR(IF(COUNTIF(J34:U34,"x")=0,SUMPRODUCT((Besatzung!$B$11:$B$22&lt;&gt;"")*(Besatzung!$F$11:$F$22="x")),SUMPRODUCT((J34:U34="x")*(Besatzung!$F$11:$F$22="x"))),1))))),0))))</f>
        <v/>
      </c>
      <c r="AC34" s="106">
        <f>IF(C34="Gutschrift","",IF(G34="","",IF(Besatzung!$B$18="","",IFERROR(IF(I34="Zeitanteilig",(Besatzung!$G$18*(G34-IFERROR(H34,0))+((Besatzung!$B$18&lt;&gt;"")*IF(B34="",1,(IF(Besatzung!$C$18="",Besatzung!$B$5,Besatzung!$C$18)&lt;=B34)*(IF(Besatzung!$D$18="",Besatzung!$B$6,Besatzung!$D$18)&gt;=B34)))*(Besatzung!$F$18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$18&lt;&gt;"")*IF(B34="",1,(IF(Besatzung!$C$18="",Besatzung!$B$5,Besatzung!$C$18)&lt;=B34)*(IF(Besatzung!$D$18="",Besatzung!$B$6,Besatzung!$D$18)&gt;=B34)))*((G34-IFERROR(H34,0))/IFERROR(SUMPRODUCT((Besatzung!$B$11:$B$22&lt;&gt;"")*(IF(Besatzung!$C$11:$C$22="",Besatzung!$B$5,Besatzung!$C$11:$C$22)&lt;=B34)*(IF(Besatzung!$D$11:$D$22="",Besatzung!$B$6,Besatzung!$D$11:$D$22)&gt;=B34)),1)+(Besatzung!$F$18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Q34="x")*((G34-IFERROR(H34,0))/IFERROR(COUNTIF(J34:U34,"x"),1)+(Besatzung!$F$18="x")*IFERROR(H34,0)/IFERROR(SUMPRODUCT((J34:U34="x")*(Besatzung!$F$11:$F$22="x")),1))),(IF(COUNTIF(J34:U34,"x")=0,IF(Besatzung!$B$18&lt;&gt;"",1,0),(Q34="x"))*(G34-IFERROR(H34,0))/IFERROR(IF(COUNTIF(J34:U34,"x")=0,COUNTA(Besatzung!$B$11:$B$22),COUNTIF(J34:U34,"x")),1)+IF(COUNTIF(J34:U34,"x")=0,(Besatzung!$F$18="x"),(Q34="x")*(Besatzung!$F$18="x"))*IFERROR(H34,0)/IFERROR(IF(COUNTIF(J34:U34,"x")=0,SUMPRODUCT((Besatzung!$B$11:$B$22&lt;&gt;"")*(Besatzung!$F$11:$F$22="x")),SUMPRODUCT((J34:U34="x")*(Besatzung!$F$11:$F$22="x"))),1))))),0))))</f>
        <v/>
      </c>
      <c r="AD34" s="106">
        <f>IF(C34="Gutschrift","",IF(G34="","",IF(Besatzung!$B$19="","",IFERROR(IF(I34="Zeitanteilig",(Besatzung!$G$19*(G34-IFERROR(H34,0))+((Besatzung!$B$19&lt;&gt;"")*IF(B34="",1,(IF(Besatzung!$C$19="",Besatzung!$B$5,Besatzung!$C$19)&lt;=B34)*(IF(Besatzung!$D$19="",Besatzung!$B$6,Besatzung!$D$19)&gt;=B34)))*(Besatzung!$F$19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$19&lt;&gt;"")*IF(B34="",1,(IF(Besatzung!$C$19="",Besatzung!$B$5,Besatzung!$C$19)&lt;=B34)*(IF(Besatzung!$D$19="",Besatzung!$B$6,Besatzung!$D$19)&gt;=B34)))*((G34-IFERROR(H34,0))/IFERROR(SUMPRODUCT((Besatzung!$B$11:$B$22&lt;&gt;"")*(IF(Besatzung!$C$11:$C$22="",Besatzung!$B$5,Besatzung!$C$11:$C$22)&lt;=B34)*(IF(Besatzung!$D$11:$D$22="",Besatzung!$B$6,Besatzung!$D$11:$D$22)&gt;=B34)),1)+(Besatzung!$F$19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R34="x")*((G34-IFERROR(H34,0))/IFERROR(COUNTIF(J34:U34,"x"),1)+(Besatzung!$F$19="x")*IFERROR(H34,0)/IFERROR(SUMPRODUCT((J34:U34="x")*(Besatzung!$F$11:$F$22="x")),1))),(IF(COUNTIF(J34:U34,"x")=0,IF(Besatzung!$B$19&lt;&gt;"",1,0),(R34="x"))*(G34-IFERROR(H34,0))/IFERROR(IF(COUNTIF(J34:U34,"x")=0,COUNTA(Besatzung!$B$11:$B$22),COUNTIF(J34:U34,"x")),1)+IF(COUNTIF(J34:U34,"x")=0,(Besatzung!$F$19="x"),(R34="x")*(Besatzung!$F$19="x"))*IFERROR(H34,0)/IFERROR(IF(COUNTIF(J34:U34,"x")=0,SUMPRODUCT((Besatzung!$B$11:$B$22&lt;&gt;"")*(Besatzung!$F$11:$F$22="x")),SUMPRODUCT((J34:U34="x")*(Besatzung!$F$11:$F$22="x"))),1))))),0))))</f>
        <v/>
      </c>
      <c r="AE34" s="106">
        <f>IF(C34="Gutschrift","",IF(G34="","",IF(Besatzung!$B$20="","",IFERROR(IF(I34="Zeitanteilig",(Besatzung!$G$20*(G34-IFERROR(H34,0))+((Besatzung!$B$20&lt;&gt;"")*IF(B34="",1,(IF(Besatzung!$C$20="",Besatzung!$B$5,Besatzung!$C$20)&lt;=B34)*(IF(Besatzung!$D$20="",Besatzung!$B$6,Besatzung!$D$20)&gt;=B34)))*(Besatzung!$F$20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$20&lt;&gt;"")*IF(B34="",1,(IF(Besatzung!$C$20="",Besatzung!$B$5,Besatzung!$C$20)&lt;=B34)*(IF(Besatzung!$D$20="",Besatzung!$B$6,Besatzung!$D$20)&gt;=B34)))*((G34-IFERROR(H34,0))/IFERROR(SUMPRODUCT((Besatzung!$B$11:$B$22&lt;&gt;"")*(IF(Besatzung!$C$11:$C$22="",Besatzung!$B$5,Besatzung!$C$11:$C$22)&lt;=B34)*(IF(Besatzung!$D$11:$D$22="",Besatzung!$B$6,Besatzung!$D$11:$D$22)&gt;=B34)),1)+(Besatzung!$F$20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S34="x")*((G34-IFERROR(H34,0))/IFERROR(COUNTIF(J34:U34,"x"),1)+(Besatzung!$F$20="x")*IFERROR(H34,0)/IFERROR(SUMPRODUCT((J34:U34="x")*(Besatzung!$F$11:$F$22="x")),1))),(IF(COUNTIF(J34:U34,"x")=0,IF(Besatzung!$B$20&lt;&gt;"",1,0),(S34="x"))*(G34-IFERROR(H34,0))/IFERROR(IF(COUNTIF(J34:U34,"x")=0,COUNTA(Besatzung!$B$11:$B$22),COUNTIF(J34:U34,"x")),1)+IF(COUNTIF(J34:U34,"x")=0,(Besatzung!$F$20="x"),(S34="x")*(Besatzung!$F$20="x"))*IFERROR(H34,0)/IFERROR(IF(COUNTIF(J34:U34,"x")=0,SUMPRODUCT((Besatzung!$B$11:$B$22&lt;&gt;"")*(Besatzung!$F$11:$F$22="x")),SUMPRODUCT((J34:U34="x")*(Besatzung!$F$11:$F$22="x"))),1))))),0))))</f>
        <v/>
      </c>
      <c r="AF34" s="106">
        <f>IF(C34="Gutschrift","",IF(G34="","",IF(Besatzung!$B$21="","",IFERROR(IF(I34="Zeitanteilig",(Besatzung!$G$21*(G34-IFERROR(H34,0))+((Besatzung!$B$21&lt;&gt;"")*IF(B34="",1,(IF(Besatzung!$C$21="",Besatzung!$B$5,Besatzung!$C$21)&lt;=B34)*(IF(Besatzung!$D$21="",Besatzung!$B$6,Besatzung!$D$21)&gt;=B34)))*(Besatzung!$F$21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$21&lt;&gt;"")*IF(B34="",1,(IF(Besatzung!$C$21="",Besatzung!$B$5,Besatzung!$C$21)&lt;=B34)*(IF(Besatzung!$D$21="",Besatzung!$B$6,Besatzung!$D$21)&gt;=B34)))*((G34-IFERROR(H34,0))/IFERROR(SUMPRODUCT((Besatzung!$B$11:$B$22&lt;&gt;"")*(IF(Besatzung!$C$11:$C$22="",Besatzung!$B$5,Besatzung!$C$11:$C$22)&lt;=B34)*(IF(Besatzung!$D$11:$D$22="",Besatzung!$B$6,Besatzung!$D$11:$D$22)&gt;=B34)),1)+(Besatzung!$F$21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T34="x")*((G34-IFERROR(H34,0))/IFERROR(COUNTIF(J34:U34,"x"),1)+(Besatzung!$F$21="x")*IFERROR(H34,0)/IFERROR(SUMPRODUCT((J34:U34="x")*(Besatzung!$F$11:$F$22="x")),1))),(IF(COUNTIF(J34:U34,"x")=0,IF(Besatzung!$B$21&lt;&gt;"",1,0),(T34="x"))*(G34-IFERROR(H34,0))/IFERROR(IF(COUNTIF(J34:U34,"x")=0,COUNTA(Besatzung!$B$11:$B$22),COUNTIF(J34:U34,"x")),1)+IF(COUNTIF(J34:U34,"x")=0,(Besatzung!$F$21="x"),(T34="x")*(Besatzung!$F$21="x"))*IFERROR(H34,0)/IFERROR(IF(COUNTIF(J34:U34,"x")=0,SUMPRODUCT((Besatzung!$B$11:$B$22&lt;&gt;"")*(Besatzung!$F$11:$F$22="x")),SUMPRODUCT((J34:U34="x")*(Besatzung!$F$11:$F$22="x"))),1))))),0))))</f>
        <v/>
      </c>
      <c r="AG34" s="106">
        <f>IF(C34="Gutschrift","",IF(G34="","",IF(Besatzung!$B$22="","",IFERROR(IF(I34="Zeitanteilig",(Besatzung!$G$22*(G34-IFERROR(H34,0))+((Besatzung!$B$22&lt;&gt;"")*IF(B34="",1,(IF(Besatzung!$C$22="",Besatzung!$B$5,Besatzung!$C$22)&lt;=B34)*(IF(Besatzung!$D$22="",Besatzung!$B$6,Besatzung!$D$22)&gt;=B34)))*(Besatzung!$F$22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$22&lt;&gt;"")*IF(B34="",1,(IF(Besatzung!$C$22="",Besatzung!$B$5,Besatzung!$C$22)&lt;=B34)*(IF(Besatzung!$D$22="",Besatzung!$B$6,Besatzung!$D$22)&gt;=B34)))*((G34-IFERROR(H34,0))/IFERROR(SUMPRODUCT((Besatzung!$B$11:$B$22&lt;&gt;"")*(IF(Besatzung!$C$11:$C$22="",Besatzung!$B$5,Besatzung!$C$11:$C$22)&lt;=B34)*(IF(Besatzung!$D$11:$D$22="",Besatzung!$B$6,Besatzung!$D$11:$D$22)&gt;=B34)),1)+(Besatzung!$F$22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U34="x")*((G34-IFERROR(H34,0))/IFERROR(COUNTIF(J34:U34,"x"),1)+(Besatzung!$F$22="x")*IFERROR(H34,0)/IFERROR(SUMPRODUCT((J34:U34="x")*(Besatzung!$F$11:$F$22="x")),1))),(IF(COUNTIF(J34:U34,"x")=0,IF(Besatzung!$B$22&lt;&gt;"",1,0),(U34="x"))*(G34-IFERROR(H34,0))/IFERROR(IF(COUNTIF(J34:U34,"x")=0,COUNTA(Besatzung!$B$11:$B$22),COUNTIF(J34:U34,"x")),1)+IF(COUNTIF(J34:U34,"x")=0,(Besatzung!$F$22="x"),(U34="x")*(Besatzung!$F$22="x"))*IFERROR(H34,0)/IFERROR(IF(COUNTIF(J34:U34,"x")=0,SUMPRODUCT((Besatzung!$B$11:$B$22&lt;&gt;"")*(Besatzung!$F$11:$F$22="x")),SUMPRODUCT((J34:U34="x")*(Besatzung!$F$11:$F$22="x"))),1))))),0))))</f>
        <v/>
      </c>
      <c r="AH34" s="107" t="n"/>
      <c r="AI34" s="107" t="n"/>
    </row>
    <row r="35" ht="21.75" customHeight="1" s="182">
      <c r="A35" s="97">
        <f>IF(AND(D35="",C35=""),"",32)</f>
        <v/>
      </c>
      <c r="B35" s="63" t="n"/>
      <c r="C35" s="108" t="n"/>
      <c r="D35" s="109" t="n"/>
      <c r="E35" s="110" t="n"/>
      <c r="F35" s="111" t="n"/>
      <c r="G35" s="112" t="n"/>
      <c r="H35" s="113" t="n"/>
      <c r="I35" s="114" t="n"/>
      <c r="J35" s="115" t="n"/>
      <c r="K35" s="115" t="n"/>
      <c r="L35" s="115" t="n"/>
      <c r="M35" s="115" t="n"/>
      <c r="N35" s="115" t="n"/>
      <c r="O35" s="115" t="n"/>
      <c r="P35" s="115" t="n"/>
      <c r="Q35" s="115" t="n"/>
      <c r="R35" s="115" t="n"/>
      <c r="S35" s="115" t="n"/>
      <c r="T35" s="115" t="n"/>
      <c r="U35" s="115" t="n"/>
      <c r="V35" s="106">
        <f>IF(C35="Gutschrift","",IF(G35="","",IF(Besatzung!$B$11="","",IFERROR(IF(I35="Zeitanteilig",(Besatzung!$G$11*(G35-IFERROR(H35,0))+((Besatzung!$B$11&lt;&gt;"")*IF(B35="",1,(IF(Besatzung!$C$11="",Besatzung!$B$5,Besatzung!$C$11)&lt;=B35)*(IF(Besatzung!$D$11="",Besatzung!$B$6,Besatzung!$D$11)&gt;=B35)))*(Besatzung!$F$11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$11&lt;&gt;"")*IF(B35="",1,(IF(Besatzung!$C$11="",Besatzung!$B$5,Besatzung!$C$11)&lt;=B35)*(IF(Besatzung!$D$11="",Besatzung!$B$6,Besatzung!$D$11)&gt;=B35)))*((G35-IFERROR(H35,0))/IFERROR(SUMPRODUCT((Besatzung!$B$11:$B$22&lt;&gt;"")*(IF(Besatzung!$C$11:$C$22="",Besatzung!$B$5,Besatzung!$C$11:$C$22)&lt;=B35)*(IF(Besatzung!$D$11:$D$22="",Besatzung!$B$6,Besatzung!$D$11:$D$22)&gt;=B35)),1)+(Besatzung!$F$11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J35="x")*((G35-IFERROR(H35,0))/IFERROR(COUNTIF(J35:U35,"x"),1)+(Besatzung!$F$11="x")*IFERROR(H35,0)/IFERROR(SUMPRODUCT((J35:U35="x")*(Besatzung!$F$11:$F$22="x")),1))),(IF(COUNTIF(J35:U35,"x")=0,IF(Besatzung!$B$11&lt;&gt;"",1,0),(J35="x"))*(G35-IFERROR(H35,0))/IFERROR(IF(COUNTIF(J35:U35,"x")=0,COUNTA(Besatzung!$B$11:$B$22),COUNTIF(J35:U35,"x")),1)+IF(COUNTIF(J35:U35,"x")=0,(Besatzung!$F$11="x"),(J35="x")*(Besatzung!$F$11="x"))*IFERROR(H35,0)/IFERROR(IF(COUNTIF(J35:U35,"x")=0,SUMPRODUCT((Besatzung!$B$11:$B$22&lt;&gt;"")*(Besatzung!$F$11:$F$22="x")),SUMPRODUCT((J35:U35="x")*(Besatzung!$F$11:$F$22="x"))),1))))),0))))</f>
        <v/>
      </c>
      <c r="W35" s="106">
        <f>IF(C35="Gutschrift","",IF(G35="","",IF(Besatzung!$B$12="","",IFERROR(IF(I35="Zeitanteilig",(Besatzung!$G$12*(G35-IFERROR(H35,0))+((Besatzung!$B$12&lt;&gt;"")*IF(B35="",1,(IF(Besatzung!$C$12="",Besatzung!$B$5,Besatzung!$C$12)&lt;=B35)*(IF(Besatzung!$D$12="",Besatzung!$B$6,Besatzung!$D$12)&gt;=B35)))*(Besatzung!$F$12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$12&lt;&gt;"")*IF(B35="",1,(IF(Besatzung!$C$12="",Besatzung!$B$5,Besatzung!$C$12)&lt;=B35)*(IF(Besatzung!$D$12="",Besatzung!$B$6,Besatzung!$D$12)&gt;=B35)))*((G35-IFERROR(H35,0))/IFERROR(SUMPRODUCT((Besatzung!$B$11:$B$22&lt;&gt;"")*(IF(Besatzung!$C$11:$C$22="",Besatzung!$B$5,Besatzung!$C$11:$C$22)&lt;=B35)*(IF(Besatzung!$D$11:$D$22="",Besatzung!$B$6,Besatzung!$D$11:$D$22)&gt;=B35)),1)+(Besatzung!$F$12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K35="x")*((G35-IFERROR(H35,0))/IFERROR(COUNTIF(J35:U35,"x"),1)+(Besatzung!$F$12="x")*IFERROR(H35,0)/IFERROR(SUMPRODUCT((J35:U35="x")*(Besatzung!$F$11:$F$22="x")),1))),(IF(COUNTIF(J35:U35,"x")=0,IF(Besatzung!$B$12&lt;&gt;"",1,0),(K35="x"))*(G35-IFERROR(H35,0))/IFERROR(IF(COUNTIF(J35:U35,"x")=0,COUNTA(Besatzung!$B$11:$B$22),COUNTIF(J35:U35,"x")),1)+IF(COUNTIF(J35:U35,"x")=0,(Besatzung!$F$12="x"),(K35="x")*(Besatzung!$F$12="x"))*IFERROR(H35,0)/IFERROR(IF(COUNTIF(J35:U35,"x")=0,SUMPRODUCT((Besatzung!$B$11:$B$22&lt;&gt;"")*(Besatzung!$F$11:$F$22="x")),SUMPRODUCT((J35:U35="x")*(Besatzung!$F$11:$F$22="x"))),1))))),0))))</f>
        <v/>
      </c>
      <c r="X35" s="106">
        <f>IF(C35="Gutschrift","",IF(G35="","",IF(Besatzung!$B$13="","",IFERROR(IF(I35="Zeitanteilig",(Besatzung!$G$13*(G35-IFERROR(H35,0))+((Besatzung!$B$13&lt;&gt;"")*IF(B35="",1,(IF(Besatzung!$C$13="",Besatzung!$B$5,Besatzung!$C$13)&lt;=B35)*(IF(Besatzung!$D$13="",Besatzung!$B$6,Besatzung!$D$13)&gt;=B35)))*(Besatzung!$F$13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$13&lt;&gt;"")*IF(B35="",1,(IF(Besatzung!$C$13="",Besatzung!$B$5,Besatzung!$C$13)&lt;=B35)*(IF(Besatzung!$D$13="",Besatzung!$B$6,Besatzung!$D$13)&gt;=B35)))*((G35-IFERROR(H35,0))/IFERROR(SUMPRODUCT((Besatzung!$B$11:$B$22&lt;&gt;"")*(IF(Besatzung!$C$11:$C$22="",Besatzung!$B$5,Besatzung!$C$11:$C$22)&lt;=B35)*(IF(Besatzung!$D$11:$D$22="",Besatzung!$B$6,Besatzung!$D$11:$D$22)&gt;=B35)),1)+(Besatzung!$F$13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K35="x")*((G35-IFERROR(H35,0))/IFERROR(COUNTIF(J35:U35,"x"),1)+(Besatzung!$F$13="x")*IFERROR(H35,0)/IFERROR(SUMPRODUCT((J35:U35="x")*(Besatzung!$F$11:$F$22="x")),1))),(IF(COUNTIF(J35:U35,"x")=0,IF(Besatzung!$B$13&lt;&gt;"",1,0),(K35="x"))*(G35-IFERROR(H35,0))/IFERROR(IF(COUNTIF(J35:U35,"x")=0,COUNTA(Besatzung!$B$11:$B$22),COUNTIF(J35:U35,"x")),1)+IF(COUNTIF(J35:U35,"x")=0,(Besatzung!$F$13="x"),(K35="x")*(Besatzung!$F$13="x"))*IFERROR(H35,0)/IFERROR(IF(COUNTIF(J35:U35,"x")=0,SUMPRODUCT((Besatzung!$B$11:$B$22&lt;&gt;"")*(Besatzung!$F$11:$F$22="x")),SUMPRODUCT((J35:U35="x")*(Besatzung!$F$11:$F$22="x"))),1))))),0))))</f>
        <v/>
      </c>
      <c r="Y35" s="106">
        <f>IF(C35="Gutschrift","",IF(G35="","",IF(Besatzung!$B$14="","",IFERROR(IF(I35="Zeitanteilig",(Besatzung!$G$14*(G35-IFERROR(H35,0))+((Besatzung!$B$14&lt;&gt;"")*IF(B35="",1,(IF(Besatzung!$C$14="",Besatzung!$B$5,Besatzung!$C$14)&lt;=B35)*(IF(Besatzung!$D$14="",Besatzung!$B$6,Besatzung!$D$14)&gt;=B35)))*(Besatzung!$F$14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$14&lt;&gt;"")*IF(B35="",1,(IF(Besatzung!$C$14="",Besatzung!$B$5,Besatzung!$C$14)&lt;=B35)*(IF(Besatzung!$D$14="",Besatzung!$B$6,Besatzung!$D$14)&gt;=B35)))*((G35-IFERROR(H35,0))/IFERROR(SUMPRODUCT((Besatzung!$B$11:$B$22&lt;&gt;"")*(IF(Besatzung!$C$11:$C$22="",Besatzung!$B$5,Besatzung!$C$11:$C$22)&lt;=B35)*(IF(Besatzung!$D$11:$D$22="",Besatzung!$B$6,Besatzung!$D$11:$D$22)&gt;=B35)),1)+(Besatzung!$F$14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M35="x")*((G35-IFERROR(H35,0))/IFERROR(COUNTIF(J35:U35,"x"),1)+(Besatzung!$F$14="x")*IFERROR(H35,0)/IFERROR(SUMPRODUCT((J35:U35="x")*(Besatzung!$F$11:$F$22="x")),1))),(IF(COUNTIF(J35:U35,"x")=0,IF(Besatzung!$B$14&lt;&gt;"",1,0),(M35="x"))*(G35-IFERROR(H35,0))/IFERROR(IF(COUNTIF(J35:U35,"x")=0,COUNTA(Besatzung!$B$11:$B$22),COUNTIF(J35:U35,"x")),1)+IF(COUNTIF(J35:U35,"x")=0,(Besatzung!$F$14="x"),(M35="x")*(Besatzung!$F$14="x"))*IFERROR(H35,0)/IFERROR(IF(COUNTIF(J35:U35,"x")=0,SUMPRODUCT((Besatzung!$B$11:$B$22&lt;&gt;"")*(Besatzung!$F$11:$F$22="x")),SUMPRODUCT((J35:U35="x")*(Besatzung!$F$11:$F$22="x"))),1))))),0))))</f>
        <v/>
      </c>
      <c r="Z35" s="106">
        <f>IF(C35="Gutschrift","",IF(G35="","",IF(Besatzung!$B$13="","",IFERROR(IF(I35="Zeitanteilig",(Besatzung!$G$15*(G35-IFERROR(H35,0))+((Besatzung!$B$13&lt;&gt;"")*IF(B35="",1,(IF(Besatzung!$C$15="",Besatzung!$B$5,Besatzung!$C$15)&lt;=B35)*(IF(Besatzung!$D$15="",Besatzung!$B$6,Besatzung!$D$15)&gt;=B35)))*(Besatzung!$F$15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$13&lt;&gt;"")*IF(B35="",1,(IF(Besatzung!$C$15="",Besatzung!$B$5,Besatzung!$C$15)&lt;=B35)*(IF(Besatzung!$D$15="",Besatzung!$B$6,Besatzung!$D$15)&gt;=B35)))*((G35-IFERROR(H35,0))/IFERROR(SUMPRODUCT((Besatzung!$B$11:$B$22&lt;&gt;"")*(IF(Besatzung!$C$11:$C$22="",Besatzung!$B$5,Besatzung!$C$11:$C$22)&lt;=B35)*(IF(Besatzung!$D$11:$D$22="",Besatzung!$B$6,Besatzung!$D$11:$D$22)&gt;=B35)),1)+(Besatzung!$F$15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N35="x")*((G35-IFERROR(H35,0))/IFERROR(COUNTIF(J35:U35,"x"),1)+(Besatzung!$F$15="x")*IFERROR(H35,0)/IFERROR(SUMPRODUCT((J35:U35="x")*(Besatzung!$F$11:$F$22="x")),1))),(IF(COUNTIF(J35:U35,"x")=0,IF(Besatzung!$B$13&lt;&gt;"",1,0),(N35="x"))*(G35-IFERROR(H35,0))/IFERROR(IF(COUNTIF(J35:U35,"x")=0,COUNTA(Besatzung!$B$11:$B$22),COUNTIF(J35:U35,"x")),1)+IF(COUNTIF(J35:U35,"x")=0,(Besatzung!$F$15="x"),(N35="x")*(Besatzung!$F$15="x"))*IFERROR(H35,0)/IFERROR(IF(COUNTIF(J35:U35,"x")=0,SUMPRODUCT((Besatzung!$B$11:$B$22&lt;&gt;"")*(Besatzung!$F$11:$F$22="x")),SUMPRODUCT((J35:U35="x")*(Besatzung!$F$11:$F$22="x"))),1))))),0))))</f>
        <v/>
      </c>
      <c r="AA35" s="106">
        <f>IF(C35="Gutschrift","",IF(G35="","",IF(Besatzung!$B$15="","",IFERROR(IF(I35="Zeitanteilig",(Besatzung!$G$16*(G35-IFERROR(H35,0))+((Besatzung!$B$15&lt;&gt;"")*IF(B35="",1,(IF(Besatzung!$C$16="",Besatzung!$B$5,Besatzung!$C$16)&lt;=B35)*(IF(Besatzung!$D$16="",Besatzung!$B$6,Besatzung!$D$16)&gt;=B35)))*(Besatzung!$F$16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$15&lt;&gt;"")*IF(B35="",1,(IF(Besatzung!$C$16="",Besatzung!$B$5,Besatzung!$C$16)&lt;=B35)*(IF(Besatzung!$D$16="",Besatzung!$B$6,Besatzung!$D$16)&gt;=B35)))*((G35-IFERROR(H35,0))/IFERROR(SUMPRODUCT((Besatzung!$B$11:$B$22&lt;&gt;"")*(IF(Besatzung!$C$11:$C$22="",Besatzung!$B$5,Besatzung!$C$11:$C$22)&lt;=B35)*(IF(Besatzung!$D$11:$D$22="",Besatzung!$B$6,Besatzung!$D$11:$D$22)&gt;=B35)),1)+(Besatzung!$F$16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O35="x")*((G35-IFERROR(H35,0))/IFERROR(COUNTIF(J35:U35,"x"),1)+(Besatzung!$F$16="x")*IFERROR(H35,0)/IFERROR(SUMPRODUCT((J35:U35="x")*(Besatzung!$F$11:$F$22="x")),1))),(IF(COUNTIF(J35:U35,"x")=0,IF(Besatzung!$B$15&lt;&gt;"",1,0),(O35="x"))*(G35-IFERROR(H35,0))/IFERROR(IF(COUNTIF(J35:U35,"x")=0,COUNTA(Besatzung!$B$11:$B$22),COUNTIF(J35:U35,"x")),1)+IF(COUNTIF(J35:U35,"x")=0,(Besatzung!$F$16="x"),(O35="x")*(Besatzung!$F$16="x"))*IFERROR(H35,0)/IFERROR(IF(COUNTIF(J35:U35,"x")=0,SUMPRODUCT((Besatzung!$B$11:$B$22&lt;&gt;"")*(Besatzung!$F$11:$F$22="x")),SUMPRODUCT((J35:U35="x")*(Besatzung!$F$11:$F$22="x"))),1))))),0))))</f>
        <v/>
      </c>
      <c r="AB35" s="106">
        <f>IF(C35="Gutschrift","",IF(G35="","",IF(Besatzung!$B$17="","",IFERROR(IF(I35="Zeitanteilig",(Besatzung!$G$17*(G35-IFERROR(H35,0))+((Besatzung!$B$17&lt;&gt;"")*IF(B35="",1,(IF(Besatzung!$C$17="",Besatzung!$B$5,Besatzung!$C$17)&lt;=B35)*(IF(Besatzung!$D$17="",Besatzung!$B$6,Besatzung!$D$17)&gt;=B35)))*(Besatzung!$F$17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$17&lt;&gt;"")*IF(B35="",1,(IF(Besatzung!$C$17="",Besatzung!$B$5,Besatzung!$C$17)&lt;=B35)*(IF(Besatzung!$D$17="",Besatzung!$B$6,Besatzung!$D$17)&gt;=B35)))*((G35-IFERROR(H35,0))/IFERROR(SUMPRODUCT((Besatzung!$B$11:$B$22&lt;&gt;"")*(IF(Besatzung!$C$11:$C$22="",Besatzung!$B$5,Besatzung!$C$11:$C$22)&lt;=B35)*(IF(Besatzung!$D$11:$D$22="",Besatzung!$B$6,Besatzung!$D$11:$D$22)&gt;=B35)),1)+(Besatzung!$F$17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P35="x")*((G35-IFERROR(H35,0))/IFERROR(COUNTIF(J35:U35,"x"),1)+(Besatzung!$F$17="x")*IFERROR(H35,0)/IFERROR(SUMPRODUCT((J35:U35="x")*(Besatzung!$F$11:$F$22="x")),1))),(IF(COUNTIF(J35:U35,"x")=0,IF(Besatzung!$B$17&lt;&gt;"",1,0),(P35="x"))*(G35-IFERROR(H35,0))/IFERROR(IF(COUNTIF(J35:U35,"x")=0,COUNTA(Besatzung!$B$11:$B$22),COUNTIF(J35:U35,"x")),1)+IF(COUNTIF(J35:U35,"x")=0,(Besatzung!$F$17="x"),(P35="x")*(Besatzung!$F$17="x"))*IFERROR(H35,0)/IFERROR(IF(COUNTIF(J35:U35,"x")=0,SUMPRODUCT((Besatzung!$B$11:$B$22&lt;&gt;"")*(Besatzung!$F$11:$F$22="x")),SUMPRODUCT((J35:U35="x")*(Besatzung!$F$11:$F$22="x"))),1))))),0))))</f>
        <v/>
      </c>
      <c r="AC35" s="106">
        <f>IF(C35="Gutschrift","",IF(G35="","",IF(Besatzung!$B$18="","",IFERROR(IF(I35="Zeitanteilig",(Besatzung!$G$18*(G35-IFERROR(H35,0))+((Besatzung!$B$18&lt;&gt;"")*IF(B35="",1,(IF(Besatzung!$C$18="",Besatzung!$B$5,Besatzung!$C$18)&lt;=B35)*(IF(Besatzung!$D$18="",Besatzung!$B$6,Besatzung!$D$18)&gt;=B35)))*(Besatzung!$F$18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$18&lt;&gt;"")*IF(B35="",1,(IF(Besatzung!$C$18="",Besatzung!$B$5,Besatzung!$C$18)&lt;=B35)*(IF(Besatzung!$D$18="",Besatzung!$B$6,Besatzung!$D$18)&gt;=B35)))*((G35-IFERROR(H35,0))/IFERROR(SUMPRODUCT((Besatzung!$B$11:$B$22&lt;&gt;"")*(IF(Besatzung!$C$11:$C$22="",Besatzung!$B$5,Besatzung!$C$11:$C$22)&lt;=B35)*(IF(Besatzung!$D$11:$D$22="",Besatzung!$B$6,Besatzung!$D$11:$D$22)&gt;=B35)),1)+(Besatzung!$F$18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Q35="x")*((G35-IFERROR(H35,0))/IFERROR(COUNTIF(J35:U35,"x"),1)+(Besatzung!$F$18="x")*IFERROR(H35,0)/IFERROR(SUMPRODUCT((J35:U35="x")*(Besatzung!$F$11:$F$22="x")),1))),(IF(COUNTIF(J35:U35,"x")=0,IF(Besatzung!$B$18&lt;&gt;"",1,0),(Q35="x"))*(G35-IFERROR(H35,0))/IFERROR(IF(COUNTIF(J35:U35,"x")=0,COUNTA(Besatzung!$B$11:$B$22),COUNTIF(J35:U35,"x")),1)+IF(COUNTIF(J35:U35,"x")=0,(Besatzung!$F$18="x"),(Q35="x")*(Besatzung!$F$18="x"))*IFERROR(H35,0)/IFERROR(IF(COUNTIF(J35:U35,"x")=0,SUMPRODUCT((Besatzung!$B$11:$B$22&lt;&gt;"")*(Besatzung!$F$11:$F$22="x")),SUMPRODUCT((J35:U35="x")*(Besatzung!$F$11:$F$22="x"))),1))))),0))))</f>
        <v/>
      </c>
      <c r="AD35" s="106">
        <f>IF(C35="Gutschrift","",IF(G35="","",IF(Besatzung!$B$19="","",IFERROR(IF(I35="Zeitanteilig",(Besatzung!$G$19*(G35-IFERROR(H35,0))+((Besatzung!$B$19&lt;&gt;"")*IF(B35="",1,(IF(Besatzung!$C$19="",Besatzung!$B$5,Besatzung!$C$19)&lt;=B35)*(IF(Besatzung!$D$19="",Besatzung!$B$6,Besatzung!$D$19)&gt;=B35)))*(Besatzung!$F$19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$19&lt;&gt;"")*IF(B35="",1,(IF(Besatzung!$C$19="",Besatzung!$B$5,Besatzung!$C$19)&lt;=B35)*(IF(Besatzung!$D$19="",Besatzung!$B$6,Besatzung!$D$19)&gt;=B35)))*((G35-IFERROR(H35,0))/IFERROR(SUMPRODUCT((Besatzung!$B$11:$B$22&lt;&gt;"")*(IF(Besatzung!$C$11:$C$22="",Besatzung!$B$5,Besatzung!$C$11:$C$22)&lt;=B35)*(IF(Besatzung!$D$11:$D$22="",Besatzung!$B$6,Besatzung!$D$11:$D$22)&gt;=B35)),1)+(Besatzung!$F$19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R35="x")*((G35-IFERROR(H35,0))/IFERROR(COUNTIF(J35:U35,"x"),1)+(Besatzung!$F$19="x")*IFERROR(H35,0)/IFERROR(SUMPRODUCT((J35:U35="x")*(Besatzung!$F$11:$F$22="x")),1))),(IF(COUNTIF(J35:U35,"x")=0,IF(Besatzung!$B$19&lt;&gt;"",1,0),(R35="x"))*(G35-IFERROR(H35,0))/IFERROR(IF(COUNTIF(J35:U35,"x")=0,COUNTA(Besatzung!$B$11:$B$22),COUNTIF(J35:U35,"x")),1)+IF(COUNTIF(J35:U35,"x")=0,(Besatzung!$F$19="x"),(R35="x")*(Besatzung!$F$19="x"))*IFERROR(H35,0)/IFERROR(IF(COUNTIF(J35:U35,"x")=0,SUMPRODUCT((Besatzung!$B$11:$B$22&lt;&gt;"")*(Besatzung!$F$11:$F$22="x")),SUMPRODUCT((J35:U35="x")*(Besatzung!$F$11:$F$22="x"))),1))))),0))))</f>
        <v/>
      </c>
      <c r="AE35" s="106">
        <f>IF(C35="Gutschrift","",IF(G35="","",IF(Besatzung!$B$20="","",IFERROR(IF(I35="Zeitanteilig",(Besatzung!$G$20*(G35-IFERROR(H35,0))+((Besatzung!$B$20&lt;&gt;"")*IF(B35="",1,(IF(Besatzung!$C$20="",Besatzung!$B$5,Besatzung!$C$20)&lt;=B35)*(IF(Besatzung!$D$20="",Besatzung!$B$6,Besatzung!$D$20)&gt;=B35)))*(Besatzung!$F$20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$20&lt;&gt;"")*IF(B35="",1,(IF(Besatzung!$C$20="",Besatzung!$B$5,Besatzung!$C$20)&lt;=B35)*(IF(Besatzung!$D$20="",Besatzung!$B$6,Besatzung!$D$20)&gt;=B35)))*((G35-IFERROR(H35,0))/IFERROR(SUMPRODUCT((Besatzung!$B$11:$B$22&lt;&gt;"")*(IF(Besatzung!$C$11:$C$22="",Besatzung!$B$5,Besatzung!$C$11:$C$22)&lt;=B35)*(IF(Besatzung!$D$11:$D$22="",Besatzung!$B$6,Besatzung!$D$11:$D$22)&gt;=B35)),1)+(Besatzung!$F$20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S35="x")*((G35-IFERROR(H35,0))/IFERROR(COUNTIF(J35:U35,"x"),1)+(Besatzung!$F$20="x")*IFERROR(H35,0)/IFERROR(SUMPRODUCT((J35:U35="x")*(Besatzung!$F$11:$F$22="x")),1))),(IF(COUNTIF(J35:U35,"x")=0,IF(Besatzung!$B$20&lt;&gt;"",1,0),(S35="x"))*(G35-IFERROR(H35,0))/IFERROR(IF(COUNTIF(J35:U35,"x")=0,COUNTA(Besatzung!$B$11:$B$22),COUNTIF(J35:U35,"x")),1)+IF(COUNTIF(J35:U35,"x")=0,(Besatzung!$F$20="x"),(S35="x")*(Besatzung!$F$20="x"))*IFERROR(H35,0)/IFERROR(IF(COUNTIF(J35:U35,"x")=0,SUMPRODUCT((Besatzung!$B$11:$B$22&lt;&gt;"")*(Besatzung!$F$11:$F$22="x")),SUMPRODUCT((J35:U35="x")*(Besatzung!$F$11:$F$22="x"))),1))))),0))))</f>
        <v/>
      </c>
      <c r="AF35" s="106">
        <f>IF(C35="Gutschrift","",IF(G35="","",IF(Besatzung!$B$21="","",IFERROR(IF(I35="Zeitanteilig",(Besatzung!$G$21*(G35-IFERROR(H35,0))+((Besatzung!$B$21&lt;&gt;"")*IF(B35="",1,(IF(Besatzung!$C$21="",Besatzung!$B$5,Besatzung!$C$21)&lt;=B35)*(IF(Besatzung!$D$21="",Besatzung!$B$6,Besatzung!$D$21)&gt;=B35)))*(Besatzung!$F$21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$21&lt;&gt;"")*IF(B35="",1,(IF(Besatzung!$C$21="",Besatzung!$B$5,Besatzung!$C$21)&lt;=B35)*(IF(Besatzung!$D$21="",Besatzung!$B$6,Besatzung!$D$21)&gt;=B35)))*((G35-IFERROR(H35,0))/IFERROR(SUMPRODUCT((Besatzung!$B$11:$B$22&lt;&gt;"")*(IF(Besatzung!$C$11:$C$22="",Besatzung!$B$5,Besatzung!$C$11:$C$22)&lt;=B35)*(IF(Besatzung!$D$11:$D$22="",Besatzung!$B$6,Besatzung!$D$11:$D$22)&gt;=B35)),1)+(Besatzung!$F$21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T35="x")*((G35-IFERROR(H35,0))/IFERROR(COUNTIF(J35:U35,"x"),1)+(Besatzung!$F$21="x")*IFERROR(H35,0)/IFERROR(SUMPRODUCT((J35:U35="x")*(Besatzung!$F$11:$F$22="x")),1))),(IF(COUNTIF(J35:U35,"x")=0,IF(Besatzung!$B$21&lt;&gt;"",1,0),(T35="x"))*(G35-IFERROR(H35,0))/IFERROR(IF(COUNTIF(J35:U35,"x")=0,COUNTA(Besatzung!$B$11:$B$22),COUNTIF(J35:U35,"x")),1)+IF(COUNTIF(J35:U35,"x")=0,(Besatzung!$F$21="x"),(T35="x")*(Besatzung!$F$21="x"))*IFERROR(H35,0)/IFERROR(IF(COUNTIF(J35:U35,"x")=0,SUMPRODUCT((Besatzung!$B$11:$B$22&lt;&gt;"")*(Besatzung!$F$11:$F$22="x")),SUMPRODUCT((J35:U35="x")*(Besatzung!$F$11:$F$22="x"))),1))))),0))))</f>
        <v/>
      </c>
      <c r="AG35" s="106">
        <f>IF(C35="Gutschrift","",IF(G35="","",IF(Besatzung!$B$22="","",IFERROR(IF(I35="Zeitanteilig",(Besatzung!$G$22*(G35-IFERROR(H35,0))+((Besatzung!$B$22&lt;&gt;"")*IF(B35="",1,(IF(Besatzung!$C$22="",Besatzung!$B$5,Besatzung!$C$22)&lt;=B35)*(IF(Besatzung!$D$22="",Besatzung!$B$6,Besatzung!$D$22)&gt;=B35)))*(Besatzung!$F$22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$22&lt;&gt;"")*IF(B35="",1,(IF(Besatzung!$C$22="",Besatzung!$B$5,Besatzung!$C$22)&lt;=B35)*(IF(Besatzung!$D$22="",Besatzung!$B$6,Besatzung!$D$22)&gt;=B35)))*((G35-IFERROR(H35,0))/IFERROR(SUMPRODUCT((Besatzung!$B$11:$B$22&lt;&gt;"")*(IF(Besatzung!$C$11:$C$22="",Besatzung!$B$5,Besatzung!$C$11:$C$22)&lt;=B35)*(IF(Besatzung!$D$11:$D$22="",Besatzung!$B$6,Besatzung!$D$11:$D$22)&gt;=B35)),1)+(Besatzung!$F$22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U35="x")*((G35-IFERROR(H35,0))/IFERROR(COUNTIF(J35:U35,"x"),1)+(Besatzung!$F$22="x")*IFERROR(H35,0)/IFERROR(SUMPRODUCT((J35:U35="x")*(Besatzung!$F$11:$F$22="x")),1))),(IF(COUNTIF(J35:U35,"x")=0,IF(Besatzung!$B$22&lt;&gt;"",1,0),(U35="x"))*(G35-IFERROR(H35,0))/IFERROR(IF(COUNTIF(J35:U35,"x")=0,COUNTA(Besatzung!$B$11:$B$22),COUNTIF(J35:U35,"x")),1)+IF(COUNTIF(J35:U35,"x")=0,(Besatzung!$F$22="x"),(U35="x")*(Besatzung!$F$22="x"))*IFERROR(H35,0)/IFERROR(IF(COUNTIF(J35:U35,"x")=0,SUMPRODUCT((Besatzung!$B$11:$B$22&lt;&gt;"")*(Besatzung!$F$11:$F$22="x")),SUMPRODUCT((J35:U35="x")*(Besatzung!$F$11:$F$22="x"))),1))))),0))))</f>
        <v/>
      </c>
      <c r="AH35" s="107" t="n"/>
      <c r="AI35" s="107" t="n"/>
    </row>
    <row r="36" ht="21.75" customHeight="1" s="182">
      <c r="A36" s="97">
        <f>IF(AND(D36="",C36=""),"",33)</f>
        <v/>
      </c>
      <c r="B36" s="56" t="n"/>
      <c r="C36" s="98" t="n"/>
      <c r="D36" s="99" t="n"/>
      <c r="E36" s="100" t="n"/>
      <c r="F36" s="101" t="n"/>
      <c r="G36" s="102" t="n"/>
      <c r="H36" s="103" t="n"/>
      <c r="I36" s="104" t="n"/>
      <c r="J36" s="105" t="n"/>
      <c r="K36" s="105" t="n"/>
      <c r="L36" s="105" t="n"/>
      <c r="M36" s="105" t="n"/>
      <c r="N36" s="105" t="n"/>
      <c r="O36" s="105" t="n"/>
      <c r="P36" s="105" t="n"/>
      <c r="Q36" s="105" t="n"/>
      <c r="R36" s="105" t="n"/>
      <c r="S36" s="105" t="n"/>
      <c r="T36" s="105" t="n"/>
      <c r="U36" s="105" t="n"/>
      <c r="V36" s="106">
        <f>IF(C36="Gutschrift","",IF(G36="","",IF(Besatzung!$B$11="","",IFERROR(IF(I36="Zeitanteilig",(Besatzung!$G$11*(G36-IFERROR(H36,0))+((Besatzung!$B$11&lt;&gt;"")*IF(B36="",1,(IF(Besatzung!$C$11="",Besatzung!$B$5,Besatzung!$C$11)&lt;=B36)*(IF(Besatzung!$D$11="",Besatzung!$B$6,Besatzung!$D$11)&gt;=B36)))*(Besatzung!$F$11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$11&lt;&gt;"")*IF(B36="",1,(IF(Besatzung!$C$11="",Besatzung!$B$5,Besatzung!$C$11)&lt;=B36)*(IF(Besatzung!$D$11="",Besatzung!$B$6,Besatzung!$D$11)&gt;=B36)))*((G36-IFERROR(H36,0))/IFERROR(SUMPRODUCT((Besatzung!$B$11:$B$22&lt;&gt;"")*(IF(Besatzung!$C$11:$C$22="",Besatzung!$B$5,Besatzung!$C$11:$C$22)&lt;=B36)*(IF(Besatzung!$D$11:$D$22="",Besatzung!$B$6,Besatzung!$D$11:$D$22)&gt;=B36)),1)+(Besatzung!$F$11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J36="x")*((G36-IFERROR(H36,0))/IFERROR(COUNTIF(J36:U36,"x"),1)+(Besatzung!$F$11="x")*IFERROR(H36,0)/IFERROR(SUMPRODUCT((J36:U36="x")*(Besatzung!$F$11:$F$22="x")),1))),(IF(COUNTIF(J36:U36,"x")=0,IF(Besatzung!$B$11&lt;&gt;"",1,0),(J36="x"))*(G36-IFERROR(H36,0))/IFERROR(IF(COUNTIF(J36:U36,"x")=0,COUNTA(Besatzung!$B$11:$B$22),COUNTIF(J36:U36,"x")),1)+IF(COUNTIF(J36:U36,"x")=0,(Besatzung!$F$11="x"),(J36="x")*(Besatzung!$F$11="x"))*IFERROR(H36,0)/IFERROR(IF(COUNTIF(J36:U36,"x")=0,SUMPRODUCT((Besatzung!$B$11:$B$22&lt;&gt;"")*(Besatzung!$F$11:$F$22="x")),SUMPRODUCT((J36:U36="x")*(Besatzung!$F$11:$F$22="x"))),1))))),0))))</f>
        <v/>
      </c>
      <c r="W36" s="106">
        <f>IF(C36="Gutschrift","",IF(G36="","",IF(Besatzung!$B$12="","",IFERROR(IF(I36="Zeitanteilig",(Besatzung!$G$12*(G36-IFERROR(H36,0))+((Besatzung!$B$12&lt;&gt;"")*IF(B36="",1,(IF(Besatzung!$C$12="",Besatzung!$B$5,Besatzung!$C$12)&lt;=B36)*(IF(Besatzung!$D$12="",Besatzung!$B$6,Besatzung!$D$12)&gt;=B36)))*(Besatzung!$F$12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$12&lt;&gt;"")*IF(B36="",1,(IF(Besatzung!$C$12="",Besatzung!$B$5,Besatzung!$C$12)&lt;=B36)*(IF(Besatzung!$D$12="",Besatzung!$B$6,Besatzung!$D$12)&gt;=B36)))*((G36-IFERROR(H36,0))/IFERROR(SUMPRODUCT((Besatzung!$B$11:$B$22&lt;&gt;"")*(IF(Besatzung!$C$11:$C$22="",Besatzung!$B$5,Besatzung!$C$11:$C$22)&lt;=B36)*(IF(Besatzung!$D$11:$D$22="",Besatzung!$B$6,Besatzung!$D$11:$D$22)&gt;=B36)),1)+(Besatzung!$F$12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K36="x")*((G36-IFERROR(H36,0))/IFERROR(COUNTIF(J36:U36,"x"),1)+(Besatzung!$F$12="x")*IFERROR(H36,0)/IFERROR(SUMPRODUCT((J36:U36="x")*(Besatzung!$F$11:$F$22="x")),1))),(IF(COUNTIF(J36:U36,"x")=0,IF(Besatzung!$B$12&lt;&gt;"",1,0),(K36="x"))*(G36-IFERROR(H36,0))/IFERROR(IF(COUNTIF(J36:U36,"x")=0,COUNTA(Besatzung!$B$11:$B$22),COUNTIF(J36:U36,"x")),1)+IF(COUNTIF(J36:U36,"x")=0,(Besatzung!$F$12="x"),(K36="x")*(Besatzung!$F$12="x"))*IFERROR(H36,0)/IFERROR(IF(COUNTIF(J36:U36,"x")=0,SUMPRODUCT((Besatzung!$B$11:$B$22&lt;&gt;"")*(Besatzung!$F$11:$F$22="x")),SUMPRODUCT((J36:U36="x")*(Besatzung!$F$11:$F$22="x"))),1))))),0))))</f>
        <v/>
      </c>
      <c r="X36" s="106">
        <f>IF(C36="Gutschrift","",IF(G36="","",IF(Besatzung!$B$13="","",IFERROR(IF(I36="Zeitanteilig",(Besatzung!$G$13*(G36-IFERROR(H36,0))+((Besatzung!$B$13&lt;&gt;"")*IF(B36="",1,(IF(Besatzung!$C$13="",Besatzung!$B$5,Besatzung!$C$13)&lt;=B36)*(IF(Besatzung!$D$13="",Besatzung!$B$6,Besatzung!$D$13)&gt;=B36)))*(Besatzung!$F$13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$13&lt;&gt;"")*IF(B36="",1,(IF(Besatzung!$C$13="",Besatzung!$B$5,Besatzung!$C$13)&lt;=B36)*(IF(Besatzung!$D$13="",Besatzung!$B$6,Besatzung!$D$13)&gt;=B36)))*((G36-IFERROR(H36,0))/IFERROR(SUMPRODUCT((Besatzung!$B$11:$B$22&lt;&gt;"")*(IF(Besatzung!$C$11:$C$22="",Besatzung!$B$5,Besatzung!$C$11:$C$22)&lt;=B36)*(IF(Besatzung!$D$11:$D$22="",Besatzung!$B$6,Besatzung!$D$11:$D$22)&gt;=B36)),1)+(Besatzung!$F$13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K36="x")*((G36-IFERROR(H36,0))/IFERROR(COUNTIF(J36:U36,"x"),1)+(Besatzung!$F$13="x")*IFERROR(H36,0)/IFERROR(SUMPRODUCT((J36:U36="x")*(Besatzung!$F$11:$F$22="x")),1))),(IF(COUNTIF(J36:U36,"x")=0,IF(Besatzung!$B$13&lt;&gt;"",1,0),(K36="x"))*(G36-IFERROR(H36,0))/IFERROR(IF(COUNTIF(J36:U36,"x")=0,COUNTA(Besatzung!$B$11:$B$22),COUNTIF(J36:U36,"x")),1)+IF(COUNTIF(J36:U36,"x")=0,(Besatzung!$F$13="x"),(K36="x")*(Besatzung!$F$13="x"))*IFERROR(H36,0)/IFERROR(IF(COUNTIF(J36:U36,"x")=0,SUMPRODUCT((Besatzung!$B$11:$B$22&lt;&gt;"")*(Besatzung!$F$11:$F$22="x")),SUMPRODUCT((J36:U36="x")*(Besatzung!$F$11:$F$22="x"))),1))))),0))))</f>
        <v/>
      </c>
      <c r="Y36" s="106">
        <f>IF(C36="Gutschrift","",IF(G36="","",IF(Besatzung!$B$14="","",IFERROR(IF(I36="Zeitanteilig",(Besatzung!$G$14*(G36-IFERROR(H36,0))+((Besatzung!$B$14&lt;&gt;"")*IF(B36="",1,(IF(Besatzung!$C$14="",Besatzung!$B$5,Besatzung!$C$14)&lt;=B36)*(IF(Besatzung!$D$14="",Besatzung!$B$6,Besatzung!$D$14)&gt;=B36)))*(Besatzung!$F$14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$14&lt;&gt;"")*IF(B36="",1,(IF(Besatzung!$C$14="",Besatzung!$B$5,Besatzung!$C$14)&lt;=B36)*(IF(Besatzung!$D$14="",Besatzung!$B$6,Besatzung!$D$14)&gt;=B36)))*((G36-IFERROR(H36,0))/IFERROR(SUMPRODUCT((Besatzung!$B$11:$B$22&lt;&gt;"")*(IF(Besatzung!$C$11:$C$22="",Besatzung!$B$5,Besatzung!$C$11:$C$22)&lt;=B36)*(IF(Besatzung!$D$11:$D$22="",Besatzung!$B$6,Besatzung!$D$11:$D$22)&gt;=B36)),1)+(Besatzung!$F$14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M36="x")*((G36-IFERROR(H36,0))/IFERROR(COUNTIF(J36:U36,"x"),1)+(Besatzung!$F$14="x")*IFERROR(H36,0)/IFERROR(SUMPRODUCT((J36:U36="x")*(Besatzung!$F$11:$F$22="x")),1))),(IF(COUNTIF(J36:U36,"x")=0,IF(Besatzung!$B$14&lt;&gt;"",1,0),(M36="x"))*(G36-IFERROR(H36,0))/IFERROR(IF(COUNTIF(J36:U36,"x")=0,COUNTA(Besatzung!$B$11:$B$22),COUNTIF(J36:U36,"x")),1)+IF(COUNTIF(J36:U36,"x")=0,(Besatzung!$F$14="x"),(M36="x")*(Besatzung!$F$14="x"))*IFERROR(H36,0)/IFERROR(IF(COUNTIF(J36:U36,"x")=0,SUMPRODUCT((Besatzung!$B$11:$B$22&lt;&gt;"")*(Besatzung!$F$11:$F$22="x")),SUMPRODUCT((J36:U36="x")*(Besatzung!$F$11:$F$22="x"))),1))))),0))))</f>
        <v/>
      </c>
      <c r="Z36" s="106">
        <f>IF(C36="Gutschrift","",IF(G36="","",IF(Besatzung!$B$13="","",IFERROR(IF(I36="Zeitanteilig",(Besatzung!$G$15*(G36-IFERROR(H36,0))+((Besatzung!$B$13&lt;&gt;"")*IF(B36="",1,(IF(Besatzung!$C$15="",Besatzung!$B$5,Besatzung!$C$15)&lt;=B36)*(IF(Besatzung!$D$15="",Besatzung!$B$6,Besatzung!$D$15)&gt;=B36)))*(Besatzung!$F$15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$13&lt;&gt;"")*IF(B36="",1,(IF(Besatzung!$C$15="",Besatzung!$B$5,Besatzung!$C$15)&lt;=B36)*(IF(Besatzung!$D$15="",Besatzung!$B$6,Besatzung!$D$15)&gt;=B36)))*((G36-IFERROR(H36,0))/IFERROR(SUMPRODUCT((Besatzung!$B$11:$B$22&lt;&gt;"")*(IF(Besatzung!$C$11:$C$22="",Besatzung!$B$5,Besatzung!$C$11:$C$22)&lt;=B36)*(IF(Besatzung!$D$11:$D$22="",Besatzung!$B$6,Besatzung!$D$11:$D$22)&gt;=B36)),1)+(Besatzung!$F$15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N36="x")*((G36-IFERROR(H36,0))/IFERROR(COUNTIF(J36:U36,"x"),1)+(Besatzung!$F$15="x")*IFERROR(H36,0)/IFERROR(SUMPRODUCT((J36:U36="x")*(Besatzung!$F$11:$F$22="x")),1))),(IF(COUNTIF(J36:U36,"x")=0,IF(Besatzung!$B$13&lt;&gt;"",1,0),(N36="x"))*(G36-IFERROR(H36,0))/IFERROR(IF(COUNTIF(J36:U36,"x")=0,COUNTA(Besatzung!$B$11:$B$22),COUNTIF(J36:U36,"x")),1)+IF(COUNTIF(J36:U36,"x")=0,(Besatzung!$F$15="x"),(N36="x")*(Besatzung!$F$15="x"))*IFERROR(H36,0)/IFERROR(IF(COUNTIF(J36:U36,"x")=0,SUMPRODUCT((Besatzung!$B$11:$B$22&lt;&gt;"")*(Besatzung!$F$11:$F$22="x")),SUMPRODUCT((J36:U36="x")*(Besatzung!$F$11:$F$22="x"))),1))))),0))))</f>
        <v/>
      </c>
      <c r="AA36" s="106">
        <f>IF(C36="Gutschrift","",IF(G36="","",IF(Besatzung!$B$15="","",IFERROR(IF(I36="Zeitanteilig",(Besatzung!$G$16*(G36-IFERROR(H36,0))+((Besatzung!$B$15&lt;&gt;"")*IF(B36="",1,(IF(Besatzung!$C$16="",Besatzung!$B$5,Besatzung!$C$16)&lt;=B36)*(IF(Besatzung!$D$16="",Besatzung!$B$6,Besatzung!$D$16)&gt;=B36)))*(Besatzung!$F$16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$15&lt;&gt;"")*IF(B36="",1,(IF(Besatzung!$C$16="",Besatzung!$B$5,Besatzung!$C$16)&lt;=B36)*(IF(Besatzung!$D$16="",Besatzung!$B$6,Besatzung!$D$16)&gt;=B36)))*((G36-IFERROR(H36,0))/IFERROR(SUMPRODUCT((Besatzung!$B$11:$B$22&lt;&gt;"")*(IF(Besatzung!$C$11:$C$22="",Besatzung!$B$5,Besatzung!$C$11:$C$22)&lt;=B36)*(IF(Besatzung!$D$11:$D$22="",Besatzung!$B$6,Besatzung!$D$11:$D$22)&gt;=B36)),1)+(Besatzung!$F$16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O36="x")*((G36-IFERROR(H36,0))/IFERROR(COUNTIF(J36:U36,"x"),1)+(Besatzung!$F$16="x")*IFERROR(H36,0)/IFERROR(SUMPRODUCT((J36:U36="x")*(Besatzung!$F$11:$F$22="x")),1))),(IF(COUNTIF(J36:U36,"x")=0,IF(Besatzung!$B$15&lt;&gt;"",1,0),(O36="x"))*(G36-IFERROR(H36,0))/IFERROR(IF(COUNTIF(J36:U36,"x")=0,COUNTA(Besatzung!$B$11:$B$22),COUNTIF(J36:U36,"x")),1)+IF(COUNTIF(J36:U36,"x")=0,(Besatzung!$F$16="x"),(O36="x")*(Besatzung!$F$16="x"))*IFERROR(H36,0)/IFERROR(IF(COUNTIF(J36:U36,"x")=0,SUMPRODUCT((Besatzung!$B$11:$B$22&lt;&gt;"")*(Besatzung!$F$11:$F$22="x")),SUMPRODUCT((J36:U36="x")*(Besatzung!$F$11:$F$22="x"))),1))))),0))))</f>
        <v/>
      </c>
      <c r="AB36" s="106">
        <f>IF(C36="Gutschrift","",IF(G36="","",IF(Besatzung!$B$17="","",IFERROR(IF(I36="Zeitanteilig",(Besatzung!$G$17*(G36-IFERROR(H36,0))+((Besatzung!$B$17&lt;&gt;"")*IF(B36="",1,(IF(Besatzung!$C$17="",Besatzung!$B$5,Besatzung!$C$17)&lt;=B36)*(IF(Besatzung!$D$17="",Besatzung!$B$6,Besatzung!$D$17)&gt;=B36)))*(Besatzung!$F$17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$17&lt;&gt;"")*IF(B36="",1,(IF(Besatzung!$C$17="",Besatzung!$B$5,Besatzung!$C$17)&lt;=B36)*(IF(Besatzung!$D$17="",Besatzung!$B$6,Besatzung!$D$17)&gt;=B36)))*((G36-IFERROR(H36,0))/IFERROR(SUMPRODUCT((Besatzung!$B$11:$B$22&lt;&gt;"")*(IF(Besatzung!$C$11:$C$22="",Besatzung!$B$5,Besatzung!$C$11:$C$22)&lt;=B36)*(IF(Besatzung!$D$11:$D$22="",Besatzung!$B$6,Besatzung!$D$11:$D$22)&gt;=B36)),1)+(Besatzung!$F$17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P36="x")*((G36-IFERROR(H36,0))/IFERROR(COUNTIF(J36:U36,"x"),1)+(Besatzung!$F$17="x")*IFERROR(H36,0)/IFERROR(SUMPRODUCT((J36:U36="x")*(Besatzung!$F$11:$F$22="x")),1))),(IF(COUNTIF(J36:U36,"x")=0,IF(Besatzung!$B$17&lt;&gt;"",1,0),(P36="x"))*(G36-IFERROR(H36,0))/IFERROR(IF(COUNTIF(J36:U36,"x")=0,COUNTA(Besatzung!$B$11:$B$22),COUNTIF(J36:U36,"x")),1)+IF(COUNTIF(J36:U36,"x")=0,(Besatzung!$F$17="x"),(P36="x")*(Besatzung!$F$17="x"))*IFERROR(H36,0)/IFERROR(IF(COUNTIF(J36:U36,"x")=0,SUMPRODUCT((Besatzung!$B$11:$B$22&lt;&gt;"")*(Besatzung!$F$11:$F$22="x")),SUMPRODUCT((J36:U36="x")*(Besatzung!$F$11:$F$22="x"))),1))))),0))))</f>
        <v/>
      </c>
      <c r="AC36" s="106">
        <f>IF(C36="Gutschrift","",IF(G36="","",IF(Besatzung!$B$18="","",IFERROR(IF(I36="Zeitanteilig",(Besatzung!$G$18*(G36-IFERROR(H36,0))+((Besatzung!$B$18&lt;&gt;"")*IF(B36="",1,(IF(Besatzung!$C$18="",Besatzung!$B$5,Besatzung!$C$18)&lt;=B36)*(IF(Besatzung!$D$18="",Besatzung!$B$6,Besatzung!$D$18)&gt;=B36)))*(Besatzung!$F$18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$18&lt;&gt;"")*IF(B36="",1,(IF(Besatzung!$C$18="",Besatzung!$B$5,Besatzung!$C$18)&lt;=B36)*(IF(Besatzung!$D$18="",Besatzung!$B$6,Besatzung!$D$18)&gt;=B36)))*((G36-IFERROR(H36,0))/IFERROR(SUMPRODUCT((Besatzung!$B$11:$B$22&lt;&gt;"")*(IF(Besatzung!$C$11:$C$22="",Besatzung!$B$5,Besatzung!$C$11:$C$22)&lt;=B36)*(IF(Besatzung!$D$11:$D$22="",Besatzung!$B$6,Besatzung!$D$11:$D$22)&gt;=B36)),1)+(Besatzung!$F$18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Q36="x")*((G36-IFERROR(H36,0))/IFERROR(COUNTIF(J36:U36,"x"),1)+(Besatzung!$F$18="x")*IFERROR(H36,0)/IFERROR(SUMPRODUCT((J36:U36="x")*(Besatzung!$F$11:$F$22="x")),1))),(IF(COUNTIF(J36:U36,"x")=0,IF(Besatzung!$B$18&lt;&gt;"",1,0),(Q36="x"))*(G36-IFERROR(H36,0))/IFERROR(IF(COUNTIF(J36:U36,"x")=0,COUNTA(Besatzung!$B$11:$B$22),COUNTIF(J36:U36,"x")),1)+IF(COUNTIF(J36:U36,"x")=0,(Besatzung!$F$18="x"),(Q36="x")*(Besatzung!$F$18="x"))*IFERROR(H36,0)/IFERROR(IF(COUNTIF(J36:U36,"x")=0,SUMPRODUCT((Besatzung!$B$11:$B$22&lt;&gt;"")*(Besatzung!$F$11:$F$22="x")),SUMPRODUCT((J36:U36="x")*(Besatzung!$F$11:$F$22="x"))),1))))),0))))</f>
        <v/>
      </c>
      <c r="AD36" s="106">
        <f>IF(C36="Gutschrift","",IF(G36="","",IF(Besatzung!$B$19="","",IFERROR(IF(I36="Zeitanteilig",(Besatzung!$G$19*(G36-IFERROR(H36,0))+((Besatzung!$B$19&lt;&gt;"")*IF(B36="",1,(IF(Besatzung!$C$19="",Besatzung!$B$5,Besatzung!$C$19)&lt;=B36)*(IF(Besatzung!$D$19="",Besatzung!$B$6,Besatzung!$D$19)&gt;=B36)))*(Besatzung!$F$19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$19&lt;&gt;"")*IF(B36="",1,(IF(Besatzung!$C$19="",Besatzung!$B$5,Besatzung!$C$19)&lt;=B36)*(IF(Besatzung!$D$19="",Besatzung!$B$6,Besatzung!$D$19)&gt;=B36)))*((G36-IFERROR(H36,0))/IFERROR(SUMPRODUCT((Besatzung!$B$11:$B$22&lt;&gt;"")*(IF(Besatzung!$C$11:$C$22="",Besatzung!$B$5,Besatzung!$C$11:$C$22)&lt;=B36)*(IF(Besatzung!$D$11:$D$22="",Besatzung!$B$6,Besatzung!$D$11:$D$22)&gt;=B36)),1)+(Besatzung!$F$19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R36="x")*((G36-IFERROR(H36,0))/IFERROR(COUNTIF(J36:U36,"x"),1)+(Besatzung!$F$19="x")*IFERROR(H36,0)/IFERROR(SUMPRODUCT((J36:U36="x")*(Besatzung!$F$11:$F$22="x")),1))),(IF(COUNTIF(J36:U36,"x")=0,IF(Besatzung!$B$19&lt;&gt;"",1,0),(R36="x"))*(G36-IFERROR(H36,0))/IFERROR(IF(COUNTIF(J36:U36,"x")=0,COUNTA(Besatzung!$B$11:$B$22),COUNTIF(J36:U36,"x")),1)+IF(COUNTIF(J36:U36,"x")=0,(Besatzung!$F$19="x"),(R36="x")*(Besatzung!$F$19="x"))*IFERROR(H36,0)/IFERROR(IF(COUNTIF(J36:U36,"x")=0,SUMPRODUCT((Besatzung!$B$11:$B$22&lt;&gt;"")*(Besatzung!$F$11:$F$22="x")),SUMPRODUCT((J36:U36="x")*(Besatzung!$F$11:$F$22="x"))),1))))),0))))</f>
        <v/>
      </c>
      <c r="AE36" s="106">
        <f>IF(C36="Gutschrift","",IF(G36="","",IF(Besatzung!$B$20="","",IFERROR(IF(I36="Zeitanteilig",(Besatzung!$G$20*(G36-IFERROR(H36,0))+((Besatzung!$B$20&lt;&gt;"")*IF(B36="",1,(IF(Besatzung!$C$20="",Besatzung!$B$5,Besatzung!$C$20)&lt;=B36)*(IF(Besatzung!$D$20="",Besatzung!$B$6,Besatzung!$D$20)&gt;=B36)))*(Besatzung!$F$20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$20&lt;&gt;"")*IF(B36="",1,(IF(Besatzung!$C$20="",Besatzung!$B$5,Besatzung!$C$20)&lt;=B36)*(IF(Besatzung!$D$20="",Besatzung!$B$6,Besatzung!$D$20)&gt;=B36)))*((G36-IFERROR(H36,0))/IFERROR(SUMPRODUCT((Besatzung!$B$11:$B$22&lt;&gt;"")*(IF(Besatzung!$C$11:$C$22="",Besatzung!$B$5,Besatzung!$C$11:$C$22)&lt;=B36)*(IF(Besatzung!$D$11:$D$22="",Besatzung!$B$6,Besatzung!$D$11:$D$22)&gt;=B36)),1)+(Besatzung!$F$20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S36="x")*((G36-IFERROR(H36,0))/IFERROR(COUNTIF(J36:U36,"x"),1)+(Besatzung!$F$20="x")*IFERROR(H36,0)/IFERROR(SUMPRODUCT((J36:U36="x")*(Besatzung!$F$11:$F$22="x")),1))),(IF(COUNTIF(J36:U36,"x")=0,IF(Besatzung!$B$20&lt;&gt;"",1,0),(S36="x"))*(G36-IFERROR(H36,0))/IFERROR(IF(COUNTIF(J36:U36,"x")=0,COUNTA(Besatzung!$B$11:$B$22),COUNTIF(J36:U36,"x")),1)+IF(COUNTIF(J36:U36,"x")=0,(Besatzung!$F$20="x"),(S36="x")*(Besatzung!$F$20="x"))*IFERROR(H36,0)/IFERROR(IF(COUNTIF(J36:U36,"x")=0,SUMPRODUCT((Besatzung!$B$11:$B$22&lt;&gt;"")*(Besatzung!$F$11:$F$22="x")),SUMPRODUCT((J36:U36="x")*(Besatzung!$F$11:$F$22="x"))),1))))),0))))</f>
        <v/>
      </c>
      <c r="AF36" s="106">
        <f>IF(C36="Gutschrift","",IF(G36="","",IF(Besatzung!$B$21="","",IFERROR(IF(I36="Zeitanteilig",(Besatzung!$G$21*(G36-IFERROR(H36,0))+((Besatzung!$B$21&lt;&gt;"")*IF(B36="",1,(IF(Besatzung!$C$21="",Besatzung!$B$5,Besatzung!$C$21)&lt;=B36)*(IF(Besatzung!$D$21="",Besatzung!$B$6,Besatzung!$D$21)&gt;=B36)))*(Besatzung!$F$21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$21&lt;&gt;"")*IF(B36="",1,(IF(Besatzung!$C$21="",Besatzung!$B$5,Besatzung!$C$21)&lt;=B36)*(IF(Besatzung!$D$21="",Besatzung!$B$6,Besatzung!$D$21)&gt;=B36)))*((G36-IFERROR(H36,0))/IFERROR(SUMPRODUCT((Besatzung!$B$11:$B$22&lt;&gt;"")*(IF(Besatzung!$C$11:$C$22="",Besatzung!$B$5,Besatzung!$C$11:$C$22)&lt;=B36)*(IF(Besatzung!$D$11:$D$22="",Besatzung!$B$6,Besatzung!$D$11:$D$22)&gt;=B36)),1)+(Besatzung!$F$21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T36="x")*((G36-IFERROR(H36,0))/IFERROR(COUNTIF(J36:U36,"x"),1)+(Besatzung!$F$21="x")*IFERROR(H36,0)/IFERROR(SUMPRODUCT((J36:U36="x")*(Besatzung!$F$11:$F$22="x")),1))),(IF(COUNTIF(J36:U36,"x")=0,IF(Besatzung!$B$21&lt;&gt;"",1,0),(T36="x"))*(G36-IFERROR(H36,0))/IFERROR(IF(COUNTIF(J36:U36,"x")=0,COUNTA(Besatzung!$B$11:$B$22),COUNTIF(J36:U36,"x")),1)+IF(COUNTIF(J36:U36,"x")=0,(Besatzung!$F$21="x"),(T36="x")*(Besatzung!$F$21="x"))*IFERROR(H36,0)/IFERROR(IF(COUNTIF(J36:U36,"x")=0,SUMPRODUCT((Besatzung!$B$11:$B$22&lt;&gt;"")*(Besatzung!$F$11:$F$22="x")),SUMPRODUCT((J36:U36="x")*(Besatzung!$F$11:$F$22="x"))),1))))),0))))</f>
        <v/>
      </c>
      <c r="AG36" s="106">
        <f>IF(C36="Gutschrift","",IF(G36="","",IF(Besatzung!$B$22="","",IFERROR(IF(I36="Zeitanteilig",(Besatzung!$G$22*(G36-IFERROR(H36,0))+((Besatzung!$B$22&lt;&gt;"")*IF(B36="",1,(IF(Besatzung!$C$22="",Besatzung!$B$5,Besatzung!$C$22)&lt;=B36)*(IF(Besatzung!$D$22="",Besatzung!$B$6,Besatzung!$D$22)&gt;=B36)))*(Besatzung!$F$22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$22&lt;&gt;"")*IF(B36="",1,(IF(Besatzung!$C$22="",Besatzung!$B$5,Besatzung!$C$22)&lt;=B36)*(IF(Besatzung!$D$22="",Besatzung!$B$6,Besatzung!$D$22)&gt;=B36)))*((G36-IFERROR(H36,0))/IFERROR(SUMPRODUCT((Besatzung!$B$11:$B$22&lt;&gt;"")*(IF(Besatzung!$C$11:$C$22="",Besatzung!$B$5,Besatzung!$C$11:$C$22)&lt;=B36)*(IF(Besatzung!$D$11:$D$22="",Besatzung!$B$6,Besatzung!$D$11:$D$22)&gt;=B36)),1)+(Besatzung!$F$22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U36="x")*((G36-IFERROR(H36,0))/IFERROR(COUNTIF(J36:U36,"x"),1)+(Besatzung!$F$22="x")*IFERROR(H36,0)/IFERROR(SUMPRODUCT((J36:U36="x")*(Besatzung!$F$11:$F$22="x")),1))),(IF(COUNTIF(J36:U36,"x")=0,IF(Besatzung!$B$22&lt;&gt;"",1,0),(U36="x"))*(G36-IFERROR(H36,0))/IFERROR(IF(COUNTIF(J36:U36,"x")=0,COUNTA(Besatzung!$B$11:$B$22),COUNTIF(J36:U36,"x")),1)+IF(COUNTIF(J36:U36,"x")=0,(Besatzung!$F$22="x"),(U36="x")*(Besatzung!$F$22="x"))*IFERROR(H36,0)/IFERROR(IF(COUNTIF(J36:U36,"x")=0,SUMPRODUCT((Besatzung!$B$11:$B$22&lt;&gt;"")*(Besatzung!$F$11:$F$22="x")),SUMPRODUCT((J36:U36="x")*(Besatzung!$F$11:$F$22="x"))),1))))),0))))</f>
        <v/>
      </c>
      <c r="AH36" s="107" t="n"/>
      <c r="AI36" s="107" t="n"/>
    </row>
    <row r="37" ht="21.75" customHeight="1" s="182">
      <c r="A37" s="97">
        <f>IF(AND(D37="",C37=""),"",34)</f>
        <v/>
      </c>
      <c r="B37" s="63" t="n"/>
      <c r="C37" s="108" t="n"/>
      <c r="D37" s="109" t="n"/>
      <c r="E37" s="110" t="n"/>
      <c r="F37" s="111" t="n"/>
      <c r="G37" s="112" t="n"/>
      <c r="H37" s="113" t="n"/>
      <c r="I37" s="114" t="n"/>
      <c r="J37" s="115" t="n"/>
      <c r="K37" s="115" t="n"/>
      <c r="L37" s="115" t="n"/>
      <c r="M37" s="115" t="n"/>
      <c r="N37" s="115" t="n"/>
      <c r="O37" s="115" t="n"/>
      <c r="P37" s="115" t="n"/>
      <c r="Q37" s="115" t="n"/>
      <c r="R37" s="115" t="n"/>
      <c r="S37" s="115" t="n"/>
      <c r="T37" s="115" t="n"/>
      <c r="U37" s="115" t="n"/>
      <c r="V37" s="106">
        <f>IF(C37="Gutschrift","",IF(G37="","",IF(Besatzung!$B$11="","",IFERROR(IF(I37="Zeitanteilig",(Besatzung!$G$11*(G37-IFERROR(H37,0))+((Besatzung!$B$11&lt;&gt;"")*IF(B37="",1,(IF(Besatzung!$C$11="",Besatzung!$B$5,Besatzung!$C$11)&lt;=B37)*(IF(Besatzung!$D$11="",Besatzung!$B$6,Besatzung!$D$11)&gt;=B37)))*(Besatzung!$F$11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$11&lt;&gt;"")*IF(B37="",1,(IF(Besatzung!$C$11="",Besatzung!$B$5,Besatzung!$C$11)&lt;=B37)*(IF(Besatzung!$D$11="",Besatzung!$B$6,Besatzung!$D$11)&gt;=B37)))*((G37-IFERROR(H37,0))/IFERROR(SUMPRODUCT((Besatzung!$B$11:$B$22&lt;&gt;"")*(IF(Besatzung!$C$11:$C$22="",Besatzung!$B$5,Besatzung!$C$11:$C$22)&lt;=B37)*(IF(Besatzung!$D$11:$D$22="",Besatzung!$B$6,Besatzung!$D$11:$D$22)&gt;=B37)),1)+(Besatzung!$F$11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J37="x")*((G37-IFERROR(H37,0))/IFERROR(COUNTIF(J37:U37,"x"),1)+(Besatzung!$F$11="x")*IFERROR(H37,0)/IFERROR(SUMPRODUCT((J37:U37="x")*(Besatzung!$F$11:$F$22="x")),1))),(IF(COUNTIF(J37:U37,"x")=0,IF(Besatzung!$B$11&lt;&gt;"",1,0),(J37="x"))*(G37-IFERROR(H37,0))/IFERROR(IF(COUNTIF(J37:U37,"x")=0,COUNTA(Besatzung!$B$11:$B$22),COUNTIF(J37:U37,"x")),1)+IF(COUNTIF(J37:U37,"x")=0,(Besatzung!$F$11="x"),(J37="x")*(Besatzung!$F$11="x"))*IFERROR(H37,0)/IFERROR(IF(COUNTIF(J37:U37,"x")=0,SUMPRODUCT((Besatzung!$B$11:$B$22&lt;&gt;"")*(Besatzung!$F$11:$F$22="x")),SUMPRODUCT((J37:U37="x")*(Besatzung!$F$11:$F$22="x"))),1))))),0))))</f>
        <v/>
      </c>
      <c r="W37" s="106">
        <f>IF(C37="Gutschrift","",IF(G37="","",IF(Besatzung!$B$12="","",IFERROR(IF(I37="Zeitanteilig",(Besatzung!$G$12*(G37-IFERROR(H37,0))+((Besatzung!$B$12&lt;&gt;"")*IF(B37="",1,(IF(Besatzung!$C$12="",Besatzung!$B$5,Besatzung!$C$12)&lt;=B37)*(IF(Besatzung!$D$12="",Besatzung!$B$6,Besatzung!$D$12)&gt;=B37)))*(Besatzung!$F$12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$12&lt;&gt;"")*IF(B37="",1,(IF(Besatzung!$C$12="",Besatzung!$B$5,Besatzung!$C$12)&lt;=B37)*(IF(Besatzung!$D$12="",Besatzung!$B$6,Besatzung!$D$12)&gt;=B37)))*((G37-IFERROR(H37,0))/IFERROR(SUMPRODUCT((Besatzung!$B$11:$B$22&lt;&gt;"")*(IF(Besatzung!$C$11:$C$22="",Besatzung!$B$5,Besatzung!$C$11:$C$22)&lt;=B37)*(IF(Besatzung!$D$11:$D$22="",Besatzung!$B$6,Besatzung!$D$11:$D$22)&gt;=B37)),1)+(Besatzung!$F$12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K37="x")*((G37-IFERROR(H37,0))/IFERROR(COUNTIF(J37:U37,"x"),1)+(Besatzung!$F$12="x")*IFERROR(H37,0)/IFERROR(SUMPRODUCT((J37:U37="x")*(Besatzung!$F$11:$F$22="x")),1))),(IF(COUNTIF(J37:U37,"x")=0,IF(Besatzung!$B$12&lt;&gt;"",1,0),(K37="x"))*(G37-IFERROR(H37,0))/IFERROR(IF(COUNTIF(J37:U37,"x")=0,COUNTA(Besatzung!$B$11:$B$22),COUNTIF(J37:U37,"x")),1)+IF(COUNTIF(J37:U37,"x")=0,(Besatzung!$F$12="x"),(K37="x")*(Besatzung!$F$12="x"))*IFERROR(H37,0)/IFERROR(IF(COUNTIF(J37:U37,"x")=0,SUMPRODUCT((Besatzung!$B$11:$B$22&lt;&gt;"")*(Besatzung!$F$11:$F$22="x")),SUMPRODUCT((J37:U37="x")*(Besatzung!$F$11:$F$22="x"))),1))))),0))))</f>
        <v/>
      </c>
      <c r="X37" s="106">
        <f>IF(C37="Gutschrift","",IF(G37="","",IF(Besatzung!$B$13="","",IFERROR(IF(I37="Zeitanteilig",(Besatzung!$G$13*(G37-IFERROR(H37,0))+((Besatzung!$B$13&lt;&gt;"")*IF(B37="",1,(IF(Besatzung!$C$13="",Besatzung!$B$5,Besatzung!$C$13)&lt;=B37)*(IF(Besatzung!$D$13="",Besatzung!$B$6,Besatzung!$D$13)&gt;=B37)))*(Besatzung!$F$13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$13&lt;&gt;"")*IF(B37="",1,(IF(Besatzung!$C$13="",Besatzung!$B$5,Besatzung!$C$13)&lt;=B37)*(IF(Besatzung!$D$13="",Besatzung!$B$6,Besatzung!$D$13)&gt;=B37)))*((G37-IFERROR(H37,0))/IFERROR(SUMPRODUCT((Besatzung!$B$11:$B$22&lt;&gt;"")*(IF(Besatzung!$C$11:$C$22="",Besatzung!$B$5,Besatzung!$C$11:$C$22)&lt;=B37)*(IF(Besatzung!$D$11:$D$22="",Besatzung!$B$6,Besatzung!$D$11:$D$22)&gt;=B37)),1)+(Besatzung!$F$13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K37="x")*((G37-IFERROR(H37,0))/IFERROR(COUNTIF(J37:U37,"x"),1)+(Besatzung!$F$13="x")*IFERROR(H37,0)/IFERROR(SUMPRODUCT((J37:U37="x")*(Besatzung!$F$11:$F$22="x")),1))),(IF(COUNTIF(J37:U37,"x")=0,IF(Besatzung!$B$13&lt;&gt;"",1,0),(K37="x"))*(G37-IFERROR(H37,0))/IFERROR(IF(COUNTIF(J37:U37,"x")=0,COUNTA(Besatzung!$B$11:$B$22),COUNTIF(J37:U37,"x")),1)+IF(COUNTIF(J37:U37,"x")=0,(Besatzung!$F$13="x"),(K37="x")*(Besatzung!$F$13="x"))*IFERROR(H37,0)/IFERROR(IF(COUNTIF(J37:U37,"x")=0,SUMPRODUCT((Besatzung!$B$11:$B$22&lt;&gt;"")*(Besatzung!$F$11:$F$22="x")),SUMPRODUCT((J37:U37="x")*(Besatzung!$F$11:$F$22="x"))),1))))),0))))</f>
        <v/>
      </c>
      <c r="Y37" s="106">
        <f>IF(C37="Gutschrift","",IF(G37="","",IF(Besatzung!$B$14="","",IFERROR(IF(I37="Zeitanteilig",(Besatzung!$G$14*(G37-IFERROR(H37,0))+((Besatzung!$B$14&lt;&gt;"")*IF(B37="",1,(IF(Besatzung!$C$14="",Besatzung!$B$5,Besatzung!$C$14)&lt;=B37)*(IF(Besatzung!$D$14="",Besatzung!$B$6,Besatzung!$D$14)&gt;=B37)))*(Besatzung!$F$14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$14&lt;&gt;"")*IF(B37="",1,(IF(Besatzung!$C$14="",Besatzung!$B$5,Besatzung!$C$14)&lt;=B37)*(IF(Besatzung!$D$14="",Besatzung!$B$6,Besatzung!$D$14)&gt;=B37)))*((G37-IFERROR(H37,0))/IFERROR(SUMPRODUCT((Besatzung!$B$11:$B$22&lt;&gt;"")*(IF(Besatzung!$C$11:$C$22="",Besatzung!$B$5,Besatzung!$C$11:$C$22)&lt;=B37)*(IF(Besatzung!$D$11:$D$22="",Besatzung!$B$6,Besatzung!$D$11:$D$22)&gt;=B37)),1)+(Besatzung!$F$14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M37="x")*((G37-IFERROR(H37,0))/IFERROR(COUNTIF(J37:U37,"x"),1)+(Besatzung!$F$14="x")*IFERROR(H37,0)/IFERROR(SUMPRODUCT((J37:U37="x")*(Besatzung!$F$11:$F$22="x")),1))),(IF(COUNTIF(J37:U37,"x")=0,IF(Besatzung!$B$14&lt;&gt;"",1,0),(M37="x"))*(G37-IFERROR(H37,0))/IFERROR(IF(COUNTIF(J37:U37,"x")=0,COUNTA(Besatzung!$B$11:$B$22),COUNTIF(J37:U37,"x")),1)+IF(COUNTIF(J37:U37,"x")=0,(Besatzung!$F$14="x"),(M37="x")*(Besatzung!$F$14="x"))*IFERROR(H37,0)/IFERROR(IF(COUNTIF(J37:U37,"x")=0,SUMPRODUCT((Besatzung!$B$11:$B$22&lt;&gt;"")*(Besatzung!$F$11:$F$22="x")),SUMPRODUCT((J37:U37="x")*(Besatzung!$F$11:$F$22="x"))),1))))),0))))</f>
        <v/>
      </c>
      <c r="Z37" s="106">
        <f>IF(C37="Gutschrift","",IF(G37="","",IF(Besatzung!$B$13="","",IFERROR(IF(I37="Zeitanteilig",(Besatzung!$G$15*(G37-IFERROR(H37,0))+((Besatzung!$B$13&lt;&gt;"")*IF(B37="",1,(IF(Besatzung!$C$15="",Besatzung!$B$5,Besatzung!$C$15)&lt;=B37)*(IF(Besatzung!$D$15="",Besatzung!$B$6,Besatzung!$D$15)&gt;=B37)))*(Besatzung!$F$15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$13&lt;&gt;"")*IF(B37="",1,(IF(Besatzung!$C$15="",Besatzung!$B$5,Besatzung!$C$15)&lt;=B37)*(IF(Besatzung!$D$15="",Besatzung!$B$6,Besatzung!$D$15)&gt;=B37)))*((G37-IFERROR(H37,0))/IFERROR(SUMPRODUCT((Besatzung!$B$11:$B$22&lt;&gt;"")*(IF(Besatzung!$C$11:$C$22="",Besatzung!$B$5,Besatzung!$C$11:$C$22)&lt;=B37)*(IF(Besatzung!$D$11:$D$22="",Besatzung!$B$6,Besatzung!$D$11:$D$22)&gt;=B37)),1)+(Besatzung!$F$15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N37="x")*((G37-IFERROR(H37,0))/IFERROR(COUNTIF(J37:U37,"x"),1)+(Besatzung!$F$15="x")*IFERROR(H37,0)/IFERROR(SUMPRODUCT((J37:U37="x")*(Besatzung!$F$11:$F$22="x")),1))),(IF(COUNTIF(J37:U37,"x")=0,IF(Besatzung!$B$13&lt;&gt;"",1,0),(N37="x"))*(G37-IFERROR(H37,0))/IFERROR(IF(COUNTIF(J37:U37,"x")=0,COUNTA(Besatzung!$B$11:$B$22),COUNTIF(J37:U37,"x")),1)+IF(COUNTIF(J37:U37,"x")=0,(Besatzung!$F$15="x"),(N37="x")*(Besatzung!$F$15="x"))*IFERROR(H37,0)/IFERROR(IF(COUNTIF(J37:U37,"x")=0,SUMPRODUCT((Besatzung!$B$11:$B$22&lt;&gt;"")*(Besatzung!$F$11:$F$22="x")),SUMPRODUCT((J37:U37="x")*(Besatzung!$F$11:$F$22="x"))),1))))),0))))</f>
        <v/>
      </c>
      <c r="AA37" s="106">
        <f>IF(C37="Gutschrift","",IF(G37="","",IF(Besatzung!$B$15="","",IFERROR(IF(I37="Zeitanteilig",(Besatzung!$G$16*(G37-IFERROR(H37,0))+((Besatzung!$B$15&lt;&gt;"")*IF(B37="",1,(IF(Besatzung!$C$16="",Besatzung!$B$5,Besatzung!$C$16)&lt;=B37)*(IF(Besatzung!$D$16="",Besatzung!$B$6,Besatzung!$D$16)&gt;=B37)))*(Besatzung!$F$16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$15&lt;&gt;"")*IF(B37="",1,(IF(Besatzung!$C$16="",Besatzung!$B$5,Besatzung!$C$16)&lt;=B37)*(IF(Besatzung!$D$16="",Besatzung!$B$6,Besatzung!$D$16)&gt;=B37)))*((G37-IFERROR(H37,0))/IFERROR(SUMPRODUCT((Besatzung!$B$11:$B$22&lt;&gt;"")*(IF(Besatzung!$C$11:$C$22="",Besatzung!$B$5,Besatzung!$C$11:$C$22)&lt;=B37)*(IF(Besatzung!$D$11:$D$22="",Besatzung!$B$6,Besatzung!$D$11:$D$22)&gt;=B37)),1)+(Besatzung!$F$16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O37="x")*((G37-IFERROR(H37,0))/IFERROR(COUNTIF(J37:U37,"x"),1)+(Besatzung!$F$16="x")*IFERROR(H37,0)/IFERROR(SUMPRODUCT((J37:U37="x")*(Besatzung!$F$11:$F$22="x")),1))),(IF(COUNTIF(J37:U37,"x")=0,IF(Besatzung!$B$15&lt;&gt;"",1,0),(O37="x"))*(G37-IFERROR(H37,0))/IFERROR(IF(COUNTIF(J37:U37,"x")=0,COUNTA(Besatzung!$B$11:$B$22),COUNTIF(J37:U37,"x")),1)+IF(COUNTIF(J37:U37,"x")=0,(Besatzung!$F$16="x"),(O37="x")*(Besatzung!$F$16="x"))*IFERROR(H37,0)/IFERROR(IF(COUNTIF(J37:U37,"x")=0,SUMPRODUCT((Besatzung!$B$11:$B$22&lt;&gt;"")*(Besatzung!$F$11:$F$22="x")),SUMPRODUCT((J37:U37="x")*(Besatzung!$F$11:$F$22="x"))),1))))),0))))</f>
        <v/>
      </c>
      <c r="AB37" s="106">
        <f>IF(C37="Gutschrift","",IF(G37="","",IF(Besatzung!$B$17="","",IFERROR(IF(I37="Zeitanteilig",(Besatzung!$G$17*(G37-IFERROR(H37,0))+((Besatzung!$B$17&lt;&gt;"")*IF(B37="",1,(IF(Besatzung!$C$17="",Besatzung!$B$5,Besatzung!$C$17)&lt;=B37)*(IF(Besatzung!$D$17="",Besatzung!$B$6,Besatzung!$D$17)&gt;=B37)))*(Besatzung!$F$17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$17&lt;&gt;"")*IF(B37="",1,(IF(Besatzung!$C$17="",Besatzung!$B$5,Besatzung!$C$17)&lt;=B37)*(IF(Besatzung!$D$17="",Besatzung!$B$6,Besatzung!$D$17)&gt;=B37)))*((G37-IFERROR(H37,0))/IFERROR(SUMPRODUCT((Besatzung!$B$11:$B$22&lt;&gt;"")*(IF(Besatzung!$C$11:$C$22="",Besatzung!$B$5,Besatzung!$C$11:$C$22)&lt;=B37)*(IF(Besatzung!$D$11:$D$22="",Besatzung!$B$6,Besatzung!$D$11:$D$22)&gt;=B37)),1)+(Besatzung!$F$17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P37="x")*((G37-IFERROR(H37,0))/IFERROR(COUNTIF(J37:U37,"x"),1)+(Besatzung!$F$17="x")*IFERROR(H37,0)/IFERROR(SUMPRODUCT((J37:U37="x")*(Besatzung!$F$11:$F$22="x")),1))),(IF(COUNTIF(J37:U37,"x")=0,IF(Besatzung!$B$17&lt;&gt;"",1,0),(P37="x"))*(G37-IFERROR(H37,0))/IFERROR(IF(COUNTIF(J37:U37,"x")=0,COUNTA(Besatzung!$B$11:$B$22),COUNTIF(J37:U37,"x")),1)+IF(COUNTIF(J37:U37,"x")=0,(Besatzung!$F$17="x"),(P37="x")*(Besatzung!$F$17="x"))*IFERROR(H37,0)/IFERROR(IF(COUNTIF(J37:U37,"x")=0,SUMPRODUCT((Besatzung!$B$11:$B$22&lt;&gt;"")*(Besatzung!$F$11:$F$22="x")),SUMPRODUCT((J37:U37="x")*(Besatzung!$F$11:$F$22="x"))),1))))),0))))</f>
        <v/>
      </c>
      <c r="AC37" s="106">
        <f>IF(C37="Gutschrift","",IF(G37="","",IF(Besatzung!$B$18="","",IFERROR(IF(I37="Zeitanteilig",(Besatzung!$G$18*(G37-IFERROR(H37,0))+((Besatzung!$B$18&lt;&gt;"")*IF(B37="",1,(IF(Besatzung!$C$18="",Besatzung!$B$5,Besatzung!$C$18)&lt;=B37)*(IF(Besatzung!$D$18="",Besatzung!$B$6,Besatzung!$D$18)&gt;=B37)))*(Besatzung!$F$18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$18&lt;&gt;"")*IF(B37="",1,(IF(Besatzung!$C$18="",Besatzung!$B$5,Besatzung!$C$18)&lt;=B37)*(IF(Besatzung!$D$18="",Besatzung!$B$6,Besatzung!$D$18)&gt;=B37)))*((G37-IFERROR(H37,0))/IFERROR(SUMPRODUCT((Besatzung!$B$11:$B$22&lt;&gt;"")*(IF(Besatzung!$C$11:$C$22="",Besatzung!$B$5,Besatzung!$C$11:$C$22)&lt;=B37)*(IF(Besatzung!$D$11:$D$22="",Besatzung!$B$6,Besatzung!$D$11:$D$22)&gt;=B37)),1)+(Besatzung!$F$18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Q37="x")*((G37-IFERROR(H37,0))/IFERROR(COUNTIF(J37:U37,"x"),1)+(Besatzung!$F$18="x")*IFERROR(H37,0)/IFERROR(SUMPRODUCT((J37:U37="x")*(Besatzung!$F$11:$F$22="x")),1))),(IF(COUNTIF(J37:U37,"x")=0,IF(Besatzung!$B$18&lt;&gt;"",1,0),(Q37="x"))*(G37-IFERROR(H37,0))/IFERROR(IF(COUNTIF(J37:U37,"x")=0,COUNTA(Besatzung!$B$11:$B$22),COUNTIF(J37:U37,"x")),1)+IF(COUNTIF(J37:U37,"x")=0,(Besatzung!$F$18="x"),(Q37="x")*(Besatzung!$F$18="x"))*IFERROR(H37,0)/IFERROR(IF(COUNTIF(J37:U37,"x")=0,SUMPRODUCT((Besatzung!$B$11:$B$22&lt;&gt;"")*(Besatzung!$F$11:$F$22="x")),SUMPRODUCT((J37:U37="x")*(Besatzung!$F$11:$F$22="x"))),1))))),0))))</f>
        <v/>
      </c>
      <c r="AD37" s="106">
        <f>IF(C37="Gutschrift","",IF(G37="","",IF(Besatzung!$B$19="","",IFERROR(IF(I37="Zeitanteilig",(Besatzung!$G$19*(G37-IFERROR(H37,0))+((Besatzung!$B$19&lt;&gt;"")*IF(B37="",1,(IF(Besatzung!$C$19="",Besatzung!$B$5,Besatzung!$C$19)&lt;=B37)*(IF(Besatzung!$D$19="",Besatzung!$B$6,Besatzung!$D$19)&gt;=B37)))*(Besatzung!$F$19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$19&lt;&gt;"")*IF(B37="",1,(IF(Besatzung!$C$19="",Besatzung!$B$5,Besatzung!$C$19)&lt;=B37)*(IF(Besatzung!$D$19="",Besatzung!$B$6,Besatzung!$D$19)&gt;=B37)))*((G37-IFERROR(H37,0))/IFERROR(SUMPRODUCT((Besatzung!$B$11:$B$22&lt;&gt;"")*(IF(Besatzung!$C$11:$C$22="",Besatzung!$B$5,Besatzung!$C$11:$C$22)&lt;=B37)*(IF(Besatzung!$D$11:$D$22="",Besatzung!$B$6,Besatzung!$D$11:$D$22)&gt;=B37)),1)+(Besatzung!$F$19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R37="x")*((G37-IFERROR(H37,0))/IFERROR(COUNTIF(J37:U37,"x"),1)+(Besatzung!$F$19="x")*IFERROR(H37,0)/IFERROR(SUMPRODUCT((J37:U37="x")*(Besatzung!$F$11:$F$22="x")),1))),(IF(COUNTIF(J37:U37,"x")=0,IF(Besatzung!$B$19&lt;&gt;"",1,0),(R37="x"))*(G37-IFERROR(H37,0))/IFERROR(IF(COUNTIF(J37:U37,"x")=0,COUNTA(Besatzung!$B$11:$B$22),COUNTIF(J37:U37,"x")),1)+IF(COUNTIF(J37:U37,"x")=0,(Besatzung!$F$19="x"),(R37="x")*(Besatzung!$F$19="x"))*IFERROR(H37,0)/IFERROR(IF(COUNTIF(J37:U37,"x")=0,SUMPRODUCT((Besatzung!$B$11:$B$22&lt;&gt;"")*(Besatzung!$F$11:$F$22="x")),SUMPRODUCT((J37:U37="x")*(Besatzung!$F$11:$F$22="x"))),1))))),0))))</f>
        <v/>
      </c>
      <c r="AE37" s="106">
        <f>IF(C37="Gutschrift","",IF(G37="","",IF(Besatzung!$B$20="","",IFERROR(IF(I37="Zeitanteilig",(Besatzung!$G$20*(G37-IFERROR(H37,0))+((Besatzung!$B$20&lt;&gt;"")*IF(B37="",1,(IF(Besatzung!$C$20="",Besatzung!$B$5,Besatzung!$C$20)&lt;=B37)*(IF(Besatzung!$D$20="",Besatzung!$B$6,Besatzung!$D$20)&gt;=B37)))*(Besatzung!$F$20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$20&lt;&gt;"")*IF(B37="",1,(IF(Besatzung!$C$20="",Besatzung!$B$5,Besatzung!$C$20)&lt;=B37)*(IF(Besatzung!$D$20="",Besatzung!$B$6,Besatzung!$D$20)&gt;=B37)))*((G37-IFERROR(H37,0))/IFERROR(SUMPRODUCT((Besatzung!$B$11:$B$22&lt;&gt;"")*(IF(Besatzung!$C$11:$C$22="",Besatzung!$B$5,Besatzung!$C$11:$C$22)&lt;=B37)*(IF(Besatzung!$D$11:$D$22="",Besatzung!$B$6,Besatzung!$D$11:$D$22)&gt;=B37)),1)+(Besatzung!$F$20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S37="x")*((G37-IFERROR(H37,0))/IFERROR(COUNTIF(J37:U37,"x"),1)+(Besatzung!$F$20="x")*IFERROR(H37,0)/IFERROR(SUMPRODUCT((J37:U37="x")*(Besatzung!$F$11:$F$22="x")),1))),(IF(COUNTIF(J37:U37,"x")=0,IF(Besatzung!$B$20&lt;&gt;"",1,0),(S37="x"))*(G37-IFERROR(H37,0))/IFERROR(IF(COUNTIF(J37:U37,"x")=0,COUNTA(Besatzung!$B$11:$B$22),COUNTIF(J37:U37,"x")),1)+IF(COUNTIF(J37:U37,"x")=0,(Besatzung!$F$20="x"),(S37="x")*(Besatzung!$F$20="x"))*IFERROR(H37,0)/IFERROR(IF(COUNTIF(J37:U37,"x")=0,SUMPRODUCT((Besatzung!$B$11:$B$22&lt;&gt;"")*(Besatzung!$F$11:$F$22="x")),SUMPRODUCT((J37:U37="x")*(Besatzung!$F$11:$F$22="x"))),1))))),0))))</f>
        <v/>
      </c>
      <c r="AF37" s="106">
        <f>IF(C37="Gutschrift","",IF(G37="","",IF(Besatzung!$B$21="","",IFERROR(IF(I37="Zeitanteilig",(Besatzung!$G$21*(G37-IFERROR(H37,0))+((Besatzung!$B$21&lt;&gt;"")*IF(B37="",1,(IF(Besatzung!$C$21="",Besatzung!$B$5,Besatzung!$C$21)&lt;=B37)*(IF(Besatzung!$D$21="",Besatzung!$B$6,Besatzung!$D$21)&gt;=B37)))*(Besatzung!$F$21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$21&lt;&gt;"")*IF(B37="",1,(IF(Besatzung!$C$21="",Besatzung!$B$5,Besatzung!$C$21)&lt;=B37)*(IF(Besatzung!$D$21="",Besatzung!$B$6,Besatzung!$D$21)&gt;=B37)))*((G37-IFERROR(H37,0))/IFERROR(SUMPRODUCT((Besatzung!$B$11:$B$22&lt;&gt;"")*(IF(Besatzung!$C$11:$C$22="",Besatzung!$B$5,Besatzung!$C$11:$C$22)&lt;=B37)*(IF(Besatzung!$D$11:$D$22="",Besatzung!$B$6,Besatzung!$D$11:$D$22)&gt;=B37)),1)+(Besatzung!$F$21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T37="x")*((G37-IFERROR(H37,0))/IFERROR(COUNTIF(J37:U37,"x"),1)+(Besatzung!$F$21="x")*IFERROR(H37,0)/IFERROR(SUMPRODUCT((J37:U37="x")*(Besatzung!$F$11:$F$22="x")),1))),(IF(COUNTIF(J37:U37,"x")=0,IF(Besatzung!$B$21&lt;&gt;"",1,0),(T37="x"))*(G37-IFERROR(H37,0))/IFERROR(IF(COUNTIF(J37:U37,"x")=0,COUNTA(Besatzung!$B$11:$B$22),COUNTIF(J37:U37,"x")),1)+IF(COUNTIF(J37:U37,"x")=0,(Besatzung!$F$21="x"),(T37="x")*(Besatzung!$F$21="x"))*IFERROR(H37,0)/IFERROR(IF(COUNTIF(J37:U37,"x")=0,SUMPRODUCT((Besatzung!$B$11:$B$22&lt;&gt;"")*(Besatzung!$F$11:$F$22="x")),SUMPRODUCT((J37:U37="x")*(Besatzung!$F$11:$F$22="x"))),1))))),0))))</f>
        <v/>
      </c>
      <c r="AG37" s="106">
        <f>IF(C37="Gutschrift","",IF(G37="","",IF(Besatzung!$B$22="","",IFERROR(IF(I37="Zeitanteilig",(Besatzung!$G$22*(G37-IFERROR(H37,0))+((Besatzung!$B$22&lt;&gt;"")*IF(B37="",1,(IF(Besatzung!$C$22="",Besatzung!$B$5,Besatzung!$C$22)&lt;=B37)*(IF(Besatzung!$D$22="",Besatzung!$B$6,Besatzung!$D$22)&gt;=B37)))*(Besatzung!$F$22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$22&lt;&gt;"")*IF(B37="",1,(IF(Besatzung!$C$22="",Besatzung!$B$5,Besatzung!$C$22)&lt;=B37)*(IF(Besatzung!$D$22="",Besatzung!$B$6,Besatzung!$D$22)&gt;=B37)))*((G37-IFERROR(H37,0))/IFERROR(SUMPRODUCT((Besatzung!$B$11:$B$22&lt;&gt;"")*(IF(Besatzung!$C$11:$C$22="",Besatzung!$B$5,Besatzung!$C$11:$C$22)&lt;=B37)*(IF(Besatzung!$D$11:$D$22="",Besatzung!$B$6,Besatzung!$D$11:$D$22)&gt;=B37)),1)+(Besatzung!$F$22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U37="x")*((G37-IFERROR(H37,0))/IFERROR(COUNTIF(J37:U37,"x"),1)+(Besatzung!$F$22="x")*IFERROR(H37,0)/IFERROR(SUMPRODUCT((J37:U37="x")*(Besatzung!$F$11:$F$22="x")),1))),(IF(COUNTIF(J37:U37,"x")=0,IF(Besatzung!$B$22&lt;&gt;"",1,0),(U37="x"))*(G37-IFERROR(H37,0))/IFERROR(IF(COUNTIF(J37:U37,"x")=0,COUNTA(Besatzung!$B$11:$B$22),COUNTIF(J37:U37,"x")),1)+IF(COUNTIF(J37:U37,"x")=0,(Besatzung!$F$22="x"),(U37="x")*(Besatzung!$F$22="x"))*IFERROR(H37,0)/IFERROR(IF(COUNTIF(J37:U37,"x")=0,SUMPRODUCT((Besatzung!$B$11:$B$22&lt;&gt;"")*(Besatzung!$F$11:$F$22="x")),SUMPRODUCT((J37:U37="x")*(Besatzung!$F$11:$F$22="x"))),1))))),0))))</f>
        <v/>
      </c>
      <c r="AH37" s="107" t="n"/>
      <c r="AI37" s="107" t="n"/>
    </row>
    <row r="38" ht="21.75" customHeight="1" s="182">
      <c r="A38" s="97">
        <f>IF(AND(D38="",C38=""),"",35)</f>
        <v/>
      </c>
      <c r="B38" s="56" t="n"/>
      <c r="C38" s="98" t="n"/>
      <c r="D38" s="99" t="n"/>
      <c r="E38" s="100" t="n"/>
      <c r="F38" s="101" t="n"/>
      <c r="G38" s="102" t="n"/>
      <c r="H38" s="103" t="n"/>
      <c r="I38" s="104" t="n"/>
      <c r="J38" s="105" t="n"/>
      <c r="K38" s="105" t="n"/>
      <c r="L38" s="105" t="n"/>
      <c r="M38" s="105" t="n"/>
      <c r="N38" s="105" t="n"/>
      <c r="O38" s="105" t="n"/>
      <c r="P38" s="105" t="n"/>
      <c r="Q38" s="105" t="n"/>
      <c r="R38" s="105" t="n"/>
      <c r="S38" s="105" t="n"/>
      <c r="T38" s="105" t="n"/>
      <c r="U38" s="105" t="n"/>
      <c r="V38" s="106">
        <f>IF(C38="Gutschrift","",IF(G38="","",IF(Besatzung!$B$11="","",IFERROR(IF(I38="Zeitanteilig",(Besatzung!$G$11*(G38-IFERROR(H38,0))+((Besatzung!$B$11&lt;&gt;"")*IF(B38="",1,(IF(Besatzung!$C$11="",Besatzung!$B$5,Besatzung!$C$11)&lt;=B38)*(IF(Besatzung!$D$11="",Besatzung!$B$6,Besatzung!$D$11)&gt;=B38)))*(Besatzung!$F$11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$11&lt;&gt;"")*IF(B38="",1,(IF(Besatzung!$C$11="",Besatzung!$B$5,Besatzung!$C$11)&lt;=B38)*(IF(Besatzung!$D$11="",Besatzung!$B$6,Besatzung!$D$11)&gt;=B38)))*((G38-IFERROR(H38,0))/IFERROR(SUMPRODUCT((Besatzung!$B$11:$B$22&lt;&gt;"")*(IF(Besatzung!$C$11:$C$22="",Besatzung!$B$5,Besatzung!$C$11:$C$22)&lt;=B38)*(IF(Besatzung!$D$11:$D$22="",Besatzung!$B$6,Besatzung!$D$11:$D$22)&gt;=B38)),1)+(Besatzung!$F$11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J38="x")*((G38-IFERROR(H38,0))/IFERROR(COUNTIF(J38:U38,"x"),1)+(Besatzung!$F$11="x")*IFERROR(H38,0)/IFERROR(SUMPRODUCT((J38:U38="x")*(Besatzung!$F$11:$F$22="x")),1))),(IF(COUNTIF(J38:U38,"x")=0,IF(Besatzung!$B$11&lt;&gt;"",1,0),(J38="x"))*(G38-IFERROR(H38,0))/IFERROR(IF(COUNTIF(J38:U38,"x")=0,COUNTA(Besatzung!$B$11:$B$22),COUNTIF(J38:U38,"x")),1)+IF(COUNTIF(J38:U38,"x")=0,(Besatzung!$F$11="x"),(J38="x")*(Besatzung!$F$11="x"))*IFERROR(H38,0)/IFERROR(IF(COUNTIF(J38:U38,"x")=0,SUMPRODUCT((Besatzung!$B$11:$B$22&lt;&gt;"")*(Besatzung!$F$11:$F$22="x")),SUMPRODUCT((J38:U38="x")*(Besatzung!$F$11:$F$22="x"))),1))))),0))))</f>
        <v/>
      </c>
      <c r="W38" s="106">
        <f>IF(C38="Gutschrift","",IF(G38="","",IF(Besatzung!$B$12="","",IFERROR(IF(I38="Zeitanteilig",(Besatzung!$G$12*(G38-IFERROR(H38,0))+((Besatzung!$B$12&lt;&gt;"")*IF(B38="",1,(IF(Besatzung!$C$12="",Besatzung!$B$5,Besatzung!$C$12)&lt;=B38)*(IF(Besatzung!$D$12="",Besatzung!$B$6,Besatzung!$D$12)&gt;=B38)))*(Besatzung!$F$12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$12&lt;&gt;"")*IF(B38="",1,(IF(Besatzung!$C$12="",Besatzung!$B$5,Besatzung!$C$12)&lt;=B38)*(IF(Besatzung!$D$12="",Besatzung!$B$6,Besatzung!$D$12)&gt;=B38)))*((G38-IFERROR(H38,0))/IFERROR(SUMPRODUCT((Besatzung!$B$11:$B$22&lt;&gt;"")*(IF(Besatzung!$C$11:$C$22="",Besatzung!$B$5,Besatzung!$C$11:$C$22)&lt;=B38)*(IF(Besatzung!$D$11:$D$22="",Besatzung!$B$6,Besatzung!$D$11:$D$22)&gt;=B38)),1)+(Besatzung!$F$12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K38="x")*((G38-IFERROR(H38,0))/IFERROR(COUNTIF(J38:U38,"x"),1)+(Besatzung!$F$12="x")*IFERROR(H38,0)/IFERROR(SUMPRODUCT((J38:U38="x")*(Besatzung!$F$11:$F$22="x")),1))),(IF(COUNTIF(J38:U38,"x")=0,IF(Besatzung!$B$12&lt;&gt;"",1,0),(K38="x"))*(G38-IFERROR(H38,0))/IFERROR(IF(COUNTIF(J38:U38,"x")=0,COUNTA(Besatzung!$B$11:$B$22),COUNTIF(J38:U38,"x")),1)+IF(COUNTIF(J38:U38,"x")=0,(Besatzung!$F$12="x"),(K38="x")*(Besatzung!$F$12="x"))*IFERROR(H38,0)/IFERROR(IF(COUNTIF(J38:U38,"x")=0,SUMPRODUCT((Besatzung!$B$11:$B$22&lt;&gt;"")*(Besatzung!$F$11:$F$22="x")),SUMPRODUCT((J38:U38="x")*(Besatzung!$F$11:$F$22="x"))),1))))),0))))</f>
        <v/>
      </c>
      <c r="X38" s="106">
        <f>IF(C38="Gutschrift","",IF(G38="","",IF(Besatzung!$B$13="","",IFERROR(IF(I38="Zeitanteilig",(Besatzung!$G$13*(G38-IFERROR(H38,0))+((Besatzung!$B$13&lt;&gt;"")*IF(B38="",1,(IF(Besatzung!$C$13="",Besatzung!$B$5,Besatzung!$C$13)&lt;=B38)*(IF(Besatzung!$D$13="",Besatzung!$B$6,Besatzung!$D$13)&gt;=B38)))*(Besatzung!$F$13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$13&lt;&gt;"")*IF(B38="",1,(IF(Besatzung!$C$13="",Besatzung!$B$5,Besatzung!$C$13)&lt;=B38)*(IF(Besatzung!$D$13="",Besatzung!$B$6,Besatzung!$D$13)&gt;=B38)))*((G38-IFERROR(H38,0))/IFERROR(SUMPRODUCT((Besatzung!$B$11:$B$22&lt;&gt;"")*(IF(Besatzung!$C$11:$C$22="",Besatzung!$B$5,Besatzung!$C$11:$C$22)&lt;=B38)*(IF(Besatzung!$D$11:$D$22="",Besatzung!$B$6,Besatzung!$D$11:$D$22)&gt;=B38)),1)+(Besatzung!$F$13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K38="x")*((G38-IFERROR(H38,0))/IFERROR(COUNTIF(J38:U38,"x"),1)+(Besatzung!$F$13="x")*IFERROR(H38,0)/IFERROR(SUMPRODUCT((J38:U38="x")*(Besatzung!$F$11:$F$22="x")),1))),(IF(COUNTIF(J38:U38,"x")=0,IF(Besatzung!$B$13&lt;&gt;"",1,0),(K38="x"))*(G38-IFERROR(H38,0))/IFERROR(IF(COUNTIF(J38:U38,"x")=0,COUNTA(Besatzung!$B$11:$B$22),COUNTIF(J38:U38,"x")),1)+IF(COUNTIF(J38:U38,"x")=0,(Besatzung!$F$13="x"),(K38="x")*(Besatzung!$F$13="x"))*IFERROR(H38,0)/IFERROR(IF(COUNTIF(J38:U38,"x")=0,SUMPRODUCT((Besatzung!$B$11:$B$22&lt;&gt;"")*(Besatzung!$F$11:$F$22="x")),SUMPRODUCT((J38:U38="x")*(Besatzung!$F$11:$F$22="x"))),1))))),0))))</f>
        <v/>
      </c>
      <c r="Y38" s="106">
        <f>IF(C38="Gutschrift","",IF(G38="","",IF(Besatzung!$B$14="","",IFERROR(IF(I38="Zeitanteilig",(Besatzung!$G$14*(G38-IFERROR(H38,0))+((Besatzung!$B$14&lt;&gt;"")*IF(B38="",1,(IF(Besatzung!$C$14="",Besatzung!$B$5,Besatzung!$C$14)&lt;=B38)*(IF(Besatzung!$D$14="",Besatzung!$B$6,Besatzung!$D$14)&gt;=B38)))*(Besatzung!$F$14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$14&lt;&gt;"")*IF(B38="",1,(IF(Besatzung!$C$14="",Besatzung!$B$5,Besatzung!$C$14)&lt;=B38)*(IF(Besatzung!$D$14="",Besatzung!$B$6,Besatzung!$D$14)&gt;=B38)))*((G38-IFERROR(H38,0))/IFERROR(SUMPRODUCT((Besatzung!$B$11:$B$22&lt;&gt;"")*(IF(Besatzung!$C$11:$C$22="",Besatzung!$B$5,Besatzung!$C$11:$C$22)&lt;=B38)*(IF(Besatzung!$D$11:$D$22="",Besatzung!$B$6,Besatzung!$D$11:$D$22)&gt;=B38)),1)+(Besatzung!$F$14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M38="x")*((G38-IFERROR(H38,0))/IFERROR(COUNTIF(J38:U38,"x"),1)+(Besatzung!$F$14="x")*IFERROR(H38,0)/IFERROR(SUMPRODUCT((J38:U38="x")*(Besatzung!$F$11:$F$22="x")),1))),(IF(COUNTIF(J38:U38,"x")=0,IF(Besatzung!$B$14&lt;&gt;"",1,0),(M38="x"))*(G38-IFERROR(H38,0))/IFERROR(IF(COUNTIF(J38:U38,"x")=0,COUNTA(Besatzung!$B$11:$B$22),COUNTIF(J38:U38,"x")),1)+IF(COUNTIF(J38:U38,"x")=0,(Besatzung!$F$14="x"),(M38="x")*(Besatzung!$F$14="x"))*IFERROR(H38,0)/IFERROR(IF(COUNTIF(J38:U38,"x")=0,SUMPRODUCT((Besatzung!$B$11:$B$22&lt;&gt;"")*(Besatzung!$F$11:$F$22="x")),SUMPRODUCT((J38:U38="x")*(Besatzung!$F$11:$F$22="x"))),1))))),0))))</f>
        <v/>
      </c>
      <c r="Z38" s="106">
        <f>IF(C38="Gutschrift","",IF(G38="","",IF(Besatzung!$B$13="","",IFERROR(IF(I38="Zeitanteilig",(Besatzung!$G$15*(G38-IFERROR(H38,0))+((Besatzung!$B$13&lt;&gt;"")*IF(B38="",1,(IF(Besatzung!$C$15="",Besatzung!$B$5,Besatzung!$C$15)&lt;=B38)*(IF(Besatzung!$D$15="",Besatzung!$B$6,Besatzung!$D$15)&gt;=B38)))*(Besatzung!$F$15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$13&lt;&gt;"")*IF(B38="",1,(IF(Besatzung!$C$15="",Besatzung!$B$5,Besatzung!$C$15)&lt;=B38)*(IF(Besatzung!$D$15="",Besatzung!$B$6,Besatzung!$D$15)&gt;=B38)))*((G38-IFERROR(H38,0))/IFERROR(SUMPRODUCT((Besatzung!$B$11:$B$22&lt;&gt;"")*(IF(Besatzung!$C$11:$C$22="",Besatzung!$B$5,Besatzung!$C$11:$C$22)&lt;=B38)*(IF(Besatzung!$D$11:$D$22="",Besatzung!$B$6,Besatzung!$D$11:$D$22)&gt;=B38)),1)+(Besatzung!$F$15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N38="x")*((G38-IFERROR(H38,0))/IFERROR(COUNTIF(J38:U38,"x"),1)+(Besatzung!$F$15="x")*IFERROR(H38,0)/IFERROR(SUMPRODUCT((J38:U38="x")*(Besatzung!$F$11:$F$22="x")),1))),(IF(COUNTIF(J38:U38,"x")=0,IF(Besatzung!$B$13&lt;&gt;"",1,0),(N38="x"))*(G38-IFERROR(H38,0))/IFERROR(IF(COUNTIF(J38:U38,"x")=0,COUNTA(Besatzung!$B$11:$B$22),COUNTIF(J38:U38,"x")),1)+IF(COUNTIF(J38:U38,"x")=0,(Besatzung!$F$15="x"),(N38="x")*(Besatzung!$F$15="x"))*IFERROR(H38,0)/IFERROR(IF(COUNTIF(J38:U38,"x")=0,SUMPRODUCT((Besatzung!$B$11:$B$22&lt;&gt;"")*(Besatzung!$F$11:$F$22="x")),SUMPRODUCT((J38:U38="x")*(Besatzung!$F$11:$F$22="x"))),1))))),0))))</f>
        <v/>
      </c>
      <c r="AA38" s="106">
        <f>IF(C38="Gutschrift","",IF(G38="","",IF(Besatzung!$B$15="","",IFERROR(IF(I38="Zeitanteilig",(Besatzung!$G$16*(G38-IFERROR(H38,0))+((Besatzung!$B$15&lt;&gt;"")*IF(B38="",1,(IF(Besatzung!$C$16="",Besatzung!$B$5,Besatzung!$C$16)&lt;=B38)*(IF(Besatzung!$D$16="",Besatzung!$B$6,Besatzung!$D$16)&gt;=B38)))*(Besatzung!$F$16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$15&lt;&gt;"")*IF(B38="",1,(IF(Besatzung!$C$16="",Besatzung!$B$5,Besatzung!$C$16)&lt;=B38)*(IF(Besatzung!$D$16="",Besatzung!$B$6,Besatzung!$D$16)&gt;=B38)))*((G38-IFERROR(H38,0))/IFERROR(SUMPRODUCT((Besatzung!$B$11:$B$22&lt;&gt;"")*(IF(Besatzung!$C$11:$C$22="",Besatzung!$B$5,Besatzung!$C$11:$C$22)&lt;=B38)*(IF(Besatzung!$D$11:$D$22="",Besatzung!$B$6,Besatzung!$D$11:$D$22)&gt;=B38)),1)+(Besatzung!$F$16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O38="x")*((G38-IFERROR(H38,0))/IFERROR(COUNTIF(J38:U38,"x"),1)+(Besatzung!$F$16="x")*IFERROR(H38,0)/IFERROR(SUMPRODUCT((J38:U38="x")*(Besatzung!$F$11:$F$22="x")),1))),(IF(COUNTIF(J38:U38,"x")=0,IF(Besatzung!$B$15&lt;&gt;"",1,0),(O38="x"))*(G38-IFERROR(H38,0))/IFERROR(IF(COUNTIF(J38:U38,"x")=0,COUNTA(Besatzung!$B$11:$B$22),COUNTIF(J38:U38,"x")),1)+IF(COUNTIF(J38:U38,"x")=0,(Besatzung!$F$16="x"),(O38="x")*(Besatzung!$F$16="x"))*IFERROR(H38,0)/IFERROR(IF(COUNTIF(J38:U38,"x")=0,SUMPRODUCT((Besatzung!$B$11:$B$22&lt;&gt;"")*(Besatzung!$F$11:$F$22="x")),SUMPRODUCT((J38:U38="x")*(Besatzung!$F$11:$F$22="x"))),1))))),0))))</f>
        <v/>
      </c>
      <c r="AB38" s="106">
        <f>IF(C38="Gutschrift","",IF(G38="","",IF(Besatzung!$B$17="","",IFERROR(IF(I38="Zeitanteilig",(Besatzung!$G$17*(G38-IFERROR(H38,0))+((Besatzung!$B$17&lt;&gt;"")*IF(B38="",1,(IF(Besatzung!$C$17="",Besatzung!$B$5,Besatzung!$C$17)&lt;=B38)*(IF(Besatzung!$D$17="",Besatzung!$B$6,Besatzung!$D$17)&gt;=B38)))*(Besatzung!$F$17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$17&lt;&gt;"")*IF(B38="",1,(IF(Besatzung!$C$17="",Besatzung!$B$5,Besatzung!$C$17)&lt;=B38)*(IF(Besatzung!$D$17="",Besatzung!$B$6,Besatzung!$D$17)&gt;=B38)))*((G38-IFERROR(H38,0))/IFERROR(SUMPRODUCT((Besatzung!$B$11:$B$22&lt;&gt;"")*(IF(Besatzung!$C$11:$C$22="",Besatzung!$B$5,Besatzung!$C$11:$C$22)&lt;=B38)*(IF(Besatzung!$D$11:$D$22="",Besatzung!$B$6,Besatzung!$D$11:$D$22)&gt;=B38)),1)+(Besatzung!$F$17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P38="x")*((G38-IFERROR(H38,0))/IFERROR(COUNTIF(J38:U38,"x"),1)+(Besatzung!$F$17="x")*IFERROR(H38,0)/IFERROR(SUMPRODUCT((J38:U38="x")*(Besatzung!$F$11:$F$22="x")),1))),(IF(COUNTIF(J38:U38,"x")=0,IF(Besatzung!$B$17&lt;&gt;"",1,0),(P38="x"))*(G38-IFERROR(H38,0))/IFERROR(IF(COUNTIF(J38:U38,"x")=0,COUNTA(Besatzung!$B$11:$B$22),COUNTIF(J38:U38,"x")),1)+IF(COUNTIF(J38:U38,"x")=0,(Besatzung!$F$17="x"),(P38="x")*(Besatzung!$F$17="x"))*IFERROR(H38,0)/IFERROR(IF(COUNTIF(J38:U38,"x")=0,SUMPRODUCT((Besatzung!$B$11:$B$22&lt;&gt;"")*(Besatzung!$F$11:$F$22="x")),SUMPRODUCT((J38:U38="x")*(Besatzung!$F$11:$F$22="x"))),1))))),0))))</f>
        <v/>
      </c>
      <c r="AC38" s="106">
        <f>IF(C38="Gutschrift","",IF(G38="","",IF(Besatzung!$B$18="","",IFERROR(IF(I38="Zeitanteilig",(Besatzung!$G$18*(G38-IFERROR(H38,0))+((Besatzung!$B$18&lt;&gt;"")*IF(B38="",1,(IF(Besatzung!$C$18="",Besatzung!$B$5,Besatzung!$C$18)&lt;=B38)*(IF(Besatzung!$D$18="",Besatzung!$B$6,Besatzung!$D$18)&gt;=B38)))*(Besatzung!$F$18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$18&lt;&gt;"")*IF(B38="",1,(IF(Besatzung!$C$18="",Besatzung!$B$5,Besatzung!$C$18)&lt;=B38)*(IF(Besatzung!$D$18="",Besatzung!$B$6,Besatzung!$D$18)&gt;=B38)))*((G38-IFERROR(H38,0))/IFERROR(SUMPRODUCT((Besatzung!$B$11:$B$22&lt;&gt;"")*(IF(Besatzung!$C$11:$C$22="",Besatzung!$B$5,Besatzung!$C$11:$C$22)&lt;=B38)*(IF(Besatzung!$D$11:$D$22="",Besatzung!$B$6,Besatzung!$D$11:$D$22)&gt;=B38)),1)+(Besatzung!$F$18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Q38="x")*((G38-IFERROR(H38,0))/IFERROR(COUNTIF(J38:U38,"x"),1)+(Besatzung!$F$18="x")*IFERROR(H38,0)/IFERROR(SUMPRODUCT((J38:U38="x")*(Besatzung!$F$11:$F$22="x")),1))),(IF(COUNTIF(J38:U38,"x")=0,IF(Besatzung!$B$18&lt;&gt;"",1,0),(Q38="x"))*(G38-IFERROR(H38,0))/IFERROR(IF(COUNTIF(J38:U38,"x")=0,COUNTA(Besatzung!$B$11:$B$22),COUNTIF(J38:U38,"x")),1)+IF(COUNTIF(J38:U38,"x")=0,(Besatzung!$F$18="x"),(Q38="x")*(Besatzung!$F$18="x"))*IFERROR(H38,0)/IFERROR(IF(COUNTIF(J38:U38,"x")=0,SUMPRODUCT((Besatzung!$B$11:$B$22&lt;&gt;"")*(Besatzung!$F$11:$F$22="x")),SUMPRODUCT((J38:U38="x")*(Besatzung!$F$11:$F$22="x"))),1))))),0))))</f>
        <v/>
      </c>
      <c r="AD38" s="106">
        <f>IF(C38="Gutschrift","",IF(G38="","",IF(Besatzung!$B$19="","",IFERROR(IF(I38="Zeitanteilig",(Besatzung!$G$19*(G38-IFERROR(H38,0))+((Besatzung!$B$19&lt;&gt;"")*IF(B38="",1,(IF(Besatzung!$C$19="",Besatzung!$B$5,Besatzung!$C$19)&lt;=B38)*(IF(Besatzung!$D$19="",Besatzung!$B$6,Besatzung!$D$19)&gt;=B38)))*(Besatzung!$F$19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$19&lt;&gt;"")*IF(B38="",1,(IF(Besatzung!$C$19="",Besatzung!$B$5,Besatzung!$C$19)&lt;=B38)*(IF(Besatzung!$D$19="",Besatzung!$B$6,Besatzung!$D$19)&gt;=B38)))*((G38-IFERROR(H38,0))/IFERROR(SUMPRODUCT((Besatzung!$B$11:$B$22&lt;&gt;"")*(IF(Besatzung!$C$11:$C$22="",Besatzung!$B$5,Besatzung!$C$11:$C$22)&lt;=B38)*(IF(Besatzung!$D$11:$D$22="",Besatzung!$B$6,Besatzung!$D$11:$D$22)&gt;=B38)),1)+(Besatzung!$F$19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R38="x")*((G38-IFERROR(H38,0))/IFERROR(COUNTIF(J38:U38,"x"),1)+(Besatzung!$F$19="x")*IFERROR(H38,0)/IFERROR(SUMPRODUCT((J38:U38="x")*(Besatzung!$F$11:$F$22="x")),1))),(IF(COUNTIF(J38:U38,"x")=0,IF(Besatzung!$B$19&lt;&gt;"",1,0),(R38="x"))*(G38-IFERROR(H38,0))/IFERROR(IF(COUNTIF(J38:U38,"x")=0,COUNTA(Besatzung!$B$11:$B$22),COUNTIF(J38:U38,"x")),1)+IF(COUNTIF(J38:U38,"x")=0,(Besatzung!$F$19="x"),(R38="x")*(Besatzung!$F$19="x"))*IFERROR(H38,0)/IFERROR(IF(COUNTIF(J38:U38,"x")=0,SUMPRODUCT((Besatzung!$B$11:$B$22&lt;&gt;"")*(Besatzung!$F$11:$F$22="x")),SUMPRODUCT((J38:U38="x")*(Besatzung!$F$11:$F$22="x"))),1))))),0))))</f>
        <v/>
      </c>
      <c r="AE38" s="106">
        <f>IF(C38="Gutschrift","",IF(G38="","",IF(Besatzung!$B$20="","",IFERROR(IF(I38="Zeitanteilig",(Besatzung!$G$20*(G38-IFERROR(H38,0))+((Besatzung!$B$20&lt;&gt;"")*IF(B38="",1,(IF(Besatzung!$C$20="",Besatzung!$B$5,Besatzung!$C$20)&lt;=B38)*(IF(Besatzung!$D$20="",Besatzung!$B$6,Besatzung!$D$20)&gt;=B38)))*(Besatzung!$F$20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$20&lt;&gt;"")*IF(B38="",1,(IF(Besatzung!$C$20="",Besatzung!$B$5,Besatzung!$C$20)&lt;=B38)*(IF(Besatzung!$D$20="",Besatzung!$B$6,Besatzung!$D$20)&gt;=B38)))*((G38-IFERROR(H38,0))/IFERROR(SUMPRODUCT((Besatzung!$B$11:$B$22&lt;&gt;"")*(IF(Besatzung!$C$11:$C$22="",Besatzung!$B$5,Besatzung!$C$11:$C$22)&lt;=B38)*(IF(Besatzung!$D$11:$D$22="",Besatzung!$B$6,Besatzung!$D$11:$D$22)&gt;=B38)),1)+(Besatzung!$F$20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S38="x")*((G38-IFERROR(H38,0))/IFERROR(COUNTIF(J38:U38,"x"),1)+(Besatzung!$F$20="x")*IFERROR(H38,0)/IFERROR(SUMPRODUCT((J38:U38="x")*(Besatzung!$F$11:$F$22="x")),1))),(IF(COUNTIF(J38:U38,"x")=0,IF(Besatzung!$B$20&lt;&gt;"",1,0),(S38="x"))*(G38-IFERROR(H38,0))/IFERROR(IF(COUNTIF(J38:U38,"x")=0,COUNTA(Besatzung!$B$11:$B$22),COUNTIF(J38:U38,"x")),1)+IF(COUNTIF(J38:U38,"x")=0,(Besatzung!$F$20="x"),(S38="x")*(Besatzung!$F$20="x"))*IFERROR(H38,0)/IFERROR(IF(COUNTIF(J38:U38,"x")=0,SUMPRODUCT((Besatzung!$B$11:$B$22&lt;&gt;"")*(Besatzung!$F$11:$F$22="x")),SUMPRODUCT((J38:U38="x")*(Besatzung!$F$11:$F$22="x"))),1))))),0))))</f>
        <v/>
      </c>
      <c r="AF38" s="106">
        <f>IF(C38="Gutschrift","",IF(G38="","",IF(Besatzung!$B$21="","",IFERROR(IF(I38="Zeitanteilig",(Besatzung!$G$21*(G38-IFERROR(H38,0))+((Besatzung!$B$21&lt;&gt;"")*IF(B38="",1,(IF(Besatzung!$C$21="",Besatzung!$B$5,Besatzung!$C$21)&lt;=B38)*(IF(Besatzung!$D$21="",Besatzung!$B$6,Besatzung!$D$21)&gt;=B38)))*(Besatzung!$F$21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$21&lt;&gt;"")*IF(B38="",1,(IF(Besatzung!$C$21="",Besatzung!$B$5,Besatzung!$C$21)&lt;=B38)*(IF(Besatzung!$D$21="",Besatzung!$B$6,Besatzung!$D$21)&gt;=B38)))*((G38-IFERROR(H38,0))/IFERROR(SUMPRODUCT((Besatzung!$B$11:$B$22&lt;&gt;"")*(IF(Besatzung!$C$11:$C$22="",Besatzung!$B$5,Besatzung!$C$11:$C$22)&lt;=B38)*(IF(Besatzung!$D$11:$D$22="",Besatzung!$B$6,Besatzung!$D$11:$D$22)&gt;=B38)),1)+(Besatzung!$F$21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T38="x")*((G38-IFERROR(H38,0))/IFERROR(COUNTIF(J38:U38,"x"),1)+(Besatzung!$F$21="x")*IFERROR(H38,0)/IFERROR(SUMPRODUCT((J38:U38="x")*(Besatzung!$F$11:$F$22="x")),1))),(IF(COUNTIF(J38:U38,"x")=0,IF(Besatzung!$B$21&lt;&gt;"",1,0),(T38="x"))*(G38-IFERROR(H38,0))/IFERROR(IF(COUNTIF(J38:U38,"x")=0,COUNTA(Besatzung!$B$11:$B$22),COUNTIF(J38:U38,"x")),1)+IF(COUNTIF(J38:U38,"x")=0,(Besatzung!$F$21="x"),(T38="x")*(Besatzung!$F$21="x"))*IFERROR(H38,0)/IFERROR(IF(COUNTIF(J38:U38,"x")=0,SUMPRODUCT((Besatzung!$B$11:$B$22&lt;&gt;"")*(Besatzung!$F$11:$F$22="x")),SUMPRODUCT((J38:U38="x")*(Besatzung!$F$11:$F$22="x"))),1))))),0))))</f>
        <v/>
      </c>
      <c r="AG38" s="106">
        <f>IF(C38="Gutschrift","",IF(G38="","",IF(Besatzung!$B$22="","",IFERROR(IF(I38="Zeitanteilig",(Besatzung!$G$22*(G38-IFERROR(H38,0))+((Besatzung!$B$22&lt;&gt;"")*IF(B38="",1,(IF(Besatzung!$C$22="",Besatzung!$B$5,Besatzung!$C$22)&lt;=B38)*(IF(Besatzung!$D$22="",Besatzung!$B$6,Besatzung!$D$22)&gt;=B38)))*(Besatzung!$F$22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$22&lt;&gt;"")*IF(B38="",1,(IF(Besatzung!$C$22="",Besatzung!$B$5,Besatzung!$C$22)&lt;=B38)*(IF(Besatzung!$D$22="",Besatzung!$B$6,Besatzung!$D$22)&gt;=B38)))*((G38-IFERROR(H38,0))/IFERROR(SUMPRODUCT((Besatzung!$B$11:$B$22&lt;&gt;"")*(IF(Besatzung!$C$11:$C$22="",Besatzung!$B$5,Besatzung!$C$11:$C$22)&lt;=B38)*(IF(Besatzung!$D$11:$D$22="",Besatzung!$B$6,Besatzung!$D$11:$D$22)&gt;=B38)),1)+(Besatzung!$F$22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U38="x")*((G38-IFERROR(H38,0))/IFERROR(COUNTIF(J38:U38,"x"),1)+(Besatzung!$F$22="x")*IFERROR(H38,0)/IFERROR(SUMPRODUCT((J38:U38="x")*(Besatzung!$F$11:$F$22="x")),1))),(IF(COUNTIF(J38:U38,"x")=0,IF(Besatzung!$B$22&lt;&gt;"",1,0),(U38="x"))*(G38-IFERROR(H38,0))/IFERROR(IF(COUNTIF(J38:U38,"x")=0,COUNTA(Besatzung!$B$11:$B$22),COUNTIF(J38:U38,"x")),1)+IF(COUNTIF(J38:U38,"x")=0,(Besatzung!$F$22="x"),(U38="x")*(Besatzung!$F$22="x"))*IFERROR(H38,0)/IFERROR(IF(COUNTIF(J38:U38,"x")=0,SUMPRODUCT((Besatzung!$B$11:$B$22&lt;&gt;"")*(Besatzung!$F$11:$F$22="x")),SUMPRODUCT((J38:U38="x")*(Besatzung!$F$11:$F$22="x"))),1))))),0))))</f>
        <v/>
      </c>
      <c r="AH38" s="107" t="n"/>
      <c r="AI38" s="107" t="n"/>
    </row>
    <row r="39" ht="21.75" customHeight="1" s="182">
      <c r="A39" s="97">
        <f>IF(AND(D39="",C39=""),"",36)</f>
        <v/>
      </c>
      <c r="B39" s="63" t="n"/>
      <c r="C39" s="108" t="n"/>
      <c r="D39" s="109" t="n"/>
      <c r="E39" s="110" t="n"/>
      <c r="F39" s="111" t="n"/>
      <c r="G39" s="112" t="n"/>
      <c r="H39" s="113" t="n"/>
      <c r="I39" s="114" t="n"/>
      <c r="J39" s="115" t="n"/>
      <c r="K39" s="115" t="n"/>
      <c r="L39" s="115" t="n"/>
      <c r="M39" s="115" t="n"/>
      <c r="N39" s="115" t="n"/>
      <c r="O39" s="115" t="n"/>
      <c r="P39" s="115" t="n"/>
      <c r="Q39" s="115" t="n"/>
      <c r="R39" s="115" t="n"/>
      <c r="S39" s="115" t="n"/>
      <c r="T39" s="115" t="n"/>
      <c r="U39" s="115" t="n"/>
      <c r="V39" s="106">
        <f>IF(C39="Gutschrift","",IF(G39="","",IF(Besatzung!$B$11="","",IFERROR(IF(I39="Zeitanteilig",(Besatzung!$G$11*(G39-IFERROR(H39,0))+((Besatzung!$B$11&lt;&gt;"")*IF(B39="",1,(IF(Besatzung!$C$11="",Besatzung!$B$5,Besatzung!$C$11)&lt;=B39)*(IF(Besatzung!$D$11="",Besatzung!$B$6,Besatzung!$D$11)&gt;=B39)))*(Besatzung!$F$11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$11&lt;&gt;"")*IF(B39="",1,(IF(Besatzung!$C$11="",Besatzung!$B$5,Besatzung!$C$11)&lt;=B39)*(IF(Besatzung!$D$11="",Besatzung!$B$6,Besatzung!$D$11)&gt;=B39)))*((G39-IFERROR(H39,0))/IFERROR(SUMPRODUCT((Besatzung!$B$11:$B$22&lt;&gt;"")*(IF(Besatzung!$C$11:$C$22="",Besatzung!$B$5,Besatzung!$C$11:$C$22)&lt;=B39)*(IF(Besatzung!$D$11:$D$22="",Besatzung!$B$6,Besatzung!$D$11:$D$22)&gt;=B39)),1)+(Besatzung!$F$11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J39="x")*((G39-IFERROR(H39,0))/IFERROR(COUNTIF(J39:U39,"x"),1)+(Besatzung!$F$11="x")*IFERROR(H39,0)/IFERROR(SUMPRODUCT((J39:U39="x")*(Besatzung!$F$11:$F$22="x")),1))),(IF(COUNTIF(J39:U39,"x")=0,IF(Besatzung!$B$11&lt;&gt;"",1,0),(J39="x"))*(G39-IFERROR(H39,0))/IFERROR(IF(COUNTIF(J39:U39,"x")=0,COUNTA(Besatzung!$B$11:$B$22),COUNTIF(J39:U39,"x")),1)+IF(COUNTIF(J39:U39,"x")=0,(Besatzung!$F$11="x"),(J39="x")*(Besatzung!$F$11="x"))*IFERROR(H39,0)/IFERROR(IF(COUNTIF(J39:U39,"x")=0,SUMPRODUCT((Besatzung!$B$11:$B$22&lt;&gt;"")*(Besatzung!$F$11:$F$22="x")),SUMPRODUCT((J39:U39="x")*(Besatzung!$F$11:$F$22="x"))),1))))),0))))</f>
        <v/>
      </c>
      <c r="W39" s="106">
        <f>IF(C39="Gutschrift","",IF(G39="","",IF(Besatzung!$B$12="","",IFERROR(IF(I39="Zeitanteilig",(Besatzung!$G$12*(G39-IFERROR(H39,0))+((Besatzung!$B$12&lt;&gt;"")*IF(B39="",1,(IF(Besatzung!$C$12="",Besatzung!$B$5,Besatzung!$C$12)&lt;=B39)*(IF(Besatzung!$D$12="",Besatzung!$B$6,Besatzung!$D$12)&gt;=B39)))*(Besatzung!$F$12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$12&lt;&gt;"")*IF(B39="",1,(IF(Besatzung!$C$12="",Besatzung!$B$5,Besatzung!$C$12)&lt;=B39)*(IF(Besatzung!$D$12="",Besatzung!$B$6,Besatzung!$D$12)&gt;=B39)))*((G39-IFERROR(H39,0))/IFERROR(SUMPRODUCT((Besatzung!$B$11:$B$22&lt;&gt;"")*(IF(Besatzung!$C$11:$C$22="",Besatzung!$B$5,Besatzung!$C$11:$C$22)&lt;=B39)*(IF(Besatzung!$D$11:$D$22="",Besatzung!$B$6,Besatzung!$D$11:$D$22)&gt;=B39)),1)+(Besatzung!$F$12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K39="x")*((G39-IFERROR(H39,0))/IFERROR(COUNTIF(J39:U39,"x"),1)+(Besatzung!$F$12="x")*IFERROR(H39,0)/IFERROR(SUMPRODUCT((J39:U39="x")*(Besatzung!$F$11:$F$22="x")),1))),(IF(COUNTIF(J39:U39,"x")=0,IF(Besatzung!$B$12&lt;&gt;"",1,0),(K39="x"))*(G39-IFERROR(H39,0))/IFERROR(IF(COUNTIF(J39:U39,"x")=0,COUNTA(Besatzung!$B$11:$B$22),COUNTIF(J39:U39,"x")),1)+IF(COUNTIF(J39:U39,"x")=0,(Besatzung!$F$12="x"),(K39="x")*(Besatzung!$F$12="x"))*IFERROR(H39,0)/IFERROR(IF(COUNTIF(J39:U39,"x")=0,SUMPRODUCT((Besatzung!$B$11:$B$22&lt;&gt;"")*(Besatzung!$F$11:$F$22="x")),SUMPRODUCT((J39:U39="x")*(Besatzung!$F$11:$F$22="x"))),1))))),0))))</f>
        <v/>
      </c>
      <c r="X39" s="106">
        <f>IF(C39="Gutschrift","",IF(G39="","",IF(Besatzung!$B$13="","",IFERROR(IF(I39="Zeitanteilig",(Besatzung!$G$13*(G39-IFERROR(H39,0))+((Besatzung!$B$13&lt;&gt;"")*IF(B39="",1,(IF(Besatzung!$C$13="",Besatzung!$B$5,Besatzung!$C$13)&lt;=B39)*(IF(Besatzung!$D$13="",Besatzung!$B$6,Besatzung!$D$13)&gt;=B39)))*(Besatzung!$F$13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$13&lt;&gt;"")*IF(B39="",1,(IF(Besatzung!$C$13="",Besatzung!$B$5,Besatzung!$C$13)&lt;=B39)*(IF(Besatzung!$D$13="",Besatzung!$B$6,Besatzung!$D$13)&gt;=B39)))*((G39-IFERROR(H39,0))/IFERROR(SUMPRODUCT((Besatzung!$B$11:$B$22&lt;&gt;"")*(IF(Besatzung!$C$11:$C$22="",Besatzung!$B$5,Besatzung!$C$11:$C$22)&lt;=B39)*(IF(Besatzung!$D$11:$D$22="",Besatzung!$B$6,Besatzung!$D$11:$D$22)&gt;=B39)),1)+(Besatzung!$F$13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K39="x")*((G39-IFERROR(H39,0))/IFERROR(COUNTIF(J39:U39,"x"),1)+(Besatzung!$F$13="x")*IFERROR(H39,0)/IFERROR(SUMPRODUCT((J39:U39="x")*(Besatzung!$F$11:$F$22="x")),1))),(IF(COUNTIF(J39:U39,"x")=0,IF(Besatzung!$B$13&lt;&gt;"",1,0),(K39="x"))*(G39-IFERROR(H39,0))/IFERROR(IF(COUNTIF(J39:U39,"x")=0,COUNTA(Besatzung!$B$11:$B$22),COUNTIF(J39:U39,"x")),1)+IF(COUNTIF(J39:U39,"x")=0,(Besatzung!$F$13="x"),(K39="x")*(Besatzung!$F$13="x"))*IFERROR(H39,0)/IFERROR(IF(COUNTIF(J39:U39,"x")=0,SUMPRODUCT((Besatzung!$B$11:$B$22&lt;&gt;"")*(Besatzung!$F$11:$F$22="x")),SUMPRODUCT((J39:U39="x")*(Besatzung!$F$11:$F$22="x"))),1))))),0))))</f>
        <v/>
      </c>
      <c r="Y39" s="106">
        <f>IF(C39="Gutschrift","",IF(G39="","",IF(Besatzung!$B$14="","",IFERROR(IF(I39="Zeitanteilig",(Besatzung!$G$14*(G39-IFERROR(H39,0))+((Besatzung!$B$14&lt;&gt;"")*IF(B39="",1,(IF(Besatzung!$C$14="",Besatzung!$B$5,Besatzung!$C$14)&lt;=B39)*(IF(Besatzung!$D$14="",Besatzung!$B$6,Besatzung!$D$14)&gt;=B39)))*(Besatzung!$F$14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$14&lt;&gt;"")*IF(B39="",1,(IF(Besatzung!$C$14="",Besatzung!$B$5,Besatzung!$C$14)&lt;=B39)*(IF(Besatzung!$D$14="",Besatzung!$B$6,Besatzung!$D$14)&gt;=B39)))*((G39-IFERROR(H39,0))/IFERROR(SUMPRODUCT((Besatzung!$B$11:$B$22&lt;&gt;"")*(IF(Besatzung!$C$11:$C$22="",Besatzung!$B$5,Besatzung!$C$11:$C$22)&lt;=B39)*(IF(Besatzung!$D$11:$D$22="",Besatzung!$B$6,Besatzung!$D$11:$D$22)&gt;=B39)),1)+(Besatzung!$F$14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M39="x")*((G39-IFERROR(H39,0))/IFERROR(COUNTIF(J39:U39,"x"),1)+(Besatzung!$F$14="x")*IFERROR(H39,0)/IFERROR(SUMPRODUCT((J39:U39="x")*(Besatzung!$F$11:$F$22="x")),1))),(IF(COUNTIF(J39:U39,"x")=0,IF(Besatzung!$B$14&lt;&gt;"",1,0),(M39="x"))*(G39-IFERROR(H39,0))/IFERROR(IF(COUNTIF(J39:U39,"x")=0,COUNTA(Besatzung!$B$11:$B$22),COUNTIF(J39:U39,"x")),1)+IF(COUNTIF(J39:U39,"x")=0,(Besatzung!$F$14="x"),(M39="x")*(Besatzung!$F$14="x"))*IFERROR(H39,0)/IFERROR(IF(COUNTIF(J39:U39,"x")=0,SUMPRODUCT((Besatzung!$B$11:$B$22&lt;&gt;"")*(Besatzung!$F$11:$F$22="x")),SUMPRODUCT((J39:U39="x")*(Besatzung!$F$11:$F$22="x"))),1))))),0))))</f>
        <v/>
      </c>
      <c r="Z39" s="106">
        <f>IF(C39="Gutschrift","",IF(G39="","",IF(Besatzung!$B$13="","",IFERROR(IF(I39="Zeitanteilig",(Besatzung!$G$15*(G39-IFERROR(H39,0))+((Besatzung!$B$13&lt;&gt;"")*IF(B39="",1,(IF(Besatzung!$C$15="",Besatzung!$B$5,Besatzung!$C$15)&lt;=B39)*(IF(Besatzung!$D$15="",Besatzung!$B$6,Besatzung!$D$15)&gt;=B39)))*(Besatzung!$F$15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$13&lt;&gt;"")*IF(B39="",1,(IF(Besatzung!$C$15="",Besatzung!$B$5,Besatzung!$C$15)&lt;=B39)*(IF(Besatzung!$D$15="",Besatzung!$B$6,Besatzung!$D$15)&gt;=B39)))*((G39-IFERROR(H39,0))/IFERROR(SUMPRODUCT((Besatzung!$B$11:$B$22&lt;&gt;"")*(IF(Besatzung!$C$11:$C$22="",Besatzung!$B$5,Besatzung!$C$11:$C$22)&lt;=B39)*(IF(Besatzung!$D$11:$D$22="",Besatzung!$B$6,Besatzung!$D$11:$D$22)&gt;=B39)),1)+(Besatzung!$F$15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N39="x")*((G39-IFERROR(H39,0))/IFERROR(COUNTIF(J39:U39,"x"),1)+(Besatzung!$F$15="x")*IFERROR(H39,0)/IFERROR(SUMPRODUCT((J39:U39="x")*(Besatzung!$F$11:$F$22="x")),1))),(IF(COUNTIF(J39:U39,"x")=0,IF(Besatzung!$B$13&lt;&gt;"",1,0),(N39="x"))*(G39-IFERROR(H39,0))/IFERROR(IF(COUNTIF(J39:U39,"x")=0,COUNTA(Besatzung!$B$11:$B$22),COUNTIF(J39:U39,"x")),1)+IF(COUNTIF(J39:U39,"x")=0,(Besatzung!$F$15="x"),(N39="x")*(Besatzung!$F$15="x"))*IFERROR(H39,0)/IFERROR(IF(COUNTIF(J39:U39,"x")=0,SUMPRODUCT((Besatzung!$B$11:$B$22&lt;&gt;"")*(Besatzung!$F$11:$F$22="x")),SUMPRODUCT((J39:U39="x")*(Besatzung!$F$11:$F$22="x"))),1))))),0))))</f>
        <v/>
      </c>
      <c r="AA39" s="106">
        <f>IF(C39="Gutschrift","",IF(G39="","",IF(Besatzung!$B$15="","",IFERROR(IF(I39="Zeitanteilig",(Besatzung!$G$16*(G39-IFERROR(H39,0))+((Besatzung!$B$15&lt;&gt;"")*IF(B39="",1,(IF(Besatzung!$C$16="",Besatzung!$B$5,Besatzung!$C$16)&lt;=B39)*(IF(Besatzung!$D$16="",Besatzung!$B$6,Besatzung!$D$16)&gt;=B39)))*(Besatzung!$F$16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$15&lt;&gt;"")*IF(B39="",1,(IF(Besatzung!$C$16="",Besatzung!$B$5,Besatzung!$C$16)&lt;=B39)*(IF(Besatzung!$D$16="",Besatzung!$B$6,Besatzung!$D$16)&gt;=B39)))*((G39-IFERROR(H39,0))/IFERROR(SUMPRODUCT((Besatzung!$B$11:$B$22&lt;&gt;"")*(IF(Besatzung!$C$11:$C$22="",Besatzung!$B$5,Besatzung!$C$11:$C$22)&lt;=B39)*(IF(Besatzung!$D$11:$D$22="",Besatzung!$B$6,Besatzung!$D$11:$D$22)&gt;=B39)),1)+(Besatzung!$F$16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O39="x")*((G39-IFERROR(H39,0))/IFERROR(COUNTIF(J39:U39,"x"),1)+(Besatzung!$F$16="x")*IFERROR(H39,0)/IFERROR(SUMPRODUCT((J39:U39="x")*(Besatzung!$F$11:$F$22="x")),1))),(IF(COUNTIF(J39:U39,"x")=0,IF(Besatzung!$B$15&lt;&gt;"",1,0),(O39="x"))*(G39-IFERROR(H39,0))/IFERROR(IF(COUNTIF(J39:U39,"x")=0,COUNTA(Besatzung!$B$11:$B$22),COUNTIF(J39:U39,"x")),1)+IF(COUNTIF(J39:U39,"x")=0,(Besatzung!$F$16="x"),(O39="x")*(Besatzung!$F$16="x"))*IFERROR(H39,0)/IFERROR(IF(COUNTIF(J39:U39,"x")=0,SUMPRODUCT((Besatzung!$B$11:$B$22&lt;&gt;"")*(Besatzung!$F$11:$F$22="x")),SUMPRODUCT((J39:U39="x")*(Besatzung!$F$11:$F$22="x"))),1))))),0))))</f>
        <v/>
      </c>
      <c r="AB39" s="106">
        <f>IF(C39="Gutschrift","",IF(G39="","",IF(Besatzung!$B$17="","",IFERROR(IF(I39="Zeitanteilig",(Besatzung!$G$17*(G39-IFERROR(H39,0))+((Besatzung!$B$17&lt;&gt;"")*IF(B39="",1,(IF(Besatzung!$C$17="",Besatzung!$B$5,Besatzung!$C$17)&lt;=B39)*(IF(Besatzung!$D$17="",Besatzung!$B$6,Besatzung!$D$17)&gt;=B39)))*(Besatzung!$F$17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$17&lt;&gt;"")*IF(B39="",1,(IF(Besatzung!$C$17="",Besatzung!$B$5,Besatzung!$C$17)&lt;=B39)*(IF(Besatzung!$D$17="",Besatzung!$B$6,Besatzung!$D$17)&gt;=B39)))*((G39-IFERROR(H39,0))/IFERROR(SUMPRODUCT((Besatzung!$B$11:$B$22&lt;&gt;"")*(IF(Besatzung!$C$11:$C$22="",Besatzung!$B$5,Besatzung!$C$11:$C$22)&lt;=B39)*(IF(Besatzung!$D$11:$D$22="",Besatzung!$B$6,Besatzung!$D$11:$D$22)&gt;=B39)),1)+(Besatzung!$F$17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P39="x")*((G39-IFERROR(H39,0))/IFERROR(COUNTIF(J39:U39,"x"),1)+(Besatzung!$F$17="x")*IFERROR(H39,0)/IFERROR(SUMPRODUCT((J39:U39="x")*(Besatzung!$F$11:$F$22="x")),1))),(IF(COUNTIF(J39:U39,"x")=0,IF(Besatzung!$B$17&lt;&gt;"",1,0),(P39="x"))*(G39-IFERROR(H39,0))/IFERROR(IF(COUNTIF(J39:U39,"x")=0,COUNTA(Besatzung!$B$11:$B$22),COUNTIF(J39:U39,"x")),1)+IF(COUNTIF(J39:U39,"x")=0,(Besatzung!$F$17="x"),(P39="x")*(Besatzung!$F$17="x"))*IFERROR(H39,0)/IFERROR(IF(COUNTIF(J39:U39,"x")=0,SUMPRODUCT((Besatzung!$B$11:$B$22&lt;&gt;"")*(Besatzung!$F$11:$F$22="x")),SUMPRODUCT((J39:U39="x")*(Besatzung!$F$11:$F$22="x"))),1))))),0))))</f>
        <v/>
      </c>
      <c r="AC39" s="106">
        <f>IF(C39="Gutschrift","",IF(G39="","",IF(Besatzung!$B$18="","",IFERROR(IF(I39="Zeitanteilig",(Besatzung!$G$18*(G39-IFERROR(H39,0))+((Besatzung!$B$18&lt;&gt;"")*IF(B39="",1,(IF(Besatzung!$C$18="",Besatzung!$B$5,Besatzung!$C$18)&lt;=B39)*(IF(Besatzung!$D$18="",Besatzung!$B$6,Besatzung!$D$18)&gt;=B39)))*(Besatzung!$F$18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$18&lt;&gt;"")*IF(B39="",1,(IF(Besatzung!$C$18="",Besatzung!$B$5,Besatzung!$C$18)&lt;=B39)*(IF(Besatzung!$D$18="",Besatzung!$B$6,Besatzung!$D$18)&gt;=B39)))*((G39-IFERROR(H39,0))/IFERROR(SUMPRODUCT((Besatzung!$B$11:$B$22&lt;&gt;"")*(IF(Besatzung!$C$11:$C$22="",Besatzung!$B$5,Besatzung!$C$11:$C$22)&lt;=B39)*(IF(Besatzung!$D$11:$D$22="",Besatzung!$B$6,Besatzung!$D$11:$D$22)&gt;=B39)),1)+(Besatzung!$F$18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Q39="x")*((G39-IFERROR(H39,0))/IFERROR(COUNTIF(J39:U39,"x"),1)+(Besatzung!$F$18="x")*IFERROR(H39,0)/IFERROR(SUMPRODUCT((J39:U39="x")*(Besatzung!$F$11:$F$22="x")),1))),(IF(COUNTIF(J39:U39,"x")=0,IF(Besatzung!$B$18&lt;&gt;"",1,0),(Q39="x"))*(G39-IFERROR(H39,0))/IFERROR(IF(COUNTIF(J39:U39,"x")=0,COUNTA(Besatzung!$B$11:$B$22),COUNTIF(J39:U39,"x")),1)+IF(COUNTIF(J39:U39,"x")=0,(Besatzung!$F$18="x"),(Q39="x")*(Besatzung!$F$18="x"))*IFERROR(H39,0)/IFERROR(IF(COUNTIF(J39:U39,"x")=0,SUMPRODUCT((Besatzung!$B$11:$B$22&lt;&gt;"")*(Besatzung!$F$11:$F$22="x")),SUMPRODUCT((J39:U39="x")*(Besatzung!$F$11:$F$22="x"))),1))))),0))))</f>
        <v/>
      </c>
      <c r="AD39" s="106">
        <f>IF(C39="Gutschrift","",IF(G39="","",IF(Besatzung!$B$19="","",IFERROR(IF(I39="Zeitanteilig",(Besatzung!$G$19*(G39-IFERROR(H39,0))+((Besatzung!$B$19&lt;&gt;"")*IF(B39="",1,(IF(Besatzung!$C$19="",Besatzung!$B$5,Besatzung!$C$19)&lt;=B39)*(IF(Besatzung!$D$19="",Besatzung!$B$6,Besatzung!$D$19)&gt;=B39)))*(Besatzung!$F$19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$19&lt;&gt;"")*IF(B39="",1,(IF(Besatzung!$C$19="",Besatzung!$B$5,Besatzung!$C$19)&lt;=B39)*(IF(Besatzung!$D$19="",Besatzung!$B$6,Besatzung!$D$19)&gt;=B39)))*((G39-IFERROR(H39,0))/IFERROR(SUMPRODUCT((Besatzung!$B$11:$B$22&lt;&gt;"")*(IF(Besatzung!$C$11:$C$22="",Besatzung!$B$5,Besatzung!$C$11:$C$22)&lt;=B39)*(IF(Besatzung!$D$11:$D$22="",Besatzung!$B$6,Besatzung!$D$11:$D$22)&gt;=B39)),1)+(Besatzung!$F$19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R39="x")*((G39-IFERROR(H39,0))/IFERROR(COUNTIF(J39:U39,"x"),1)+(Besatzung!$F$19="x")*IFERROR(H39,0)/IFERROR(SUMPRODUCT((J39:U39="x")*(Besatzung!$F$11:$F$22="x")),1))),(IF(COUNTIF(J39:U39,"x")=0,IF(Besatzung!$B$19&lt;&gt;"",1,0),(R39="x"))*(G39-IFERROR(H39,0))/IFERROR(IF(COUNTIF(J39:U39,"x")=0,COUNTA(Besatzung!$B$11:$B$22),COUNTIF(J39:U39,"x")),1)+IF(COUNTIF(J39:U39,"x")=0,(Besatzung!$F$19="x"),(R39="x")*(Besatzung!$F$19="x"))*IFERROR(H39,0)/IFERROR(IF(COUNTIF(J39:U39,"x")=0,SUMPRODUCT((Besatzung!$B$11:$B$22&lt;&gt;"")*(Besatzung!$F$11:$F$22="x")),SUMPRODUCT((J39:U39="x")*(Besatzung!$F$11:$F$22="x"))),1))))),0))))</f>
        <v/>
      </c>
      <c r="AE39" s="106">
        <f>IF(C39="Gutschrift","",IF(G39="","",IF(Besatzung!$B$20="","",IFERROR(IF(I39="Zeitanteilig",(Besatzung!$G$20*(G39-IFERROR(H39,0))+((Besatzung!$B$20&lt;&gt;"")*IF(B39="",1,(IF(Besatzung!$C$20="",Besatzung!$B$5,Besatzung!$C$20)&lt;=B39)*(IF(Besatzung!$D$20="",Besatzung!$B$6,Besatzung!$D$20)&gt;=B39)))*(Besatzung!$F$20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$20&lt;&gt;"")*IF(B39="",1,(IF(Besatzung!$C$20="",Besatzung!$B$5,Besatzung!$C$20)&lt;=B39)*(IF(Besatzung!$D$20="",Besatzung!$B$6,Besatzung!$D$20)&gt;=B39)))*((G39-IFERROR(H39,0))/IFERROR(SUMPRODUCT((Besatzung!$B$11:$B$22&lt;&gt;"")*(IF(Besatzung!$C$11:$C$22="",Besatzung!$B$5,Besatzung!$C$11:$C$22)&lt;=B39)*(IF(Besatzung!$D$11:$D$22="",Besatzung!$B$6,Besatzung!$D$11:$D$22)&gt;=B39)),1)+(Besatzung!$F$20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S39="x")*((G39-IFERROR(H39,0))/IFERROR(COUNTIF(J39:U39,"x"),1)+(Besatzung!$F$20="x")*IFERROR(H39,0)/IFERROR(SUMPRODUCT((J39:U39="x")*(Besatzung!$F$11:$F$22="x")),1))),(IF(COUNTIF(J39:U39,"x")=0,IF(Besatzung!$B$20&lt;&gt;"",1,0),(S39="x"))*(G39-IFERROR(H39,0))/IFERROR(IF(COUNTIF(J39:U39,"x")=0,COUNTA(Besatzung!$B$11:$B$22),COUNTIF(J39:U39,"x")),1)+IF(COUNTIF(J39:U39,"x")=0,(Besatzung!$F$20="x"),(S39="x")*(Besatzung!$F$20="x"))*IFERROR(H39,0)/IFERROR(IF(COUNTIF(J39:U39,"x")=0,SUMPRODUCT((Besatzung!$B$11:$B$22&lt;&gt;"")*(Besatzung!$F$11:$F$22="x")),SUMPRODUCT((J39:U39="x")*(Besatzung!$F$11:$F$22="x"))),1))))),0))))</f>
        <v/>
      </c>
      <c r="AF39" s="106">
        <f>IF(C39="Gutschrift","",IF(G39="","",IF(Besatzung!$B$21="","",IFERROR(IF(I39="Zeitanteilig",(Besatzung!$G$21*(G39-IFERROR(H39,0))+((Besatzung!$B$21&lt;&gt;"")*IF(B39="",1,(IF(Besatzung!$C$21="",Besatzung!$B$5,Besatzung!$C$21)&lt;=B39)*(IF(Besatzung!$D$21="",Besatzung!$B$6,Besatzung!$D$21)&gt;=B39)))*(Besatzung!$F$21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$21&lt;&gt;"")*IF(B39="",1,(IF(Besatzung!$C$21="",Besatzung!$B$5,Besatzung!$C$21)&lt;=B39)*(IF(Besatzung!$D$21="",Besatzung!$B$6,Besatzung!$D$21)&gt;=B39)))*((G39-IFERROR(H39,0))/IFERROR(SUMPRODUCT((Besatzung!$B$11:$B$22&lt;&gt;"")*(IF(Besatzung!$C$11:$C$22="",Besatzung!$B$5,Besatzung!$C$11:$C$22)&lt;=B39)*(IF(Besatzung!$D$11:$D$22="",Besatzung!$B$6,Besatzung!$D$11:$D$22)&gt;=B39)),1)+(Besatzung!$F$21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T39="x")*((G39-IFERROR(H39,0))/IFERROR(COUNTIF(J39:U39,"x"),1)+(Besatzung!$F$21="x")*IFERROR(H39,0)/IFERROR(SUMPRODUCT((J39:U39="x")*(Besatzung!$F$11:$F$22="x")),1))),(IF(COUNTIF(J39:U39,"x")=0,IF(Besatzung!$B$21&lt;&gt;"",1,0),(T39="x"))*(G39-IFERROR(H39,0))/IFERROR(IF(COUNTIF(J39:U39,"x")=0,COUNTA(Besatzung!$B$11:$B$22),COUNTIF(J39:U39,"x")),1)+IF(COUNTIF(J39:U39,"x")=0,(Besatzung!$F$21="x"),(T39="x")*(Besatzung!$F$21="x"))*IFERROR(H39,0)/IFERROR(IF(COUNTIF(J39:U39,"x")=0,SUMPRODUCT((Besatzung!$B$11:$B$22&lt;&gt;"")*(Besatzung!$F$11:$F$22="x")),SUMPRODUCT((J39:U39="x")*(Besatzung!$F$11:$F$22="x"))),1))))),0))))</f>
        <v/>
      </c>
      <c r="AG39" s="106">
        <f>IF(C39="Gutschrift","",IF(G39="","",IF(Besatzung!$B$22="","",IFERROR(IF(I39="Zeitanteilig",(Besatzung!$G$22*(G39-IFERROR(H39,0))+((Besatzung!$B$22&lt;&gt;"")*IF(B39="",1,(IF(Besatzung!$C$22="",Besatzung!$B$5,Besatzung!$C$22)&lt;=B39)*(IF(Besatzung!$D$22="",Besatzung!$B$6,Besatzung!$D$22)&gt;=B39)))*(Besatzung!$F$22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$22&lt;&gt;"")*IF(B39="",1,(IF(Besatzung!$C$22="",Besatzung!$B$5,Besatzung!$C$22)&lt;=B39)*(IF(Besatzung!$D$22="",Besatzung!$B$6,Besatzung!$D$22)&gt;=B39)))*((G39-IFERROR(H39,0))/IFERROR(SUMPRODUCT((Besatzung!$B$11:$B$22&lt;&gt;"")*(IF(Besatzung!$C$11:$C$22="",Besatzung!$B$5,Besatzung!$C$11:$C$22)&lt;=B39)*(IF(Besatzung!$D$11:$D$22="",Besatzung!$B$6,Besatzung!$D$11:$D$22)&gt;=B39)),1)+(Besatzung!$F$22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U39="x")*((G39-IFERROR(H39,0))/IFERROR(COUNTIF(J39:U39,"x"),1)+(Besatzung!$F$22="x")*IFERROR(H39,0)/IFERROR(SUMPRODUCT((J39:U39="x")*(Besatzung!$F$11:$F$22="x")),1))),(IF(COUNTIF(J39:U39,"x")=0,IF(Besatzung!$B$22&lt;&gt;"",1,0),(U39="x"))*(G39-IFERROR(H39,0))/IFERROR(IF(COUNTIF(J39:U39,"x")=0,COUNTA(Besatzung!$B$11:$B$22),COUNTIF(J39:U39,"x")),1)+IF(COUNTIF(J39:U39,"x")=0,(Besatzung!$F$22="x"),(U39="x")*(Besatzung!$F$22="x"))*IFERROR(H39,0)/IFERROR(IF(COUNTIF(J39:U39,"x")=0,SUMPRODUCT((Besatzung!$B$11:$B$22&lt;&gt;"")*(Besatzung!$F$11:$F$22="x")),SUMPRODUCT((J39:U39="x")*(Besatzung!$F$11:$F$22="x"))),1))))),0))))</f>
        <v/>
      </c>
      <c r="AH39" s="107" t="n"/>
      <c r="AI39" s="107" t="n"/>
    </row>
    <row r="40" ht="21.75" customHeight="1" s="182">
      <c r="A40" s="97">
        <f>IF(AND(D40="",C40=""),"",37)</f>
        <v/>
      </c>
      <c r="B40" s="56" t="n"/>
      <c r="C40" s="98" t="n"/>
      <c r="D40" s="99" t="n"/>
      <c r="E40" s="100" t="n"/>
      <c r="F40" s="101" t="n"/>
      <c r="G40" s="102" t="n"/>
      <c r="H40" s="103" t="n"/>
      <c r="I40" s="104" t="n"/>
      <c r="J40" s="105" t="n"/>
      <c r="K40" s="105" t="n"/>
      <c r="L40" s="105" t="n"/>
      <c r="M40" s="105" t="n"/>
      <c r="N40" s="105" t="n"/>
      <c r="O40" s="105" t="n"/>
      <c r="P40" s="105" t="n"/>
      <c r="Q40" s="105" t="n"/>
      <c r="R40" s="105" t="n"/>
      <c r="S40" s="105" t="n"/>
      <c r="T40" s="105" t="n"/>
      <c r="U40" s="105" t="n"/>
      <c r="V40" s="106">
        <f>IF(C40="Gutschrift","",IF(G40="","",IF(Besatzung!$B$11="","",IFERROR(IF(I40="Zeitanteilig",(Besatzung!$G$11*(G40-IFERROR(H40,0))+((Besatzung!$B$11&lt;&gt;"")*IF(B40="",1,(IF(Besatzung!$C$11="",Besatzung!$B$5,Besatzung!$C$11)&lt;=B40)*(IF(Besatzung!$D$11="",Besatzung!$B$6,Besatzung!$D$11)&gt;=B40)))*(Besatzung!$F$11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$11&lt;&gt;"")*IF(B40="",1,(IF(Besatzung!$C$11="",Besatzung!$B$5,Besatzung!$C$11)&lt;=B40)*(IF(Besatzung!$D$11="",Besatzung!$B$6,Besatzung!$D$11)&gt;=B40)))*((G40-IFERROR(H40,0))/IFERROR(SUMPRODUCT((Besatzung!$B$11:$B$22&lt;&gt;"")*(IF(Besatzung!$C$11:$C$22="",Besatzung!$B$5,Besatzung!$C$11:$C$22)&lt;=B40)*(IF(Besatzung!$D$11:$D$22="",Besatzung!$B$6,Besatzung!$D$11:$D$22)&gt;=B40)),1)+(Besatzung!$F$11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J40="x")*((G40-IFERROR(H40,0))/IFERROR(COUNTIF(J40:U40,"x"),1)+(Besatzung!$F$11="x")*IFERROR(H40,0)/IFERROR(SUMPRODUCT((J40:U40="x")*(Besatzung!$F$11:$F$22="x")),1))),(IF(COUNTIF(J40:U40,"x")=0,IF(Besatzung!$B$11&lt;&gt;"",1,0),(J40="x"))*(G40-IFERROR(H40,0))/IFERROR(IF(COUNTIF(J40:U40,"x")=0,COUNTA(Besatzung!$B$11:$B$22),COUNTIF(J40:U40,"x")),1)+IF(COUNTIF(J40:U40,"x")=0,(Besatzung!$F$11="x"),(J40="x")*(Besatzung!$F$11="x"))*IFERROR(H40,0)/IFERROR(IF(COUNTIF(J40:U40,"x")=0,SUMPRODUCT((Besatzung!$B$11:$B$22&lt;&gt;"")*(Besatzung!$F$11:$F$22="x")),SUMPRODUCT((J40:U40="x")*(Besatzung!$F$11:$F$22="x"))),1))))),0))))</f>
        <v/>
      </c>
      <c r="W40" s="106">
        <f>IF(C40="Gutschrift","",IF(G40="","",IF(Besatzung!$B$12="","",IFERROR(IF(I40="Zeitanteilig",(Besatzung!$G$12*(G40-IFERROR(H40,0))+((Besatzung!$B$12&lt;&gt;"")*IF(B40="",1,(IF(Besatzung!$C$12="",Besatzung!$B$5,Besatzung!$C$12)&lt;=B40)*(IF(Besatzung!$D$12="",Besatzung!$B$6,Besatzung!$D$12)&gt;=B40)))*(Besatzung!$F$12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$12&lt;&gt;"")*IF(B40="",1,(IF(Besatzung!$C$12="",Besatzung!$B$5,Besatzung!$C$12)&lt;=B40)*(IF(Besatzung!$D$12="",Besatzung!$B$6,Besatzung!$D$12)&gt;=B40)))*((G40-IFERROR(H40,0))/IFERROR(SUMPRODUCT((Besatzung!$B$11:$B$22&lt;&gt;"")*(IF(Besatzung!$C$11:$C$22="",Besatzung!$B$5,Besatzung!$C$11:$C$22)&lt;=B40)*(IF(Besatzung!$D$11:$D$22="",Besatzung!$B$6,Besatzung!$D$11:$D$22)&gt;=B40)),1)+(Besatzung!$F$12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K40="x")*((G40-IFERROR(H40,0))/IFERROR(COUNTIF(J40:U40,"x"),1)+(Besatzung!$F$12="x")*IFERROR(H40,0)/IFERROR(SUMPRODUCT((J40:U40="x")*(Besatzung!$F$11:$F$22="x")),1))),(IF(COUNTIF(J40:U40,"x")=0,IF(Besatzung!$B$12&lt;&gt;"",1,0),(K40="x"))*(G40-IFERROR(H40,0))/IFERROR(IF(COUNTIF(J40:U40,"x")=0,COUNTA(Besatzung!$B$11:$B$22),COUNTIF(J40:U40,"x")),1)+IF(COUNTIF(J40:U40,"x")=0,(Besatzung!$F$12="x"),(K40="x")*(Besatzung!$F$12="x"))*IFERROR(H40,0)/IFERROR(IF(COUNTIF(J40:U40,"x")=0,SUMPRODUCT((Besatzung!$B$11:$B$22&lt;&gt;"")*(Besatzung!$F$11:$F$22="x")),SUMPRODUCT((J40:U40="x")*(Besatzung!$F$11:$F$22="x"))),1))))),0))))</f>
        <v/>
      </c>
      <c r="X40" s="106">
        <f>IF(C40="Gutschrift","",IF(G40="","",IF(Besatzung!$B$13="","",IFERROR(IF(I40="Zeitanteilig",(Besatzung!$G$13*(G40-IFERROR(H40,0))+((Besatzung!$B$13&lt;&gt;"")*IF(B40="",1,(IF(Besatzung!$C$13="",Besatzung!$B$5,Besatzung!$C$13)&lt;=B40)*(IF(Besatzung!$D$13="",Besatzung!$B$6,Besatzung!$D$13)&gt;=B40)))*(Besatzung!$F$13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$13&lt;&gt;"")*IF(B40="",1,(IF(Besatzung!$C$13="",Besatzung!$B$5,Besatzung!$C$13)&lt;=B40)*(IF(Besatzung!$D$13="",Besatzung!$B$6,Besatzung!$D$13)&gt;=B40)))*((G40-IFERROR(H40,0))/IFERROR(SUMPRODUCT((Besatzung!$B$11:$B$22&lt;&gt;"")*(IF(Besatzung!$C$11:$C$22="",Besatzung!$B$5,Besatzung!$C$11:$C$22)&lt;=B40)*(IF(Besatzung!$D$11:$D$22="",Besatzung!$B$6,Besatzung!$D$11:$D$22)&gt;=B40)),1)+(Besatzung!$F$13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K40="x")*((G40-IFERROR(H40,0))/IFERROR(COUNTIF(J40:U40,"x"),1)+(Besatzung!$F$13="x")*IFERROR(H40,0)/IFERROR(SUMPRODUCT((J40:U40="x")*(Besatzung!$F$11:$F$22="x")),1))),(IF(COUNTIF(J40:U40,"x")=0,IF(Besatzung!$B$13&lt;&gt;"",1,0),(K40="x"))*(G40-IFERROR(H40,0))/IFERROR(IF(COUNTIF(J40:U40,"x")=0,COUNTA(Besatzung!$B$11:$B$22),COUNTIF(J40:U40,"x")),1)+IF(COUNTIF(J40:U40,"x")=0,(Besatzung!$F$13="x"),(K40="x")*(Besatzung!$F$13="x"))*IFERROR(H40,0)/IFERROR(IF(COUNTIF(J40:U40,"x")=0,SUMPRODUCT((Besatzung!$B$11:$B$22&lt;&gt;"")*(Besatzung!$F$11:$F$22="x")),SUMPRODUCT((J40:U40="x")*(Besatzung!$F$11:$F$22="x"))),1))))),0))))</f>
        <v/>
      </c>
      <c r="Y40" s="106">
        <f>IF(C40="Gutschrift","",IF(G40="","",IF(Besatzung!$B$14="","",IFERROR(IF(I40="Zeitanteilig",(Besatzung!$G$14*(G40-IFERROR(H40,0))+((Besatzung!$B$14&lt;&gt;"")*IF(B40="",1,(IF(Besatzung!$C$14="",Besatzung!$B$5,Besatzung!$C$14)&lt;=B40)*(IF(Besatzung!$D$14="",Besatzung!$B$6,Besatzung!$D$14)&gt;=B40)))*(Besatzung!$F$14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$14&lt;&gt;"")*IF(B40="",1,(IF(Besatzung!$C$14="",Besatzung!$B$5,Besatzung!$C$14)&lt;=B40)*(IF(Besatzung!$D$14="",Besatzung!$B$6,Besatzung!$D$14)&gt;=B40)))*((G40-IFERROR(H40,0))/IFERROR(SUMPRODUCT((Besatzung!$B$11:$B$22&lt;&gt;"")*(IF(Besatzung!$C$11:$C$22="",Besatzung!$B$5,Besatzung!$C$11:$C$22)&lt;=B40)*(IF(Besatzung!$D$11:$D$22="",Besatzung!$B$6,Besatzung!$D$11:$D$22)&gt;=B40)),1)+(Besatzung!$F$14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M40="x")*((G40-IFERROR(H40,0))/IFERROR(COUNTIF(J40:U40,"x"),1)+(Besatzung!$F$14="x")*IFERROR(H40,0)/IFERROR(SUMPRODUCT((J40:U40="x")*(Besatzung!$F$11:$F$22="x")),1))),(IF(COUNTIF(J40:U40,"x")=0,IF(Besatzung!$B$14&lt;&gt;"",1,0),(M40="x"))*(G40-IFERROR(H40,0))/IFERROR(IF(COUNTIF(J40:U40,"x")=0,COUNTA(Besatzung!$B$11:$B$22),COUNTIF(J40:U40,"x")),1)+IF(COUNTIF(J40:U40,"x")=0,(Besatzung!$F$14="x"),(M40="x")*(Besatzung!$F$14="x"))*IFERROR(H40,0)/IFERROR(IF(COUNTIF(J40:U40,"x")=0,SUMPRODUCT((Besatzung!$B$11:$B$22&lt;&gt;"")*(Besatzung!$F$11:$F$22="x")),SUMPRODUCT((J40:U40="x")*(Besatzung!$F$11:$F$22="x"))),1))))),0))))</f>
        <v/>
      </c>
      <c r="Z40" s="106">
        <f>IF(C40="Gutschrift","",IF(G40="","",IF(Besatzung!$B$13="","",IFERROR(IF(I40="Zeitanteilig",(Besatzung!$G$15*(G40-IFERROR(H40,0))+((Besatzung!$B$13&lt;&gt;"")*IF(B40="",1,(IF(Besatzung!$C$15="",Besatzung!$B$5,Besatzung!$C$15)&lt;=B40)*(IF(Besatzung!$D$15="",Besatzung!$B$6,Besatzung!$D$15)&gt;=B40)))*(Besatzung!$F$15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$13&lt;&gt;"")*IF(B40="",1,(IF(Besatzung!$C$15="",Besatzung!$B$5,Besatzung!$C$15)&lt;=B40)*(IF(Besatzung!$D$15="",Besatzung!$B$6,Besatzung!$D$15)&gt;=B40)))*((G40-IFERROR(H40,0))/IFERROR(SUMPRODUCT((Besatzung!$B$11:$B$22&lt;&gt;"")*(IF(Besatzung!$C$11:$C$22="",Besatzung!$B$5,Besatzung!$C$11:$C$22)&lt;=B40)*(IF(Besatzung!$D$11:$D$22="",Besatzung!$B$6,Besatzung!$D$11:$D$22)&gt;=B40)),1)+(Besatzung!$F$15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N40="x")*((G40-IFERROR(H40,0))/IFERROR(COUNTIF(J40:U40,"x"),1)+(Besatzung!$F$15="x")*IFERROR(H40,0)/IFERROR(SUMPRODUCT((J40:U40="x")*(Besatzung!$F$11:$F$22="x")),1))),(IF(COUNTIF(J40:U40,"x")=0,IF(Besatzung!$B$13&lt;&gt;"",1,0),(N40="x"))*(G40-IFERROR(H40,0))/IFERROR(IF(COUNTIF(J40:U40,"x")=0,COUNTA(Besatzung!$B$11:$B$22),COUNTIF(J40:U40,"x")),1)+IF(COUNTIF(J40:U40,"x")=0,(Besatzung!$F$15="x"),(N40="x")*(Besatzung!$F$15="x"))*IFERROR(H40,0)/IFERROR(IF(COUNTIF(J40:U40,"x")=0,SUMPRODUCT((Besatzung!$B$11:$B$22&lt;&gt;"")*(Besatzung!$F$11:$F$22="x")),SUMPRODUCT((J40:U40="x")*(Besatzung!$F$11:$F$22="x"))),1))))),0))))</f>
        <v/>
      </c>
      <c r="AA40" s="106">
        <f>IF(C40="Gutschrift","",IF(G40="","",IF(Besatzung!$B$15="","",IFERROR(IF(I40="Zeitanteilig",(Besatzung!$G$16*(G40-IFERROR(H40,0))+((Besatzung!$B$15&lt;&gt;"")*IF(B40="",1,(IF(Besatzung!$C$16="",Besatzung!$B$5,Besatzung!$C$16)&lt;=B40)*(IF(Besatzung!$D$16="",Besatzung!$B$6,Besatzung!$D$16)&gt;=B40)))*(Besatzung!$F$16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$15&lt;&gt;"")*IF(B40="",1,(IF(Besatzung!$C$16="",Besatzung!$B$5,Besatzung!$C$16)&lt;=B40)*(IF(Besatzung!$D$16="",Besatzung!$B$6,Besatzung!$D$16)&gt;=B40)))*((G40-IFERROR(H40,0))/IFERROR(SUMPRODUCT((Besatzung!$B$11:$B$22&lt;&gt;"")*(IF(Besatzung!$C$11:$C$22="",Besatzung!$B$5,Besatzung!$C$11:$C$22)&lt;=B40)*(IF(Besatzung!$D$11:$D$22="",Besatzung!$B$6,Besatzung!$D$11:$D$22)&gt;=B40)),1)+(Besatzung!$F$16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O40="x")*((G40-IFERROR(H40,0))/IFERROR(COUNTIF(J40:U40,"x"),1)+(Besatzung!$F$16="x")*IFERROR(H40,0)/IFERROR(SUMPRODUCT((J40:U40="x")*(Besatzung!$F$11:$F$22="x")),1))),(IF(COUNTIF(J40:U40,"x")=0,IF(Besatzung!$B$15&lt;&gt;"",1,0),(O40="x"))*(G40-IFERROR(H40,0))/IFERROR(IF(COUNTIF(J40:U40,"x")=0,COUNTA(Besatzung!$B$11:$B$22),COUNTIF(J40:U40,"x")),1)+IF(COUNTIF(J40:U40,"x")=0,(Besatzung!$F$16="x"),(O40="x")*(Besatzung!$F$16="x"))*IFERROR(H40,0)/IFERROR(IF(COUNTIF(J40:U40,"x")=0,SUMPRODUCT((Besatzung!$B$11:$B$22&lt;&gt;"")*(Besatzung!$F$11:$F$22="x")),SUMPRODUCT((J40:U40="x")*(Besatzung!$F$11:$F$22="x"))),1))))),0))))</f>
        <v/>
      </c>
      <c r="AB40" s="106">
        <f>IF(C40="Gutschrift","",IF(G40="","",IF(Besatzung!$B$17="","",IFERROR(IF(I40="Zeitanteilig",(Besatzung!$G$17*(G40-IFERROR(H40,0))+((Besatzung!$B$17&lt;&gt;"")*IF(B40="",1,(IF(Besatzung!$C$17="",Besatzung!$B$5,Besatzung!$C$17)&lt;=B40)*(IF(Besatzung!$D$17="",Besatzung!$B$6,Besatzung!$D$17)&gt;=B40)))*(Besatzung!$F$17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$17&lt;&gt;"")*IF(B40="",1,(IF(Besatzung!$C$17="",Besatzung!$B$5,Besatzung!$C$17)&lt;=B40)*(IF(Besatzung!$D$17="",Besatzung!$B$6,Besatzung!$D$17)&gt;=B40)))*((G40-IFERROR(H40,0))/IFERROR(SUMPRODUCT((Besatzung!$B$11:$B$22&lt;&gt;"")*(IF(Besatzung!$C$11:$C$22="",Besatzung!$B$5,Besatzung!$C$11:$C$22)&lt;=B40)*(IF(Besatzung!$D$11:$D$22="",Besatzung!$B$6,Besatzung!$D$11:$D$22)&gt;=B40)),1)+(Besatzung!$F$17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P40="x")*((G40-IFERROR(H40,0))/IFERROR(COUNTIF(J40:U40,"x"),1)+(Besatzung!$F$17="x")*IFERROR(H40,0)/IFERROR(SUMPRODUCT((J40:U40="x")*(Besatzung!$F$11:$F$22="x")),1))),(IF(COUNTIF(J40:U40,"x")=0,IF(Besatzung!$B$17&lt;&gt;"",1,0),(P40="x"))*(G40-IFERROR(H40,0))/IFERROR(IF(COUNTIF(J40:U40,"x")=0,COUNTA(Besatzung!$B$11:$B$22),COUNTIF(J40:U40,"x")),1)+IF(COUNTIF(J40:U40,"x")=0,(Besatzung!$F$17="x"),(P40="x")*(Besatzung!$F$17="x"))*IFERROR(H40,0)/IFERROR(IF(COUNTIF(J40:U40,"x")=0,SUMPRODUCT((Besatzung!$B$11:$B$22&lt;&gt;"")*(Besatzung!$F$11:$F$22="x")),SUMPRODUCT((J40:U40="x")*(Besatzung!$F$11:$F$22="x"))),1))))),0))))</f>
        <v/>
      </c>
      <c r="AC40" s="106">
        <f>IF(C40="Gutschrift","",IF(G40="","",IF(Besatzung!$B$18="","",IFERROR(IF(I40="Zeitanteilig",(Besatzung!$G$18*(G40-IFERROR(H40,0))+((Besatzung!$B$18&lt;&gt;"")*IF(B40="",1,(IF(Besatzung!$C$18="",Besatzung!$B$5,Besatzung!$C$18)&lt;=B40)*(IF(Besatzung!$D$18="",Besatzung!$B$6,Besatzung!$D$18)&gt;=B40)))*(Besatzung!$F$18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$18&lt;&gt;"")*IF(B40="",1,(IF(Besatzung!$C$18="",Besatzung!$B$5,Besatzung!$C$18)&lt;=B40)*(IF(Besatzung!$D$18="",Besatzung!$B$6,Besatzung!$D$18)&gt;=B40)))*((G40-IFERROR(H40,0))/IFERROR(SUMPRODUCT((Besatzung!$B$11:$B$22&lt;&gt;"")*(IF(Besatzung!$C$11:$C$22="",Besatzung!$B$5,Besatzung!$C$11:$C$22)&lt;=B40)*(IF(Besatzung!$D$11:$D$22="",Besatzung!$B$6,Besatzung!$D$11:$D$22)&gt;=B40)),1)+(Besatzung!$F$18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Q40="x")*((G40-IFERROR(H40,0))/IFERROR(COUNTIF(J40:U40,"x"),1)+(Besatzung!$F$18="x")*IFERROR(H40,0)/IFERROR(SUMPRODUCT((J40:U40="x")*(Besatzung!$F$11:$F$22="x")),1))),(IF(COUNTIF(J40:U40,"x")=0,IF(Besatzung!$B$18&lt;&gt;"",1,0),(Q40="x"))*(G40-IFERROR(H40,0))/IFERROR(IF(COUNTIF(J40:U40,"x")=0,COUNTA(Besatzung!$B$11:$B$22),COUNTIF(J40:U40,"x")),1)+IF(COUNTIF(J40:U40,"x")=0,(Besatzung!$F$18="x"),(Q40="x")*(Besatzung!$F$18="x"))*IFERROR(H40,0)/IFERROR(IF(COUNTIF(J40:U40,"x")=0,SUMPRODUCT((Besatzung!$B$11:$B$22&lt;&gt;"")*(Besatzung!$F$11:$F$22="x")),SUMPRODUCT((J40:U40="x")*(Besatzung!$F$11:$F$22="x"))),1))))),0))))</f>
        <v/>
      </c>
      <c r="AD40" s="106">
        <f>IF(C40="Gutschrift","",IF(G40="","",IF(Besatzung!$B$19="","",IFERROR(IF(I40="Zeitanteilig",(Besatzung!$G$19*(G40-IFERROR(H40,0))+((Besatzung!$B$19&lt;&gt;"")*IF(B40="",1,(IF(Besatzung!$C$19="",Besatzung!$B$5,Besatzung!$C$19)&lt;=B40)*(IF(Besatzung!$D$19="",Besatzung!$B$6,Besatzung!$D$19)&gt;=B40)))*(Besatzung!$F$19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$19&lt;&gt;"")*IF(B40="",1,(IF(Besatzung!$C$19="",Besatzung!$B$5,Besatzung!$C$19)&lt;=B40)*(IF(Besatzung!$D$19="",Besatzung!$B$6,Besatzung!$D$19)&gt;=B40)))*((G40-IFERROR(H40,0))/IFERROR(SUMPRODUCT((Besatzung!$B$11:$B$22&lt;&gt;"")*(IF(Besatzung!$C$11:$C$22="",Besatzung!$B$5,Besatzung!$C$11:$C$22)&lt;=B40)*(IF(Besatzung!$D$11:$D$22="",Besatzung!$B$6,Besatzung!$D$11:$D$22)&gt;=B40)),1)+(Besatzung!$F$19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R40="x")*((G40-IFERROR(H40,0))/IFERROR(COUNTIF(J40:U40,"x"),1)+(Besatzung!$F$19="x")*IFERROR(H40,0)/IFERROR(SUMPRODUCT((J40:U40="x")*(Besatzung!$F$11:$F$22="x")),1))),(IF(COUNTIF(J40:U40,"x")=0,IF(Besatzung!$B$19&lt;&gt;"",1,0),(R40="x"))*(G40-IFERROR(H40,0))/IFERROR(IF(COUNTIF(J40:U40,"x")=0,COUNTA(Besatzung!$B$11:$B$22),COUNTIF(J40:U40,"x")),1)+IF(COUNTIF(J40:U40,"x")=0,(Besatzung!$F$19="x"),(R40="x")*(Besatzung!$F$19="x"))*IFERROR(H40,0)/IFERROR(IF(COUNTIF(J40:U40,"x")=0,SUMPRODUCT((Besatzung!$B$11:$B$22&lt;&gt;"")*(Besatzung!$F$11:$F$22="x")),SUMPRODUCT((J40:U40="x")*(Besatzung!$F$11:$F$22="x"))),1))))),0))))</f>
        <v/>
      </c>
      <c r="AE40" s="106">
        <f>IF(C40="Gutschrift","",IF(G40="","",IF(Besatzung!$B$20="","",IFERROR(IF(I40="Zeitanteilig",(Besatzung!$G$20*(G40-IFERROR(H40,0))+((Besatzung!$B$20&lt;&gt;"")*IF(B40="",1,(IF(Besatzung!$C$20="",Besatzung!$B$5,Besatzung!$C$20)&lt;=B40)*(IF(Besatzung!$D$20="",Besatzung!$B$6,Besatzung!$D$20)&gt;=B40)))*(Besatzung!$F$20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$20&lt;&gt;"")*IF(B40="",1,(IF(Besatzung!$C$20="",Besatzung!$B$5,Besatzung!$C$20)&lt;=B40)*(IF(Besatzung!$D$20="",Besatzung!$B$6,Besatzung!$D$20)&gt;=B40)))*((G40-IFERROR(H40,0))/IFERROR(SUMPRODUCT((Besatzung!$B$11:$B$22&lt;&gt;"")*(IF(Besatzung!$C$11:$C$22="",Besatzung!$B$5,Besatzung!$C$11:$C$22)&lt;=B40)*(IF(Besatzung!$D$11:$D$22="",Besatzung!$B$6,Besatzung!$D$11:$D$22)&gt;=B40)),1)+(Besatzung!$F$20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S40="x")*((G40-IFERROR(H40,0))/IFERROR(COUNTIF(J40:U40,"x"),1)+(Besatzung!$F$20="x")*IFERROR(H40,0)/IFERROR(SUMPRODUCT((J40:U40="x")*(Besatzung!$F$11:$F$22="x")),1))),(IF(COUNTIF(J40:U40,"x")=0,IF(Besatzung!$B$20&lt;&gt;"",1,0),(S40="x"))*(G40-IFERROR(H40,0))/IFERROR(IF(COUNTIF(J40:U40,"x")=0,COUNTA(Besatzung!$B$11:$B$22),COUNTIF(J40:U40,"x")),1)+IF(COUNTIF(J40:U40,"x")=0,(Besatzung!$F$20="x"),(S40="x")*(Besatzung!$F$20="x"))*IFERROR(H40,0)/IFERROR(IF(COUNTIF(J40:U40,"x")=0,SUMPRODUCT((Besatzung!$B$11:$B$22&lt;&gt;"")*(Besatzung!$F$11:$F$22="x")),SUMPRODUCT((J40:U40="x")*(Besatzung!$F$11:$F$22="x"))),1))))),0))))</f>
        <v/>
      </c>
      <c r="AF40" s="106">
        <f>IF(C40="Gutschrift","",IF(G40="","",IF(Besatzung!$B$21="","",IFERROR(IF(I40="Zeitanteilig",(Besatzung!$G$21*(G40-IFERROR(H40,0))+((Besatzung!$B$21&lt;&gt;"")*IF(B40="",1,(IF(Besatzung!$C$21="",Besatzung!$B$5,Besatzung!$C$21)&lt;=B40)*(IF(Besatzung!$D$21="",Besatzung!$B$6,Besatzung!$D$21)&gt;=B40)))*(Besatzung!$F$21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$21&lt;&gt;"")*IF(B40="",1,(IF(Besatzung!$C$21="",Besatzung!$B$5,Besatzung!$C$21)&lt;=B40)*(IF(Besatzung!$D$21="",Besatzung!$B$6,Besatzung!$D$21)&gt;=B40)))*((G40-IFERROR(H40,0))/IFERROR(SUMPRODUCT((Besatzung!$B$11:$B$22&lt;&gt;"")*(IF(Besatzung!$C$11:$C$22="",Besatzung!$B$5,Besatzung!$C$11:$C$22)&lt;=B40)*(IF(Besatzung!$D$11:$D$22="",Besatzung!$B$6,Besatzung!$D$11:$D$22)&gt;=B40)),1)+(Besatzung!$F$21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T40="x")*((G40-IFERROR(H40,0))/IFERROR(COUNTIF(J40:U40,"x"),1)+(Besatzung!$F$21="x")*IFERROR(H40,0)/IFERROR(SUMPRODUCT((J40:U40="x")*(Besatzung!$F$11:$F$22="x")),1))),(IF(COUNTIF(J40:U40,"x")=0,IF(Besatzung!$B$21&lt;&gt;"",1,0),(T40="x"))*(G40-IFERROR(H40,0))/IFERROR(IF(COUNTIF(J40:U40,"x")=0,COUNTA(Besatzung!$B$11:$B$22),COUNTIF(J40:U40,"x")),1)+IF(COUNTIF(J40:U40,"x")=0,(Besatzung!$F$21="x"),(T40="x")*(Besatzung!$F$21="x"))*IFERROR(H40,0)/IFERROR(IF(COUNTIF(J40:U40,"x")=0,SUMPRODUCT((Besatzung!$B$11:$B$22&lt;&gt;"")*(Besatzung!$F$11:$F$22="x")),SUMPRODUCT((J40:U40="x")*(Besatzung!$F$11:$F$22="x"))),1))))),0))))</f>
        <v/>
      </c>
      <c r="AG40" s="106">
        <f>IF(C40="Gutschrift","",IF(G40="","",IF(Besatzung!$B$22="","",IFERROR(IF(I40="Zeitanteilig",(Besatzung!$G$22*(G40-IFERROR(H40,0))+((Besatzung!$B$22&lt;&gt;"")*IF(B40="",1,(IF(Besatzung!$C$22="",Besatzung!$B$5,Besatzung!$C$22)&lt;=B40)*(IF(Besatzung!$D$22="",Besatzung!$B$6,Besatzung!$D$22)&gt;=B40)))*(Besatzung!$F$22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$22&lt;&gt;"")*IF(B40="",1,(IF(Besatzung!$C$22="",Besatzung!$B$5,Besatzung!$C$22)&lt;=B40)*(IF(Besatzung!$D$22="",Besatzung!$B$6,Besatzung!$D$22)&gt;=B40)))*((G40-IFERROR(H40,0))/IFERROR(SUMPRODUCT((Besatzung!$B$11:$B$22&lt;&gt;"")*(IF(Besatzung!$C$11:$C$22="",Besatzung!$B$5,Besatzung!$C$11:$C$22)&lt;=B40)*(IF(Besatzung!$D$11:$D$22="",Besatzung!$B$6,Besatzung!$D$11:$D$22)&gt;=B40)),1)+(Besatzung!$F$22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U40="x")*((G40-IFERROR(H40,0))/IFERROR(COUNTIF(J40:U40,"x"),1)+(Besatzung!$F$22="x")*IFERROR(H40,0)/IFERROR(SUMPRODUCT((J40:U40="x")*(Besatzung!$F$11:$F$22="x")),1))),(IF(COUNTIF(J40:U40,"x")=0,IF(Besatzung!$B$22&lt;&gt;"",1,0),(U40="x"))*(G40-IFERROR(H40,0))/IFERROR(IF(COUNTIF(J40:U40,"x")=0,COUNTA(Besatzung!$B$11:$B$22),COUNTIF(J40:U40,"x")),1)+IF(COUNTIF(J40:U40,"x")=0,(Besatzung!$F$22="x"),(U40="x")*(Besatzung!$F$22="x"))*IFERROR(H40,0)/IFERROR(IF(COUNTIF(J40:U40,"x")=0,SUMPRODUCT((Besatzung!$B$11:$B$22&lt;&gt;"")*(Besatzung!$F$11:$F$22="x")),SUMPRODUCT((J40:U40="x")*(Besatzung!$F$11:$F$22="x"))),1))))),0))))</f>
        <v/>
      </c>
      <c r="AH40" s="107" t="n"/>
      <c r="AI40" s="107" t="n"/>
    </row>
    <row r="41" ht="21.75" customHeight="1" s="182">
      <c r="A41" s="97">
        <f>IF(AND(D41="",C41=""),"",38)</f>
        <v/>
      </c>
      <c r="B41" s="63" t="n"/>
      <c r="C41" s="108" t="n"/>
      <c r="D41" s="109" t="n"/>
      <c r="E41" s="110" t="n"/>
      <c r="F41" s="111" t="n"/>
      <c r="G41" s="112" t="n"/>
      <c r="H41" s="113" t="n"/>
      <c r="I41" s="114" t="n"/>
      <c r="J41" s="115" t="n"/>
      <c r="K41" s="115" t="n"/>
      <c r="L41" s="115" t="n"/>
      <c r="M41" s="115" t="n"/>
      <c r="N41" s="115" t="n"/>
      <c r="O41" s="115" t="n"/>
      <c r="P41" s="115" t="n"/>
      <c r="Q41" s="115" t="n"/>
      <c r="R41" s="115" t="n"/>
      <c r="S41" s="115" t="n"/>
      <c r="T41" s="115" t="n"/>
      <c r="U41" s="115" t="n"/>
      <c r="V41" s="106">
        <f>IF(C41="Gutschrift","",IF(G41="","",IF(Besatzung!$B$11="","",IFERROR(IF(I41="Zeitanteilig",(Besatzung!$G$11*(G41-IFERROR(H41,0))+((Besatzung!$B$11&lt;&gt;"")*IF(B41="",1,(IF(Besatzung!$C$11="",Besatzung!$B$5,Besatzung!$C$11)&lt;=B41)*(IF(Besatzung!$D$11="",Besatzung!$B$6,Besatzung!$D$11)&gt;=B41)))*(Besatzung!$F$11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$11&lt;&gt;"")*IF(B41="",1,(IF(Besatzung!$C$11="",Besatzung!$B$5,Besatzung!$C$11)&lt;=B41)*(IF(Besatzung!$D$11="",Besatzung!$B$6,Besatzung!$D$11)&gt;=B41)))*((G41-IFERROR(H41,0))/IFERROR(SUMPRODUCT((Besatzung!$B$11:$B$22&lt;&gt;"")*(IF(Besatzung!$C$11:$C$22="",Besatzung!$B$5,Besatzung!$C$11:$C$22)&lt;=B41)*(IF(Besatzung!$D$11:$D$22="",Besatzung!$B$6,Besatzung!$D$11:$D$22)&gt;=B41)),1)+(Besatzung!$F$11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J41="x")*((G41-IFERROR(H41,0))/IFERROR(COUNTIF(J41:U41,"x"),1)+(Besatzung!$F$11="x")*IFERROR(H41,0)/IFERROR(SUMPRODUCT((J41:U41="x")*(Besatzung!$F$11:$F$22="x")),1))),(IF(COUNTIF(J41:U41,"x")=0,IF(Besatzung!$B$11&lt;&gt;"",1,0),(J41="x"))*(G41-IFERROR(H41,0))/IFERROR(IF(COUNTIF(J41:U41,"x")=0,COUNTA(Besatzung!$B$11:$B$22),COUNTIF(J41:U41,"x")),1)+IF(COUNTIF(J41:U41,"x")=0,(Besatzung!$F$11="x"),(J41="x")*(Besatzung!$F$11="x"))*IFERROR(H41,0)/IFERROR(IF(COUNTIF(J41:U41,"x")=0,SUMPRODUCT((Besatzung!$B$11:$B$22&lt;&gt;"")*(Besatzung!$F$11:$F$22="x")),SUMPRODUCT((J41:U41="x")*(Besatzung!$F$11:$F$22="x"))),1))))),0))))</f>
        <v/>
      </c>
      <c r="W41" s="106">
        <f>IF(C41="Gutschrift","",IF(G41="","",IF(Besatzung!$B$12="","",IFERROR(IF(I41="Zeitanteilig",(Besatzung!$G$12*(G41-IFERROR(H41,0))+((Besatzung!$B$12&lt;&gt;"")*IF(B41="",1,(IF(Besatzung!$C$12="",Besatzung!$B$5,Besatzung!$C$12)&lt;=B41)*(IF(Besatzung!$D$12="",Besatzung!$B$6,Besatzung!$D$12)&gt;=B41)))*(Besatzung!$F$12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$12&lt;&gt;"")*IF(B41="",1,(IF(Besatzung!$C$12="",Besatzung!$B$5,Besatzung!$C$12)&lt;=B41)*(IF(Besatzung!$D$12="",Besatzung!$B$6,Besatzung!$D$12)&gt;=B41)))*((G41-IFERROR(H41,0))/IFERROR(SUMPRODUCT((Besatzung!$B$11:$B$22&lt;&gt;"")*(IF(Besatzung!$C$11:$C$22="",Besatzung!$B$5,Besatzung!$C$11:$C$22)&lt;=B41)*(IF(Besatzung!$D$11:$D$22="",Besatzung!$B$6,Besatzung!$D$11:$D$22)&gt;=B41)),1)+(Besatzung!$F$12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K41="x")*((G41-IFERROR(H41,0))/IFERROR(COUNTIF(J41:U41,"x"),1)+(Besatzung!$F$12="x")*IFERROR(H41,0)/IFERROR(SUMPRODUCT((J41:U41="x")*(Besatzung!$F$11:$F$22="x")),1))),(IF(COUNTIF(J41:U41,"x")=0,IF(Besatzung!$B$12&lt;&gt;"",1,0),(K41="x"))*(G41-IFERROR(H41,0))/IFERROR(IF(COUNTIF(J41:U41,"x")=0,COUNTA(Besatzung!$B$11:$B$22),COUNTIF(J41:U41,"x")),1)+IF(COUNTIF(J41:U41,"x")=0,(Besatzung!$F$12="x"),(K41="x")*(Besatzung!$F$12="x"))*IFERROR(H41,0)/IFERROR(IF(COUNTIF(J41:U41,"x")=0,SUMPRODUCT((Besatzung!$B$11:$B$22&lt;&gt;"")*(Besatzung!$F$11:$F$22="x")),SUMPRODUCT((J41:U41="x")*(Besatzung!$F$11:$F$22="x"))),1))))),0))))</f>
        <v/>
      </c>
      <c r="X41" s="106">
        <f>IF(C41="Gutschrift","",IF(G41="","",IF(Besatzung!$B$13="","",IFERROR(IF(I41="Zeitanteilig",(Besatzung!$G$13*(G41-IFERROR(H41,0))+((Besatzung!$B$13&lt;&gt;"")*IF(B41="",1,(IF(Besatzung!$C$13="",Besatzung!$B$5,Besatzung!$C$13)&lt;=B41)*(IF(Besatzung!$D$13="",Besatzung!$B$6,Besatzung!$D$13)&gt;=B41)))*(Besatzung!$F$13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$13&lt;&gt;"")*IF(B41="",1,(IF(Besatzung!$C$13="",Besatzung!$B$5,Besatzung!$C$13)&lt;=B41)*(IF(Besatzung!$D$13="",Besatzung!$B$6,Besatzung!$D$13)&gt;=B41)))*((G41-IFERROR(H41,0))/IFERROR(SUMPRODUCT((Besatzung!$B$11:$B$22&lt;&gt;"")*(IF(Besatzung!$C$11:$C$22="",Besatzung!$B$5,Besatzung!$C$11:$C$22)&lt;=B41)*(IF(Besatzung!$D$11:$D$22="",Besatzung!$B$6,Besatzung!$D$11:$D$22)&gt;=B41)),1)+(Besatzung!$F$13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K41="x")*((G41-IFERROR(H41,0))/IFERROR(COUNTIF(J41:U41,"x"),1)+(Besatzung!$F$13="x")*IFERROR(H41,0)/IFERROR(SUMPRODUCT((J41:U41="x")*(Besatzung!$F$11:$F$22="x")),1))),(IF(COUNTIF(J41:U41,"x")=0,IF(Besatzung!$B$13&lt;&gt;"",1,0),(K41="x"))*(G41-IFERROR(H41,0))/IFERROR(IF(COUNTIF(J41:U41,"x")=0,COUNTA(Besatzung!$B$11:$B$22),COUNTIF(J41:U41,"x")),1)+IF(COUNTIF(J41:U41,"x")=0,(Besatzung!$F$13="x"),(K41="x")*(Besatzung!$F$13="x"))*IFERROR(H41,0)/IFERROR(IF(COUNTIF(J41:U41,"x")=0,SUMPRODUCT((Besatzung!$B$11:$B$22&lt;&gt;"")*(Besatzung!$F$11:$F$22="x")),SUMPRODUCT((J41:U41="x")*(Besatzung!$F$11:$F$22="x"))),1))))),0))))</f>
        <v/>
      </c>
      <c r="Y41" s="106">
        <f>IF(C41="Gutschrift","",IF(G41="","",IF(Besatzung!$B$14="","",IFERROR(IF(I41="Zeitanteilig",(Besatzung!$G$14*(G41-IFERROR(H41,0))+((Besatzung!$B$14&lt;&gt;"")*IF(B41="",1,(IF(Besatzung!$C$14="",Besatzung!$B$5,Besatzung!$C$14)&lt;=B41)*(IF(Besatzung!$D$14="",Besatzung!$B$6,Besatzung!$D$14)&gt;=B41)))*(Besatzung!$F$14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$14&lt;&gt;"")*IF(B41="",1,(IF(Besatzung!$C$14="",Besatzung!$B$5,Besatzung!$C$14)&lt;=B41)*(IF(Besatzung!$D$14="",Besatzung!$B$6,Besatzung!$D$14)&gt;=B41)))*((G41-IFERROR(H41,0))/IFERROR(SUMPRODUCT((Besatzung!$B$11:$B$22&lt;&gt;"")*(IF(Besatzung!$C$11:$C$22="",Besatzung!$B$5,Besatzung!$C$11:$C$22)&lt;=B41)*(IF(Besatzung!$D$11:$D$22="",Besatzung!$B$6,Besatzung!$D$11:$D$22)&gt;=B41)),1)+(Besatzung!$F$14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M41="x")*((G41-IFERROR(H41,0))/IFERROR(COUNTIF(J41:U41,"x"),1)+(Besatzung!$F$14="x")*IFERROR(H41,0)/IFERROR(SUMPRODUCT((J41:U41="x")*(Besatzung!$F$11:$F$22="x")),1))),(IF(COUNTIF(J41:U41,"x")=0,IF(Besatzung!$B$14&lt;&gt;"",1,0),(M41="x"))*(G41-IFERROR(H41,0))/IFERROR(IF(COUNTIF(J41:U41,"x")=0,COUNTA(Besatzung!$B$11:$B$22),COUNTIF(J41:U41,"x")),1)+IF(COUNTIF(J41:U41,"x")=0,(Besatzung!$F$14="x"),(M41="x")*(Besatzung!$F$14="x"))*IFERROR(H41,0)/IFERROR(IF(COUNTIF(J41:U41,"x")=0,SUMPRODUCT((Besatzung!$B$11:$B$22&lt;&gt;"")*(Besatzung!$F$11:$F$22="x")),SUMPRODUCT((J41:U41="x")*(Besatzung!$F$11:$F$22="x"))),1))))),0))))</f>
        <v/>
      </c>
      <c r="Z41" s="106">
        <f>IF(C41="Gutschrift","",IF(G41="","",IF(Besatzung!$B$13="","",IFERROR(IF(I41="Zeitanteilig",(Besatzung!$G$15*(G41-IFERROR(H41,0))+((Besatzung!$B$13&lt;&gt;"")*IF(B41="",1,(IF(Besatzung!$C$15="",Besatzung!$B$5,Besatzung!$C$15)&lt;=B41)*(IF(Besatzung!$D$15="",Besatzung!$B$6,Besatzung!$D$15)&gt;=B41)))*(Besatzung!$F$15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$13&lt;&gt;"")*IF(B41="",1,(IF(Besatzung!$C$15="",Besatzung!$B$5,Besatzung!$C$15)&lt;=B41)*(IF(Besatzung!$D$15="",Besatzung!$B$6,Besatzung!$D$15)&gt;=B41)))*((G41-IFERROR(H41,0))/IFERROR(SUMPRODUCT((Besatzung!$B$11:$B$22&lt;&gt;"")*(IF(Besatzung!$C$11:$C$22="",Besatzung!$B$5,Besatzung!$C$11:$C$22)&lt;=B41)*(IF(Besatzung!$D$11:$D$22="",Besatzung!$B$6,Besatzung!$D$11:$D$22)&gt;=B41)),1)+(Besatzung!$F$15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N41="x")*((G41-IFERROR(H41,0))/IFERROR(COUNTIF(J41:U41,"x"),1)+(Besatzung!$F$15="x")*IFERROR(H41,0)/IFERROR(SUMPRODUCT((J41:U41="x")*(Besatzung!$F$11:$F$22="x")),1))),(IF(COUNTIF(J41:U41,"x")=0,IF(Besatzung!$B$13&lt;&gt;"",1,0),(N41="x"))*(G41-IFERROR(H41,0))/IFERROR(IF(COUNTIF(J41:U41,"x")=0,COUNTA(Besatzung!$B$11:$B$22),COUNTIF(J41:U41,"x")),1)+IF(COUNTIF(J41:U41,"x")=0,(Besatzung!$F$15="x"),(N41="x")*(Besatzung!$F$15="x"))*IFERROR(H41,0)/IFERROR(IF(COUNTIF(J41:U41,"x")=0,SUMPRODUCT((Besatzung!$B$11:$B$22&lt;&gt;"")*(Besatzung!$F$11:$F$22="x")),SUMPRODUCT((J41:U41="x")*(Besatzung!$F$11:$F$22="x"))),1))))),0))))</f>
        <v/>
      </c>
      <c r="AA41" s="106">
        <f>IF(C41="Gutschrift","",IF(G41="","",IF(Besatzung!$B$15="","",IFERROR(IF(I41="Zeitanteilig",(Besatzung!$G$16*(G41-IFERROR(H41,0))+((Besatzung!$B$15&lt;&gt;"")*IF(B41="",1,(IF(Besatzung!$C$16="",Besatzung!$B$5,Besatzung!$C$16)&lt;=B41)*(IF(Besatzung!$D$16="",Besatzung!$B$6,Besatzung!$D$16)&gt;=B41)))*(Besatzung!$F$16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$15&lt;&gt;"")*IF(B41="",1,(IF(Besatzung!$C$16="",Besatzung!$B$5,Besatzung!$C$16)&lt;=B41)*(IF(Besatzung!$D$16="",Besatzung!$B$6,Besatzung!$D$16)&gt;=B41)))*((G41-IFERROR(H41,0))/IFERROR(SUMPRODUCT((Besatzung!$B$11:$B$22&lt;&gt;"")*(IF(Besatzung!$C$11:$C$22="",Besatzung!$B$5,Besatzung!$C$11:$C$22)&lt;=B41)*(IF(Besatzung!$D$11:$D$22="",Besatzung!$B$6,Besatzung!$D$11:$D$22)&gt;=B41)),1)+(Besatzung!$F$16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O41="x")*((G41-IFERROR(H41,0))/IFERROR(COUNTIF(J41:U41,"x"),1)+(Besatzung!$F$16="x")*IFERROR(H41,0)/IFERROR(SUMPRODUCT((J41:U41="x")*(Besatzung!$F$11:$F$22="x")),1))),(IF(COUNTIF(J41:U41,"x")=0,IF(Besatzung!$B$15&lt;&gt;"",1,0),(O41="x"))*(G41-IFERROR(H41,0))/IFERROR(IF(COUNTIF(J41:U41,"x")=0,COUNTA(Besatzung!$B$11:$B$22),COUNTIF(J41:U41,"x")),1)+IF(COUNTIF(J41:U41,"x")=0,(Besatzung!$F$16="x"),(O41="x")*(Besatzung!$F$16="x"))*IFERROR(H41,0)/IFERROR(IF(COUNTIF(J41:U41,"x")=0,SUMPRODUCT((Besatzung!$B$11:$B$22&lt;&gt;"")*(Besatzung!$F$11:$F$22="x")),SUMPRODUCT((J41:U41="x")*(Besatzung!$F$11:$F$22="x"))),1))))),0))))</f>
        <v/>
      </c>
      <c r="AB41" s="106">
        <f>IF(C41="Gutschrift","",IF(G41="","",IF(Besatzung!$B$17="","",IFERROR(IF(I41="Zeitanteilig",(Besatzung!$G$17*(G41-IFERROR(H41,0))+((Besatzung!$B$17&lt;&gt;"")*IF(B41="",1,(IF(Besatzung!$C$17="",Besatzung!$B$5,Besatzung!$C$17)&lt;=B41)*(IF(Besatzung!$D$17="",Besatzung!$B$6,Besatzung!$D$17)&gt;=B41)))*(Besatzung!$F$17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$17&lt;&gt;"")*IF(B41="",1,(IF(Besatzung!$C$17="",Besatzung!$B$5,Besatzung!$C$17)&lt;=B41)*(IF(Besatzung!$D$17="",Besatzung!$B$6,Besatzung!$D$17)&gt;=B41)))*((G41-IFERROR(H41,0))/IFERROR(SUMPRODUCT((Besatzung!$B$11:$B$22&lt;&gt;"")*(IF(Besatzung!$C$11:$C$22="",Besatzung!$B$5,Besatzung!$C$11:$C$22)&lt;=B41)*(IF(Besatzung!$D$11:$D$22="",Besatzung!$B$6,Besatzung!$D$11:$D$22)&gt;=B41)),1)+(Besatzung!$F$17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P41="x")*((G41-IFERROR(H41,0))/IFERROR(COUNTIF(J41:U41,"x"),1)+(Besatzung!$F$17="x")*IFERROR(H41,0)/IFERROR(SUMPRODUCT((J41:U41="x")*(Besatzung!$F$11:$F$22="x")),1))),(IF(COUNTIF(J41:U41,"x")=0,IF(Besatzung!$B$17&lt;&gt;"",1,0),(P41="x"))*(G41-IFERROR(H41,0))/IFERROR(IF(COUNTIF(J41:U41,"x")=0,COUNTA(Besatzung!$B$11:$B$22),COUNTIF(J41:U41,"x")),1)+IF(COUNTIF(J41:U41,"x")=0,(Besatzung!$F$17="x"),(P41="x")*(Besatzung!$F$17="x"))*IFERROR(H41,0)/IFERROR(IF(COUNTIF(J41:U41,"x")=0,SUMPRODUCT((Besatzung!$B$11:$B$22&lt;&gt;"")*(Besatzung!$F$11:$F$22="x")),SUMPRODUCT((J41:U41="x")*(Besatzung!$F$11:$F$22="x"))),1))))),0))))</f>
        <v/>
      </c>
      <c r="AC41" s="106">
        <f>IF(C41="Gutschrift","",IF(G41="","",IF(Besatzung!$B$18="","",IFERROR(IF(I41="Zeitanteilig",(Besatzung!$G$18*(G41-IFERROR(H41,0))+((Besatzung!$B$18&lt;&gt;"")*IF(B41="",1,(IF(Besatzung!$C$18="",Besatzung!$B$5,Besatzung!$C$18)&lt;=B41)*(IF(Besatzung!$D$18="",Besatzung!$B$6,Besatzung!$D$18)&gt;=B41)))*(Besatzung!$F$18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$18&lt;&gt;"")*IF(B41="",1,(IF(Besatzung!$C$18="",Besatzung!$B$5,Besatzung!$C$18)&lt;=B41)*(IF(Besatzung!$D$18="",Besatzung!$B$6,Besatzung!$D$18)&gt;=B41)))*((G41-IFERROR(H41,0))/IFERROR(SUMPRODUCT((Besatzung!$B$11:$B$22&lt;&gt;"")*(IF(Besatzung!$C$11:$C$22="",Besatzung!$B$5,Besatzung!$C$11:$C$22)&lt;=B41)*(IF(Besatzung!$D$11:$D$22="",Besatzung!$B$6,Besatzung!$D$11:$D$22)&gt;=B41)),1)+(Besatzung!$F$18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Q41="x")*((G41-IFERROR(H41,0))/IFERROR(COUNTIF(J41:U41,"x"),1)+(Besatzung!$F$18="x")*IFERROR(H41,0)/IFERROR(SUMPRODUCT((J41:U41="x")*(Besatzung!$F$11:$F$22="x")),1))),(IF(COUNTIF(J41:U41,"x")=0,IF(Besatzung!$B$18&lt;&gt;"",1,0),(Q41="x"))*(G41-IFERROR(H41,0))/IFERROR(IF(COUNTIF(J41:U41,"x")=0,COUNTA(Besatzung!$B$11:$B$22),COUNTIF(J41:U41,"x")),1)+IF(COUNTIF(J41:U41,"x")=0,(Besatzung!$F$18="x"),(Q41="x")*(Besatzung!$F$18="x"))*IFERROR(H41,0)/IFERROR(IF(COUNTIF(J41:U41,"x")=0,SUMPRODUCT((Besatzung!$B$11:$B$22&lt;&gt;"")*(Besatzung!$F$11:$F$22="x")),SUMPRODUCT((J41:U41="x")*(Besatzung!$F$11:$F$22="x"))),1))))),0))))</f>
        <v/>
      </c>
      <c r="AD41" s="106">
        <f>IF(C41="Gutschrift","",IF(G41="","",IF(Besatzung!$B$19="","",IFERROR(IF(I41="Zeitanteilig",(Besatzung!$G$19*(G41-IFERROR(H41,0))+((Besatzung!$B$19&lt;&gt;"")*IF(B41="",1,(IF(Besatzung!$C$19="",Besatzung!$B$5,Besatzung!$C$19)&lt;=B41)*(IF(Besatzung!$D$19="",Besatzung!$B$6,Besatzung!$D$19)&gt;=B41)))*(Besatzung!$F$19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$19&lt;&gt;"")*IF(B41="",1,(IF(Besatzung!$C$19="",Besatzung!$B$5,Besatzung!$C$19)&lt;=B41)*(IF(Besatzung!$D$19="",Besatzung!$B$6,Besatzung!$D$19)&gt;=B41)))*((G41-IFERROR(H41,0))/IFERROR(SUMPRODUCT((Besatzung!$B$11:$B$22&lt;&gt;"")*(IF(Besatzung!$C$11:$C$22="",Besatzung!$B$5,Besatzung!$C$11:$C$22)&lt;=B41)*(IF(Besatzung!$D$11:$D$22="",Besatzung!$B$6,Besatzung!$D$11:$D$22)&gt;=B41)),1)+(Besatzung!$F$19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R41="x")*((G41-IFERROR(H41,0))/IFERROR(COUNTIF(J41:U41,"x"),1)+(Besatzung!$F$19="x")*IFERROR(H41,0)/IFERROR(SUMPRODUCT((J41:U41="x")*(Besatzung!$F$11:$F$22="x")),1))),(IF(COUNTIF(J41:U41,"x")=0,IF(Besatzung!$B$19&lt;&gt;"",1,0),(R41="x"))*(G41-IFERROR(H41,0))/IFERROR(IF(COUNTIF(J41:U41,"x")=0,COUNTA(Besatzung!$B$11:$B$22),COUNTIF(J41:U41,"x")),1)+IF(COUNTIF(J41:U41,"x")=0,(Besatzung!$F$19="x"),(R41="x")*(Besatzung!$F$19="x"))*IFERROR(H41,0)/IFERROR(IF(COUNTIF(J41:U41,"x")=0,SUMPRODUCT((Besatzung!$B$11:$B$22&lt;&gt;"")*(Besatzung!$F$11:$F$22="x")),SUMPRODUCT((J41:U41="x")*(Besatzung!$F$11:$F$22="x"))),1))))),0))))</f>
        <v/>
      </c>
      <c r="AE41" s="106">
        <f>IF(C41="Gutschrift","",IF(G41="","",IF(Besatzung!$B$20="","",IFERROR(IF(I41="Zeitanteilig",(Besatzung!$G$20*(G41-IFERROR(H41,0))+((Besatzung!$B$20&lt;&gt;"")*IF(B41="",1,(IF(Besatzung!$C$20="",Besatzung!$B$5,Besatzung!$C$20)&lt;=B41)*(IF(Besatzung!$D$20="",Besatzung!$B$6,Besatzung!$D$20)&gt;=B41)))*(Besatzung!$F$20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$20&lt;&gt;"")*IF(B41="",1,(IF(Besatzung!$C$20="",Besatzung!$B$5,Besatzung!$C$20)&lt;=B41)*(IF(Besatzung!$D$20="",Besatzung!$B$6,Besatzung!$D$20)&gt;=B41)))*((G41-IFERROR(H41,0))/IFERROR(SUMPRODUCT((Besatzung!$B$11:$B$22&lt;&gt;"")*(IF(Besatzung!$C$11:$C$22="",Besatzung!$B$5,Besatzung!$C$11:$C$22)&lt;=B41)*(IF(Besatzung!$D$11:$D$22="",Besatzung!$B$6,Besatzung!$D$11:$D$22)&gt;=B41)),1)+(Besatzung!$F$20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S41="x")*((G41-IFERROR(H41,0))/IFERROR(COUNTIF(J41:U41,"x"),1)+(Besatzung!$F$20="x")*IFERROR(H41,0)/IFERROR(SUMPRODUCT((J41:U41="x")*(Besatzung!$F$11:$F$22="x")),1))),(IF(COUNTIF(J41:U41,"x")=0,IF(Besatzung!$B$20&lt;&gt;"",1,0),(S41="x"))*(G41-IFERROR(H41,0))/IFERROR(IF(COUNTIF(J41:U41,"x")=0,COUNTA(Besatzung!$B$11:$B$22),COUNTIF(J41:U41,"x")),1)+IF(COUNTIF(J41:U41,"x")=0,(Besatzung!$F$20="x"),(S41="x")*(Besatzung!$F$20="x"))*IFERROR(H41,0)/IFERROR(IF(COUNTIF(J41:U41,"x")=0,SUMPRODUCT((Besatzung!$B$11:$B$22&lt;&gt;"")*(Besatzung!$F$11:$F$22="x")),SUMPRODUCT((J41:U41="x")*(Besatzung!$F$11:$F$22="x"))),1))))),0))))</f>
        <v/>
      </c>
      <c r="AF41" s="106">
        <f>IF(C41="Gutschrift","",IF(G41="","",IF(Besatzung!$B$21="","",IFERROR(IF(I41="Zeitanteilig",(Besatzung!$G$21*(G41-IFERROR(H41,0))+((Besatzung!$B$21&lt;&gt;"")*IF(B41="",1,(IF(Besatzung!$C$21="",Besatzung!$B$5,Besatzung!$C$21)&lt;=B41)*(IF(Besatzung!$D$21="",Besatzung!$B$6,Besatzung!$D$21)&gt;=B41)))*(Besatzung!$F$21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$21&lt;&gt;"")*IF(B41="",1,(IF(Besatzung!$C$21="",Besatzung!$B$5,Besatzung!$C$21)&lt;=B41)*(IF(Besatzung!$D$21="",Besatzung!$B$6,Besatzung!$D$21)&gt;=B41)))*((G41-IFERROR(H41,0))/IFERROR(SUMPRODUCT((Besatzung!$B$11:$B$22&lt;&gt;"")*(IF(Besatzung!$C$11:$C$22="",Besatzung!$B$5,Besatzung!$C$11:$C$22)&lt;=B41)*(IF(Besatzung!$D$11:$D$22="",Besatzung!$B$6,Besatzung!$D$11:$D$22)&gt;=B41)),1)+(Besatzung!$F$21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T41="x")*((G41-IFERROR(H41,0))/IFERROR(COUNTIF(J41:U41,"x"),1)+(Besatzung!$F$21="x")*IFERROR(H41,0)/IFERROR(SUMPRODUCT((J41:U41="x")*(Besatzung!$F$11:$F$22="x")),1))),(IF(COUNTIF(J41:U41,"x")=0,IF(Besatzung!$B$21&lt;&gt;"",1,0),(T41="x"))*(G41-IFERROR(H41,0))/IFERROR(IF(COUNTIF(J41:U41,"x")=0,COUNTA(Besatzung!$B$11:$B$22),COUNTIF(J41:U41,"x")),1)+IF(COUNTIF(J41:U41,"x")=0,(Besatzung!$F$21="x"),(T41="x")*(Besatzung!$F$21="x"))*IFERROR(H41,0)/IFERROR(IF(COUNTIF(J41:U41,"x")=0,SUMPRODUCT((Besatzung!$B$11:$B$22&lt;&gt;"")*(Besatzung!$F$11:$F$22="x")),SUMPRODUCT((J41:U41="x")*(Besatzung!$F$11:$F$22="x"))),1))))),0))))</f>
        <v/>
      </c>
      <c r="AG41" s="106">
        <f>IF(C41="Gutschrift","",IF(G41="","",IF(Besatzung!$B$22="","",IFERROR(IF(I41="Zeitanteilig",(Besatzung!$G$22*(G41-IFERROR(H41,0))+((Besatzung!$B$22&lt;&gt;"")*IF(B41="",1,(IF(Besatzung!$C$22="",Besatzung!$B$5,Besatzung!$C$22)&lt;=B41)*(IF(Besatzung!$D$22="",Besatzung!$B$6,Besatzung!$D$22)&gt;=B41)))*(Besatzung!$F$22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$22&lt;&gt;"")*IF(B41="",1,(IF(Besatzung!$C$22="",Besatzung!$B$5,Besatzung!$C$22)&lt;=B41)*(IF(Besatzung!$D$22="",Besatzung!$B$6,Besatzung!$D$22)&gt;=B41)))*((G41-IFERROR(H41,0))/IFERROR(SUMPRODUCT((Besatzung!$B$11:$B$22&lt;&gt;"")*(IF(Besatzung!$C$11:$C$22="",Besatzung!$B$5,Besatzung!$C$11:$C$22)&lt;=B41)*(IF(Besatzung!$D$11:$D$22="",Besatzung!$B$6,Besatzung!$D$11:$D$22)&gt;=B41)),1)+(Besatzung!$F$22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U41="x")*((G41-IFERROR(H41,0))/IFERROR(COUNTIF(J41:U41,"x"),1)+(Besatzung!$F$22="x")*IFERROR(H41,0)/IFERROR(SUMPRODUCT((J41:U41="x")*(Besatzung!$F$11:$F$22="x")),1))),(IF(COUNTIF(J41:U41,"x")=0,IF(Besatzung!$B$22&lt;&gt;"",1,0),(U41="x"))*(G41-IFERROR(H41,0))/IFERROR(IF(COUNTIF(J41:U41,"x")=0,COUNTA(Besatzung!$B$11:$B$22),COUNTIF(J41:U41,"x")),1)+IF(COUNTIF(J41:U41,"x")=0,(Besatzung!$F$22="x"),(U41="x")*(Besatzung!$F$22="x"))*IFERROR(H41,0)/IFERROR(IF(COUNTIF(J41:U41,"x")=0,SUMPRODUCT((Besatzung!$B$11:$B$22&lt;&gt;"")*(Besatzung!$F$11:$F$22="x")),SUMPRODUCT((J41:U41="x")*(Besatzung!$F$11:$F$22="x"))),1))))),0))))</f>
        <v/>
      </c>
      <c r="AH41" s="107" t="n"/>
      <c r="AI41" s="107" t="n"/>
    </row>
    <row r="42" ht="21.75" customHeight="1" s="182">
      <c r="A42" s="97">
        <f>IF(AND(D42="",C42=""),"",39)</f>
        <v/>
      </c>
      <c r="B42" s="56" t="n"/>
      <c r="C42" s="98" t="n"/>
      <c r="D42" s="99" t="n"/>
      <c r="E42" s="100" t="n"/>
      <c r="F42" s="101" t="n"/>
      <c r="G42" s="102" t="n"/>
      <c r="H42" s="103" t="n"/>
      <c r="I42" s="104" t="n"/>
      <c r="J42" s="105" t="n"/>
      <c r="K42" s="105" t="n"/>
      <c r="L42" s="105" t="n"/>
      <c r="M42" s="105" t="n"/>
      <c r="N42" s="105" t="n"/>
      <c r="O42" s="105" t="n"/>
      <c r="P42" s="105" t="n"/>
      <c r="Q42" s="105" t="n"/>
      <c r="R42" s="105" t="n"/>
      <c r="S42" s="105" t="n"/>
      <c r="T42" s="105" t="n"/>
      <c r="U42" s="105" t="n"/>
      <c r="V42" s="106">
        <f>IF(C42="Gutschrift","",IF(G42="","",IF(Besatzung!$B$11="","",IFERROR(IF(I42="Zeitanteilig",(Besatzung!$G$11*(G42-IFERROR(H42,0))+((Besatzung!$B$11&lt;&gt;"")*IF(B42="",1,(IF(Besatzung!$C$11="",Besatzung!$B$5,Besatzung!$C$11)&lt;=B42)*(IF(Besatzung!$D$11="",Besatzung!$B$6,Besatzung!$D$11)&gt;=B42)))*(Besatzung!$F$11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$11&lt;&gt;"")*IF(B42="",1,(IF(Besatzung!$C$11="",Besatzung!$B$5,Besatzung!$C$11)&lt;=B42)*(IF(Besatzung!$D$11="",Besatzung!$B$6,Besatzung!$D$11)&gt;=B42)))*((G42-IFERROR(H42,0))/IFERROR(SUMPRODUCT((Besatzung!$B$11:$B$22&lt;&gt;"")*(IF(Besatzung!$C$11:$C$22="",Besatzung!$B$5,Besatzung!$C$11:$C$22)&lt;=B42)*(IF(Besatzung!$D$11:$D$22="",Besatzung!$B$6,Besatzung!$D$11:$D$22)&gt;=B42)),1)+(Besatzung!$F$11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J42="x")*((G42-IFERROR(H42,0))/IFERROR(COUNTIF(J42:U42,"x"),1)+(Besatzung!$F$11="x")*IFERROR(H42,0)/IFERROR(SUMPRODUCT((J42:U42="x")*(Besatzung!$F$11:$F$22="x")),1))),(IF(COUNTIF(J42:U42,"x")=0,IF(Besatzung!$B$11&lt;&gt;"",1,0),(J42="x"))*(G42-IFERROR(H42,0))/IFERROR(IF(COUNTIF(J42:U42,"x")=0,COUNTA(Besatzung!$B$11:$B$22),COUNTIF(J42:U42,"x")),1)+IF(COUNTIF(J42:U42,"x")=0,(Besatzung!$F$11="x"),(J42="x")*(Besatzung!$F$11="x"))*IFERROR(H42,0)/IFERROR(IF(COUNTIF(J42:U42,"x")=0,SUMPRODUCT((Besatzung!$B$11:$B$22&lt;&gt;"")*(Besatzung!$F$11:$F$22="x")),SUMPRODUCT((J42:U42="x")*(Besatzung!$F$11:$F$22="x"))),1))))),0))))</f>
        <v/>
      </c>
      <c r="W42" s="106">
        <f>IF(C42="Gutschrift","",IF(G42="","",IF(Besatzung!$B$12="","",IFERROR(IF(I42="Zeitanteilig",(Besatzung!$G$12*(G42-IFERROR(H42,0))+((Besatzung!$B$12&lt;&gt;"")*IF(B42="",1,(IF(Besatzung!$C$12="",Besatzung!$B$5,Besatzung!$C$12)&lt;=B42)*(IF(Besatzung!$D$12="",Besatzung!$B$6,Besatzung!$D$12)&gt;=B42)))*(Besatzung!$F$12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$12&lt;&gt;"")*IF(B42="",1,(IF(Besatzung!$C$12="",Besatzung!$B$5,Besatzung!$C$12)&lt;=B42)*(IF(Besatzung!$D$12="",Besatzung!$B$6,Besatzung!$D$12)&gt;=B42)))*((G42-IFERROR(H42,0))/IFERROR(SUMPRODUCT((Besatzung!$B$11:$B$22&lt;&gt;"")*(IF(Besatzung!$C$11:$C$22="",Besatzung!$B$5,Besatzung!$C$11:$C$22)&lt;=B42)*(IF(Besatzung!$D$11:$D$22="",Besatzung!$B$6,Besatzung!$D$11:$D$22)&gt;=B42)),1)+(Besatzung!$F$12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K42="x")*((G42-IFERROR(H42,0))/IFERROR(COUNTIF(J42:U42,"x"),1)+(Besatzung!$F$12="x")*IFERROR(H42,0)/IFERROR(SUMPRODUCT((J42:U42="x")*(Besatzung!$F$11:$F$22="x")),1))),(IF(COUNTIF(J42:U42,"x")=0,IF(Besatzung!$B$12&lt;&gt;"",1,0),(K42="x"))*(G42-IFERROR(H42,0))/IFERROR(IF(COUNTIF(J42:U42,"x")=0,COUNTA(Besatzung!$B$11:$B$22),COUNTIF(J42:U42,"x")),1)+IF(COUNTIF(J42:U42,"x")=0,(Besatzung!$F$12="x"),(K42="x")*(Besatzung!$F$12="x"))*IFERROR(H42,0)/IFERROR(IF(COUNTIF(J42:U42,"x")=0,SUMPRODUCT((Besatzung!$B$11:$B$22&lt;&gt;"")*(Besatzung!$F$11:$F$22="x")),SUMPRODUCT((J42:U42="x")*(Besatzung!$F$11:$F$22="x"))),1))))),0))))</f>
        <v/>
      </c>
      <c r="X42" s="106">
        <f>IF(C42="Gutschrift","",IF(G42="","",IF(Besatzung!$B$13="","",IFERROR(IF(I42="Zeitanteilig",(Besatzung!$G$13*(G42-IFERROR(H42,0))+((Besatzung!$B$13&lt;&gt;"")*IF(B42="",1,(IF(Besatzung!$C$13="",Besatzung!$B$5,Besatzung!$C$13)&lt;=B42)*(IF(Besatzung!$D$13="",Besatzung!$B$6,Besatzung!$D$13)&gt;=B42)))*(Besatzung!$F$13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$13&lt;&gt;"")*IF(B42="",1,(IF(Besatzung!$C$13="",Besatzung!$B$5,Besatzung!$C$13)&lt;=B42)*(IF(Besatzung!$D$13="",Besatzung!$B$6,Besatzung!$D$13)&gt;=B42)))*((G42-IFERROR(H42,0))/IFERROR(SUMPRODUCT((Besatzung!$B$11:$B$22&lt;&gt;"")*(IF(Besatzung!$C$11:$C$22="",Besatzung!$B$5,Besatzung!$C$11:$C$22)&lt;=B42)*(IF(Besatzung!$D$11:$D$22="",Besatzung!$B$6,Besatzung!$D$11:$D$22)&gt;=B42)),1)+(Besatzung!$F$13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K42="x")*((G42-IFERROR(H42,0))/IFERROR(COUNTIF(J42:U42,"x"),1)+(Besatzung!$F$13="x")*IFERROR(H42,0)/IFERROR(SUMPRODUCT((J42:U42="x")*(Besatzung!$F$11:$F$22="x")),1))),(IF(COUNTIF(J42:U42,"x")=0,IF(Besatzung!$B$13&lt;&gt;"",1,0),(K42="x"))*(G42-IFERROR(H42,0))/IFERROR(IF(COUNTIF(J42:U42,"x")=0,COUNTA(Besatzung!$B$11:$B$22),COUNTIF(J42:U42,"x")),1)+IF(COUNTIF(J42:U42,"x")=0,(Besatzung!$F$13="x"),(K42="x")*(Besatzung!$F$13="x"))*IFERROR(H42,0)/IFERROR(IF(COUNTIF(J42:U42,"x")=0,SUMPRODUCT((Besatzung!$B$11:$B$22&lt;&gt;"")*(Besatzung!$F$11:$F$22="x")),SUMPRODUCT((J42:U42="x")*(Besatzung!$F$11:$F$22="x"))),1))))),0))))</f>
        <v/>
      </c>
      <c r="Y42" s="106">
        <f>IF(C42="Gutschrift","",IF(G42="","",IF(Besatzung!$B$14="","",IFERROR(IF(I42="Zeitanteilig",(Besatzung!$G$14*(G42-IFERROR(H42,0))+((Besatzung!$B$14&lt;&gt;"")*IF(B42="",1,(IF(Besatzung!$C$14="",Besatzung!$B$5,Besatzung!$C$14)&lt;=B42)*(IF(Besatzung!$D$14="",Besatzung!$B$6,Besatzung!$D$14)&gt;=B42)))*(Besatzung!$F$14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$14&lt;&gt;"")*IF(B42="",1,(IF(Besatzung!$C$14="",Besatzung!$B$5,Besatzung!$C$14)&lt;=B42)*(IF(Besatzung!$D$14="",Besatzung!$B$6,Besatzung!$D$14)&gt;=B42)))*((G42-IFERROR(H42,0))/IFERROR(SUMPRODUCT((Besatzung!$B$11:$B$22&lt;&gt;"")*(IF(Besatzung!$C$11:$C$22="",Besatzung!$B$5,Besatzung!$C$11:$C$22)&lt;=B42)*(IF(Besatzung!$D$11:$D$22="",Besatzung!$B$6,Besatzung!$D$11:$D$22)&gt;=B42)),1)+(Besatzung!$F$14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M42="x")*((G42-IFERROR(H42,0))/IFERROR(COUNTIF(J42:U42,"x"),1)+(Besatzung!$F$14="x")*IFERROR(H42,0)/IFERROR(SUMPRODUCT((J42:U42="x")*(Besatzung!$F$11:$F$22="x")),1))),(IF(COUNTIF(J42:U42,"x")=0,IF(Besatzung!$B$14&lt;&gt;"",1,0),(M42="x"))*(G42-IFERROR(H42,0))/IFERROR(IF(COUNTIF(J42:U42,"x")=0,COUNTA(Besatzung!$B$11:$B$22),COUNTIF(J42:U42,"x")),1)+IF(COUNTIF(J42:U42,"x")=0,(Besatzung!$F$14="x"),(M42="x")*(Besatzung!$F$14="x"))*IFERROR(H42,0)/IFERROR(IF(COUNTIF(J42:U42,"x")=0,SUMPRODUCT((Besatzung!$B$11:$B$22&lt;&gt;"")*(Besatzung!$F$11:$F$22="x")),SUMPRODUCT((J42:U42="x")*(Besatzung!$F$11:$F$22="x"))),1))))),0))))</f>
        <v/>
      </c>
      <c r="Z42" s="106">
        <f>IF(C42="Gutschrift","",IF(G42="","",IF(Besatzung!$B$13="","",IFERROR(IF(I42="Zeitanteilig",(Besatzung!$G$15*(G42-IFERROR(H42,0))+((Besatzung!$B$13&lt;&gt;"")*IF(B42="",1,(IF(Besatzung!$C$15="",Besatzung!$B$5,Besatzung!$C$15)&lt;=B42)*(IF(Besatzung!$D$15="",Besatzung!$B$6,Besatzung!$D$15)&gt;=B42)))*(Besatzung!$F$15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$13&lt;&gt;"")*IF(B42="",1,(IF(Besatzung!$C$15="",Besatzung!$B$5,Besatzung!$C$15)&lt;=B42)*(IF(Besatzung!$D$15="",Besatzung!$B$6,Besatzung!$D$15)&gt;=B42)))*((G42-IFERROR(H42,0))/IFERROR(SUMPRODUCT((Besatzung!$B$11:$B$22&lt;&gt;"")*(IF(Besatzung!$C$11:$C$22="",Besatzung!$B$5,Besatzung!$C$11:$C$22)&lt;=B42)*(IF(Besatzung!$D$11:$D$22="",Besatzung!$B$6,Besatzung!$D$11:$D$22)&gt;=B42)),1)+(Besatzung!$F$15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N42="x")*((G42-IFERROR(H42,0))/IFERROR(COUNTIF(J42:U42,"x"),1)+(Besatzung!$F$15="x")*IFERROR(H42,0)/IFERROR(SUMPRODUCT((J42:U42="x")*(Besatzung!$F$11:$F$22="x")),1))),(IF(COUNTIF(J42:U42,"x")=0,IF(Besatzung!$B$13&lt;&gt;"",1,0),(N42="x"))*(G42-IFERROR(H42,0))/IFERROR(IF(COUNTIF(J42:U42,"x")=0,COUNTA(Besatzung!$B$11:$B$22),COUNTIF(J42:U42,"x")),1)+IF(COUNTIF(J42:U42,"x")=0,(Besatzung!$F$15="x"),(N42="x")*(Besatzung!$F$15="x"))*IFERROR(H42,0)/IFERROR(IF(COUNTIF(J42:U42,"x")=0,SUMPRODUCT((Besatzung!$B$11:$B$22&lt;&gt;"")*(Besatzung!$F$11:$F$22="x")),SUMPRODUCT((J42:U42="x")*(Besatzung!$F$11:$F$22="x"))),1))))),0))))</f>
        <v/>
      </c>
      <c r="AA42" s="106">
        <f>IF(C42="Gutschrift","",IF(G42="","",IF(Besatzung!$B$15="","",IFERROR(IF(I42="Zeitanteilig",(Besatzung!$G$16*(G42-IFERROR(H42,0))+((Besatzung!$B$15&lt;&gt;"")*IF(B42="",1,(IF(Besatzung!$C$16="",Besatzung!$B$5,Besatzung!$C$16)&lt;=B42)*(IF(Besatzung!$D$16="",Besatzung!$B$6,Besatzung!$D$16)&gt;=B42)))*(Besatzung!$F$16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$15&lt;&gt;"")*IF(B42="",1,(IF(Besatzung!$C$16="",Besatzung!$B$5,Besatzung!$C$16)&lt;=B42)*(IF(Besatzung!$D$16="",Besatzung!$B$6,Besatzung!$D$16)&gt;=B42)))*((G42-IFERROR(H42,0))/IFERROR(SUMPRODUCT((Besatzung!$B$11:$B$22&lt;&gt;"")*(IF(Besatzung!$C$11:$C$22="",Besatzung!$B$5,Besatzung!$C$11:$C$22)&lt;=B42)*(IF(Besatzung!$D$11:$D$22="",Besatzung!$B$6,Besatzung!$D$11:$D$22)&gt;=B42)),1)+(Besatzung!$F$16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O42="x")*((G42-IFERROR(H42,0))/IFERROR(COUNTIF(J42:U42,"x"),1)+(Besatzung!$F$16="x")*IFERROR(H42,0)/IFERROR(SUMPRODUCT((J42:U42="x")*(Besatzung!$F$11:$F$22="x")),1))),(IF(COUNTIF(J42:U42,"x")=0,IF(Besatzung!$B$15&lt;&gt;"",1,0),(O42="x"))*(G42-IFERROR(H42,0))/IFERROR(IF(COUNTIF(J42:U42,"x")=0,COUNTA(Besatzung!$B$11:$B$22),COUNTIF(J42:U42,"x")),1)+IF(COUNTIF(J42:U42,"x")=0,(Besatzung!$F$16="x"),(O42="x")*(Besatzung!$F$16="x"))*IFERROR(H42,0)/IFERROR(IF(COUNTIF(J42:U42,"x")=0,SUMPRODUCT((Besatzung!$B$11:$B$22&lt;&gt;"")*(Besatzung!$F$11:$F$22="x")),SUMPRODUCT((J42:U42="x")*(Besatzung!$F$11:$F$22="x"))),1))))),0))))</f>
        <v/>
      </c>
      <c r="AB42" s="106">
        <f>IF(C42="Gutschrift","",IF(G42="","",IF(Besatzung!$B$17="","",IFERROR(IF(I42="Zeitanteilig",(Besatzung!$G$17*(G42-IFERROR(H42,0))+((Besatzung!$B$17&lt;&gt;"")*IF(B42="",1,(IF(Besatzung!$C$17="",Besatzung!$B$5,Besatzung!$C$17)&lt;=B42)*(IF(Besatzung!$D$17="",Besatzung!$B$6,Besatzung!$D$17)&gt;=B42)))*(Besatzung!$F$17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$17&lt;&gt;"")*IF(B42="",1,(IF(Besatzung!$C$17="",Besatzung!$B$5,Besatzung!$C$17)&lt;=B42)*(IF(Besatzung!$D$17="",Besatzung!$B$6,Besatzung!$D$17)&gt;=B42)))*((G42-IFERROR(H42,0))/IFERROR(SUMPRODUCT((Besatzung!$B$11:$B$22&lt;&gt;"")*(IF(Besatzung!$C$11:$C$22="",Besatzung!$B$5,Besatzung!$C$11:$C$22)&lt;=B42)*(IF(Besatzung!$D$11:$D$22="",Besatzung!$B$6,Besatzung!$D$11:$D$22)&gt;=B42)),1)+(Besatzung!$F$17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P42="x")*((G42-IFERROR(H42,0))/IFERROR(COUNTIF(J42:U42,"x"),1)+(Besatzung!$F$17="x")*IFERROR(H42,0)/IFERROR(SUMPRODUCT((J42:U42="x")*(Besatzung!$F$11:$F$22="x")),1))),(IF(COUNTIF(J42:U42,"x")=0,IF(Besatzung!$B$17&lt;&gt;"",1,0),(P42="x"))*(G42-IFERROR(H42,0))/IFERROR(IF(COUNTIF(J42:U42,"x")=0,COUNTA(Besatzung!$B$11:$B$22),COUNTIF(J42:U42,"x")),1)+IF(COUNTIF(J42:U42,"x")=0,(Besatzung!$F$17="x"),(P42="x")*(Besatzung!$F$17="x"))*IFERROR(H42,0)/IFERROR(IF(COUNTIF(J42:U42,"x")=0,SUMPRODUCT((Besatzung!$B$11:$B$22&lt;&gt;"")*(Besatzung!$F$11:$F$22="x")),SUMPRODUCT((J42:U42="x")*(Besatzung!$F$11:$F$22="x"))),1))))),0))))</f>
        <v/>
      </c>
      <c r="AC42" s="106">
        <f>IF(C42="Gutschrift","",IF(G42="","",IF(Besatzung!$B$18="","",IFERROR(IF(I42="Zeitanteilig",(Besatzung!$G$18*(G42-IFERROR(H42,0))+((Besatzung!$B$18&lt;&gt;"")*IF(B42="",1,(IF(Besatzung!$C$18="",Besatzung!$B$5,Besatzung!$C$18)&lt;=B42)*(IF(Besatzung!$D$18="",Besatzung!$B$6,Besatzung!$D$18)&gt;=B42)))*(Besatzung!$F$18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$18&lt;&gt;"")*IF(B42="",1,(IF(Besatzung!$C$18="",Besatzung!$B$5,Besatzung!$C$18)&lt;=B42)*(IF(Besatzung!$D$18="",Besatzung!$B$6,Besatzung!$D$18)&gt;=B42)))*((G42-IFERROR(H42,0))/IFERROR(SUMPRODUCT((Besatzung!$B$11:$B$22&lt;&gt;"")*(IF(Besatzung!$C$11:$C$22="",Besatzung!$B$5,Besatzung!$C$11:$C$22)&lt;=B42)*(IF(Besatzung!$D$11:$D$22="",Besatzung!$B$6,Besatzung!$D$11:$D$22)&gt;=B42)),1)+(Besatzung!$F$18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Q42="x")*((G42-IFERROR(H42,0))/IFERROR(COUNTIF(J42:U42,"x"),1)+(Besatzung!$F$18="x")*IFERROR(H42,0)/IFERROR(SUMPRODUCT((J42:U42="x")*(Besatzung!$F$11:$F$22="x")),1))),(IF(COUNTIF(J42:U42,"x")=0,IF(Besatzung!$B$18&lt;&gt;"",1,0),(Q42="x"))*(G42-IFERROR(H42,0))/IFERROR(IF(COUNTIF(J42:U42,"x")=0,COUNTA(Besatzung!$B$11:$B$22),COUNTIF(J42:U42,"x")),1)+IF(COUNTIF(J42:U42,"x")=0,(Besatzung!$F$18="x"),(Q42="x")*(Besatzung!$F$18="x"))*IFERROR(H42,0)/IFERROR(IF(COUNTIF(J42:U42,"x")=0,SUMPRODUCT((Besatzung!$B$11:$B$22&lt;&gt;"")*(Besatzung!$F$11:$F$22="x")),SUMPRODUCT((J42:U42="x")*(Besatzung!$F$11:$F$22="x"))),1))))),0))))</f>
        <v/>
      </c>
      <c r="AD42" s="106">
        <f>IF(C42="Gutschrift","",IF(G42="","",IF(Besatzung!$B$19="","",IFERROR(IF(I42="Zeitanteilig",(Besatzung!$G$19*(G42-IFERROR(H42,0))+((Besatzung!$B$19&lt;&gt;"")*IF(B42="",1,(IF(Besatzung!$C$19="",Besatzung!$B$5,Besatzung!$C$19)&lt;=B42)*(IF(Besatzung!$D$19="",Besatzung!$B$6,Besatzung!$D$19)&gt;=B42)))*(Besatzung!$F$19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$19&lt;&gt;"")*IF(B42="",1,(IF(Besatzung!$C$19="",Besatzung!$B$5,Besatzung!$C$19)&lt;=B42)*(IF(Besatzung!$D$19="",Besatzung!$B$6,Besatzung!$D$19)&gt;=B42)))*((G42-IFERROR(H42,0))/IFERROR(SUMPRODUCT((Besatzung!$B$11:$B$22&lt;&gt;"")*(IF(Besatzung!$C$11:$C$22="",Besatzung!$B$5,Besatzung!$C$11:$C$22)&lt;=B42)*(IF(Besatzung!$D$11:$D$22="",Besatzung!$B$6,Besatzung!$D$11:$D$22)&gt;=B42)),1)+(Besatzung!$F$19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R42="x")*((G42-IFERROR(H42,0))/IFERROR(COUNTIF(J42:U42,"x"),1)+(Besatzung!$F$19="x")*IFERROR(H42,0)/IFERROR(SUMPRODUCT((J42:U42="x")*(Besatzung!$F$11:$F$22="x")),1))),(IF(COUNTIF(J42:U42,"x")=0,IF(Besatzung!$B$19&lt;&gt;"",1,0),(R42="x"))*(G42-IFERROR(H42,0))/IFERROR(IF(COUNTIF(J42:U42,"x")=0,COUNTA(Besatzung!$B$11:$B$22),COUNTIF(J42:U42,"x")),1)+IF(COUNTIF(J42:U42,"x")=0,(Besatzung!$F$19="x"),(R42="x")*(Besatzung!$F$19="x"))*IFERROR(H42,0)/IFERROR(IF(COUNTIF(J42:U42,"x")=0,SUMPRODUCT((Besatzung!$B$11:$B$22&lt;&gt;"")*(Besatzung!$F$11:$F$22="x")),SUMPRODUCT((J42:U42="x")*(Besatzung!$F$11:$F$22="x"))),1))))),0))))</f>
        <v/>
      </c>
      <c r="AE42" s="106">
        <f>IF(C42="Gutschrift","",IF(G42="","",IF(Besatzung!$B$20="","",IFERROR(IF(I42="Zeitanteilig",(Besatzung!$G$20*(G42-IFERROR(H42,0))+((Besatzung!$B$20&lt;&gt;"")*IF(B42="",1,(IF(Besatzung!$C$20="",Besatzung!$B$5,Besatzung!$C$20)&lt;=B42)*(IF(Besatzung!$D$20="",Besatzung!$B$6,Besatzung!$D$20)&gt;=B42)))*(Besatzung!$F$20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$20&lt;&gt;"")*IF(B42="",1,(IF(Besatzung!$C$20="",Besatzung!$B$5,Besatzung!$C$20)&lt;=B42)*(IF(Besatzung!$D$20="",Besatzung!$B$6,Besatzung!$D$20)&gt;=B42)))*((G42-IFERROR(H42,0))/IFERROR(SUMPRODUCT((Besatzung!$B$11:$B$22&lt;&gt;"")*(IF(Besatzung!$C$11:$C$22="",Besatzung!$B$5,Besatzung!$C$11:$C$22)&lt;=B42)*(IF(Besatzung!$D$11:$D$22="",Besatzung!$B$6,Besatzung!$D$11:$D$22)&gt;=B42)),1)+(Besatzung!$F$20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S42="x")*((G42-IFERROR(H42,0))/IFERROR(COUNTIF(J42:U42,"x"),1)+(Besatzung!$F$20="x")*IFERROR(H42,0)/IFERROR(SUMPRODUCT((J42:U42="x")*(Besatzung!$F$11:$F$22="x")),1))),(IF(COUNTIF(J42:U42,"x")=0,IF(Besatzung!$B$20&lt;&gt;"",1,0),(S42="x"))*(G42-IFERROR(H42,0))/IFERROR(IF(COUNTIF(J42:U42,"x")=0,COUNTA(Besatzung!$B$11:$B$22),COUNTIF(J42:U42,"x")),1)+IF(COUNTIF(J42:U42,"x")=0,(Besatzung!$F$20="x"),(S42="x")*(Besatzung!$F$20="x"))*IFERROR(H42,0)/IFERROR(IF(COUNTIF(J42:U42,"x")=0,SUMPRODUCT((Besatzung!$B$11:$B$22&lt;&gt;"")*(Besatzung!$F$11:$F$22="x")),SUMPRODUCT((J42:U42="x")*(Besatzung!$F$11:$F$22="x"))),1))))),0))))</f>
        <v/>
      </c>
      <c r="AF42" s="106">
        <f>IF(C42="Gutschrift","",IF(G42="","",IF(Besatzung!$B$21="","",IFERROR(IF(I42="Zeitanteilig",(Besatzung!$G$21*(G42-IFERROR(H42,0))+((Besatzung!$B$21&lt;&gt;"")*IF(B42="",1,(IF(Besatzung!$C$21="",Besatzung!$B$5,Besatzung!$C$21)&lt;=B42)*(IF(Besatzung!$D$21="",Besatzung!$B$6,Besatzung!$D$21)&gt;=B42)))*(Besatzung!$F$21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$21&lt;&gt;"")*IF(B42="",1,(IF(Besatzung!$C$21="",Besatzung!$B$5,Besatzung!$C$21)&lt;=B42)*(IF(Besatzung!$D$21="",Besatzung!$B$6,Besatzung!$D$21)&gt;=B42)))*((G42-IFERROR(H42,0))/IFERROR(SUMPRODUCT((Besatzung!$B$11:$B$22&lt;&gt;"")*(IF(Besatzung!$C$11:$C$22="",Besatzung!$B$5,Besatzung!$C$11:$C$22)&lt;=B42)*(IF(Besatzung!$D$11:$D$22="",Besatzung!$B$6,Besatzung!$D$11:$D$22)&gt;=B42)),1)+(Besatzung!$F$21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T42="x")*((G42-IFERROR(H42,0))/IFERROR(COUNTIF(J42:U42,"x"),1)+(Besatzung!$F$21="x")*IFERROR(H42,0)/IFERROR(SUMPRODUCT((J42:U42="x")*(Besatzung!$F$11:$F$22="x")),1))),(IF(COUNTIF(J42:U42,"x")=0,IF(Besatzung!$B$21&lt;&gt;"",1,0),(T42="x"))*(G42-IFERROR(H42,0))/IFERROR(IF(COUNTIF(J42:U42,"x")=0,COUNTA(Besatzung!$B$11:$B$22),COUNTIF(J42:U42,"x")),1)+IF(COUNTIF(J42:U42,"x")=0,(Besatzung!$F$21="x"),(T42="x")*(Besatzung!$F$21="x"))*IFERROR(H42,0)/IFERROR(IF(COUNTIF(J42:U42,"x")=0,SUMPRODUCT((Besatzung!$B$11:$B$22&lt;&gt;"")*(Besatzung!$F$11:$F$22="x")),SUMPRODUCT((J42:U42="x")*(Besatzung!$F$11:$F$22="x"))),1))))),0))))</f>
        <v/>
      </c>
      <c r="AG42" s="106">
        <f>IF(C42="Gutschrift","",IF(G42="","",IF(Besatzung!$B$22="","",IFERROR(IF(I42="Zeitanteilig",(Besatzung!$G$22*(G42-IFERROR(H42,0))+((Besatzung!$B$22&lt;&gt;"")*IF(B42="",1,(IF(Besatzung!$C$22="",Besatzung!$B$5,Besatzung!$C$22)&lt;=B42)*(IF(Besatzung!$D$22="",Besatzung!$B$6,Besatzung!$D$22)&gt;=B42)))*(Besatzung!$F$22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$22&lt;&gt;"")*IF(B42="",1,(IF(Besatzung!$C$22="",Besatzung!$B$5,Besatzung!$C$22)&lt;=B42)*(IF(Besatzung!$D$22="",Besatzung!$B$6,Besatzung!$D$22)&gt;=B42)))*((G42-IFERROR(H42,0))/IFERROR(SUMPRODUCT((Besatzung!$B$11:$B$22&lt;&gt;"")*(IF(Besatzung!$C$11:$C$22="",Besatzung!$B$5,Besatzung!$C$11:$C$22)&lt;=B42)*(IF(Besatzung!$D$11:$D$22="",Besatzung!$B$6,Besatzung!$D$11:$D$22)&gt;=B42)),1)+(Besatzung!$F$22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U42="x")*((G42-IFERROR(H42,0))/IFERROR(COUNTIF(J42:U42,"x"),1)+(Besatzung!$F$22="x")*IFERROR(H42,0)/IFERROR(SUMPRODUCT((J42:U42="x")*(Besatzung!$F$11:$F$22="x")),1))),(IF(COUNTIF(J42:U42,"x")=0,IF(Besatzung!$B$22&lt;&gt;"",1,0),(U42="x"))*(G42-IFERROR(H42,0))/IFERROR(IF(COUNTIF(J42:U42,"x")=0,COUNTA(Besatzung!$B$11:$B$22),COUNTIF(J42:U42,"x")),1)+IF(COUNTIF(J42:U42,"x")=0,(Besatzung!$F$22="x"),(U42="x")*(Besatzung!$F$22="x"))*IFERROR(H42,0)/IFERROR(IF(COUNTIF(J42:U42,"x")=0,SUMPRODUCT((Besatzung!$B$11:$B$22&lt;&gt;"")*(Besatzung!$F$11:$F$22="x")),SUMPRODUCT((J42:U42="x")*(Besatzung!$F$11:$F$22="x"))),1))))),0))))</f>
        <v/>
      </c>
      <c r="AH42" s="107" t="n"/>
      <c r="AI42" s="107" t="n"/>
    </row>
    <row r="43" ht="21.75" customHeight="1" s="182">
      <c r="A43" s="97">
        <f>IF(AND(D43="",C43=""),"",40)</f>
        <v/>
      </c>
      <c r="B43" s="63" t="n"/>
      <c r="C43" s="108" t="n"/>
      <c r="D43" s="109" t="n"/>
      <c r="E43" s="110" t="n"/>
      <c r="F43" s="111" t="n"/>
      <c r="G43" s="112" t="n"/>
      <c r="H43" s="113" t="n"/>
      <c r="I43" s="114" t="n"/>
      <c r="J43" s="115" t="n"/>
      <c r="K43" s="115" t="n"/>
      <c r="L43" s="115" t="n"/>
      <c r="M43" s="115" t="n"/>
      <c r="N43" s="115" t="n"/>
      <c r="O43" s="115" t="n"/>
      <c r="P43" s="115" t="n"/>
      <c r="Q43" s="115" t="n"/>
      <c r="R43" s="115" t="n"/>
      <c r="S43" s="115" t="n"/>
      <c r="T43" s="115" t="n"/>
      <c r="U43" s="115" t="n"/>
      <c r="V43" s="106">
        <f>IF(C43="Gutschrift","",IF(G43="","",IF(Besatzung!$B$11="","",IFERROR(IF(I43="Zeitanteilig",(Besatzung!$G$11*(G43-IFERROR(H43,0))+((Besatzung!$B$11&lt;&gt;"")*IF(B43="",1,(IF(Besatzung!$C$11="",Besatzung!$B$5,Besatzung!$C$11)&lt;=B43)*(IF(Besatzung!$D$11="",Besatzung!$B$6,Besatzung!$D$11)&gt;=B43)))*(Besatzung!$F$11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$11&lt;&gt;"")*IF(B43="",1,(IF(Besatzung!$C$11="",Besatzung!$B$5,Besatzung!$C$11)&lt;=B43)*(IF(Besatzung!$D$11="",Besatzung!$B$6,Besatzung!$D$11)&gt;=B43)))*((G43-IFERROR(H43,0))/IFERROR(SUMPRODUCT((Besatzung!$B$11:$B$22&lt;&gt;"")*(IF(Besatzung!$C$11:$C$22="",Besatzung!$B$5,Besatzung!$C$11:$C$22)&lt;=B43)*(IF(Besatzung!$D$11:$D$22="",Besatzung!$B$6,Besatzung!$D$11:$D$22)&gt;=B43)),1)+(Besatzung!$F$11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J43="x")*((G43-IFERROR(H43,0))/IFERROR(COUNTIF(J43:U43,"x"),1)+(Besatzung!$F$11="x")*IFERROR(H43,0)/IFERROR(SUMPRODUCT((J43:U43="x")*(Besatzung!$F$11:$F$22="x")),1))),(IF(COUNTIF(J43:U43,"x")=0,IF(Besatzung!$B$11&lt;&gt;"",1,0),(J43="x"))*(G43-IFERROR(H43,0))/IFERROR(IF(COUNTIF(J43:U43,"x")=0,COUNTA(Besatzung!$B$11:$B$22),COUNTIF(J43:U43,"x")),1)+IF(COUNTIF(J43:U43,"x")=0,(Besatzung!$F$11="x"),(J43="x")*(Besatzung!$F$11="x"))*IFERROR(H43,0)/IFERROR(IF(COUNTIF(J43:U43,"x")=0,SUMPRODUCT((Besatzung!$B$11:$B$22&lt;&gt;"")*(Besatzung!$F$11:$F$22="x")),SUMPRODUCT((J43:U43="x")*(Besatzung!$F$11:$F$22="x"))),1))))),0))))</f>
        <v/>
      </c>
      <c r="W43" s="106">
        <f>IF(C43="Gutschrift","",IF(G43="","",IF(Besatzung!$B$12="","",IFERROR(IF(I43="Zeitanteilig",(Besatzung!$G$12*(G43-IFERROR(H43,0))+((Besatzung!$B$12&lt;&gt;"")*IF(B43="",1,(IF(Besatzung!$C$12="",Besatzung!$B$5,Besatzung!$C$12)&lt;=B43)*(IF(Besatzung!$D$12="",Besatzung!$B$6,Besatzung!$D$12)&gt;=B43)))*(Besatzung!$F$12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$12&lt;&gt;"")*IF(B43="",1,(IF(Besatzung!$C$12="",Besatzung!$B$5,Besatzung!$C$12)&lt;=B43)*(IF(Besatzung!$D$12="",Besatzung!$B$6,Besatzung!$D$12)&gt;=B43)))*((G43-IFERROR(H43,0))/IFERROR(SUMPRODUCT((Besatzung!$B$11:$B$22&lt;&gt;"")*(IF(Besatzung!$C$11:$C$22="",Besatzung!$B$5,Besatzung!$C$11:$C$22)&lt;=B43)*(IF(Besatzung!$D$11:$D$22="",Besatzung!$B$6,Besatzung!$D$11:$D$22)&gt;=B43)),1)+(Besatzung!$F$12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K43="x")*((G43-IFERROR(H43,0))/IFERROR(COUNTIF(J43:U43,"x"),1)+(Besatzung!$F$12="x")*IFERROR(H43,0)/IFERROR(SUMPRODUCT((J43:U43="x")*(Besatzung!$F$11:$F$22="x")),1))),(IF(COUNTIF(J43:U43,"x")=0,IF(Besatzung!$B$12&lt;&gt;"",1,0),(K43="x"))*(G43-IFERROR(H43,0))/IFERROR(IF(COUNTIF(J43:U43,"x")=0,COUNTA(Besatzung!$B$11:$B$22),COUNTIF(J43:U43,"x")),1)+IF(COUNTIF(J43:U43,"x")=0,(Besatzung!$F$12="x"),(K43="x")*(Besatzung!$F$12="x"))*IFERROR(H43,0)/IFERROR(IF(COUNTIF(J43:U43,"x")=0,SUMPRODUCT((Besatzung!$B$11:$B$22&lt;&gt;"")*(Besatzung!$F$11:$F$22="x")),SUMPRODUCT((J43:U43="x")*(Besatzung!$F$11:$F$22="x"))),1))))),0))))</f>
        <v/>
      </c>
      <c r="X43" s="106">
        <f>IF(C43="Gutschrift","",IF(G43="","",IF(Besatzung!$B$13="","",IFERROR(IF(I43="Zeitanteilig",(Besatzung!$G$13*(G43-IFERROR(H43,0))+((Besatzung!$B$13&lt;&gt;"")*IF(B43="",1,(IF(Besatzung!$C$13="",Besatzung!$B$5,Besatzung!$C$13)&lt;=B43)*(IF(Besatzung!$D$13="",Besatzung!$B$6,Besatzung!$D$13)&gt;=B43)))*(Besatzung!$F$13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$13&lt;&gt;"")*IF(B43="",1,(IF(Besatzung!$C$13="",Besatzung!$B$5,Besatzung!$C$13)&lt;=B43)*(IF(Besatzung!$D$13="",Besatzung!$B$6,Besatzung!$D$13)&gt;=B43)))*((G43-IFERROR(H43,0))/IFERROR(SUMPRODUCT((Besatzung!$B$11:$B$22&lt;&gt;"")*(IF(Besatzung!$C$11:$C$22="",Besatzung!$B$5,Besatzung!$C$11:$C$22)&lt;=B43)*(IF(Besatzung!$D$11:$D$22="",Besatzung!$B$6,Besatzung!$D$11:$D$22)&gt;=B43)),1)+(Besatzung!$F$13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K43="x")*((G43-IFERROR(H43,0))/IFERROR(COUNTIF(J43:U43,"x"),1)+(Besatzung!$F$13="x")*IFERROR(H43,0)/IFERROR(SUMPRODUCT((J43:U43="x")*(Besatzung!$F$11:$F$22="x")),1))),(IF(COUNTIF(J43:U43,"x")=0,IF(Besatzung!$B$13&lt;&gt;"",1,0),(K43="x"))*(G43-IFERROR(H43,0))/IFERROR(IF(COUNTIF(J43:U43,"x")=0,COUNTA(Besatzung!$B$11:$B$22),COUNTIF(J43:U43,"x")),1)+IF(COUNTIF(J43:U43,"x")=0,(Besatzung!$F$13="x"),(K43="x")*(Besatzung!$F$13="x"))*IFERROR(H43,0)/IFERROR(IF(COUNTIF(J43:U43,"x")=0,SUMPRODUCT((Besatzung!$B$11:$B$22&lt;&gt;"")*(Besatzung!$F$11:$F$22="x")),SUMPRODUCT((J43:U43="x")*(Besatzung!$F$11:$F$22="x"))),1))))),0))))</f>
        <v/>
      </c>
      <c r="Y43" s="106">
        <f>IF(C43="Gutschrift","",IF(G43="","",IF(Besatzung!$B$14="","",IFERROR(IF(I43="Zeitanteilig",(Besatzung!$G$14*(G43-IFERROR(H43,0))+((Besatzung!$B$14&lt;&gt;"")*IF(B43="",1,(IF(Besatzung!$C$14="",Besatzung!$B$5,Besatzung!$C$14)&lt;=B43)*(IF(Besatzung!$D$14="",Besatzung!$B$6,Besatzung!$D$14)&gt;=B43)))*(Besatzung!$F$14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$14&lt;&gt;"")*IF(B43="",1,(IF(Besatzung!$C$14="",Besatzung!$B$5,Besatzung!$C$14)&lt;=B43)*(IF(Besatzung!$D$14="",Besatzung!$B$6,Besatzung!$D$14)&gt;=B43)))*((G43-IFERROR(H43,0))/IFERROR(SUMPRODUCT((Besatzung!$B$11:$B$22&lt;&gt;"")*(IF(Besatzung!$C$11:$C$22="",Besatzung!$B$5,Besatzung!$C$11:$C$22)&lt;=B43)*(IF(Besatzung!$D$11:$D$22="",Besatzung!$B$6,Besatzung!$D$11:$D$22)&gt;=B43)),1)+(Besatzung!$F$14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M43="x")*((G43-IFERROR(H43,0))/IFERROR(COUNTIF(J43:U43,"x"),1)+(Besatzung!$F$14="x")*IFERROR(H43,0)/IFERROR(SUMPRODUCT((J43:U43="x")*(Besatzung!$F$11:$F$22="x")),1))),(IF(COUNTIF(J43:U43,"x")=0,IF(Besatzung!$B$14&lt;&gt;"",1,0),(M43="x"))*(G43-IFERROR(H43,0))/IFERROR(IF(COUNTIF(J43:U43,"x")=0,COUNTA(Besatzung!$B$11:$B$22),COUNTIF(J43:U43,"x")),1)+IF(COUNTIF(J43:U43,"x")=0,(Besatzung!$F$14="x"),(M43="x")*(Besatzung!$F$14="x"))*IFERROR(H43,0)/IFERROR(IF(COUNTIF(J43:U43,"x")=0,SUMPRODUCT((Besatzung!$B$11:$B$22&lt;&gt;"")*(Besatzung!$F$11:$F$22="x")),SUMPRODUCT((J43:U43="x")*(Besatzung!$F$11:$F$22="x"))),1))))),0))))</f>
        <v/>
      </c>
      <c r="Z43" s="106">
        <f>IF(C43="Gutschrift","",IF(G43="","",IF(Besatzung!$B$13="","",IFERROR(IF(I43="Zeitanteilig",(Besatzung!$G$15*(G43-IFERROR(H43,0))+((Besatzung!$B$13&lt;&gt;"")*IF(B43="",1,(IF(Besatzung!$C$15="",Besatzung!$B$5,Besatzung!$C$15)&lt;=B43)*(IF(Besatzung!$D$15="",Besatzung!$B$6,Besatzung!$D$15)&gt;=B43)))*(Besatzung!$F$15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$13&lt;&gt;"")*IF(B43="",1,(IF(Besatzung!$C$15="",Besatzung!$B$5,Besatzung!$C$15)&lt;=B43)*(IF(Besatzung!$D$15="",Besatzung!$B$6,Besatzung!$D$15)&gt;=B43)))*((G43-IFERROR(H43,0))/IFERROR(SUMPRODUCT((Besatzung!$B$11:$B$22&lt;&gt;"")*(IF(Besatzung!$C$11:$C$22="",Besatzung!$B$5,Besatzung!$C$11:$C$22)&lt;=B43)*(IF(Besatzung!$D$11:$D$22="",Besatzung!$B$6,Besatzung!$D$11:$D$22)&gt;=B43)),1)+(Besatzung!$F$15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N43="x")*((G43-IFERROR(H43,0))/IFERROR(COUNTIF(J43:U43,"x"),1)+(Besatzung!$F$15="x")*IFERROR(H43,0)/IFERROR(SUMPRODUCT((J43:U43="x")*(Besatzung!$F$11:$F$22="x")),1))),(IF(COUNTIF(J43:U43,"x")=0,IF(Besatzung!$B$13&lt;&gt;"",1,0),(N43="x"))*(G43-IFERROR(H43,0))/IFERROR(IF(COUNTIF(J43:U43,"x")=0,COUNTA(Besatzung!$B$11:$B$22),COUNTIF(J43:U43,"x")),1)+IF(COUNTIF(J43:U43,"x")=0,(Besatzung!$F$15="x"),(N43="x")*(Besatzung!$F$15="x"))*IFERROR(H43,0)/IFERROR(IF(COUNTIF(J43:U43,"x")=0,SUMPRODUCT((Besatzung!$B$11:$B$22&lt;&gt;"")*(Besatzung!$F$11:$F$22="x")),SUMPRODUCT((J43:U43="x")*(Besatzung!$F$11:$F$22="x"))),1))))),0))))</f>
        <v/>
      </c>
      <c r="AA43" s="106">
        <f>IF(C43="Gutschrift","",IF(G43="","",IF(Besatzung!$B$15="","",IFERROR(IF(I43="Zeitanteilig",(Besatzung!$G$16*(G43-IFERROR(H43,0))+((Besatzung!$B$15&lt;&gt;"")*IF(B43="",1,(IF(Besatzung!$C$16="",Besatzung!$B$5,Besatzung!$C$16)&lt;=B43)*(IF(Besatzung!$D$16="",Besatzung!$B$6,Besatzung!$D$16)&gt;=B43)))*(Besatzung!$F$16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$15&lt;&gt;"")*IF(B43="",1,(IF(Besatzung!$C$16="",Besatzung!$B$5,Besatzung!$C$16)&lt;=B43)*(IF(Besatzung!$D$16="",Besatzung!$B$6,Besatzung!$D$16)&gt;=B43)))*((G43-IFERROR(H43,0))/IFERROR(SUMPRODUCT((Besatzung!$B$11:$B$22&lt;&gt;"")*(IF(Besatzung!$C$11:$C$22="",Besatzung!$B$5,Besatzung!$C$11:$C$22)&lt;=B43)*(IF(Besatzung!$D$11:$D$22="",Besatzung!$B$6,Besatzung!$D$11:$D$22)&gt;=B43)),1)+(Besatzung!$F$16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O43="x")*((G43-IFERROR(H43,0))/IFERROR(COUNTIF(J43:U43,"x"),1)+(Besatzung!$F$16="x")*IFERROR(H43,0)/IFERROR(SUMPRODUCT((J43:U43="x")*(Besatzung!$F$11:$F$22="x")),1))),(IF(COUNTIF(J43:U43,"x")=0,IF(Besatzung!$B$15&lt;&gt;"",1,0),(O43="x"))*(G43-IFERROR(H43,0))/IFERROR(IF(COUNTIF(J43:U43,"x")=0,COUNTA(Besatzung!$B$11:$B$22),COUNTIF(J43:U43,"x")),1)+IF(COUNTIF(J43:U43,"x")=0,(Besatzung!$F$16="x"),(O43="x")*(Besatzung!$F$16="x"))*IFERROR(H43,0)/IFERROR(IF(COUNTIF(J43:U43,"x")=0,SUMPRODUCT((Besatzung!$B$11:$B$22&lt;&gt;"")*(Besatzung!$F$11:$F$22="x")),SUMPRODUCT((J43:U43="x")*(Besatzung!$F$11:$F$22="x"))),1))))),0))))</f>
        <v/>
      </c>
      <c r="AB43" s="106">
        <f>IF(C43="Gutschrift","",IF(G43="","",IF(Besatzung!$B$17="","",IFERROR(IF(I43="Zeitanteilig",(Besatzung!$G$17*(G43-IFERROR(H43,0))+((Besatzung!$B$17&lt;&gt;"")*IF(B43="",1,(IF(Besatzung!$C$17="",Besatzung!$B$5,Besatzung!$C$17)&lt;=B43)*(IF(Besatzung!$D$17="",Besatzung!$B$6,Besatzung!$D$17)&gt;=B43)))*(Besatzung!$F$17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$17&lt;&gt;"")*IF(B43="",1,(IF(Besatzung!$C$17="",Besatzung!$B$5,Besatzung!$C$17)&lt;=B43)*(IF(Besatzung!$D$17="",Besatzung!$B$6,Besatzung!$D$17)&gt;=B43)))*((G43-IFERROR(H43,0))/IFERROR(SUMPRODUCT((Besatzung!$B$11:$B$22&lt;&gt;"")*(IF(Besatzung!$C$11:$C$22="",Besatzung!$B$5,Besatzung!$C$11:$C$22)&lt;=B43)*(IF(Besatzung!$D$11:$D$22="",Besatzung!$B$6,Besatzung!$D$11:$D$22)&gt;=B43)),1)+(Besatzung!$F$17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P43="x")*((G43-IFERROR(H43,0))/IFERROR(COUNTIF(J43:U43,"x"),1)+(Besatzung!$F$17="x")*IFERROR(H43,0)/IFERROR(SUMPRODUCT((J43:U43="x")*(Besatzung!$F$11:$F$22="x")),1))),(IF(COUNTIF(J43:U43,"x")=0,IF(Besatzung!$B$17&lt;&gt;"",1,0),(P43="x"))*(G43-IFERROR(H43,0))/IFERROR(IF(COUNTIF(J43:U43,"x")=0,COUNTA(Besatzung!$B$11:$B$22),COUNTIF(J43:U43,"x")),1)+IF(COUNTIF(J43:U43,"x")=0,(Besatzung!$F$17="x"),(P43="x")*(Besatzung!$F$17="x"))*IFERROR(H43,0)/IFERROR(IF(COUNTIF(J43:U43,"x")=0,SUMPRODUCT((Besatzung!$B$11:$B$22&lt;&gt;"")*(Besatzung!$F$11:$F$22="x")),SUMPRODUCT((J43:U43="x")*(Besatzung!$F$11:$F$22="x"))),1))))),0))))</f>
        <v/>
      </c>
      <c r="AC43" s="106">
        <f>IF(C43="Gutschrift","",IF(G43="","",IF(Besatzung!$B$18="","",IFERROR(IF(I43="Zeitanteilig",(Besatzung!$G$18*(G43-IFERROR(H43,0))+((Besatzung!$B$18&lt;&gt;"")*IF(B43="",1,(IF(Besatzung!$C$18="",Besatzung!$B$5,Besatzung!$C$18)&lt;=B43)*(IF(Besatzung!$D$18="",Besatzung!$B$6,Besatzung!$D$18)&gt;=B43)))*(Besatzung!$F$18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$18&lt;&gt;"")*IF(B43="",1,(IF(Besatzung!$C$18="",Besatzung!$B$5,Besatzung!$C$18)&lt;=B43)*(IF(Besatzung!$D$18="",Besatzung!$B$6,Besatzung!$D$18)&gt;=B43)))*((G43-IFERROR(H43,0))/IFERROR(SUMPRODUCT((Besatzung!$B$11:$B$22&lt;&gt;"")*(IF(Besatzung!$C$11:$C$22="",Besatzung!$B$5,Besatzung!$C$11:$C$22)&lt;=B43)*(IF(Besatzung!$D$11:$D$22="",Besatzung!$B$6,Besatzung!$D$11:$D$22)&gt;=B43)),1)+(Besatzung!$F$18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Q43="x")*((G43-IFERROR(H43,0))/IFERROR(COUNTIF(J43:U43,"x"),1)+(Besatzung!$F$18="x")*IFERROR(H43,0)/IFERROR(SUMPRODUCT((J43:U43="x")*(Besatzung!$F$11:$F$22="x")),1))),(IF(COUNTIF(J43:U43,"x")=0,IF(Besatzung!$B$18&lt;&gt;"",1,0),(Q43="x"))*(G43-IFERROR(H43,0))/IFERROR(IF(COUNTIF(J43:U43,"x")=0,COUNTA(Besatzung!$B$11:$B$22),COUNTIF(J43:U43,"x")),1)+IF(COUNTIF(J43:U43,"x")=0,(Besatzung!$F$18="x"),(Q43="x")*(Besatzung!$F$18="x"))*IFERROR(H43,0)/IFERROR(IF(COUNTIF(J43:U43,"x")=0,SUMPRODUCT((Besatzung!$B$11:$B$22&lt;&gt;"")*(Besatzung!$F$11:$F$22="x")),SUMPRODUCT((J43:U43="x")*(Besatzung!$F$11:$F$22="x"))),1))))),0))))</f>
        <v/>
      </c>
      <c r="AD43" s="106">
        <f>IF(C43="Gutschrift","",IF(G43="","",IF(Besatzung!$B$19="","",IFERROR(IF(I43="Zeitanteilig",(Besatzung!$G$19*(G43-IFERROR(H43,0))+((Besatzung!$B$19&lt;&gt;"")*IF(B43="",1,(IF(Besatzung!$C$19="",Besatzung!$B$5,Besatzung!$C$19)&lt;=B43)*(IF(Besatzung!$D$19="",Besatzung!$B$6,Besatzung!$D$19)&gt;=B43)))*(Besatzung!$F$19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$19&lt;&gt;"")*IF(B43="",1,(IF(Besatzung!$C$19="",Besatzung!$B$5,Besatzung!$C$19)&lt;=B43)*(IF(Besatzung!$D$19="",Besatzung!$B$6,Besatzung!$D$19)&gt;=B43)))*((G43-IFERROR(H43,0))/IFERROR(SUMPRODUCT((Besatzung!$B$11:$B$22&lt;&gt;"")*(IF(Besatzung!$C$11:$C$22="",Besatzung!$B$5,Besatzung!$C$11:$C$22)&lt;=B43)*(IF(Besatzung!$D$11:$D$22="",Besatzung!$B$6,Besatzung!$D$11:$D$22)&gt;=B43)),1)+(Besatzung!$F$19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R43="x")*((G43-IFERROR(H43,0))/IFERROR(COUNTIF(J43:U43,"x"),1)+(Besatzung!$F$19="x")*IFERROR(H43,0)/IFERROR(SUMPRODUCT((J43:U43="x")*(Besatzung!$F$11:$F$22="x")),1))),(IF(COUNTIF(J43:U43,"x")=0,IF(Besatzung!$B$19&lt;&gt;"",1,0),(R43="x"))*(G43-IFERROR(H43,0))/IFERROR(IF(COUNTIF(J43:U43,"x")=0,COUNTA(Besatzung!$B$11:$B$22),COUNTIF(J43:U43,"x")),1)+IF(COUNTIF(J43:U43,"x")=0,(Besatzung!$F$19="x"),(R43="x")*(Besatzung!$F$19="x"))*IFERROR(H43,0)/IFERROR(IF(COUNTIF(J43:U43,"x")=0,SUMPRODUCT((Besatzung!$B$11:$B$22&lt;&gt;"")*(Besatzung!$F$11:$F$22="x")),SUMPRODUCT((J43:U43="x")*(Besatzung!$F$11:$F$22="x"))),1))))),0))))</f>
        <v/>
      </c>
      <c r="AE43" s="106">
        <f>IF(C43="Gutschrift","",IF(G43="","",IF(Besatzung!$B$20="","",IFERROR(IF(I43="Zeitanteilig",(Besatzung!$G$20*(G43-IFERROR(H43,0))+((Besatzung!$B$20&lt;&gt;"")*IF(B43="",1,(IF(Besatzung!$C$20="",Besatzung!$B$5,Besatzung!$C$20)&lt;=B43)*(IF(Besatzung!$D$20="",Besatzung!$B$6,Besatzung!$D$20)&gt;=B43)))*(Besatzung!$F$20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$20&lt;&gt;"")*IF(B43="",1,(IF(Besatzung!$C$20="",Besatzung!$B$5,Besatzung!$C$20)&lt;=B43)*(IF(Besatzung!$D$20="",Besatzung!$B$6,Besatzung!$D$20)&gt;=B43)))*((G43-IFERROR(H43,0))/IFERROR(SUMPRODUCT((Besatzung!$B$11:$B$22&lt;&gt;"")*(IF(Besatzung!$C$11:$C$22="",Besatzung!$B$5,Besatzung!$C$11:$C$22)&lt;=B43)*(IF(Besatzung!$D$11:$D$22="",Besatzung!$B$6,Besatzung!$D$11:$D$22)&gt;=B43)),1)+(Besatzung!$F$20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S43="x")*((G43-IFERROR(H43,0))/IFERROR(COUNTIF(J43:U43,"x"),1)+(Besatzung!$F$20="x")*IFERROR(H43,0)/IFERROR(SUMPRODUCT((J43:U43="x")*(Besatzung!$F$11:$F$22="x")),1))),(IF(COUNTIF(J43:U43,"x")=0,IF(Besatzung!$B$20&lt;&gt;"",1,0),(S43="x"))*(G43-IFERROR(H43,0))/IFERROR(IF(COUNTIF(J43:U43,"x")=0,COUNTA(Besatzung!$B$11:$B$22),COUNTIF(J43:U43,"x")),1)+IF(COUNTIF(J43:U43,"x")=0,(Besatzung!$F$20="x"),(S43="x")*(Besatzung!$F$20="x"))*IFERROR(H43,0)/IFERROR(IF(COUNTIF(J43:U43,"x")=0,SUMPRODUCT((Besatzung!$B$11:$B$22&lt;&gt;"")*(Besatzung!$F$11:$F$22="x")),SUMPRODUCT((J43:U43="x")*(Besatzung!$F$11:$F$22="x"))),1))))),0))))</f>
        <v/>
      </c>
      <c r="AF43" s="106">
        <f>IF(C43="Gutschrift","",IF(G43="","",IF(Besatzung!$B$21="","",IFERROR(IF(I43="Zeitanteilig",(Besatzung!$G$21*(G43-IFERROR(H43,0))+((Besatzung!$B$21&lt;&gt;"")*IF(B43="",1,(IF(Besatzung!$C$21="",Besatzung!$B$5,Besatzung!$C$21)&lt;=B43)*(IF(Besatzung!$D$21="",Besatzung!$B$6,Besatzung!$D$21)&gt;=B43)))*(Besatzung!$F$21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$21&lt;&gt;"")*IF(B43="",1,(IF(Besatzung!$C$21="",Besatzung!$B$5,Besatzung!$C$21)&lt;=B43)*(IF(Besatzung!$D$21="",Besatzung!$B$6,Besatzung!$D$21)&gt;=B43)))*((G43-IFERROR(H43,0))/IFERROR(SUMPRODUCT((Besatzung!$B$11:$B$22&lt;&gt;"")*(IF(Besatzung!$C$11:$C$22="",Besatzung!$B$5,Besatzung!$C$11:$C$22)&lt;=B43)*(IF(Besatzung!$D$11:$D$22="",Besatzung!$B$6,Besatzung!$D$11:$D$22)&gt;=B43)),1)+(Besatzung!$F$21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T43="x")*((G43-IFERROR(H43,0))/IFERROR(COUNTIF(J43:U43,"x"),1)+(Besatzung!$F$21="x")*IFERROR(H43,0)/IFERROR(SUMPRODUCT((J43:U43="x")*(Besatzung!$F$11:$F$22="x")),1))),(IF(COUNTIF(J43:U43,"x")=0,IF(Besatzung!$B$21&lt;&gt;"",1,0),(T43="x"))*(G43-IFERROR(H43,0))/IFERROR(IF(COUNTIF(J43:U43,"x")=0,COUNTA(Besatzung!$B$11:$B$22),COUNTIF(J43:U43,"x")),1)+IF(COUNTIF(J43:U43,"x")=0,(Besatzung!$F$21="x"),(T43="x")*(Besatzung!$F$21="x"))*IFERROR(H43,0)/IFERROR(IF(COUNTIF(J43:U43,"x")=0,SUMPRODUCT((Besatzung!$B$11:$B$22&lt;&gt;"")*(Besatzung!$F$11:$F$22="x")),SUMPRODUCT((J43:U43="x")*(Besatzung!$F$11:$F$22="x"))),1))))),0))))</f>
        <v/>
      </c>
      <c r="AG43" s="106">
        <f>IF(C43="Gutschrift","",IF(G43="","",IF(Besatzung!$B$22="","",IFERROR(IF(I43="Zeitanteilig",(Besatzung!$G$22*(G43-IFERROR(H43,0))+((Besatzung!$B$22&lt;&gt;"")*IF(B43="",1,(IF(Besatzung!$C$22="",Besatzung!$B$5,Besatzung!$C$22)&lt;=B43)*(IF(Besatzung!$D$22="",Besatzung!$B$6,Besatzung!$D$22)&gt;=B43)))*(Besatzung!$F$22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$22&lt;&gt;"")*IF(B43="",1,(IF(Besatzung!$C$22="",Besatzung!$B$5,Besatzung!$C$22)&lt;=B43)*(IF(Besatzung!$D$22="",Besatzung!$B$6,Besatzung!$D$22)&gt;=B43)))*((G43-IFERROR(H43,0))/IFERROR(SUMPRODUCT((Besatzung!$B$11:$B$22&lt;&gt;"")*(IF(Besatzung!$C$11:$C$22="",Besatzung!$B$5,Besatzung!$C$11:$C$22)&lt;=B43)*(IF(Besatzung!$D$11:$D$22="",Besatzung!$B$6,Besatzung!$D$11:$D$22)&gt;=B43)),1)+(Besatzung!$F$22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U43="x")*((G43-IFERROR(H43,0))/IFERROR(COUNTIF(J43:U43,"x"),1)+(Besatzung!$F$22="x")*IFERROR(H43,0)/IFERROR(SUMPRODUCT((J43:U43="x")*(Besatzung!$F$11:$F$22="x")),1))),(IF(COUNTIF(J43:U43,"x")=0,IF(Besatzung!$B$22&lt;&gt;"",1,0),(U43="x"))*(G43-IFERROR(H43,0))/IFERROR(IF(COUNTIF(J43:U43,"x")=0,COUNTA(Besatzung!$B$11:$B$22),COUNTIF(J43:U43,"x")),1)+IF(COUNTIF(J43:U43,"x")=0,(Besatzung!$F$22="x"),(U43="x")*(Besatzung!$F$22="x"))*IFERROR(H43,0)/IFERROR(IF(COUNTIF(J43:U43,"x")=0,SUMPRODUCT((Besatzung!$B$11:$B$22&lt;&gt;"")*(Besatzung!$F$11:$F$22="x")),SUMPRODUCT((J43:U43="x")*(Besatzung!$F$11:$F$22="x"))),1))))),0))))</f>
        <v/>
      </c>
      <c r="AH43" s="107" t="n"/>
      <c r="AI43" s="107" t="n"/>
    </row>
    <row r="44" ht="21.75" customHeight="1" s="182">
      <c r="A44" s="97">
        <f>IF(AND(D44="",C44=""),"",41)</f>
        <v/>
      </c>
      <c r="B44" s="56" t="n"/>
      <c r="C44" s="98" t="n"/>
      <c r="D44" s="99" t="n"/>
      <c r="E44" s="100" t="n"/>
      <c r="F44" s="101" t="n"/>
      <c r="G44" s="102" t="n"/>
      <c r="H44" s="103" t="n"/>
      <c r="I44" s="104" t="n"/>
      <c r="J44" s="105" t="n"/>
      <c r="K44" s="105" t="n"/>
      <c r="L44" s="105" t="n"/>
      <c r="M44" s="105" t="n"/>
      <c r="N44" s="105" t="n"/>
      <c r="O44" s="105" t="n"/>
      <c r="P44" s="105" t="n"/>
      <c r="Q44" s="105" t="n"/>
      <c r="R44" s="105" t="n"/>
      <c r="S44" s="105" t="n"/>
      <c r="T44" s="105" t="n"/>
      <c r="U44" s="105" t="n"/>
      <c r="V44" s="106">
        <f>IF(C44="Gutschrift","",IF(G44="","",IF(Besatzung!$B$11="","",IFERROR(IF(I44="Zeitanteilig",(Besatzung!$G$11*(G44-IFERROR(H44,0))+((Besatzung!$B$11&lt;&gt;"")*IF(B44="",1,(IF(Besatzung!$C$11="",Besatzung!$B$5,Besatzung!$C$11)&lt;=B44)*(IF(Besatzung!$D$11="",Besatzung!$B$6,Besatzung!$D$11)&gt;=B44)))*(Besatzung!$F$11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$11&lt;&gt;"")*IF(B44="",1,(IF(Besatzung!$C$11="",Besatzung!$B$5,Besatzung!$C$11)&lt;=B44)*(IF(Besatzung!$D$11="",Besatzung!$B$6,Besatzung!$D$11)&gt;=B44)))*((G44-IFERROR(H44,0))/IFERROR(SUMPRODUCT((Besatzung!$B$11:$B$22&lt;&gt;"")*(IF(Besatzung!$C$11:$C$22="",Besatzung!$B$5,Besatzung!$C$11:$C$22)&lt;=B44)*(IF(Besatzung!$D$11:$D$22="",Besatzung!$B$6,Besatzung!$D$11:$D$22)&gt;=B44)),1)+(Besatzung!$F$11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J44="x")*((G44-IFERROR(H44,0))/IFERROR(COUNTIF(J44:U44,"x"),1)+(Besatzung!$F$11="x")*IFERROR(H44,0)/IFERROR(SUMPRODUCT((J44:U44="x")*(Besatzung!$F$11:$F$22="x")),1))),(IF(COUNTIF(J44:U44,"x")=0,IF(Besatzung!$B$11&lt;&gt;"",1,0),(J44="x"))*(G44-IFERROR(H44,0))/IFERROR(IF(COUNTIF(J44:U44,"x")=0,COUNTA(Besatzung!$B$11:$B$22),COUNTIF(J44:U44,"x")),1)+IF(COUNTIF(J44:U44,"x")=0,(Besatzung!$F$11="x"),(J44="x")*(Besatzung!$F$11="x"))*IFERROR(H44,0)/IFERROR(IF(COUNTIF(J44:U44,"x")=0,SUMPRODUCT((Besatzung!$B$11:$B$22&lt;&gt;"")*(Besatzung!$F$11:$F$22="x")),SUMPRODUCT((J44:U44="x")*(Besatzung!$F$11:$F$22="x"))),1))))),0))))</f>
        <v/>
      </c>
      <c r="W44" s="106">
        <f>IF(C44="Gutschrift","",IF(G44="","",IF(Besatzung!$B$12="","",IFERROR(IF(I44="Zeitanteilig",(Besatzung!$G$12*(G44-IFERROR(H44,0))+((Besatzung!$B$12&lt;&gt;"")*IF(B44="",1,(IF(Besatzung!$C$12="",Besatzung!$B$5,Besatzung!$C$12)&lt;=B44)*(IF(Besatzung!$D$12="",Besatzung!$B$6,Besatzung!$D$12)&gt;=B44)))*(Besatzung!$F$12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$12&lt;&gt;"")*IF(B44="",1,(IF(Besatzung!$C$12="",Besatzung!$B$5,Besatzung!$C$12)&lt;=B44)*(IF(Besatzung!$D$12="",Besatzung!$B$6,Besatzung!$D$12)&gt;=B44)))*((G44-IFERROR(H44,0))/IFERROR(SUMPRODUCT((Besatzung!$B$11:$B$22&lt;&gt;"")*(IF(Besatzung!$C$11:$C$22="",Besatzung!$B$5,Besatzung!$C$11:$C$22)&lt;=B44)*(IF(Besatzung!$D$11:$D$22="",Besatzung!$B$6,Besatzung!$D$11:$D$22)&gt;=B44)),1)+(Besatzung!$F$12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K44="x")*((G44-IFERROR(H44,0))/IFERROR(COUNTIF(J44:U44,"x"),1)+(Besatzung!$F$12="x")*IFERROR(H44,0)/IFERROR(SUMPRODUCT((J44:U44="x")*(Besatzung!$F$11:$F$22="x")),1))),(IF(COUNTIF(J44:U44,"x")=0,IF(Besatzung!$B$12&lt;&gt;"",1,0),(K44="x"))*(G44-IFERROR(H44,0))/IFERROR(IF(COUNTIF(J44:U44,"x")=0,COUNTA(Besatzung!$B$11:$B$22),COUNTIF(J44:U44,"x")),1)+IF(COUNTIF(J44:U44,"x")=0,(Besatzung!$F$12="x"),(K44="x")*(Besatzung!$F$12="x"))*IFERROR(H44,0)/IFERROR(IF(COUNTIF(J44:U44,"x")=0,SUMPRODUCT((Besatzung!$B$11:$B$22&lt;&gt;"")*(Besatzung!$F$11:$F$22="x")),SUMPRODUCT((J44:U44="x")*(Besatzung!$F$11:$F$22="x"))),1))))),0))))</f>
        <v/>
      </c>
      <c r="X44" s="106">
        <f>IF(C44="Gutschrift","",IF(G44="","",IF(Besatzung!$B$13="","",IFERROR(IF(I44="Zeitanteilig",(Besatzung!$G$13*(G44-IFERROR(H44,0))+((Besatzung!$B$13&lt;&gt;"")*IF(B44="",1,(IF(Besatzung!$C$13="",Besatzung!$B$5,Besatzung!$C$13)&lt;=B44)*(IF(Besatzung!$D$13="",Besatzung!$B$6,Besatzung!$D$13)&gt;=B44)))*(Besatzung!$F$13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$13&lt;&gt;"")*IF(B44="",1,(IF(Besatzung!$C$13="",Besatzung!$B$5,Besatzung!$C$13)&lt;=B44)*(IF(Besatzung!$D$13="",Besatzung!$B$6,Besatzung!$D$13)&gt;=B44)))*((G44-IFERROR(H44,0))/IFERROR(SUMPRODUCT((Besatzung!$B$11:$B$22&lt;&gt;"")*(IF(Besatzung!$C$11:$C$22="",Besatzung!$B$5,Besatzung!$C$11:$C$22)&lt;=B44)*(IF(Besatzung!$D$11:$D$22="",Besatzung!$B$6,Besatzung!$D$11:$D$22)&gt;=B44)),1)+(Besatzung!$F$13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K44="x")*((G44-IFERROR(H44,0))/IFERROR(COUNTIF(J44:U44,"x"),1)+(Besatzung!$F$13="x")*IFERROR(H44,0)/IFERROR(SUMPRODUCT((J44:U44="x")*(Besatzung!$F$11:$F$22="x")),1))),(IF(COUNTIF(J44:U44,"x")=0,IF(Besatzung!$B$13&lt;&gt;"",1,0),(K44="x"))*(G44-IFERROR(H44,0))/IFERROR(IF(COUNTIF(J44:U44,"x")=0,COUNTA(Besatzung!$B$11:$B$22),COUNTIF(J44:U44,"x")),1)+IF(COUNTIF(J44:U44,"x")=0,(Besatzung!$F$13="x"),(K44="x")*(Besatzung!$F$13="x"))*IFERROR(H44,0)/IFERROR(IF(COUNTIF(J44:U44,"x")=0,SUMPRODUCT((Besatzung!$B$11:$B$22&lt;&gt;"")*(Besatzung!$F$11:$F$22="x")),SUMPRODUCT((J44:U44="x")*(Besatzung!$F$11:$F$22="x"))),1))))),0))))</f>
        <v/>
      </c>
      <c r="Y44" s="106">
        <f>IF(C44="Gutschrift","",IF(G44="","",IF(Besatzung!$B$14="","",IFERROR(IF(I44="Zeitanteilig",(Besatzung!$G$14*(G44-IFERROR(H44,0))+((Besatzung!$B$14&lt;&gt;"")*IF(B44="",1,(IF(Besatzung!$C$14="",Besatzung!$B$5,Besatzung!$C$14)&lt;=B44)*(IF(Besatzung!$D$14="",Besatzung!$B$6,Besatzung!$D$14)&gt;=B44)))*(Besatzung!$F$14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$14&lt;&gt;"")*IF(B44="",1,(IF(Besatzung!$C$14="",Besatzung!$B$5,Besatzung!$C$14)&lt;=B44)*(IF(Besatzung!$D$14="",Besatzung!$B$6,Besatzung!$D$14)&gt;=B44)))*((G44-IFERROR(H44,0))/IFERROR(SUMPRODUCT((Besatzung!$B$11:$B$22&lt;&gt;"")*(IF(Besatzung!$C$11:$C$22="",Besatzung!$B$5,Besatzung!$C$11:$C$22)&lt;=B44)*(IF(Besatzung!$D$11:$D$22="",Besatzung!$B$6,Besatzung!$D$11:$D$22)&gt;=B44)),1)+(Besatzung!$F$14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M44="x")*((G44-IFERROR(H44,0))/IFERROR(COUNTIF(J44:U44,"x"),1)+(Besatzung!$F$14="x")*IFERROR(H44,0)/IFERROR(SUMPRODUCT((J44:U44="x")*(Besatzung!$F$11:$F$22="x")),1))),(IF(COUNTIF(J44:U44,"x")=0,IF(Besatzung!$B$14&lt;&gt;"",1,0),(M44="x"))*(G44-IFERROR(H44,0))/IFERROR(IF(COUNTIF(J44:U44,"x")=0,COUNTA(Besatzung!$B$11:$B$22),COUNTIF(J44:U44,"x")),1)+IF(COUNTIF(J44:U44,"x")=0,(Besatzung!$F$14="x"),(M44="x")*(Besatzung!$F$14="x"))*IFERROR(H44,0)/IFERROR(IF(COUNTIF(J44:U44,"x")=0,SUMPRODUCT((Besatzung!$B$11:$B$22&lt;&gt;"")*(Besatzung!$F$11:$F$22="x")),SUMPRODUCT((J44:U44="x")*(Besatzung!$F$11:$F$22="x"))),1))))),0))))</f>
        <v/>
      </c>
      <c r="Z44" s="106">
        <f>IF(C44="Gutschrift","",IF(G44="","",IF(Besatzung!$B$13="","",IFERROR(IF(I44="Zeitanteilig",(Besatzung!$G$15*(G44-IFERROR(H44,0))+((Besatzung!$B$13&lt;&gt;"")*IF(B44="",1,(IF(Besatzung!$C$15="",Besatzung!$B$5,Besatzung!$C$15)&lt;=B44)*(IF(Besatzung!$D$15="",Besatzung!$B$6,Besatzung!$D$15)&gt;=B44)))*(Besatzung!$F$15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$13&lt;&gt;"")*IF(B44="",1,(IF(Besatzung!$C$15="",Besatzung!$B$5,Besatzung!$C$15)&lt;=B44)*(IF(Besatzung!$D$15="",Besatzung!$B$6,Besatzung!$D$15)&gt;=B44)))*((G44-IFERROR(H44,0))/IFERROR(SUMPRODUCT((Besatzung!$B$11:$B$22&lt;&gt;"")*(IF(Besatzung!$C$11:$C$22="",Besatzung!$B$5,Besatzung!$C$11:$C$22)&lt;=B44)*(IF(Besatzung!$D$11:$D$22="",Besatzung!$B$6,Besatzung!$D$11:$D$22)&gt;=B44)),1)+(Besatzung!$F$15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N44="x")*((G44-IFERROR(H44,0))/IFERROR(COUNTIF(J44:U44,"x"),1)+(Besatzung!$F$15="x")*IFERROR(H44,0)/IFERROR(SUMPRODUCT((J44:U44="x")*(Besatzung!$F$11:$F$22="x")),1))),(IF(COUNTIF(J44:U44,"x")=0,IF(Besatzung!$B$13&lt;&gt;"",1,0),(N44="x"))*(G44-IFERROR(H44,0))/IFERROR(IF(COUNTIF(J44:U44,"x")=0,COUNTA(Besatzung!$B$11:$B$22),COUNTIF(J44:U44,"x")),1)+IF(COUNTIF(J44:U44,"x")=0,(Besatzung!$F$15="x"),(N44="x")*(Besatzung!$F$15="x"))*IFERROR(H44,0)/IFERROR(IF(COUNTIF(J44:U44,"x")=0,SUMPRODUCT((Besatzung!$B$11:$B$22&lt;&gt;"")*(Besatzung!$F$11:$F$22="x")),SUMPRODUCT((J44:U44="x")*(Besatzung!$F$11:$F$22="x"))),1))))),0))))</f>
        <v/>
      </c>
      <c r="AA44" s="106">
        <f>IF(C44="Gutschrift","",IF(G44="","",IF(Besatzung!$B$15="","",IFERROR(IF(I44="Zeitanteilig",(Besatzung!$G$16*(G44-IFERROR(H44,0))+((Besatzung!$B$15&lt;&gt;"")*IF(B44="",1,(IF(Besatzung!$C$16="",Besatzung!$B$5,Besatzung!$C$16)&lt;=B44)*(IF(Besatzung!$D$16="",Besatzung!$B$6,Besatzung!$D$16)&gt;=B44)))*(Besatzung!$F$16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$15&lt;&gt;"")*IF(B44="",1,(IF(Besatzung!$C$16="",Besatzung!$B$5,Besatzung!$C$16)&lt;=B44)*(IF(Besatzung!$D$16="",Besatzung!$B$6,Besatzung!$D$16)&gt;=B44)))*((G44-IFERROR(H44,0))/IFERROR(SUMPRODUCT((Besatzung!$B$11:$B$22&lt;&gt;"")*(IF(Besatzung!$C$11:$C$22="",Besatzung!$B$5,Besatzung!$C$11:$C$22)&lt;=B44)*(IF(Besatzung!$D$11:$D$22="",Besatzung!$B$6,Besatzung!$D$11:$D$22)&gt;=B44)),1)+(Besatzung!$F$16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O44="x")*((G44-IFERROR(H44,0))/IFERROR(COUNTIF(J44:U44,"x"),1)+(Besatzung!$F$16="x")*IFERROR(H44,0)/IFERROR(SUMPRODUCT((J44:U44="x")*(Besatzung!$F$11:$F$22="x")),1))),(IF(COUNTIF(J44:U44,"x")=0,IF(Besatzung!$B$15&lt;&gt;"",1,0),(O44="x"))*(G44-IFERROR(H44,0))/IFERROR(IF(COUNTIF(J44:U44,"x")=0,COUNTA(Besatzung!$B$11:$B$22),COUNTIF(J44:U44,"x")),1)+IF(COUNTIF(J44:U44,"x")=0,(Besatzung!$F$16="x"),(O44="x")*(Besatzung!$F$16="x"))*IFERROR(H44,0)/IFERROR(IF(COUNTIF(J44:U44,"x")=0,SUMPRODUCT((Besatzung!$B$11:$B$22&lt;&gt;"")*(Besatzung!$F$11:$F$22="x")),SUMPRODUCT((J44:U44="x")*(Besatzung!$F$11:$F$22="x"))),1))))),0))))</f>
        <v/>
      </c>
      <c r="AB44" s="106">
        <f>IF(C44="Gutschrift","",IF(G44="","",IF(Besatzung!$B$17="","",IFERROR(IF(I44="Zeitanteilig",(Besatzung!$G$17*(G44-IFERROR(H44,0))+((Besatzung!$B$17&lt;&gt;"")*IF(B44="",1,(IF(Besatzung!$C$17="",Besatzung!$B$5,Besatzung!$C$17)&lt;=B44)*(IF(Besatzung!$D$17="",Besatzung!$B$6,Besatzung!$D$17)&gt;=B44)))*(Besatzung!$F$17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$17&lt;&gt;"")*IF(B44="",1,(IF(Besatzung!$C$17="",Besatzung!$B$5,Besatzung!$C$17)&lt;=B44)*(IF(Besatzung!$D$17="",Besatzung!$B$6,Besatzung!$D$17)&gt;=B44)))*((G44-IFERROR(H44,0))/IFERROR(SUMPRODUCT((Besatzung!$B$11:$B$22&lt;&gt;"")*(IF(Besatzung!$C$11:$C$22="",Besatzung!$B$5,Besatzung!$C$11:$C$22)&lt;=B44)*(IF(Besatzung!$D$11:$D$22="",Besatzung!$B$6,Besatzung!$D$11:$D$22)&gt;=B44)),1)+(Besatzung!$F$17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P44="x")*((G44-IFERROR(H44,0))/IFERROR(COUNTIF(J44:U44,"x"),1)+(Besatzung!$F$17="x")*IFERROR(H44,0)/IFERROR(SUMPRODUCT((J44:U44="x")*(Besatzung!$F$11:$F$22="x")),1))),(IF(COUNTIF(J44:U44,"x")=0,IF(Besatzung!$B$17&lt;&gt;"",1,0),(P44="x"))*(G44-IFERROR(H44,0))/IFERROR(IF(COUNTIF(J44:U44,"x")=0,COUNTA(Besatzung!$B$11:$B$22),COUNTIF(J44:U44,"x")),1)+IF(COUNTIF(J44:U44,"x")=0,(Besatzung!$F$17="x"),(P44="x")*(Besatzung!$F$17="x"))*IFERROR(H44,0)/IFERROR(IF(COUNTIF(J44:U44,"x")=0,SUMPRODUCT((Besatzung!$B$11:$B$22&lt;&gt;"")*(Besatzung!$F$11:$F$22="x")),SUMPRODUCT((J44:U44="x")*(Besatzung!$F$11:$F$22="x"))),1))))),0))))</f>
        <v/>
      </c>
      <c r="AC44" s="106">
        <f>IF(C44="Gutschrift","",IF(G44="","",IF(Besatzung!$B$18="","",IFERROR(IF(I44="Zeitanteilig",(Besatzung!$G$18*(G44-IFERROR(H44,0))+((Besatzung!$B$18&lt;&gt;"")*IF(B44="",1,(IF(Besatzung!$C$18="",Besatzung!$B$5,Besatzung!$C$18)&lt;=B44)*(IF(Besatzung!$D$18="",Besatzung!$B$6,Besatzung!$D$18)&gt;=B44)))*(Besatzung!$F$18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$18&lt;&gt;"")*IF(B44="",1,(IF(Besatzung!$C$18="",Besatzung!$B$5,Besatzung!$C$18)&lt;=B44)*(IF(Besatzung!$D$18="",Besatzung!$B$6,Besatzung!$D$18)&gt;=B44)))*((G44-IFERROR(H44,0))/IFERROR(SUMPRODUCT((Besatzung!$B$11:$B$22&lt;&gt;"")*(IF(Besatzung!$C$11:$C$22="",Besatzung!$B$5,Besatzung!$C$11:$C$22)&lt;=B44)*(IF(Besatzung!$D$11:$D$22="",Besatzung!$B$6,Besatzung!$D$11:$D$22)&gt;=B44)),1)+(Besatzung!$F$18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Q44="x")*((G44-IFERROR(H44,0))/IFERROR(COUNTIF(J44:U44,"x"),1)+(Besatzung!$F$18="x")*IFERROR(H44,0)/IFERROR(SUMPRODUCT((J44:U44="x")*(Besatzung!$F$11:$F$22="x")),1))),(IF(COUNTIF(J44:U44,"x")=0,IF(Besatzung!$B$18&lt;&gt;"",1,0),(Q44="x"))*(G44-IFERROR(H44,0))/IFERROR(IF(COUNTIF(J44:U44,"x")=0,COUNTA(Besatzung!$B$11:$B$22),COUNTIF(J44:U44,"x")),1)+IF(COUNTIF(J44:U44,"x")=0,(Besatzung!$F$18="x"),(Q44="x")*(Besatzung!$F$18="x"))*IFERROR(H44,0)/IFERROR(IF(COUNTIF(J44:U44,"x")=0,SUMPRODUCT((Besatzung!$B$11:$B$22&lt;&gt;"")*(Besatzung!$F$11:$F$22="x")),SUMPRODUCT((J44:U44="x")*(Besatzung!$F$11:$F$22="x"))),1))))),0))))</f>
        <v/>
      </c>
      <c r="AD44" s="106">
        <f>IF(C44="Gutschrift","",IF(G44="","",IF(Besatzung!$B$19="","",IFERROR(IF(I44="Zeitanteilig",(Besatzung!$G$19*(G44-IFERROR(H44,0))+((Besatzung!$B$19&lt;&gt;"")*IF(B44="",1,(IF(Besatzung!$C$19="",Besatzung!$B$5,Besatzung!$C$19)&lt;=B44)*(IF(Besatzung!$D$19="",Besatzung!$B$6,Besatzung!$D$19)&gt;=B44)))*(Besatzung!$F$19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$19&lt;&gt;"")*IF(B44="",1,(IF(Besatzung!$C$19="",Besatzung!$B$5,Besatzung!$C$19)&lt;=B44)*(IF(Besatzung!$D$19="",Besatzung!$B$6,Besatzung!$D$19)&gt;=B44)))*((G44-IFERROR(H44,0))/IFERROR(SUMPRODUCT((Besatzung!$B$11:$B$22&lt;&gt;"")*(IF(Besatzung!$C$11:$C$22="",Besatzung!$B$5,Besatzung!$C$11:$C$22)&lt;=B44)*(IF(Besatzung!$D$11:$D$22="",Besatzung!$B$6,Besatzung!$D$11:$D$22)&gt;=B44)),1)+(Besatzung!$F$19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R44="x")*((G44-IFERROR(H44,0))/IFERROR(COUNTIF(J44:U44,"x"),1)+(Besatzung!$F$19="x")*IFERROR(H44,0)/IFERROR(SUMPRODUCT((J44:U44="x")*(Besatzung!$F$11:$F$22="x")),1))),(IF(COUNTIF(J44:U44,"x")=0,IF(Besatzung!$B$19&lt;&gt;"",1,0),(R44="x"))*(G44-IFERROR(H44,0))/IFERROR(IF(COUNTIF(J44:U44,"x")=0,COUNTA(Besatzung!$B$11:$B$22),COUNTIF(J44:U44,"x")),1)+IF(COUNTIF(J44:U44,"x")=0,(Besatzung!$F$19="x"),(R44="x")*(Besatzung!$F$19="x"))*IFERROR(H44,0)/IFERROR(IF(COUNTIF(J44:U44,"x")=0,SUMPRODUCT((Besatzung!$B$11:$B$22&lt;&gt;"")*(Besatzung!$F$11:$F$22="x")),SUMPRODUCT((J44:U44="x")*(Besatzung!$F$11:$F$22="x"))),1))))),0))))</f>
        <v/>
      </c>
      <c r="AE44" s="106">
        <f>IF(C44="Gutschrift","",IF(G44="","",IF(Besatzung!$B$20="","",IFERROR(IF(I44="Zeitanteilig",(Besatzung!$G$20*(G44-IFERROR(H44,0))+((Besatzung!$B$20&lt;&gt;"")*IF(B44="",1,(IF(Besatzung!$C$20="",Besatzung!$B$5,Besatzung!$C$20)&lt;=B44)*(IF(Besatzung!$D$20="",Besatzung!$B$6,Besatzung!$D$20)&gt;=B44)))*(Besatzung!$F$20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$20&lt;&gt;"")*IF(B44="",1,(IF(Besatzung!$C$20="",Besatzung!$B$5,Besatzung!$C$20)&lt;=B44)*(IF(Besatzung!$D$20="",Besatzung!$B$6,Besatzung!$D$20)&gt;=B44)))*((G44-IFERROR(H44,0))/IFERROR(SUMPRODUCT((Besatzung!$B$11:$B$22&lt;&gt;"")*(IF(Besatzung!$C$11:$C$22="",Besatzung!$B$5,Besatzung!$C$11:$C$22)&lt;=B44)*(IF(Besatzung!$D$11:$D$22="",Besatzung!$B$6,Besatzung!$D$11:$D$22)&gt;=B44)),1)+(Besatzung!$F$20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S44="x")*((G44-IFERROR(H44,0))/IFERROR(COUNTIF(J44:U44,"x"),1)+(Besatzung!$F$20="x")*IFERROR(H44,0)/IFERROR(SUMPRODUCT((J44:U44="x")*(Besatzung!$F$11:$F$22="x")),1))),(IF(COUNTIF(J44:U44,"x")=0,IF(Besatzung!$B$20&lt;&gt;"",1,0),(S44="x"))*(G44-IFERROR(H44,0))/IFERROR(IF(COUNTIF(J44:U44,"x")=0,COUNTA(Besatzung!$B$11:$B$22),COUNTIF(J44:U44,"x")),1)+IF(COUNTIF(J44:U44,"x")=0,(Besatzung!$F$20="x"),(S44="x")*(Besatzung!$F$20="x"))*IFERROR(H44,0)/IFERROR(IF(COUNTIF(J44:U44,"x")=0,SUMPRODUCT((Besatzung!$B$11:$B$22&lt;&gt;"")*(Besatzung!$F$11:$F$22="x")),SUMPRODUCT((J44:U44="x")*(Besatzung!$F$11:$F$22="x"))),1))))),0))))</f>
        <v/>
      </c>
      <c r="AF44" s="106">
        <f>IF(C44="Gutschrift","",IF(G44="","",IF(Besatzung!$B$21="","",IFERROR(IF(I44="Zeitanteilig",(Besatzung!$G$21*(G44-IFERROR(H44,0))+((Besatzung!$B$21&lt;&gt;"")*IF(B44="",1,(IF(Besatzung!$C$21="",Besatzung!$B$5,Besatzung!$C$21)&lt;=B44)*(IF(Besatzung!$D$21="",Besatzung!$B$6,Besatzung!$D$21)&gt;=B44)))*(Besatzung!$F$21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$21&lt;&gt;"")*IF(B44="",1,(IF(Besatzung!$C$21="",Besatzung!$B$5,Besatzung!$C$21)&lt;=B44)*(IF(Besatzung!$D$21="",Besatzung!$B$6,Besatzung!$D$21)&gt;=B44)))*((G44-IFERROR(H44,0))/IFERROR(SUMPRODUCT((Besatzung!$B$11:$B$22&lt;&gt;"")*(IF(Besatzung!$C$11:$C$22="",Besatzung!$B$5,Besatzung!$C$11:$C$22)&lt;=B44)*(IF(Besatzung!$D$11:$D$22="",Besatzung!$B$6,Besatzung!$D$11:$D$22)&gt;=B44)),1)+(Besatzung!$F$21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T44="x")*((G44-IFERROR(H44,0))/IFERROR(COUNTIF(J44:U44,"x"),1)+(Besatzung!$F$21="x")*IFERROR(H44,0)/IFERROR(SUMPRODUCT((J44:U44="x")*(Besatzung!$F$11:$F$22="x")),1))),(IF(COUNTIF(J44:U44,"x")=0,IF(Besatzung!$B$21&lt;&gt;"",1,0),(T44="x"))*(G44-IFERROR(H44,0))/IFERROR(IF(COUNTIF(J44:U44,"x")=0,COUNTA(Besatzung!$B$11:$B$22),COUNTIF(J44:U44,"x")),1)+IF(COUNTIF(J44:U44,"x")=0,(Besatzung!$F$21="x"),(T44="x")*(Besatzung!$F$21="x"))*IFERROR(H44,0)/IFERROR(IF(COUNTIF(J44:U44,"x")=0,SUMPRODUCT((Besatzung!$B$11:$B$22&lt;&gt;"")*(Besatzung!$F$11:$F$22="x")),SUMPRODUCT((J44:U44="x")*(Besatzung!$F$11:$F$22="x"))),1))))),0))))</f>
        <v/>
      </c>
      <c r="AG44" s="106">
        <f>IF(C44="Gutschrift","",IF(G44="","",IF(Besatzung!$B$22="","",IFERROR(IF(I44="Zeitanteilig",(Besatzung!$G$22*(G44-IFERROR(H44,0))+((Besatzung!$B$22&lt;&gt;"")*IF(B44="",1,(IF(Besatzung!$C$22="",Besatzung!$B$5,Besatzung!$C$22)&lt;=B44)*(IF(Besatzung!$D$22="",Besatzung!$B$6,Besatzung!$D$22)&gt;=B44)))*(Besatzung!$F$22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$22&lt;&gt;"")*IF(B44="",1,(IF(Besatzung!$C$22="",Besatzung!$B$5,Besatzung!$C$22)&lt;=B44)*(IF(Besatzung!$D$22="",Besatzung!$B$6,Besatzung!$D$22)&gt;=B44)))*((G44-IFERROR(H44,0))/IFERROR(SUMPRODUCT((Besatzung!$B$11:$B$22&lt;&gt;"")*(IF(Besatzung!$C$11:$C$22="",Besatzung!$B$5,Besatzung!$C$11:$C$22)&lt;=B44)*(IF(Besatzung!$D$11:$D$22="",Besatzung!$B$6,Besatzung!$D$11:$D$22)&gt;=B44)),1)+(Besatzung!$F$22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U44="x")*((G44-IFERROR(H44,0))/IFERROR(COUNTIF(J44:U44,"x"),1)+(Besatzung!$F$22="x")*IFERROR(H44,0)/IFERROR(SUMPRODUCT((J44:U44="x")*(Besatzung!$F$11:$F$22="x")),1))),(IF(COUNTIF(J44:U44,"x")=0,IF(Besatzung!$B$22&lt;&gt;"",1,0),(U44="x"))*(G44-IFERROR(H44,0))/IFERROR(IF(COUNTIF(J44:U44,"x")=0,COUNTA(Besatzung!$B$11:$B$22),COUNTIF(J44:U44,"x")),1)+IF(COUNTIF(J44:U44,"x")=0,(Besatzung!$F$22="x"),(U44="x")*(Besatzung!$F$22="x"))*IFERROR(H44,0)/IFERROR(IF(COUNTIF(J44:U44,"x")=0,SUMPRODUCT((Besatzung!$B$11:$B$22&lt;&gt;"")*(Besatzung!$F$11:$F$22="x")),SUMPRODUCT((J44:U44="x")*(Besatzung!$F$11:$F$22="x"))),1))))),0))))</f>
        <v/>
      </c>
      <c r="AH44" s="107" t="n"/>
      <c r="AI44" s="107" t="n"/>
    </row>
    <row r="45" ht="21.75" customHeight="1" s="182">
      <c r="A45" s="97">
        <f>IF(AND(D45="",C45=""),"",42)</f>
        <v/>
      </c>
      <c r="B45" s="63" t="n"/>
      <c r="C45" s="108" t="n"/>
      <c r="D45" s="109" t="n"/>
      <c r="E45" s="110" t="n"/>
      <c r="F45" s="111" t="n"/>
      <c r="G45" s="112" t="n"/>
      <c r="H45" s="113" t="n"/>
      <c r="I45" s="114" t="n"/>
      <c r="J45" s="115" t="n"/>
      <c r="K45" s="115" t="n"/>
      <c r="L45" s="115" t="n"/>
      <c r="M45" s="115" t="n"/>
      <c r="N45" s="115" t="n"/>
      <c r="O45" s="115" t="n"/>
      <c r="P45" s="115" t="n"/>
      <c r="Q45" s="115" t="n"/>
      <c r="R45" s="115" t="n"/>
      <c r="S45" s="115" t="n"/>
      <c r="T45" s="115" t="n"/>
      <c r="U45" s="115" t="n"/>
      <c r="V45" s="106">
        <f>IF(C45="Gutschrift","",IF(G45="","",IF(Besatzung!$B$11="","",IFERROR(IF(I45="Zeitanteilig",(Besatzung!$G$11*(G45-IFERROR(H45,0))+((Besatzung!$B$11&lt;&gt;"")*IF(B45="",1,(IF(Besatzung!$C$11="",Besatzung!$B$5,Besatzung!$C$11)&lt;=B45)*(IF(Besatzung!$D$11="",Besatzung!$B$6,Besatzung!$D$11)&gt;=B45)))*(Besatzung!$F$11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$11&lt;&gt;"")*IF(B45="",1,(IF(Besatzung!$C$11="",Besatzung!$B$5,Besatzung!$C$11)&lt;=B45)*(IF(Besatzung!$D$11="",Besatzung!$B$6,Besatzung!$D$11)&gt;=B45)))*((G45-IFERROR(H45,0))/IFERROR(SUMPRODUCT((Besatzung!$B$11:$B$22&lt;&gt;"")*(IF(Besatzung!$C$11:$C$22="",Besatzung!$B$5,Besatzung!$C$11:$C$22)&lt;=B45)*(IF(Besatzung!$D$11:$D$22="",Besatzung!$B$6,Besatzung!$D$11:$D$22)&gt;=B45)),1)+(Besatzung!$F$11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J45="x")*((G45-IFERROR(H45,0))/IFERROR(COUNTIF(J45:U45,"x"),1)+(Besatzung!$F$11="x")*IFERROR(H45,0)/IFERROR(SUMPRODUCT((J45:U45="x")*(Besatzung!$F$11:$F$22="x")),1))),(IF(COUNTIF(J45:U45,"x")=0,IF(Besatzung!$B$11&lt;&gt;"",1,0),(J45="x"))*(G45-IFERROR(H45,0))/IFERROR(IF(COUNTIF(J45:U45,"x")=0,COUNTA(Besatzung!$B$11:$B$22),COUNTIF(J45:U45,"x")),1)+IF(COUNTIF(J45:U45,"x")=0,(Besatzung!$F$11="x"),(J45="x")*(Besatzung!$F$11="x"))*IFERROR(H45,0)/IFERROR(IF(COUNTIF(J45:U45,"x")=0,SUMPRODUCT((Besatzung!$B$11:$B$22&lt;&gt;"")*(Besatzung!$F$11:$F$22="x")),SUMPRODUCT((J45:U45="x")*(Besatzung!$F$11:$F$22="x"))),1))))),0))))</f>
        <v/>
      </c>
      <c r="W45" s="106">
        <f>IF(C45="Gutschrift","",IF(G45="","",IF(Besatzung!$B$12="","",IFERROR(IF(I45="Zeitanteilig",(Besatzung!$G$12*(G45-IFERROR(H45,0))+((Besatzung!$B$12&lt;&gt;"")*IF(B45="",1,(IF(Besatzung!$C$12="",Besatzung!$B$5,Besatzung!$C$12)&lt;=B45)*(IF(Besatzung!$D$12="",Besatzung!$B$6,Besatzung!$D$12)&gt;=B45)))*(Besatzung!$F$12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$12&lt;&gt;"")*IF(B45="",1,(IF(Besatzung!$C$12="",Besatzung!$B$5,Besatzung!$C$12)&lt;=B45)*(IF(Besatzung!$D$12="",Besatzung!$B$6,Besatzung!$D$12)&gt;=B45)))*((G45-IFERROR(H45,0))/IFERROR(SUMPRODUCT((Besatzung!$B$11:$B$22&lt;&gt;"")*(IF(Besatzung!$C$11:$C$22="",Besatzung!$B$5,Besatzung!$C$11:$C$22)&lt;=B45)*(IF(Besatzung!$D$11:$D$22="",Besatzung!$B$6,Besatzung!$D$11:$D$22)&gt;=B45)),1)+(Besatzung!$F$12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K45="x")*((G45-IFERROR(H45,0))/IFERROR(COUNTIF(J45:U45,"x"),1)+(Besatzung!$F$12="x")*IFERROR(H45,0)/IFERROR(SUMPRODUCT((J45:U45="x")*(Besatzung!$F$11:$F$22="x")),1))),(IF(COUNTIF(J45:U45,"x")=0,IF(Besatzung!$B$12&lt;&gt;"",1,0),(K45="x"))*(G45-IFERROR(H45,0))/IFERROR(IF(COUNTIF(J45:U45,"x")=0,COUNTA(Besatzung!$B$11:$B$22),COUNTIF(J45:U45,"x")),1)+IF(COUNTIF(J45:U45,"x")=0,(Besatzung!$F$12="x"),(K45="x")*(Besatzung!$F$12="x"))*IFERROR(H45,0)/IFERROR(IF(COUNTIF(J45:U45,"x")=0,SUMPRODUCT((Besatzung!$B$11:$B$22&lt;&gt;"")*(Besatzung!$F$11:$F$22="x")),SUMPRODUCT((J45:U45="x")*(Besatzung!$F$11:$F$22="x"))),1))))),0))))</f>
        <v/>
      </c>
      <c r="X45" s="106">
        <f>IF(C45="Gutschrift","",IF(G45="","",IF(Besatzung!$B$13="","",IFERROR(IF(I45="Zeitanteilig",(Besatzung!$G$13*(G45-IFERROR(H45,0))+((Besatzung!$B$13&lt;&gt;"")*IF(B45="",1,(IF(Besatzung!$C$13="",Besatzung!$B$5,Besatzung!$C$13)&lt;=B45)*(IF(Besatzung!$D$13="",Besatzung!$B$6,Besatzung!$D$13)&gt;=B45)))*(Besatzung!$F$13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$13&lt;&gt;"")*IF(B45="",1,(IF(Besatzung!$C$13="",Besatzung!$B$5,Besatzung!$C$13)&lt;=B45)*(IF(Besatzung!$D$13="",Besatzung!$B$6,Besatzung!$D$13)&gt;=B45)))*((G45-IFERROR(H45,0))/IFERROR(SUMPRODUCT((Besatzung!$B$11:$B$22&lt;&gt;"")*(IF(Besatzung!$C$11:$C$22="",Besatzung!$B$5,Besatzung!$C$11:$C$22)&lt;=B45)*(IF(Besatzung!$D$11:$D$22="",Besatzung!$B$6,Besatzung!$D$11:$D$22)&gt;=B45)),1)+(Besatzung!$F$13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K45="x")*((G45-IFERROR(H45,0))/IFERROR(COUNTIF(J45:U45,"x"),1)+(Besatzung!$F$13="x")*IFERROR(H45,0)/IFERROR(SUMPRODUCT((J45:U45="x")*(Besatzung!$F$11:$F$22="x")),1))),(IF(COUNTIF(J45:U45,"x")=0,IF(Besatzung!$B$13&lt;&gt;"",1,0),(K45="x"))*(G45-IFERROR(H45,0))/IFERROR(IF(COUNTIF(J45:U45,"x")=0,COUNTA(Besatzung!$B$11:$B$22),COUNTIF(J45:U45,"x")),1)+IF(COUNTIF(J45:U45,"x")=0,(Besatzung!$F$13="x"),(K45="x")*(Besatzung!$F$13="x"))*IFERROR(H45,0)/IFERROR(IF(COUNTIF(J45:U45,"x")=0,SUMPRODUCT((Besatzung!$B$11:$B$22&lt;&gt;"")*(Besatzung!$F$11:$F$22="x")),SUMPRODUCT((J45:U45="x")*(Besatzung!$F$11:$F$22="x"))),1))))),0))))</f>
        <v/>
      </c>
      <c r="Y45" s="106">
        <f>IF(C45="Gutschrift","",IF(G45="","",IF(Besatzung!$B$14="","",IFERROR(IF(I45="Zeitanteilig",(Besatzung!$G$14*(G45-IFERROR(H45,0))+((Besatzung!$B$14&lt;&gt;"")*IF(B45="",1,(IF(Besatzung!$C$14="",Besatzung!$B$5,Besatzung!$C$14)&lt;=B45)*(IF(Besatzung!$D$14="",Besatzung!$B$6,Besatzung!$D$14)&gt;=B45)))*(Besatzung!$F$14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$14&lt;&gt;"")*IF(B45="",1,(IF(Besatzung!$C$14="",Besatzung!$B$5,Besatzung!$C$14)&lt;=B45)*(IF(Besatzung!$D$14="",Besatzung!$B$6,Besatzung!$D$14)&gt;=B45)))*((G45-IFERROR(H45,0))/IFERROR(SUMPRODUCT((Besatzung!$B$11:$B$22&lt;&gt;"")*(IF(Besatzung!$C$11:$C$22="",Besatzung!$B$5,Besatzung!$C$11:$C$22)&lt;=B45)*(IF(Besatzung!$D$11:$D$22="",Besatzung!$B$6,Besatzung!$D$11:$D$22)&gt;=B45)),1)+(Besatzung!$F$14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M45="x")*((G45-IFERROR(H45,0))/IFERROR(COUNTIF(J45:U45,"x"),1)+(Besatzung!$F$14="x")*IFERROR(H45,0)/IFERROR(SUMPRODUCT((J45:U45="x")*(Besatzung!$F$11:$F$22="x")),1))),(IF(COUNTIF(J45:U45,"x")=0,IF(Besatzung!$B$14&lt;&gt;"",1,0),(M45="x"))*(G45-IFERROR(H45,0))/IFERROR(IF(COUNTIF(J45:U45,"x")=0,COUNTA(Besatzung!$B$11:$B$22),COUNTIF(J45:U45,"x")),1)+IF(COUNTIF(J45:U45,"x")=0,(Besatzung!$F$14="x"),(M45="x")*(Besatzung!$F$14="x"))*IFERROR(H45,0)/IFERROR(IF(COUNTIF(J45:U45,"x")=0,SUMPRODUCT((Besatzung!$B$11:$B$22&lt;&gt;"")*(Besatzung!$F$11:$F$22="x")),SUMPRODUCT((J45:U45="x")*(Besatzung!$F$11:$F$22="x"))),1))))),0))))</f>
        <v/>
      </c>
      <c r="Z45" s="106">
        <f>IF(C45="Gutschrift","",IF(G45="","",IF(Besatzung!$B$13="","",IFERROR(IF(I45="Zeitanteilig",(Besatzung!$G$15*(G45-IFERROR(H45,0))+((Besatzung!$B$13&lt;&gt;"")*IF(B45="",1,(IF(Besatzung!$C$15="",Besatzung!$B$5,Besatzung!$C$15)&lt;=B45)*(IF(Besatzung!$D$15="",Besatzung!$B$6,Besatzung!$D$15)&gt;=B45)))*(Besatzung!$F$15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$13&lt;&gt;"")*IF(B45="",1,(IF(Besatzung!$C$15="",Besatzung!$B$5,Besatzung!$C$15)&lt;=B45)*(IF(Besatzung!$D$15="",Besatzung!$B$6,Besatzung!$D$15)&gt;=B45)))*((G45-IFERROR(H45,0))/IFERROR(SUMPRODUCT((Besatzung!$B$11:$B$22&lt;&gt;"")*(IF(Besatzung!$C$11:$C$22="",Besatzung!$B$5,Besatzung!$C$11:$C$22)&lt;=B45)*(IF(Besatzung!$D$11:$D$22="",Besatzung!$B$6,Besatzung!$D$11:$D$22)&gt;=B45)),1)+(Besatzung!$F$15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N45="x")*((G45-IFERROR(H45,0))/IFERROR(COUNTIF(J45:U45,"x"),1)+(Besatzung!$F$15="x")*IFERROR(H45,0)/IFERROR(SUMPRODUCT((J45:U45="x")*(Besatzung!$F$11:$F$22="x")),1))),(IF(COUNTIF(J45:U45,"x")=0,IF(Besatzung!$B$13&lt;&gt;"",1,0),(N45="x"))*(G45-IFERROR(H45,0))/IFERROR(IF(COUNTIF(J45:U45,"x")=0,COUNTA(Besatzung!$B$11:$B$22),COUNTIF(J45:U45,"x")),1)+IF(COUNTIF(J45:U45,"x")=0,(Besatzung!$F$15="x"),(N45="x")*(Besatzung!$F$15="x"))*IFERROR(H45,0)/IFERROR(IF(COUNTIF(J45:U45,"x")=0,SUMPRODUCT((Besatzung!$B$11:$B$22&lt;&gt;"")*(Besatzung!$F$11:$F$22="x")),SUMPRODUCT((J45:U45="x")*(Besatzung!$F$11:$F$22="x"))),1))))),0))))</f>
        <v/>
      </c>
      <c r="AA45" s="106">
        <f>IF(C45="Gutschrift","",IF(G45="","",IF(Besatzung!$B$15="","",IFERROR(IF(I45="Zeitanteilig",(Besatzung!$G$16*(G45-IFERROR(H45,0))+((Besatzung!$B$15&lt;&gt;"")*IF(B45="",1,(IF(Besatzung!$C$16="",Besatzung!$B$5,Besatzung!$C$16)&lt;=B45)*(IF(Besatzung!$D$16="",Besatzung!$B$6,Besatzung!$D$16)&gt;=B45)))*(Besatzung!$F$16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$15&lt;&gt;"")*IF(B45="",1,(IF(Besatzung!$C$16="",Besatzung!$B$5,Besatzung!$C$16)&lt;=B45)*(IF(Besatzung!$D$16="",Besatzung!$B$6,Besatzung!$D$16)&gt;=B45)))*((G45-IFERROR(H45,0))/IFERROR(SUMPRODUCT((Besatzung!$B$11:$B$22&lt;&gt;"")*(IF(Besatzung!$C$11:$C$22="",Besatzung!$B$5,Besatzung!$C$11:$C$22)&lt;=B45)*(IF(Besatzung!$D$11:$D$22="",Besatzung!$B$6,Besatzung!$D$11:$D$22)&gt;=B45)),1)+(Besatzung!$F$16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O45="x")*((G45-IFERROR(H45,0))/IFERROR(COUNTIF(J45:U45,"x"),1)+(Besatzung!$F$16="x")*IFERROR(H45,0)/IFERROR(SUMPRODUCT((J45:U45="x")*(Besatzung!$F$11:$F$22="x")),1))),(IF(COUNTIF(J45:U45,"x")=0,IF(Besatzung!$B$15&lt;&gt;"",1,0),(O45="x"))*(G45-IFERROR(H45,0))/IFERROR(IF(COUNTIF(J45:U45,"x")=0,COUNTA(Besatzung!$B$11:$B$22),COUNTIF(J45:U45,"x")),1)+IF(COUNTIF(J45:U45,"x")=0,(Besatzung!$F$16="x"),(O45="x")*(Besatzung!$F$16="x"))*IFERROR(H45,0)/IFERROR(IF(COUNTIF(J45:U45,"x")=0,SUMPRODUCT((Besatzung!$B$11:$B$22&lt;&gt;"")*(Besatzung!$F$11:$F$22="x")),SUMPRODUCT((J45:U45="x")*(Besatzung!$F$11:$F$22="x"))),1))))),0))))</f>
        <v/>
      </c>
      <c r="AB45" s="106">
        <f>IF(C45="Gutschrift","",IF(G45="","",IF(Besatzung!$B$17="","",IFERROR(IF(I45="Zeitanteilig",(Besatzung!$G$17*(G45-IFERROR(H45,0))+((Besatzung!$B$17&lt;&gt;"")*IF(B45="",1,(IF(Besatzung!$C$17="",Besatzung!$B$5,Besatzung!$C$17)&lt;=B45)*(IF(Besatzung!$D$17="",Besatzung!$B$6,Besatzung!$D$17)&gt;=B45)))*(Besatzung!$F$17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$17&lt;&gt;"")*IF(B45="",1,(IF(Besatzung!$C$17="",Besatzung!$B$5,Besatzung!$C$17)&lt;=B45)*(IF(Besatzung!$D$17="",Besatzung!$B$6,Besatzung!$D$17)&gt;=B45)))*((G45-IFERROR(H45,0))/IFERROR(SUMPRODUCT((Besatzung!$B$11:$B$22&lt;&gt;"")*(IF(Besatzung!$C$11:$C$22="",Besatzung!$B$5,Besatzung!$C$11:$C$22)&lt;=B45)*(IF(Besatzung!$D$11:$D$22="",Besatzung!$B$6,Besatzung!$D$11:$D$22)&gt;=B45)),1)+(Besatzung!$F$17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P45="x")*((G45-IFERROR(H45,0))/IFERROR(COUNTIF(J45:U45,"x"),1)+(Besatzung!$F$17="x")*IFERROR(H45,0)/IFERROR(SUMPRODUCT((J45:U45="x")*(Besatzung!$F$11:$F$22="x")),1))),(IF(COUNTIF(J45:U45,"x")=0,IF(Besatzung!$B$17&lt;&gt;"",1,0),(P45="x"))*(G45-IFERROR(H45,0))/IFERROR(IF(COUNTIF(J45:U45,"x")=0,COUNTA(Besatzung!$B$11:$B$22),COUNTIF(J45:U45,"x")),1)+IF(COUNTIF(J45:U45,"x")=0,(Besatzung!$F$17="x"),(P45="x")*(Besatzung!$F$17="x"))*IFERROR(H45,0)/IFERROR(IF(COUNTIF(J45:U45,"x")=0,SUMPRODUCT((Besatzung!$B$11:$B$22&lt;&gt;"")*(Besatzung!$F$11:$F$22="x")),SUMPRODUCT((J45:U45="x")*(Besatzung!$F$11:$F$22="x"))),1))))),0))))</f>
        <v/>
      </c>
      <c r="AC45" s="106">
        <f>IF(C45="Gutschrift","",IF(G45="","",IF(Besatzung!$B$18="","",IFERROR(IF(I45="Zeitanteilig",(Besatzung!$G$18*(G45-IFERROR(H45,0))+((Besatzung!$B$18&lt;&gt;"")*IF(B45="",1,(IF(Besatzung!$C$18="",Besatzung!$B$5,Besatzung!$C$18)&lt;=B45)*(IF(Besatzung!$D$18="",Besatzung!$B$6,Besatzung!$D$18)&gt;=B45)))*(Besatzung!$F$18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$18&lt;&gt;"")*IF(B45="",1,(IF(Besatzung!$C$18="",Besatzung!$B$5,Besatzung!$C$18)&lt;=B45)*(IF(Besatzung!$D$18="",Besatzung!$B$6,Besatzung!$D$18)&gt;=B45)))*((G45-IFERROR(H45,0))/IFERROR(SUMPRODUCT((Besatzung!$B$11:$B$22&lt;&gt;"")*(IF(Besatzung!$C$11:$C$22="",Besatzung!$B$5,Besatzung!$C$11:$C$22)&lt;=B45)*(IF(Besatzung!$D$11:$D$22="",Besatzung!$B$6,Besatzung!$D$11:$D$22)&gt;=B45)),1)+(Besatzung!$F$18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Q45="x")*((G45-IFERROR(H45,0))/IFERROR(COUNTIF(J45:U45,"x"),1)+(Besatzung!$F$18="x")*IFERROR(H45,0)/IFERROR(SUMPRODUCT((J45:U45="x")*(Besatzung!$F$11:$F$22="x")),1))),(IF(COUNTIF(J45:U45,"x")=0,IF(Besatzung!$B$18&lt;&gt;"",1,0),(Q45="x"))*(G45-IFERROR(H45,0))/IFERROR(IF(COUNTIF(J45:U45,"x")=0,COUNTA(Besatzung!$B$11:$B$22),COUNTIF(J45:U45,"x")),1)+IF(COUNTIF(J45:U45,"x")=0,(Besatzung!$F$18="x"),(Q45="x")*(Besatzung!$F$18="x"))*IFERROR(H45,0)/IFERROR(IF(COUNTIF(J45:U45,"x")=0,SUMPRODUCT((Besatzung!$B$11:$B$22&lt;&gt;"")*(Besatzung!$F$11:$F$22="x")),SUMPRODUCT((J45:U45="x")*(Besatzung!$F$11:$F$22="x"))),1))))),0))))</f>
        <v/>
      </c>
      <c r="AD45" s="106">
        <f>IF(C45="Gutschrift","",IF(G45="","",IF(Besatzung!$B$19="","",IFERROR(IF(I45="Zeitanteilig",(Besatzung!$G$19*(G45-IFERROR(H45,0))+((Besatzung!$B$19&lt;&gt;"")*IF(B45="",1,(IF(Besatzung!$C$19="",Besatzung!$B$5,Besatzung!$C$19)&lt;=B45)*(IF(Besatzung!$D$19="",Besatzung!$B$6,Besatzung!$D$19)&gt;=B45)))*(Besatzung!$F$19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$19&lt;&gt;"")*IF(B45="",1,(IF(Besatzung!$C$19="",Besatzung!$B$5,Besatzung!$C$19)&lt;=B45)*(IF(Besatzung!$D$19="",Besatzung!$B$6,Besatzung!$D$19)&gt;=B45)))*((G45-IFERROR(H45,0))/IFERROR(SUMPRODUCT((Besatzung!$B$11:$B$22&lt;&gt;"")*(IF(Besatzung!$C$11:$C$22="",Besatzung!$B$5,Besatzung!$C$11:$C$22)&lt;=B45)*(IF(Besatzung!$D$11:$D$22="",Besatzung!$B$6,Besatzung!$D$11:$D$22)&gt;=B45)),1)+(Besatzung!$F$19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R45="x")*((G45-IFERROR(H45,0))/IFERROR(COUNTIF(J45:U45,"x"),1)+(Besatzung!$F$19="x")*IFERROR(H45,0)/IFERROR(SUMPRODUCT((J45:U45="x")*(Besatzung!$F$11:$F$22="x")),1))),(IF(COUNTIF(J45:U45,"x")=0,IF(Besatzung!$B$19&lt;&gt;"",1,0),(R45="x"))*(G45-IFERROR(H45,0))/IFERROR(IF(COUNTIF(J45:U45,"x")=0,COUNTA(Besatzung!$B$11:$B$22),COUNTIF(J45:U45,"x")),1)+IF(COUNTIF(J45:U45,"x")=0,(Besatzung!$F$19="x"),(R45="x")*(Besatzung!$F$19="x"))*IFERROR(H45,0)/IFERROR(IF(COUNTIF(J45:U45,"x")=0,SUMPRODUCT((Besatzung!$B$11:$B$22&lt;&gt;"")*(Besatzung!$F$11:$F$22="x")),SUMPRODUCT((J45:U45="x")*(Besatzung!$F$11:$F$22="x"))),1))))),0))))</f>
        <v/>
      </c>
      <c r="AE45" s="106">
        <f>IF(C45="Gutschrift","",IF(G45="","",IF(Besatzung!$B$20="","",IFERROR(IF(I45="Zeitanteilig",(Besatzung!$G$20*(G45-IFERROR(H45,0))+((Besatzung!$B$20&lt;&gt;"")*IF(B45="",1,(IF(Besatzung!$C$20="",Besatzung!$B$5,Besatzung!$C$20)&lt;=B45)*(IF(Besatzung!$D$20="",Besatzung!$B$6,Besatzung!$D$20)&gt;=B45)))*(Besatzung!$F$20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$20&lt;&gt;"")*IF(B45="",1,(IF(Besatzung!$C$20="",Besatzung!$B$5,Besatzung!$C$20)&lt;=B45)*(IF(Besatzung!$D$20="",Besatzung!$B$6,Besatzung!$D$20)&gt;=B45)))*((G45-IFERROR(H45,0))/IFERROR(SUMPRODUCT((Besatzung!$B$11:$B$22&lt;&gt;"")*(IF(Besatzung!$C$11:$C$22="",Besatzung!$B$5,Besatzung!$C$11:$C$22)&lt;=B45)*(IF(Besatzung!$D$11:$D$22="",Besatzung!$B$6,Besatzung!$D$11:$D$22)&gt;=B45)),1)+(Besatzung!$F$20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S45="x")*((G45-IFERROR(H45,0))/IFERROR(COUNTIF(J45:U45,"x"),1)+(Besatzung!$F$20="x")*IFERROR(H45,0)/IFERROR(SUMPRODUCT((J45:U45="x")*(Besatzung!$F$11:$F$22="x")),1))),(IF(COUNTIF(J45:U45,"x")=0,IF(Besatzung!$B$20&lt;&gt;"",1,0),(S45="x"))*(G45-IFERROR(H45,0))/IFERROR(IF(COUNTIF(J45:U45,"x")=0,COUNTA(Besatzung!$B$11:$B$22),COUNTIF(J45:U45,"x")),1)+IF(COUNTIF(J45:U45,"x")=0,(Besatzung!$F$20="x"),(S45="x")*(Besatzung!$F$20="x"))*IFERROR(H45,0)/IFERROR(IF(COUNTIF(J45:U45,"x")=0,SUMPRODUCT((Besatzung!$B$11:$B$22&lt;&gt;"")*(Besatzung!$F$11:$F$22="x")),SUMPRODUCT((J45:U45="x")*(Besatzung!$F$11:$F$22="x"))),1))))),0))))</f>
        <v/>
      </c>
      <c r="AF45" s="106">
        <f>IF(C45="Gutschrift","",IF(G45="","",IF(Besatzung!$B$21="","",IFERROR(IF(I45="Zeitanteilig",(Besatzung!$G$21*(G45-IFERROR(H45,0))+((Besatzung!$B$21&lt;&gt;"")*IF(B45="",1,(IF(Besatzung!$C$21="",Besatzung!$B$5,Besatzung!$C$21)&lt;=B45)*(IF(Besatzung!$D$21="",Besatzung!$B$6,Besatzung!$D$21)&gt;=B45)))*(Besatzung!$F$21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$21&lt;&gt;"")*IF(B45="",1,(IF(Besatzung!$C$21="",Besatzung!$B$5,Besatzung!$C$21)&lt;=B45)*(IF(Besatzung!$D$21="",Besatzung!$B$6,Besatzung!$D$21)&gt;=B45)))*((G45-IFERROR(H45,0))/IFERROR(SUMPRODUCT((Besatzung!$B$11:$B$22&lt;&gt;"")*(IF(Besatzung!$C$11:$C$22="",Besatzung!$B$5,Besatzung!$C$11:$C$22)&lt;=B45)*(IF(Besatzung!$D$11:$D$22="",Besatzung!$B$6,Besatzung!$D$11:$D$22)&gt;=B45)),1)+(Besatzung!$F$21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T45="x")*((G45-IFERROR(H45,0))/IFERROR(COUNTIF(J45:U45,"x"),1)+(Besatzung!$F$21="x")*IFERROR(H45,0)/IFERROR(SUMPRODUCT((J45:U45="x")*(Besatzung!$F$11:$F$22="x")),1))),(IF(COUNTIF(J45:U45,"x")=0,IF(Besatzung!$B$21&lt;&gt;"",1,0),(T45="x"))*(G45-IFERROR(H45,0))/IFERROR(IF(COUNTIF(J45:U45,"x")=0,COUNTA(Besatzung!$B$11:$B$22),COUNTIF(J45:U45,"x")),1)+IF(COUNTIF(J45:U45,"x")=0,(Besatzung!$F$21="x"),(T45="x")*(Besatzung!$F$21="x"))*IFERROR(H45,0)/IFERROR(IF(COUNTIF(J45:U45,"x")=0,SUMPRODUCT((Besatzung!$B$11:$B$22&lt;&gt;"")*(Besatzung!$F$11:$F$22="x")),SUMPRODUCT((J45:U45="x")*(Besatzung!$F$11:$F$22="x"))),1))))),0))))</f>
        <v/>
      </c>
      <c r="AG45" s="106">
        <f>IF(C45="Gutschrift","",IF(G45="","",IF(Besatzung!$B$22="","",IFERROR(IF(I45="Zeitanteilig",(Besatzung!$G$22*(G45-IFERROR(H45,0))+((Besatzung!$B$22&lt;&gt;"")*IF(B45="",1,(IF(Besatzung!$C$22="",Besatzung!$B$5,Besatzung!$C$22)&lt;=B45)*(IF(Besatzung!$D$22="",Besatzung!$B$6,Besatzung!$D$22)&gt;=B45)))*(Besatzung!$F$22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$22&lt;&gt;"")*IF(B45="",1,(IF(Besatzung!$C$22="",Besatzung!$B$5,Besatzung!$C$22)&lt;=B45)*(IF(Besatzung!$D$22="",Besatzung!$B$6,Besatzung!$D$22)&gt;=B45)))*((G45-IFERROR(H45,0))/IFERROR(SUMPRODUCT((Besatzung!$B$11:$B$22&lt;&gt;"")*(IF(Besatzung!$C$11:$C$22="",Besatzung!$B$5,Besatzung!$C$11:$C$22)&lt;=B45)*(IF(Besatzung!$D$11:$D$22="",Besatzung!$B$6,Besatzung!$D$11:$D$22)&gt;=B45)),1)+(Besatzung!$F$22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U45="x")*((G45-IFERROR(H45,0))/IFERROR(COUNTIF(J45:U45,"x"),1)+(Besatzung!$F$22="x")*IFERROR(H45,0)/IFERROR(SUMPRODUCT((J45:U45="x")*(Besatzung!$F$11:$F$22="x")),1))),(IF(COUNTIF(J45:U45,"x")=0,IF(Besatzung!$B$22&lt;&gt;"",1,0),(U45="x"))*(G45-IFERROR(H45,0))/IFERROR(IF(COUNTIF(J45:U45,"x")=0,COUNTA(Besatzung!$B$11:$B$22),COUNTIF(J45:U45,"x")),1)+IF(COUNTIF(J45:U45,"x")=0,(Besatzung!$F$22="x"),(U45="x")*(Besatzung!$F$22="x"))*IFERROR(H45,0)/IFERROR(IF(COUNTIF(J45:U45,"x")=0,SUMPRODUCT((Besatzung!$B$11:$B$22&lt;&gt;"")*(Besatzung!$F$11:$F$22="x")),SUMPRODUCT((J45:U45="x")*(Besatzung!$F$11:$F$22="x"))),1))))),0))))</f>
        <v/>
      </c>
      <c r="AH45" s="107" t="n"/>
      <c r="AI45" s="107" t="n"/>
    </row>
    <row r="46" ht="21.75" customHeight="1" s="182">
      <c r="A46" s="97">
        <f>IF(AND(D46="",C46=""),"",43)</f>
        <v/>
      </c>
      <c r="B46" s="56" t="n"/>
      <c r="C46" s="98" t="n"/>
      <c r="D46" s="99" t="n"/>
      <c r="E46" s="100" t="n"/>
      <c r="F46" s="101" t="n"/>
      <c r="G46" s="102" t="n"/>
      <c r="H46" s="103" t="n"/>
      <c r="I46" s="104" t="n"/>
      <c r="J46" s="105" t="n"/>
      <c r="K46" s="105" t="n"/>
      <c r="L46" s="105" t="n"/>
      <c r="M46" s="105" t="n"/>
      <c r="N46" s="105" t="n"/>
      <c r="O46" s="105" t="n"/>
      <c r="P46" s="105" t="n"/>
      <c r="Q46" s="105" t="n"/>
      <c r="R46" s="105" t="n"/>
      <c r="S46" s="105" t="n"/>
      <c r="T46" s="105" t="n"/>
      <c r="U46" s="105" t="n"/>
      <c r="V46" s="106">
        <f>IF(C46="Gutschrift","",IF(G46="","",IF(Besatzung!$B$11="","",IFERROR(IF(I46="Zeitanteilig",(Besatzung!$G$11*(G46-IFERROR(H46,0))+((Besatzung!$B$11&lt;&gt;"")*IF(B46="",1,(IF(Besatzung!$C$11="",Besatzung!$B$5,Besatzung!$C$11)&lt;=B46)*(IF(Besatzung!$D$11="",Besatzung!$B$6,Besatzung!$D$11)&gt;=B46)))*(Besatzung!$F$11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$11&lt;&gt;"")*IF(B46="",1,(IF(Besatzung!$C$11="",Besatzung!$B$5,Besatzung!$C$11)&lt;=B46)*(IF(Besatzung!$D$11="",Besatzung!$B$6,Besatzung!$D$11)&gt;=B46)))*((G46-IFERROR(H46,0))/IFERROR(SUMPRODUCT((Besatzung!$B$11:$B$22&lt;&gt;"")*(IF(Besatzung!$C$11:$C$22="",Besatzung!$B$5,Besatzung!$C$11:$C$22)&lt;=B46)*(IF(Besatzung!$D$11:$D$22="",Besatzung!$B$6,Besatzung!$D$11:$D$22)&gt;=B46)),1)+(Besatzung!$F$11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J46="x")*((G46-IFERROR(H46,0))/IFERROR(COUNTIF(J46:U46,"x"),1)+(Besatzung!$F$11="x")*IFERROR(H46,0)/IFERROR(SUMPRODUCT((J46:U46="x")*(Besatzung!$F$11:$F$22="x")),1))),(IF(COUNTIF(J46:U46,"x")=0,IF(Besatzung!$B$11&lt;&gt;"",1,0),(J46="x"))*(G46-IFERROR(H46,0))/IFERROR(IF(COUNTIF(J46:U46,"x")=0,COUNTA(Besatzung!$B$11:$B$22),COUNTIF(J46:U46,"x")),1)+IF(COUNTIF(J46:U46,"x")=0,(Besatzung!$F$11="x"),(J46="x")*(Besatzung!$F$11="x"))*IFERROR(H46,0)/IFERROR(IF(COUNTIF(J46:U46,"x")=0,SUMPRODUCT((Besatzung!$B$11:$B$22&lt;&gt;"")*(Besatzung!$F$11:$F$22="x")),SUMPRODUCT((J46:U46="x")*(Besatzung!$F$11:$F$22="x"))),1))))),0))))</f>
        <v/>
      </c>
      <c r="W46" s="106">
        <f>IF(C46="Gutschrift","",IF(G46="","",IF(Besatzung!$B$12="","",IFERROR(IF(I46="Zeitanteilig",(Besatzung!$G$12*(G46-IFERROR(H46,0))+((Besatzung!$B$12&lt;&gt;"")*IF(B46="",1,(IF(Besatzung!$C$12="",Besatzung!$B$5,Besatzung!$C$12)&lt;=B46)*(IF(Besatzung!$D$12="",Besatzung!$B$6,Besatzung!$D$12)&gt;=B46)))*(Besatzung!$F$12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$12&lt;&gt;"")*IF(B46="",1,(IF(Besatzung!$C$12="",Besatzung!$B$5,Besatzung!$C$12)&lt;=B46)*(IF(Besatzung!$D$12="",Besatzung!$B$6,Besatzung!$D$12)&gt;=B46)))*((G46-IFERROR(H46,0))/IFERROR(SUMPRODUCT((Besatzung!$B$11:$B$22&lt;&gt;"")*(IF(Besatzung!$C$11:$C$22="",Besatzung!$B$5,Besatzung!$C$11:$C$22)&lt;=B46)*(IF(Besatzung!$D$11:$D$22="",Besatzung!$B$6,Besatzung!$D$11:$D$22)&gt;=B46)),1)+(Besatzung!$F$12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K46="x")*((G46-IFERROR(H46,0))/IFERROR(COUNTIF(J46:U46,"x"),1)+(Besatzung!$F$12="x")*IFERROR(H46,0)/IFERROR(SUMPRODUCT((J46:U46="x")*(Besatzung!$F$11:$F$22="x")),1))),(IF(COUNTIF(J46:U46,"x")=0,IF(Besatzung!$B$12&lt;&gt;"",1,0),(K46="x"))*(G46-IFERROR(H46,0))/IFERROR(IF(COUNTIF(J46:U46,"x")=0,COUNTA(Besatzung!$B$11:$B$22),COUNTIF(J46:U46,"x")),1)+IF(COUNTIF(J46:U46,"x")=0,(Besatzung!$F$12="x"),(K46="x")*(Besatzung!$F$12="x"))*IFERROR(H46,0)/IFERROR(IF(COUNTIF(J46:U46,"x")=0,SUMPRODUCT((Besatzung!$B$11:$B$22&lt;&gt;"")*(Besatzung!$F$11:$F$22="x")),SUMPRODUCT((J46:U46="x")*(Besatzung!$F$11:$F$22="x"))),1))))),0))))</f>
        <v/>
      </c>
      <c r="X46" s="106">
        <f>IF(C46="Gutschrift","",IF(G46="","",IF(Besatzung!$B$13="","",IFERROR(IF(I46="Zeitanteilig",(Besatzung!$G$13*(G46-IFERROR(H46,0))+((Besatzung!$B$13&lt;&gt;"")*IF(B46="",1,(IF(Besatzung!$C$13="",Besatzung!$B$5,Besatzung!$C$13)&lt;=B46)*(IF(Besatzung!$D$13="",Besatzung!$B$6,Besatzung!$D$13)&gt;=B46)))*(Besatzung!$F$13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$13&lt;&gt;"")*IF(B46="",1,(IF(Besatzung!$C$13="",Besatzung!$B$5,Besatzung!$C$13)&lt;=B46)*(IF(Besatzung!$D$13="",Besatzung!$B$6,Besatzung!$D$13)&gt;=B46)))*((G46-IFERROR(H46,0))/IFERROR(SUMPRODUCT((Besatzung!$B$11:$B$22&lt;&gt;"")*(IF(Besatzung!$C$11:$C$22="",Besatzung!$B$5,Besatzung!$C$11:$C$22)&lt;=B46)*(IF(Besatzung!$D$11:$D$22="",Besatzung!$B$6,Besatzung!$D$11:$D$22)&gt;=B46)),1)+(Besatzung!$F$13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K46="x")*((G46-IFERROR(H46,0))/IFERROR(COUNTIF(J46:U46,"x"),1)+(Besatzung!$F$13="x")*IFERROR(H46,0)/IFERROR(SUMPRODUCT((J46:U46="x")*(Besatzung!$F$11:$F$22="x")),1))),(IF(COUNTIF(J46:U46,"x")=0,IF(Besatzung!$B$13&lt;&gt;"",1,0),(K46="x"))*(G46-IFERROR(H46,0))/IFERROR(IF(COUNTIF(J46:U46,"x")=0,COUNTA(Besatzung!$B$11:$B$22),COUNTIF(J46:U46,"x")),1)+IF(COUNTIF(J46:U46,"x")=0,(Besatzung!$F$13="x"),(K46="x")*(Besatzung!$F$13="x"))*IFERROR(H46,0)/IFERROR(IF(COUNTIF(J46:U46,"x")=0,SUMPRODUCT((Besatzung!$B$11:$B$22&lt;&gt;"")*(Besatzung!$F$11:$F$22="x")),SUMPRODUCT((J46:U46="x")*(Besatzung!$F$11:$F$22="x"))),1))))),0))))</f>
        <v/>
      </c>
      <c r="Y46" s="106">
        <f>IF(C46="Gutschrift","",IF(G46="","",IF(Besatzung!$B$14="","",IFERROR(IF(I46="Zeitanteilig",(Besatzung!$G$14*(G46-IFERROR(H46,0))+((Besatzung!$B$14&lt;&gt;"")*IF(B46="",1,(IF(Besatzung!$C$14="",Besatzung!$B$5,Besatzung!$C$14)&lt;=B46)*(IF(Besatzung!$D$14="",Besatzung!$B$6,Besatzung!$D$14)&gt;=B46)))*(Besatzung!$F$14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$14&lt;&gt;"")*IF(B46="",1,(IF(Besatzung!$C$14="",Besatzung!$B$5,Besatzung!$C$14)&lt;=B46)*(IF(Besatzung!$D$14="",Besatzung!$B$6,Besatzung!$D$14)&gt;=B46)))*((G46-IFERROR(H46,0))/IFERROR(SUMPRODUCT((Besatzung!$B$11:$B$22&lt;&gt;"")*(IF(Besatzung!$C$11:$C$22="",Besatzung!$B$5,Besatzung!$C$11:$C$22)&lt;=B46)*(IF(Besatzung!$D$11:$D$22="",Besatzung!$B$6,Besatzung!$D$11:$D$22)&gt;=B46)),1)+(Besatzung!$F$14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M46="x")*((G46-IFERROR(H46,0))/IFERROR(COUNTIF(J46:U46,"x"),1)+(Besatzung!$F$14="x")*IFERROR(H46,0)/IFERROR(SUMPRODUCT((J46:U46="x")*(Besatzung!$F$11:$F$22="x")),1))),(IF(COUNTIF(J46:U46,"x")=0,IF(Besatzung!$B$14&lt;&gt;"",1,0),(M46="x"))*(G46-IFERROR(H46,0))/IFERROR(IF(COUNTIF(J46:U46,"x")=0,COUNTA(Besatzung!$B$11:$B$22),COUNTIF(J46:U46,"x")),1)+IF(COUNTIF(J46:U46,"x")=0,(Besatzung!$F$14="x"),(M46="x")*(Besatzung!$F$14="x"))*IFERROR(H46,0)/IFERROR(IF(COUNTIF(J46:U46,"x")=0,SUMPRODUCT((Besatzung!$B$11:$B$22&lt;&gt;"")*(Besatzung!$F$11:$F$22="x")),SUMPRODUCT((J46:U46="x")*(Besatzung!$F$11:$F$22="x"))),1))))),0))))</f>
        <v/>
      </c>
      <c r="Z46" s="106">
        <f>IF(C46="Gutschrift","",IF(G46="","",IF(Besatzung!$B$13="","",IFERROR(IF(I46="Zeitanteilig",(Besatzung!$G$15*(G46-IFERROR(H46,0))+((Besatzung!$B$13&lt;&gt;"")*IF(B46="",1,(IF(Besatzung!$C$15="",Besatzung!$B$5,Besatzung!$C$15)&lt;=B46)*(IF(Besatzung!$D$15="",Besatzung!$B$6,Besatzung!$D$15)&gt;=B46)))*(Besatzung!$F$15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$13&lt;&gt;"")*IF(B46="",1,(IF(Besatzung!$C$15="",Besatzung!$B$5,Besatzung!$C$15)&lt;=B46)*(IF(Besatzung!$D$15="",Besatzung!$B$6,Besatzung!$D$15)&gt;=B46)))*((G46-IFERROR(H46,0))/IFERROR(SUMPRODUCT((Besatzung!$B$11:$B$22&lt;&gt;"")*(IF(Besatzung!$C$11:$C$22="",Besatzung!$B$5,Besatzung!$C$11:$C$22)&lt;=B46)*(IF(Besatzung!$D$11:$D$22="",Besatzung!$B$6,Besatzung!$D$11:$D$22)&gt;=B46)),1)+(Besatzung!$F$15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N46="x")*((G46-IFERROR(H46,0))/IFERROR(COUNTIF(J46:U46,"x"),1)+(Besatzung!$F$15="x")*IFERROR(H46,0)/IFERROR(SUMPRODUCT((J46:U46="x")*(Besatzung!$F$11:$F$22="x")),1))),(IF(COUNTIF(J46:U46,"x")=0,IF(Besatzung!$B$13&lt;&gt;"",1,0),(N46="x"))*(G46-IFERROR(H46,0))/IFERROR(IF(COUNTIF(J46:U46,"x")=0,COUNTA(Besatzung!$B$11:$B$22),COUNTIF(J46:U46,"x")),1)+IF(COUNTIF(J46:U46,"x")=0,(Besatzung!$F$15="x"),(N46="x")*(Besatzung!$F$15="x"))*IFERROR(H46,0)/IFERROR(IF(COUNTIF(J46:U46,"x")=0,SUMPRODUCT((Besatzung!$B$11:$B$22&lt;&gt;"")*(Besatzung!$F$11:$F$22="x")),SUMPRODUCT((J46:U46="x")*(Besatzung!$F$11:$F$22="x"))),1))))),0))))</f>
        <v/>
      </c>
      <c r="AA46" s="106">
        <f>IF(C46="Gutschrift","",IF(G46="","",IF(Besatzung!$B$15="","",IFERROR(IF(I46="Zeitanteilig",(Besatzung!$G$16*(G46-IFERROR(H46,0))+((Besatzung!$B$15&lt;&gt;"")*IF(B46="",1,(IF(Besatzung!$C$16="",Besatzung!$B$5,Besatzung!$C$16)&lt;=B46)*(IF(Besatzung!$D$16="",Besatzung!$B$6,Besatzung!$D$16)&gt;=B46)))*(Besatzung!$F$16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$15&lt;&gt;"")*IF(B46="",1,(IF(Besatzung!$C$16="",Besatzung!$B$5,Besatzung!$C$16)&lt;=B46)*(IF(Besatzung!$D$16="",Besatzung!$B$6,Besatzung!$D$16)&gt;=B46)))*((G46-IFERROR(H46,0))/IFERROR(SUMPRODUCT((Besatzung!$B$11:$B$22&lt;&gt;"")*(IF(Besatzung!$C$11:$C$22="",Besatzung!$B$5,Besatzung!$C$11:$C$22)&lt;=B46)*(IF(Besatzung!$D$11:$D$22="",Besatzung!$B$6,Besatzung!$D$11:$D$22)&gt;=B46)),1)+(Besatzung!$F$16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O46="x")*((G46-IFERROR(H46,0))/IFERROR(COUNTIF(J46:U46,"x"),1)+(Besatzung!$F$16="x")*IFERROR(H46,0)/IFERROR(SUMPRODUCT((J46:U46="x")*(Besatzung!$F$11:$F$22="x")),1))),(IF(COUNTIF(J46:U46,"x")=0,IF(Besatzung!$B$15&lt;&gt;"",1,0),(O46="x"))*(G46-IFERROR(H46,0))/IFERROR(IF(COUNTIF(J46:U46,"x")=0,COUNTA(Besatzung!$B$11:$B$22),COUNTIF(J46:U46,"x")),1)+IF(COUNTIF(J46:U46,"x")=0,(Besatzung!$F$16="x"),(O46="x")*(Besatzung!$F$16="x"))*IFERROR(H46,0)/IFERROR(IF(COUNTIF(J46:U46,"x")=0,SUMPRODUCT((Besatzung!$B$11:$B$22&lt;&gt;"")*(Besatzung!$F$11:$F$22="x")),SUMPRODUCT((J46:U46="x")*(Besatzung!$F$11:$F$22="x"))),1))))),0))))</f>
        <v/>
      </c>
      <c r="AB46" s="106">
        <f>IF(C46="Gutschrift","",IF(G46="","",IF(Besatzung!$B$17="","",IFERROR(IF(I46="Zeitanteilig",(Besatzung!$G$17*(G46-IFERROR(H46,0))+((Besatzung!$B$17&lt;&gt;"")*IF(B46="",1,(IF(Besatzung!$C$17="",Besatzung!$B$5,Besatzung!$C$17)&lt;=B46)*(IF(Besatzung!$D$17="",Besatzung!$B$6,Besatzung!$D$17)&gt;=B46)))*(Besatzung!$F$17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$17&lt;&gt;"")*IF(B46="",1,(IF(Besatzung!$C$17="",Besatzung!$B$5,Besatzung!$C$17)&lt;=B46)*(IF(Besatzung!$D$17="",Besatzung!$B$6,Besatzung!$D$17)&gt;=B46)))*((G46-IFERROR(H46,0))/IFERROR(SUMPRODUCT((Besatzung!$B$11:$B$22&lt;&gt;"")*(IF(Besatzung!$C$11:$C$22="",Besatzung!$B$5,Besatzung!$C$11:$C$22)&lt;=B46)*(IF(Besatzung!$D$11:$D$22="",Besatzung!$B$6,Besatzung!$D$11:$D$22)&gt;=B46)),1)+(Besatzung!$F$17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P46="x")*((G46-IFERROR(H46,0))/IFERROR(COUNTIF(J46:U46,"x"),1)+(Besatzung!$F$17="x")*IFERROR(H46,0)/IFERROR(SUMPRODUCT((J46:U46="x")*(Besatzung!$F$11:$F$22="x")),1))),(IF(COUNTIF(J46:U46,"x")=0,IF(Besatzung!$B$17&lt;&gt;"",1,0),(P46="x"))*(G46-IFERROR(H46,0))/IFERROR(IF(COUNTIF(J46:U46,"x")=0,COUNTA(Besatzung!$B$11:$B$22),COUNTIF(J46:U46,"x")),1)+IF(COUNTIF(J46:U46,"x")=0,(Besatzung!$F$17="x"),(P46="x")*(Besatzung!$F$17="x"))*IFERROR(H46,0)/IFERROR(IF(COUNTIF(J46:U46,"x")=0,SUMPRODUCT((Besatzung!$B$11:$B$22&lt;&gt;"")*(Besatzung!$F$11:$F$22="x")),SUMPRODUCT((J46:U46="x")*(Besatzung!$F$11:$F$22="x"))),1))))),0))))</f>
        <v/>
      </c>
      <c r="AC46" s="106">
        <f>IF(C46="Gutschrift","",IF(G46="","",IF(Besatzung!$B$18="","",IFERROR(IF(I46="Zeitanteilig",(Besatzung!$G$18*(G46-IFERROR(H46,0))+((Besatzung!$B$18&lt;&gt;"")*IF(B46="",1,(IF(Besatzung!$C$18="",Besatzung!$B$5,Besatzung!$C$18)&lt;=B46)*(IF(Besatzung!$D$18="",Besatzung!$B$6,Besatzung!$D$18)&gt;=B46)))*(Besatzung!$F$18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$18&lt;&gt;"")*IF(B46="",1,(IF(Besatzung!$C$18="",Besatzung!$B$5,Besatzung!$C$18)&lt;=B46)*(IF(Besatzung!$D$18="",Besatzung!$B$6,Besatzung!$D$18)&gt;=B46)))*((G46-IFERROR(H46,0))/IFERROR(SUMPRODUCT((Besatzung!$B$11:$B$22&lt;&gt;"")*(IF(Besatzung!$C$11:$C$22="",Besatzung!$B$5,Besatzung!$C$11:$C$22)&lt;=B46)*(IF(Besatzung!$D$11:$D$22="",Besatzung!$B$6,Besatzung!$D$11:$D$22)&gt;=B46)),1)+(Besatzung!$F$18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Q46="x")*((G46-IFERROR(H46,0))/IFERROR(COUNTIF(J46:U46,"x"),1)+(Besatzung!$F$18="x")*IFERROR(H46,0)/IFERROR(SUMPRODUCT((J46:U46="x")*(Besatzung!$F$11:$F$22="x")),1))),(IF(COUNTIF(J46:U46,"x")=0,IF(Besatzung!$B$18&lt;&gt;"",1,0),(Q46="x"))*(G46-IFERROR(H46,0))/IFERROR(IF(COUNTIF(J46:U46,"x")=0,COUNTA(Besatzung!$B$11:$B$22),COUNTIF(J46:U46,"x")),1)+IF(COUNTIF(J46:U46,"x")=0,(Besatzung!$F$18="x"),(Q46="x")*(Besatzung!$F$18="x"))*IFERROR(H46,0)/IFERROR(IF(COUNTIF(J46:U46,"x")=0,SUMPRODUCT((Besatzung!$B$11:$B$22&lt;&gt;"")*(Besatzung!$F$11:$F$22="x")),SUMPRODUCT((J46:U46="x")*(Besatzung!$F$11:$F$22="x"))),1))))),0))))</f>
        <v/>
      </c>
      <c r="AD46" s="106">
        <f>IF(C46="Gutschrift","",IF(G46="","",IF(Besatzung!$B$19="","",IFERROR(IF(I46="Zeitanteilig",(Besatzung!$G$19*(G46-IFERROR(H46,0))+((Besatzung!$B$19&lt;&gt;"")*IF(B46="",1,(IF(Besatzung!$C$19="",Besatzung!$B$5,Besatzung!$C$19)&lt;=B46)*(IF(Besatzung!$D$19="",Besatzung!$B$6,Besatzung!$D$19)&gt;=B46)))*(Besatzung!$F$19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$19&lt;&gt;"")*IF(B46="",1,(IF(Besatzung!$C$19="",Besatzung!$B$5,Besatzung!$C$19)&lt;=B46)*(IF(Besatzung!$D$19="",Besatzung!$B$6,Besatzung!$D$19)&gt;=B46)))*((G46-IFERROR(H46,0))/IFERROR(SUMPRODUCT((Besatzung!$B$11:$B$22&lt;&gt;"")*(IF(Besatzung!$C$11:$C$22="",Besatzung!$B$5,Besatzung!$C$11:$C$22)&lt;=B46)*(IF(Besatzung!$D$11:$D$22="",Besatzung!$B$6,Besatzung!$D$11:$D$22)&gt;=B46)),1)+(Besatzung!$F$19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R46="x")*((G46-IFERROR(H46,0))/IFERROR(COUNTIF(J46:U46,"x"),1)+(Besatzung!$F$19="x")*IFERROR(H46,0)/IFERROR(SUMPRODUCT((J46:U46="x")*(Besatzung!$F$11:$F$22="x")),1))),(IF(COUNTIF(J46:U46,"x")=0,IF(Besatzung!$B$19&lt;&gt;"",1,0),(R46="x"))*(G46-IFERROR(H46,0))/IFERROR(IF(COUNTIF(J46:U46,"x")=0,COUNTA(Besatzung!$B$11:$B$22),COUNTIF(J46:U46,"x")),1)+IF(COUNTIF(J46:U46,"x")=0,(Besatzung!$F$19="x"),(R46="x")*(Besatzung!$F$19="x"))*IFERROR(H46,0)/IFERROR(IF(COUNTIF(J46:U46,"x")=0,SUMPRODUCT((Besatzung!$B$11:$B$22&lt;&gt;"")*(Besatzung!$F$11:$F$22="x")),SUMPRODUCT((J46:U46="x")*(Besatzung!$F$11:$F$22="x"))),1))))),0))))</f>
        <v/>
      </c>
      <c r="AE46" s="106">
        <f>IF(C46="Gutschrift","",IF(G46="","",IF(Besatzung!$B$20="","",IFERROR(IF(I46="Zeitanteilig",(Besatzung!$G$20*(G46-IFERROR(H46,0))+((Besatzung!$B$20&lt;&gt;"")*IF(B46="",1,(IF(Besatzung!$C$20="",Besatzung!$B$5,Besatzung!$C$20)&lt;=B46)*(IF(Besatzung!$D$20="",Besatzung!$B$6,Besatzung!$D$20)&gt;=B46)))*(Besatzung!$F$20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$20&lt;&gt;"")*IF(B46="",1,(IF(Besatzung!$C$20="",Besatzung!$B$5,Besatzung!$C$20)&lt;=B46)*(IF(Besatzung!$D$20="",Besatzung!$B$6,Besatzung!$D$20)&gt;=B46)))*((G46-IFERROR(H46,0))/IFERROR(SUMPRODUCT((Besatzung!$B$11:$B$22&lt;&gt;"")*(IF(Besatzung!$C$11:$C$22="",Besatzung!$B$5,Besatzung!$C$11:$C$22)&lt;=B46)*(IF(Besatzung!$D$11:$D$22="",Besatzung!$B$6,Besatzung!$D$11:$D$22)&gt;=B46)),1)+(Besatzung!$F$20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S46="x")*((G46-IFERROR(H46,0))/IFERROR(COUNTIF(J46:U46,"x"),1)+(Besatzung!$F$20="x")*IFERROR(H46,0)/IFERROR(SUMPRODUCT((J46:U46="x")*(Besatzung!$F$11:$F$22="x")),1))),(IF(COUNTIF(J46:U46,"x")=0,IF(Besatzung!$B$20&lt;&gt;"",1,0),(S46="x"))*(G46-IFERROR(H46,0))/IFERROR(IF(COUNTIF(J46:U46,"x")=0,COUNTA(Besatzung!$B$11:$B$22),COUNTIF(J46:U46,"x")),1)+IF(COUNTIF(J46:U46,"x")=0,(Besatzung!$F$20="x"),(S46="x")*(Besatzung!$F$20="x"))*IFERROR(H46,0)/IFERROR(IF(COUNTIF(J46:U46,"x")=0,SUMPRODUCT((Besatzung!$B$11:$B$22&lt;&gt;"")*(Besatzung!$F$11:$F$22="x")),SUMPRODUCT((J46:U46="x")*(Besatzung!$F$11:$F$22="x"))),1))))),0))))</f>
        <v/>
      </c>
      <c r="AF46" s="106">
        <f>IF(C46="Gutschrift","",IF(G46="","",IF(Besatzung!$B$21="","",IFERROR(IF(I46="Zeitanteilig",(Besatzung!$G$21*(G46-IFERROR(H46,0))+((Besatzung!$B$21&lt;&gt;"")*IF(B46="",1,(IF(Besatzung!$C$21="",Besatzung!$B$5,Besatzung!$C$21)&lt;=B46)*(IF(Besatzung!$D$21="",Besatzung!$B$6,Besatzung!$D$21)&gt;=B46)))*(Besatzung!$F$21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$21&lt;&gt;"")*IF(B46="",1,(IF(Besatzung!$C$21="",Besatzung!$B$5,Besatzung!$C$21)&lt;=B46)*(IF(Besatzung!$D$21="",Besatzung!$B$6,Besatzung!$D$21)&gt;=B46)))*((G46-IFERROR(H46,0))/IFERROR(SUMPRODUCT((Besatzung!$B$11:$B$22&lt;&gt;"")*(IF(Besatzung!$C$11:$C$22="",Besatzung!$B$5,Besatzung!$C$11:$C$22)&lt;=B46)*(IF(Besatzung!$D$11:$D$22="",Besatzung!$B$6,Besatzung!$D$11:$D$22)&gt;=B46)),1)+(Besatzung!$F$21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T46="x")*((G46-IFERROR(H46,0))/IFERROR(COUNTIF(J46:U46,"x"),1)+(Besatzung!$F$21="x")*IFERROR(H46,0)/IFERROR(SUMPRODUCT((J46:U46="x")*(Besatzung!$F$11:$F$22="x")),1))),(IF(COUNTIF(J46:U46,"x")=0,IF(Besatzung!$B$21&lt;&gt;"",1,0),(T46="x"))*(G46-IFERROR(H46,0))/IFERROR(IF(COUNTIF(J46:U46,"x")=0,COUNTA(Besatzung!$B$11:$B$22),COUNTIF(J46:U46,"x")),1)+IF(COUNTIF(J46:U46,"x")=0,(Besatzung!$F$21="x"),(T46="x")*(Besatzung!$F$21="x"))*IFERROR(H46,0)/IFERROR(IF(COUNTIF(J46:U46,"x")=0,SUMPRODUCT((Besatzung!$B$11:$B$22&lt;&gt;"")*(Besatzung!$F$11:$F$22="x")),SUMPRODUCT((J46:U46="x")*(Besatzung!$F$11:$F$22="x"))),1))))),0))))</f>
        <v/>
      </c>
      <c r="AG46" s="106">
        <f>IF(C46="Gutschrift","",IF(G46="","",IF(Besatzung!$B$22="","",IFERROR(IF(I46="Zeitanteilig",(Besatzung!$G$22*(G46-IFERROR(H46,0))+((Besatzung!$B$22&lt;&gt;"")*IF(B46="",1,(IF(Besatzung!$C$22="",Besatzung!$B$5,Besatzung!$C$22)&lt;=B46)*(IF(Besatzung!$D$22="",Besatzung!$B$6,Besatzung!$D$22)&gt;=B46)))*(Besatzung!$F$22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$22&lt;&gt;"")*IF(B46="",1,(IF(Besatzung!$C$22="",Besatzung!$B$5,Besatzung!$C$22)&lt;=B46)*(IF(Besatzung!$D$22="",Besatzung!$B$6,Besatzung!$D$22)&gt;=B46)))*((G46-IFERROR(H46,0))/IFERROR(SUMPRODUCT((Besatzung!$B$11:$B$22&lt;&gt;"")*(IF(Besatzung!$C$11:$C$22="",Besatzung!$B$5,Besatzung!$C$11:$C$22)&lt;=B46)*(IF(Besatzung!$D$11:$D$22="",Besatzung!$B$6,Besatzung!$D$11:$D$22)&gt;=B46)),1)+(Besatzung!$F$22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U46="x")*((G46-IFERROR(H46,0))/IFERROR(COUNTIF(J46:U46,"x"),1)+(Besatzung!$F$22="x")*IFERROR(H46,0)/IFERROR(SUMPRODUCT((J46:U46="x")*(Besatzung!$F$11:$F$22="x")),1))),(IF(COUNTIF(J46:U46,"x")=0,IF(Besatzung!$B$22&lt;&gt;"",1,0),(U46="x"))*(G46-IFERROR(H46,0))/IFERROR(IF(COUNTIF(J46:U46,"x")=0,COUNTA(Besatzung!$B$11:$B$22),COUNTIF(J46:U46,"x")),1)+IF(COUNTIF(J46:U46,"x")=0,(Besatzung!$F$22="x"),(U46="x")*(Besatzung!$F$22="x"))*IFERROR(H46,0)/IFERROR(IF(COUNTIF(J46:U46,"x")=0,SUMPRODUCT((Besatzung!$B$11:$B$22&lt;&gt;"")*(Besatzung!$F$11:$F$22="x")),SUMPRODUCT((J46:U46="x")*(Besatzung!$F$11:$F$22="x"))),1))))),0))))</f>
        <v/>
      </c>
      <c r="AH46" s="107" t="n"/>
      <c r="AI46" s="107" t="n"/>
    </row>
    <row r="47" ht="21.75" customHeight="1" s="182">
      <c r="A47" s="97">
        <f>IF(AND(D47="",C47=""),"",44)</f>
        <v/>
      </c>
      <c r="B47" s="63" t="n"/>
      <c r="C47" s="108" t="n"/>
      <c r="D47" s="109" t="n"/>
      <c r="E47" s="110" t="n"/>
      <c r="F47" s="111" t="n"/>
      <c r="G47" s="112" t="n"/>
      <c r="H47" s="113" t="n"/>
      <c r="I47" s="114" t="n"/>
      <c r="J47" s="115" t="n"/>
      <c r="K47" s="115" t="n"/>
      <c r="L47" s="115" t="n"/>
      <c r="M47" s="115" t="n"/>
      <c r="N47" s="115" t="n"/>
      <c r="O47" s="115" t="n"/>
      <c r="P47" s="115" t="n"/>
      <c r="Q47" s="115" t="n"/>
      <c r="R47" s="115" t="n"/>
      <c r="S47" s="115" t="n"/>
      <c r="T47" s="115" t="n"/>
      <c r="U47" s="115" t="n"/>
      <c r="V47" s="106">
        <f>IF(C47="Gutschrift","",IF(G47="","",IF(Besatzung!$B$11="","",IFERROR(IF(I47="Zeitanteilig",(Besatzung!$G$11*(G47-IFERROR(H47,0))+((Besatzung!$B$11&lt;&gt;"")*IF(B47="",1,(IF(Besatzung!$C$11="",Besatzung!$B$5,Besatzung!$C$11)&lt;=B47)*(IF(Besatzung!$D$11="",Besatzung!$B$6,Besatzung!$D$11)&gt;=B47)))*(Besatzung!$F$11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$11&lt;&gt;"")*IF(B47="",1,(IF(Besatzung!$C$11="",Besatzung!$B$5,Besatzung!$C$11)&lt;=B47)*(IF(Besatzung!$D$11="",Besatzung!$B$6,Besatzung!$D$11)&gt;=B47)))*((G47-IFERROR(H47,0))/IFERROR(SUMPRODUCT((Besatzung!$B$11:$B$22&lt;&gt;"")*(IF(Besatzung!$C$11:$C$22="",Besatzung!$B$5,Besatzung!$C$11:$C$22)&lt;=B47)*(IF(Besatzung!$D$11:$D$22="",Besatzung!$B$6,Besatzung!$D$11:$D$22)&gt;=B47)),1)+(Besatzung!$F$11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J47="x")*((G47-IFERROR(H47,0))/IFERROR(COUNTIF(J47:U47,"x"),1)+(Besatzung!$F$11="x")*IFERROR(H47,0)/IFERROR(SUMPRODUCT((J47:U47="x")*(Besatzung!$F$11:$F$22="x")),1))),(IF(COUNTIF(J47:U47,"x")=0,IF(Besatzung!$B$11&lt;&gt;"",1,0),(J47="x"))*(G47-IFERROR(H47,0))/IFERROR(IF(COUNTIF(J47:U47,"x")=0,COUNTA(Besatzung!$B$11:$B$22),COUNTIF(J47:U47,"x")),1)+IF(COUNTIF(J47:U47,"x")=0,(Besatzung!$F$11="x"),(J47="x")*(Besatzung!$F$11="x"))*IFERROR(H47,0)/IFERROR(IF(COUNTIF(J47:U47,"x")=0,SUMPRODUCT((Besatzung!$B$11:$B$22&lt;&gt;"")*(Besatzung!$F$11:$F$22="x")),SUMPRODUCT((J47:U47="x")*(Besatzung!$F$11:$F$22="x"))),1))))),0))))</f>
        <v/>
      </c>
      <c r="W47" s="106">
        <f>IF(C47="Gutschrift","",IF(G47="","",IF(Besatzung!$B$12="","",IFERROR(IF(I47="Zeitanteilig",(Besatzung!$G$12*(G47-IFERROR(H47,0))+((Besatzung!$B$12&lt;&gt;"")*IF(B47="",1,(IF(Besatzung!$C$12="",Besatzung!$B$5,Besatzung!$C$12)&lt;=B47)*(IF(Besatzung!$D$12="",Besatzung!$B$6,Besatzung!$D$12)&gt;=B47)))*(Besatzung!$F$12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$12&lt;&gt;"")*IF(B47="",1,(IF(Besatzung!$C$12="",Besatzung!$B$5,Besatzung!$C$12)&lt;=B47)*(IF(Besatzung!$D$12="",Besatzung!$B$6,Besatzung!$D$12)&gt;=B47)))*((G47-IFERROR(H47,0))/IFERROR(SUMPRODUCT((Besatzung!$B$11:$B$22&lt;&gt;"")*(IF(Besatzung!$C$11:$C$22="",Besatzung!$B$5,Besatzung!$C$11:$C$22)&lt;=B47)*(IF(Besatzung!$D$11:$D$22="",Besatzung!$B$6,Besatzung!$D$11:$D$22)&gt;=B47)),1)+(Besatzung!$F$12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K47="x")*((G47-IFERROR(H47,0))/IFERROR(COUNTIF(J47:U47,"x"),1)+(Besatzung!$F$12="x")*IFERROR(H47,0)/IFERROR(SUMPRODUCT((J47:U47="x")*(Besatzung!$F$11:$F$22="x")),1))),(IF(COUNTIF(J47:U47,"x")=0,IF(Besatzung!$B$12&lt;&gt;"",1,0),(K47="x"))*(G47-IFERROR(H47,0))/IFERROR(IF(COUNTIF(J47:U47,"x")=0,COUNTA(Besatzung!$B$11:$B$22),COUNTIF(J47:U47,"x")),1)+IF(COUNTIF(J47:U47,"x")=0,(Besatzung!$F$12="x"),(K47="x")*(Besatzung!$F$12="x"))*IFERROR(H47,0)/IFERROR(IF(COUNTIF(J47:U47,"x")=0,SUMPRODUCT((Besatzung!$B$11:$B$22&lt;&gt;"")*(Besatzung!$F$11:$F$22="x")),SUMPRODUCT((J47:U47="x")*(Besatzung!$F$11:$F$22="x"))),1))))),0))))</f>
        <v/>
      </c>
      <c r="X47" s="106">
        <f>IF(C47="Gutschrift","",IF(G47="","",IF(Besatzung!$B$13="","",IFERROR(IF(I47="Zeitanteilig",(Besatzung!$G$13*(G47-IFERROR(H47,0))+((Besatzung!$B$13&lt;&gt;"")*IF(B47="",1,(IF(Besatzung!$C$13="",Besatzung!$B$5,Besatzung!$C$13)&lt;=B47)*(IF(Besatzung!$D$13="",Besatzung!$B$6,Besatzung!$D$13)&gt;=B47)))*(Besatzung!$F$13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$13&lt;&gt;"")*IF(B47="",1,(IF(Besatzung!$C$13="",Besatzung!$B$5,Besatzung!$C$13)&lt;=B47)*(IF(Besatzung!$D$13="",Besatzung!$B$6,Besatzung!$D$13)&gt;=B47)))*((G47-IFERROR(H47,0))/IFERROR(SUMPRODUCT((Besatzung!$B$11:$B$22&lt;&gt;"")*(IF(Besatzung!$C$11:$C$22="",Besatzung!$B$5,Besatzung!$C$11:$C$22)&lt;=B47)*(IF(Besatzung!$D$11:$D$22="",Besatzung!$B$6,Besatzung!$D$11:$D$22)&gt;=B47)),1)+(Besatzung!$F$13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K47="x")*((G47-IFERROR(H47,0))/IFERROR(COUNTIF(J47:U47,"x"),1)+(Besatzung!$F$13="x")*IFERROR(H47,0)/IFERROR(SUMPRODUCT((J47:U47="x")*(Besatzung!$F$11:$F$22="x")),1))),(IF(COUNTIF(J47:U47,"x")=0,IF(Besatzung!$B$13&lt;&gt;"",1,0),(K47="x"))*(G47-IFERROR(H47,0))/IFERROR(IF(COUNTIF(J47:U47,"x")=0,COUNTA(Besatzung!$B$11:$B$22),COUNTIF(J47:U47,"x")),1)+IF(COUNTIF(J47:U47,"x")=0,(Besatzung!$F$13="x"),(K47="x")*(Besatzung!$F$13="x"))*IFERROR(H47,0)/IFERROR(IF(COUNTIF(J47:U47,"x")=0,SUMPRODUCT((Besatzung!$B$11:$B$22&lt;&gt;"")*(Besatzung!$F$11:$F$22="x")),SUMPRODUCT((J47:U47="x")*(Besatzung!$F$11:$F$22="x"))),1))))),0))))</f>
        <v/>
      </c>
      <c r="Y47" s="106">
        <f>IF(C47="Gutschrift","",IF(G47="","",IF(Besatzung!$B$14="","",IFERROR(IF(I47="Zeitanteilig",(Besatzung!$G$14*(G47-IFERROR(H47,0))+((Besatzung!$B$14&lt;&gt;"")*IF(B47="",1,(IF(Besatzung!$C$14="",Besatzung!$B$5,Besatzung!$C$14)&lt;=B47)*(IF(Besatzung!$D$14="",Besatzung!$B$6,Besatzung!$D$14)&gt;=B47)))*(Besatzung!$F$14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$14&lt;&gt;"")*IF(B47="",1,(IF(Besatzung!$C$14="",Besatzung!$B$5,Besatzung!$C$14)&lt;=B47)*(IF(Besatzung!$D$14="",Besatzung!$B$6,Besatzung!$D$14)&gt;=B47)))*((G47-IFERROR(H47,0))/IFERROR(SUMPRODUCT((Besatzung!$B$11:$B$22&lt;&gt;"")*(IF(Besatzung!$C$11:$C$22="",Besatzung!$B$5,Besatzung!$C$11:$C$22)&lt;=B47)*(IF(Besatzung!$D$11:$D$22="",Besatzung!$B$6,Besatzung!$D$11:$D$22)&gt;=B47)),1)+(Besatzung!$F$14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M47="x")*((G47-IFERROR(H47,0))/IFERROR(COUNTIF(J47:U47,"x"),1)+(Besatzung!$F$14="x")*IFERROR(H47,0)/IFERROR(SUMPRODUCT((J47:U47="x")*(Besatzung!$F$11:$F$22="x")),1))),(IF(COUNTIF(J47:U47,"x")=0,IF(Besatzung!$B$14&lt;&gt;"",1,0),(M47="x"))*(G47-IFERROR(H47,0))/IFERROR(IF(COUNTIF(J47:U47,"x")=0,COUNTA(Besatzung!$B$11:$B$22),COUNTIF(J47:U47,"x")),1)+IF(COUNTIF(J47:U47,"x")=0,(Besatzung!$F$14="x"),(M47="x")*(Besatzung!$F$14="x"))*IFERROR(H47,0)/IFERROR(IF(COUNTIF(J47:U47,"x")=0,SUMPRODUCT((Besatzung!$B$11:$B$22&lt;&gt;"")*(Besatzung!$F$11:$F$22="x")),SUMPRODUCT((J47:U47="x")*(Besatzung!$F$11:$F$22="x"))),1))))),0))))</f>
        <v/>
      </c>
      <c r="Z47" s="106">
        <f>IF(C47="Gutschrift","",IF(G47="","",IF(Besatzung!$B$13="","",IFERROR(IF(I47="Zeitanteilig",(Besatzung!$G$15*(G47-IFERROR(H47,0))+((Besatzung!$B$13&lt;&gt;"")*IF(B47="",1,(IF(Besatzung!$C$15="",Besatzung!$B$5,Besatzung!$C$15)&lt;=B47)*(IF(Besatzung!$D$15="",Besatzung!$B$6,Besatzung!$D$15)&gt;=B47)))*(Besatzung!$F$15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$13&lt;&gt;"")*IF(B47="",1,(IF(Besatzung!$C$15="",Besatzung!$B$5,Besatzung!$C$15)&lt;=B47)*(IF(Besatzung!$D$15="",Besatzung!$B$6,Besatzung!$D$15)&gt;=B47)))*((G47-IFERROR(H47,0))/IFERROR(SUMPRODUCT((Besatzung!$B$11:$B$22&lt;&gt;"")*(IF(Besatzung!$C$11:$C$22="",Besatzung!$B$5,Besatzung!$C$11:$C$22)&lt;=B47)*(IF(Besatzung!$D$11:$D$22="",Besatzung!$B$6,Besatzung!$D$11:$D$22)&gt;=B47)),1)+(Besatzung!$F$15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N47="x")*((G47-IFERROR(H47,0))/IFERROR(COUNTIF(J47:U47,"x"),1)+(Besatzung!$F$15="x")*IFERROR(H47,0)/IFERROR(SUMPRODUCT((J47:U47="x")*(Besatzung!$F$11:$F$22="x")),1))),(IF(COUNTIF(J47:U47,"x")=0,IF(Besatzung!$B$13&lt;&gt;"",1,0),(N47="x"))*(G47-IFERROR(H47,0))/IFERROR(IF(COUNTIF(J47:U47,"x")=0,COUNTA(Besatzung!$B$11:$B$22),COUNTIF(J47:U47,"x")),1)+IF(COUNTIF(J47:U47,"x")=0,(Besatzung!$F$15="x"),(N47="x")*(Besatzung!$F$15="x"))*IFERROR(H47,0)/IFERROR(IF(COUNTIF(J47:U47,"x")=0,SUMPRODUCT((Besatzung!$B$11:$B$22&lt;&gt;"")*(Besatzung!$F$11:$F$22="x")),SUMPRODUCT((J47:U47="x")*(Besatzung!$F$11:$F$22="x"))),1))))),0))))</f>
        <v/>
      </c>
      <c r="AA47" s="106">
        <f>IF(C47="Gutschrift","",IF(G47="","",IF(Besatzung!$B$15="","",IFERROR(IF(I47="Zeitanteilig",(Besatzung!$G$16*(G47-IFERROR(H47,0))+((Besatzung!$B$15&lt;&gt;"")*IF(B47="",1,(IF(Besatzung!$C$16="",Besatzung!$B$5,Besatzung!$C$16)&lt;=B47)*(IF(Besatzung!$D$16="",Besatzung!$B$6,Besatzung!$D$16)&gt;=B47)))*(Besatzung!$F$16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$15&lt;&gt;"")*IF(B47="",1,(IF(Besatzung!$C$16="",Besatzung!$B$5,Besatzung!$C$16)&lt;=B47)*(IF(Besatzung!$D$16="",Besatzung!$B$6,Besatzung!$D$16)&gt;=B47)))*((G47-IFERROR(H47,0))/IFERROR(SUMPRODUCT((Besatzung!$B$11:$B$22&lt;&gt;"")*(IF(Besatzung!$C$11:$C$22="",Besatzung!$B$5,Besatzung!$C$11:$C$22)&lt;=B47)*(IF(Besatzung!$D$11:$D$22="",Besatzung!$B$6,Besatzung!$D$11:$D$22)&gt;=B47)),1)+(Besatzung!$F$16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O47="x")*((G47-IFERROR(H47,0))/IFERROR(COUNTIF(J47:U47,"x"),1)+(Besatzung!$F$16="x")*IFERROR(H47,0)/IFERROR(SUMPRODUCT((J47:U47="x")*(Besatzung!$F$11:$F$22="x")),1))),(IF(COUNTIF(J47:U47,"x")=0,IF(Besatzung!$B$15&lt;&gt;"",1,0),(O47="x"))*(G47-IFERROR(H47,0))/IFERROR(IF(COUNTIF(J47:U47,"x")=0,COUNTA(Besatzung!$B$11:$B$22),COUNTIF(J47:U47,"x")),1)+IF(COUNTIF(J47:U47,"x")=0,(Besatzung!$F$16="x"),(O47="x")*(Besatzung!$F$16="x"))*IFERROR(H47,0)/IFERROR(IF(COUNTIF(J47:U47,"x")=0,SUMPRODUCT((Besatzung!$B$11:$B$22&lt;&gt;"")*(Besatzung!$F$11:$F$22="x")),SUMPRODUCT((J47:U47="x")*(Besatzung!$F$11:$F$22="x"))),1))))),0))))</f>
        <v/>
      </c>
      <c r="AB47" s="106">
        <f>IF(C47="Gutschrift","",IF(G47="","",IF(Besatzung!$B$17="","",IFERROR(IF(I47="Zeitanteilig",(Besatzung!$G$17*(G47-IFERROR(H47,0))+((Besatzung!$B$17&lt;&gt;"")*IF(B47="",1,(IF(Besatzung!$C$17="",Besatzung!$B$5,Besatzung!$C$17)&lt;=B47)*(IF(Besatzung!$D$17="",Besatzung!$B$6,Besatzung!$D$17)&gt;=B47)))*(Besatzung!$F$17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$17&lt;&gt;"")*IF(B47="",1,(IF(Besatzung!$C$17="",Besatzung!$B$5,Besatzung!$C$17)&lt;=B47)*(IF(Besatzung!$D$17="",Besatzung!$B$6,Besatzung!$D$17)&gt;=B47)))*((G47-IFERROR(H47,0))/IFERROR(SUMPRODUCT((Besatzung!$B$11:$B$22&lt;&gt;"")*(IF(Besatzung!$C$11:$C$22="",Besatzung!$B$5,Besatzung!$C$11:$C$22)&lt;=B47)*(IF(Besatzung!$D$11:$D$22="",Besatzung!$B$6,Besatzung!$D$11:$D$22)&gt;=B47)),1)+(Besatzung!$F$17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P47="x")*((G47-IFERROR(H47,0))/IFERROR(COUNTIF(J47:U47,"x"),1)+(Besatzung!$F$17="x")*IFERROR(H47,0)/IFERROR(SUMPRODUCT((J47:U47="x")*(Besatzung!$F$11:$F$22="x")),1))),(IF(COUNTIF(J47:U47,"x")=0,IF(Besatzung!$B$17&lt;&gt;"",1,0),(P47="x"))*(G47-IFERROR(H47,0))/IFERROR(IF(COUNTIF(J47:U47,"x")=0,COUNTA(Besatzung!$B$11:$B$22),COUNTIF(J47:U47,"x")),1)+IF(COUNTIF(J47:U47,"x")=0,(Besatzung!$F$17="x"),(P47="x")*(Besatzung!$F$17="x"))*IFERROR(H47,0)/IFERROR(IF(COUNTIF(J47:U47,"x")=0,SUMPRODUCT((Besatzung!$B$11:$B$22&lt;&gt;"")*(Besatzung!$F$11:$F$22="x")),SUMPRODUCT((J47:U47="x")*(Besatzung!$F$11:$F$22="x"))),1))))),0))))</f>
        <v/>
      </c>
      <c r="AC47" s="106">
        <f>IF(C47="Gutschrift","",IF(G47="","",IF(Besatzung!$B$18="","",IFERROR(IF(I47="Zeitanteilig",(Besatzung!$G$18*(G47-IFERROR(H47,0))+((Besatzung!$B$18&lt;&gt;"")*IF(B47="",1,(IF(Besatzung!$C$18="",Besatzung!$B$5,Besatzung!$C$18)&lt;=B47)*(IF(Besatzung!$D$18="",Besatzung!$B$6,Besatzung!$D$18)&gt;=B47)))*(Besatzung!$F$18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$18&lt;&gt;"")*IF(B47="",1,(IF(Besatzung!$C$18="",Besatzung!$B$5,Besatzung!$C$18)&lt;=B47)*(IF(Besatzung!$D$18="",Besatzung!$B$6,Besatzung!$D$18)&gt;=B47)))*((G47-IFERROR(H47,0))/IFERROR(SUMPRODUCT((Besatzung!$B$11:$B$22&lt;&gt;"")*(IF(Besatzung!$C$11:$C$22="",Besatzung!$B$5,Besatzung!$C$11:$C$22)&lt;=B47)*(IF(Besatzung!$D$11:$D$22="",Besatzung!$B$6,Besatzung!$D$11:$D$22)&gt;=B47)),1)+(Besatzung!$F$18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Q47="x")*((G47-IFERROR(H47,0))/IFERROR(COUNTIF(J47:U47,"x"),1)+(Besatzung!$F$18="x")*IFERROR(H47,0)/IFERROR(SUMPRODUCT((J47:U47="x")*(Besatzung!$F$11:$F$22="x")),1))),(IF(COUNTIF(J47:U47,"x")=0,IF(Besatzung!$B$18&lt;&gt;"",1,0),(Q47="x"))*(G47-IFERROR(H47,0))/IFERROR(IF(COUNTIF(J47:U47,"x")=0,COUNTA(Besatzung!$B$11:$B$22),COUNTIF(J47:U47,"x")),1)+IF(COUNTIF(J47:U47,"x")=0,(Besatzung!$F$18="x"),(Q47="x")*(Besatzung!$F$18="x"))*IFERROR(H47,0)/IFERROR(IF(COUNTIF(J47:U47,"x")=0,SUMPRODUCT((Besatzung!$B$11:$B$22&lt;&gt;"")*(Besatzung!$F$11:$F$22="x")),SUMPRODUCT((J47:U47="x")*(Besatzung!$F$11:$F$22="x"))),1))))),0))))</f>
        <v/>
      </c>
      <c r="AD47" s="106">
        <f>IF(C47="Gutschrift","",IF(G47="","",IF(Besatzung!$B$19="","",IFERROR(IF(I47="Zeitanteilig",(Besatzung!$G$19*(G47-IFERROR(H47,0))+((Besatzung!$B$19&lt;&gt;"")*IF(B47="",1,(IF(Besatzung!$C$19="",Besatzung!$B$5,Besatzung!$C$19)&lt;=B47)*(IF(Besatzung!$D$19="",Besatzung!$B$6,Besatzung!$D$19)&gt;=B47)))*(Besatzung!$F$19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$19&lt;&gt;"")*IF(B47="",1,(IF(Besatzung!$C$19="",Besatzung!$B$5,Besatzung!$C$19)&lt;=B47)*(IF(Besatzung!$D$19="",Besatzung!$B$6,Besatzung!$D$19)&gt;=B47)))*((G47-IFERROR(H47,0))/IFERROR(SUMPRODUCT((Besatzung!$B$11:$B$22&lt;&gt;"")*(IF(Besatzung!$C$11:$C$22="",Besatzung!$B$5,Besatzung!$C$11:$C$22)&lt;=B47)*(IF(Besatzung!$D$11:$D$22="",Besatzung!$B$6,Besatzung!$D$11:$D$22)&gt;=B47)),1)+(Besatzung!$F$19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R47="x")*((G47-IFERROR(H47,0))/IFERROR(COUNTIF(J47:U47,"x"),1)+(Besatzung!$F$19="x")*IFERROR(H47,0)/IFERROR(SUMPRODUCT((J47:U47="x")*(Besatzung!$F$11:$F$22="x")),1))),(IF(COUNTIF(J47:U47,"x")=0,IF(Besatzung!$B$19&lt;&gt;"",1,0),(R47="x"))*(G47-IFERROR(H47,0))/IFERROR(IF(COUNTIF(J47:U47,"x")=0,COUNTA(Besatzung!$B$11:$B$22),COUNTIF(J47:U47,"x")),1)+IF(COUNTIF(J47:U47,"x")=0,(Besatzung!$F$19="x"),(R47="x")*(Besatzung!$F$19="x"))*IFERROR(H47,0)/IFERROR(IF(COUNTIF(J47:U47,"x")=0,SUMPRODUCT((Besatzung!$B$11:$B$22&lt;&gt;"")*(Besatzung!$F$11:$F$22="x")),SUMPRODUCT((J47:U47="x")*(Besatzung!$F$11:$F$22="x"))),1))))),0))))</f>
        <v/>
      </c>
      <c r="AE47" s="106">
        <f>IF(C47="Gutschrift","",IF(G47="","",IF(Besatzung!$B$20="","",IFERROR(IF(I47="Zeitanteilig",(Besatzung!$G$20*(G47-IFERROR(H47,0))+((Besatzung!$B$20&lt;&gt;"")*IF(B47="",1,(IF(Besatzung!$C$20="",Besatzung!$B$5,Besatzung!$C$20)&lt;=B47)*(IF(Besatzung!$D$20="",Besatzung!$B$6,Besatzung!$D$20)&gt;=B47)))*(Besatzung!$F$20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$20&lt;&gt;"")*IF(B47="",1,(IF(Besatzung!$C$20="",Besatzung!$B$5,Besatzung!$C$20)&lt;=B47)*(IF(Besatzung!$D$20="",Besatzung!$B$6,Besatzung!$D$20)&gt;=B47)))*((G47-IFERROR(H47,0))/IFERROR(SUMPRODUCT((Besatzung!$B$11:$B$22&lt;&gt;"")*(IF(Besatzung!$C$11:$C$22="",Besatzung!$B$5,Besatzung!$C$11:$C$22)&lt;=B47)*(IF(Besatzung!$D$11:$D$22="",Besatzung!$B$6,Besatzung!$D$11:$D$22)&gt;=B47)),1)+(Besatzung!$F$20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S47="x")*((G47-IFERROR(H47,0))/IFERROR(COUNTIF(J47:U47,"x"),1)+(Besatzung!$F$20="x")*IFERROR(H47,0)/IFERROR(SUMPRODUCT((J47:U47="x")*(Besatzung!$F$11:$F$22="x")),1))),(IF(COUNTIF(J47:U47,"x")=0,IF(Besatzung!$B$20&lt;&gt;"",1,0),(S47="x"))*(G47-IFERROR(H47,0))/IFERROR(IF(COUNTIF(J47:U47,"x")=0,COUNTA(Besatzung!$B$11:$B$22),COUNTIF(J47:U47,"x")),1)+IF(COUNTIF(J47:U47,"x")=0,(Besatzung!$F$20="x"),(S47="x")*(Besatzung!$F$20="x"))*IFERROR(H47,0)/IFERROR(IF(COUNTIF(J47:U47,"x")=0,SUMPRODUCT((Besatzung!$B$11:$B$22&lt;&gt;"")*(Besatzung!$F$11:$F$22="x")),SUMPRODUCT((J47:U47="x")*(Besatzung!$F$11:$F$22="x"))),1))))),0))))</f>
        <v/>
      </c>
      <c r="AF47" s="106">
        <f>IF(C47="Gutschrift","",IF(G47="","",IF(Besatzung!$B$21="","",IFERROR(IF(I47="Zeitanteilig",(Besatzung!$G$21*(G47-IFERROR(H47,0))+((Besatzung!$B$21&lt;&gt;"")*IF(B47="",1,(IF(Besatzung!$C$21="",Besatzung!$B$5,Besatzung!$C$21)&lt;=B47)*(IF(Besatzung!$D$21="",Besatzung!$B$6,Besatzung!$D$21)&gt;=B47)))*(Besatzung!$F$21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$21&lt;&gt;"")*IF(B47="",1,(IF(Besatzung!$C$21="",Besatzung!$B$5,Besatzung!$C$21)&lt;=B47)*(IF(Besatzung!$D$21="",Besatzung!$B$6,Besatzung!$D$21)&gt;=B47)))*((G47-IFERROR(H47,0))/IFERROR(SUMPRODUCT((Besatzung!$B$11:$B$22&lt;&gt;"")*(IF(Besatzung!$C$11:$C$22="",Besatzung!$B$5,Besatzung!$C$11:$C$22)&lt;=B47)*(IF(Besatzung!$D$11:$D$22="",Besatzung!$B$6,Besatzung!$D$11:$D$22)&gt;=B47)),1)+(Besatzung!$F$21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T47="x")*((G47-IFERROR(H47,0))/IFERROR(COUNTIF(J47:U47,"x"),1)+(Besatzung!$F$21="x")*IFERROR(H47,0)/IFERROR(SUMPRODUCT((J47:U47="x")*(Besatzung!$F$11:$F$22="x")),1))),(IF(COUNTIF(J47:U47,"x")=0,IF(Besatzung!$B$21&lt;&gt;"",1,0),(T47="x"))*(G47-IFERROR(H47,0))/IFERROR(IF(COUNTIF(J47:U47,"x")=0,COUNTA(Besatzung!$B$11:$B$22),COUNTIF(J47:U47,"x")),1)+IF(COUNTIF(J47:U47,"x")=0,(Besatzung!$F$21="x"),(T47="x")*(Besatzung!$F$21="x"))*IFERROR(H47,0)/IFERROR(IF(COUNTIF(J47:U47,"x")=0,SUMPRODUCT((Besatzung!$B$11:$B$22&lt;&gt;"")*(Besatzung!$F$11:$F$22="x")),SUMPRODUCT((J47:U47="x")*(Besatzung!$F$11:$F$22="x"))),1))))),0))))</f>
        <v/>
      </c>
      <c r="AG47" s="106">
        <f>IF(C47="Gutschrift","",IF(G47="","",IF(Besatzung!$B$22="","",IFERROR(IF(I47="Zeitanteilig",(Besatzung!$G$22*(G47-IFERROR(H47,0))+((Besatzung!$B$22&lt;&gt;"")*IF(B47="",1,(IF(Besatzung!$C$22="",Besatzung!$B$5,Besatzung!$C$22)&lt;=B47)*(IF(Besatzung!$D$22="",Besatzung!$B$6,Besatzung!$D$22)&gt;=B47)))*(Besatzung!$F$22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$22&lt;&gt;"")*IF(B47="",1,(IF(Besatzung!$C$22="",Besatzung!$B$5,Besatzung!$C$22)&lt;=B47)*(IF(Besatzung!$D$22="",Besatzung!$B$6,Besatzung!$D$22)&gt;=B47)))*((G47-IFERROR(H47,0))/IFERROR(SUMPRODUCT((Besatzung!$B$11:$B$22&lt;&gt;"")*(IF(Besatzung!$C$11:$C$22="",Besatzung!$B$5,Besatzung!$C$11:$C$22)&lt;=B47)*(IF(Besatzung!$D$11:$D$22="",Besatzung!$B$6,Besatzung!$D$11:$D$22)&gt;=B47)),1)+(Besatzung!$F$22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U47="x")*((G47-IFERROR(H47,0))/IFERROR(COUNTIF(J47:U47,"x"),1)+(Besatzung!$F$22="x")*IFERROR(H47,0)/IFERROR(SUMPRODUCT((J47:U47="x")*(Besatzung!$F$11:$F$22="x")),1))),(IF(COUNTIF(J47:U47,"x")=0,IF(Besatzung!$B$22&lt;&gt;"",1,0),(U47="x"))*(G47-IFERROR(H47,0))/IFERROR(IF(COUNTIF(J47:U47,"x")=0,COUNTA(Besatzung!$B$11:$B$22),COUNTIF(J47:U47,"x")),1)+IF(COUNTIF(J47:U47,"x")=0,(Besatzung!$F$22="x"),(U47="x")*(Besatzung!$F$22="x"))*IFERROR(H47,0)/IFERROR(IF(COUNTIF(J47:U47,"x")=0,SUMPRODUCT((Besatzung!$B$11:$B$22&lt;&gt;"")*(Besatzung!$F$11:$F$22="x")),SUMPRODUCT((J47:U47="x")*(Besatzung!$F$11:$F$22="x"))),1))))),0))))</f>
        <v/>
      </c>
      <c r="AH47" s="107" t="n"/>
      <c r="AI47" s="107" t="n"/>
    </row>
    <row r="48" ht="21.75" customHeight="1" s="182">
      <c r="A48" s="97">
        <f>IF(AND(D48="",C48=""),"",45)</f>
        <v/>
      </c>
      <c r="B48" s="56" t="n"/>
      <c r="C48" s="98" t="n"/>
      <c r="D48" s="99" t="n"/>
      <c r="E48" s="100" t="n"/>
      <c r="F48" s="101" t="n"/>
      <c r="G48" s="102" t="n"/>
      <c r="H48" s="103" t="n"/>
      <c r="I48" s="104" t="n"/>
      <c r="J48" s="105" t="n"/>
      <c r="K48" s="105" t="n"/>
      <c r="L48" s="105" t="n"/>
      <c r="M48" s="105" t="n"/>
      <c r="N48" s="105" t="n"/>
      <c r="O48" s="105" t="n"/>
      <c r="P48" s="105" t="n"/>
      <c r="Q48" s="105" t="n"/>
      <c r="R48" s="105" t="n"/>
      <c r="S48" s="105" t="n"/>
      <c r="T48" s="105" t="n"/>
      <c r="U48" s="105" t="n"/>
      <c r="V48" s="106">
        <f>IF(C48="Gutschrift","",IF(G48="","",IF(Besatzung!$B$11="","",IFERROR(IF(I48="Zeitanteilig",(Besatzung!$G$11*(G48-IFERROR(H48,0))+((Besatzung!$B$11&lt;&gt;"")*IF(B48="",1,(IF(Besatzung!$C$11="",Besatzung!$B$5,Besatzung!$C$11)&lt;=B48)*(IF(Besatzung!$D$11="",Besatzung!$B$6,Besatzung!$D$11)&gt;=B48)))*(Besatzung!$F$11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$11&lt;&gt;"")*IF(B48="",1,(IF(Besatzung!$C$11="",Besatzung!$B$5,Besatzung!$C$11)&lt;=B48)*(IF(Besatzung!$D$11="",Besatzung!$B$6,Besatzung!$D$11)&gt;=B48)))*((G48-IFERROR(H48,0))/IFERROR(SUMPRODUCT((Besatzung!$B$11:$B$22&lt;&gt;"")*(IF(Besatzung!$C$11:$C$22="",Besatzung!$B$5,Besatzung!$C$11:$C$22)&lt;=B48)*(IF(Besatzung!$D$11:$D$22="",Besatzung!$B$6,Besatzung!$D$11:$D$22)&gt;=B48)),1)+(Besatzung!$F$11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J48="x")*((G48-IFERROR(H48,0))/IFERROR(COUNTIF(J48:U48,"x"),1)+(Besatzung!$F$11="x")*IFERROR(H48,0)/IFERROR(SUMPRODUCT((J48:U48="x")*(Besatzung!$F$11:$F$22="x")),1))),(IF(COUNTIF(J48:U48,"x")=0,IF(Besatzung!$B$11&lt;&gt;"",1,0),(J48="x"))*(G48-IFERROR(H48,0))/IFERROR(IF(COUNTIF(J48:U48,"x")=0,COUNTA(Besatzung!$B$11:$B$22),COUNTIF(J48:U48,"x")),1)+IF(COUNTIF(J48:U48,"x")=0,(Besatzung!$F$11="x"),(J48="x")*(Besatzung!$F$11="x"))*IFERROR(H48,0)/IFERROR(IF(COUNTIF(J48:U48,"x")=0,SUMPRODUCT((Besatzung!$B$11:$B$22&lt;&gt;"")*(Besatzung!$F$11:$F$22="x")),SUMPRODUCT((J48:U48="x")*(Besatzung!$F$11:$F$22="x"))),1))))),0))))</f>
        <v/>
      </c>
      <c r="W48" s="106">
        <f>IF(C48="Gutschrift","",IF(G48="","",IF(Besatzung!$B$12="","",IFERROR(IF(I48="Zeitanteilig",(Besatzung!$G$12*(G48-IFERROR(H48,0))+((Besatzung!$B$12&lt;&gt;"")*IF(B48="",1,(IF(Besatzung!$C$12="",Besatzung!$B$5,Besatzung!$C$12)&lt;=B48)*(IF(Besatzung!$D$12="",Besatzung!$B$6,Besatzung!$D$12)&gt;=B48)))*(Besatzung!$F$12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$12&lt;&gt;"")*IF(B48="",1,(IF(Besatzung!$C$12="",Besatzung!$B$5,Besatzung!$C$12)&lt;=B48)*(IF(Besatzung!$D$12="",Besatzung!$B$6,Besatzung!$D$12)&gt;=B48)))*((G48-IFERROR(H48,0))/IFERROR(SUMPRODUCT((Besatzung!$B$11:$B$22&lt;&gt;"")*(IF(Besatzung!$C$11:$C$22="",Besatzung!$B$5,Besatzung!$C$11:$C$22)&lt;=B48)*(IF(Besatzung!$D$11:$D$22="",Besatzung!$B$6,Besatzung!$D$11:$D$22)&gt;=B48)),1)+(Besatzung!$F$12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K48="x")*((G48-IFERROR(H48,0))/IFERROR(COUNTIF(J48:U48,"x"),1)+(Besatzung!$F$12="x")*IFERROR(H48,0)/IFERROR(SUMPRODUCT((J48:U48="x")*(Besatzung!$F$11:$F$22="x")),1))),(IF(COUNTIF(J48:U48,"x")=0,IF(Besatzung!$B$12&lt;&gt;"",1,0),(K48="x"))*(G48-IFERROR(H48,0))/IFERROR(IF(COUNTIF(J48:U48,"x")=0,COUNTA(Besatzung!$B$11:$B$22),COUNTIF(J48:U48,"x")),1)+IF(COUNTIF(J48:U48,"x")=0,(Besatzung!$F$12="x"),(K48="x")*(Besatzung!$F$12="x"))*IFERROR(H48,0)/IFERROR(IF(COUNTIF(J48:U48,"x")=0,SUMPRODUCT((Besatzung!$B$11:$B$22&lt;&gt;"")*(Besatzung!$F$11:$F$22="x")),SUMPRODUCT((J48:U48="x")*(Besatzung!$F$11:$F$22="x"))),1))))),0))))</f>
        <v/>
      </c>
      <c r="X48" s="106">
        <f>IF(C48="Gutschrift","",IF(G48="","",IF(Besatzung!$B$13="","",IFERROR(IF(I48="Zeitanteilig",(Besatzung!$G$13*(G48-IFERROR(H48,0))+((Besatzung!$B$13&lt;&gt;"")*IF(B48="",1,(IF(Besatzung!$C$13="",Besatzung!$B$5,Besatzung!$C$13)&lt;=B48)*(IF(Besatzung!$D$13="",Besatzung!$B$6,Besatzung!$D$13)&gt;=B48)))*(Besatzung!$F$13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$13&lt;&gt;"")*IF(B48="",1,(IF(Besatzung!$C$13="",Besatzung!$B$5,Besatzung!$C$13)&lt;=B48)*(IF(Besatzung!$D$13="",Besatzung!$B$6,Besatzung!$D$13)&gt;=B48)))*((G48-IFERROR(H48,0))/IFERROR(SUMPRODUCT((Besatzung!$B$11:$B$22&lt;&gt;"")*(IF(Besatzung!$C$11:$C$22="",Besatzung!$B$5,Besatzung!$C$11:$C$22)&lt;=B48)*(IF(Besatzung!$D$11:$D$22="",Besatzung!$B$6,Besatzung!$D$11:$D$22)&gt;=B48)),1)+(Besatzung!$F$13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K48="x")*((G48-IFERROR(H48,0))/IFERROR(COUNTIF(J48:U48,"x"),1)+(Besatzung!$F$13="x")*IFERROR(H48,0)/IFERROR(SUMPRODUCT((J48:U48="x")*(Besatzung!$F$11:$F$22="x")),1))),(IF(COUNTIF(J48:U48,"x")=0,IF(Besatzung!$B$13&lt;&gt;"",1,0),(K48="x"))*(G48-IFERROR(H48,0))/IFERROR(IF(COUNTIF(J48:U48,"x")=0,COUNTA(Besatzung!$B$11:$B$22),COUNTIF(J48:U48,"x")),1)+IF(COUNTIF(J48:U48,"x")=0,(Besatzung!$F$13="x"),(K48="x")*(Besatzung!$F$13="x"))*IFERROR(H48,0)/IFERROR(IF(COUNTIF(J48:U48,"x")=0,SUMPRODUCT((Besatzung!$B$11:$B$22&lt;&gt;"")*(Besatzung!$F$11:$F$22="x")),SUMPRODUCT((J48:U48="x")*(Besatzung!$F$11:$F$22="x"))),1))))),0))))</f>
        <v/>
      </c>
      <c r="Y48" s="106">
        <f>IF(C48="Gutschrift","",IF(G48="","",IF(Besatzung!$B$14="","",IFERROR(IF(I48="Zeitanteilig",(Besatzung!$G$14*(G48-IFERROR(H48,0))+((Besatzung!$B$14&lt;&gt;"")*IF(B48="",1,(IF(Besatzung!$C$14="",Besatzung!$B$5,Besatzung!$C$14)&lt;=B48)*(IF(Besatzung!$D$14="",Besatzung!$B$6,Besatzung!$D$14)&gt;=B48)))*(Besatzung!$F$14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$14&lt;&gt;"")*IF(B48="",1,(IF(Besatzung!$C$14="",Besatzung!$B$5,Besatzung!$C$14)&lt;=B48)*(IF(Besatzung!$D$14="",Besatzung!$B$6,Besatzung!$D$14)&gt;=B48)))*((G48-IFERROR(H48,0))/IFERROR(SUMPRODUCT((Besatzung!$B$11:$B$22&lt;&gt;"")*(IF(Besatzung!$C$11:$C$22="",Besatzung!$B$5,Besatzung!$C$11:$C$22)&lt;=B48)*(IF(Besatzung!$D$11:$D$22="",Besatzung!$B$6,Besatzung!$D$11:$D$22)&gt;=B48)),1)+(Besatzung!$F$14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M48="x")*((G48-IFERROR(H48,0))/IFERROR(COUNTIF(J48:U48,"x"),1)+(Besatzung!$F$14="x")*IFERROR(H48,0)/IFERROR(SUMPRODUCT((J48:U48="x")*(Besatzung!$F$11:$F$22="x")),1))),(IF(COUNTIF(J48:U48,"x")=0,IF(Besatzung!$B$14&lt;&gt;"",1,0),(M48="x"))*(G48-IFERROR(H48,0))/IFERROR(IF(COUNTIF(J48:U48,"x")=0,COUNTA(Besatzung!$B$11:$B$22),COUNTIF(J48:U48,"x")),1)+IF(COUNTIF(J48:U48,"x")=0,(Besatzung!$F$14="x"),(M48="x")*(Besatzung!$F$14="x"))*IFERROR(H48,0)/IFERROR(IF(COUNTIF(J48:U48,"x")=0,SUMPRODUCT((Besatzung!$B$11:$B$22&lt;&gt;"")*(Besatzung!$F$11:$F$22="x")),SUMPRODUCT((J48:U48="x")*(Besatzung!$F$11:$F$22="x"))),1))))),0))))</f>
        <v/>
      </c>
      <c r="Z48" s="106">
        <f>IF(C48="Gutschrift","",IF(G48="","",IF(Besatzung!$B$13="","",IFERROR(IF(I48="Zeitanteilig",(Besatzung!$G$15*(G48-IFERROR(H48,0))+((Besatzung!$B$13&lt;&gt;"")*IF(B48="",1,(IF(Besatzung!$C$15="",Besatzung!$B$5,Besatzung!$C$15)&lt;=B48)*(IF(Besatzung!$D$15="",Besatzung!$B$6,Besatzung!$D$15)&gt;=B48)))*(Besatzung!$F$15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$13&lt;&gt;"")*IF(B48="",1,(IF(Besatzung!$C$15="",Besatzung!$B$5,Besatzung!$C$15)&lt;=B48)*(IF(Besatzung!$D$15="",Besatzung!$B$6,Besatzung!$D$15)&gt;=B48)))*((G48-IFERROR(H48,0))/IFERROR(SUMPRODUCT((Besatzung!$B$11:$B$22&lt;&gt;"")*(IF(Besatzung!$C$11:$C$22="",Besatzung!$B$5,Besatzung!$C$11:$C$22)&lt;=B48)*(IF(Besatzung!$D$11:$D$22="",Besatzung!$B$6,Besatzung!$D$11:$D$22)&gt;=B48)),1)+(Besatzung!$F$15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N48="x")*((G48-IFERROR(H48,0))/IFERROR(COUNTIF(J48:U48,"x"),1)+(Besatzung!$F$15="x")*IFERROR(H48,0)/IFERROR(SUMPRODUCT((J48:U48="x")*(Besatzung!$F$11:$F$22="x")),1))),(IF(COUNTIF(J48:U48,"x")=0,IF(Besatzung!$B$13&lt;&gt;"",1,0),(N48="x"))*(G48-IFERROR(H48,0))/IFERROR(IF(COUNTIF(J48:U48,"x")=0,COUNTA(Besatzung!$B$11:$B$22),COUNTIF(J48:U48,"x")),1)+IF(COUNTIF(J48:U48,"x")=0,(Besatzung!$F$15="x"),(N48="x")*(Besatzung!$F$15="x"))*IFERROR(H48,0)/IFERROR(IF(COUNTIF(J48:U48,"x")=0,SUMPRODUCT((Besatzung!$B$11:$B$22&lt;&gt;"")*(Besatzung!$F$11:$F$22="x")),SUMPRODUCT((J48:U48="x")*(Besatzung!$F$11:$F$22="x"))),1))))),0))))</f>
        <v/>
      </c>
      <c r="AA48" s="106">
        <f>IF(C48="Gutschrift","",IF(G48="","",IF(Besatzung!$B$15="","",IFERROR(IF(I48="Zeitanteilig",(Besatzung!$G$16*(G48-IFERROR(H48,0))+((Besatzung!$B$15&lt;&gt;"")*IF(B48="",1,(IF(Besatzung!$C$16="",Besatzung!$B$5,Besatzung!$C$16)&lt;=B48)*(IF(Besatzung!$D$16="",Besatzung!$B$6,Besatzung!$D$16)&gt;=B48)))*(Besatzung!$F$16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$15&lt;&gt;"")*IF(B48="",1,(IF(Besatzung!$C$16="",Besatzung!$B$5,Besatzung!$C$16)&lt;=B48)*(IF(Besatzung!$D$16="",Besatzung!$B$6,Besatzung!$D$16)&gt;=B48)))*((G48-IFERROR(H48,0))/IFERROR(SUMPRODUCT((Besatzung!$B$11:$B$22&lt;&gt;"")*(IF(Besatzung!$C$11:$C$22="",Besatzung!$B$5,Besatzung!$C$11:$C$22)&lt;=B48)*(IF(Besatzung!$D$11:$D$22="",Besatzung!$B$6,Besatzung!$D$11:$D$22)&gt;=B48)),1)+(Besatzung!$F$16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O48="x")*((G48-IFERROR(H48,0))/IFERROR(COUNTIF(J48:U48,"x"),1)+(Besatzung!$F$16="x")*IFERROR(H48,0)/IFERROR(SUMPRODUCT((J48:U48="x")*(Besatzung!$F$11:$F$22="x")),1))),(IF(COUNTIF(J48:U48,"x")=0,IF(Besatzung!$B$15&lt;&gt;"",1,0),(O48="x"))*(G48-IFERROR(H48,0))/IFERROR(IF(COUNTIF(J48:U48,"x")=0,COUNTA(Besatzung!$B$11:$B$22),COUNTIF(J48:U48,"x")),1)+IF(COUNTIF(J48:U48,"x")=0,(Besatzung!$F$16="x"),(O48="x")*(Besatzung!$F$16="x"))*IFERROR(H48,0)/IFERROR(IF(COUNTIF(J48:U48,"x")=0,SUMPRODUCT((Besatzung!$B$11:$B$22&lt;&gt;"")*(Besatzung!$F$11:$F$22="x")),SUMPRODUCT((J48:U48="x")*(Besatzung!$F$11:$F$22="x"))),1))))),0))))</f>
        <v/>
      </c>
      <c r="AB48" s="106">
        <f>IF(C48="Gutschrift","",IF(G48="","",IF(Besatzung!$B$17="","",IFERROR(IF(I48="Zeitanteilig",(Besatzung!$G$17*(G48-IFERROR(H48,0))+((Besatzung!$B$17&lt;&gt;"")*IF(B48="",1,(IF(Besatzung!$C$17="",Besatzung!$B$5,Besatzung!$C$17)&lt;=B48)*(IF(Besatzung!$D$17="",Besatzung!$B$6,Besatzung!$D$17)&gt;=B48)))*(Besatzung!$F$17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$17&lt;&gt;"")*IF(B48="",1,(IF(Besatzung!$C$17="",Besatzung!$B$5,Besatzung!$C$17)&lt;=B48)*(IF(Besatzung!$D$17="",Besatzung!$B$6,Besatzung!$D$17)&gt;=B48)))*((G48-IFERROR(H48,0))/IFERROR(SUMPRODUCT((Besatzung!$B$11:$B$22&lt;&gt;"")*(IF(Besatzung!$C$11:$C$22="",Besatzung!$B$5,Besatzung!$C$11:$C$22)&lt;=B48)*(IF(Besatzung!$D$11:$D$22="",Besatzung!$B$6,Besatzung!$D$11:$D$22)&gt;=B48)),1)+(Besatzung!$F$17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P48="x")*((G48-IFERROR(H48,0))/IFERROR(COUNTIF(J48:U48,"x"),1)+(Besatzung!$F$17="x")*IFERROR(H48,0)/IFERROR(SUMPRODUCT((J48:U48="x")*(Besatzung!$F$11:$F$22="x")),1))),(IF(COUNTIF(J48:U48,"x")=0,IF(Besatzung!$B$17&lt;&gt;"",1,0),(P48="x"))*(G48-IFERROR(H48,0))/IFERROR(IF(COUNTIF(J48:U48,"x")=0,COUNTA(Besatzung!$B$11:$B$22),COUNTIF(J48:U48,"x")),1)+IF(COUNTIF(J48:U48,"x")=0,(Besatzung!$F$17="x"),(P48="x")*(Besatzung!$F$17="x"))*IFERROR(H48,0)/IFERROR(IF(COUNTIF(J48:U48,"x")=0,SUMPRODUCT((Besatzung!$B$11:$B$22&lt;&gt;"")*(Besatzung!$F$11:$F$22="x")),SUMPRODUCT((J48:U48="x")*(Besatzung!$F$11:$F$22="x"))),1))))),0))))</f>
        <v/>
      </c>
      <c r="AC48" s="106">
        <f>IF(C48="Gutschrift","",IF(G48="","",IF(Besatzung!$B$18="","",IFERROR(IF(I48="Zeitanteilig",(Besatzung!$G$18*(G48-IFERROR(H48,0))+((Besatzung!$B$18&lt;&gt;"")*IF(B48="",1,(IF(Besatzung!$C$18="",Besatzung!$B$5,Besatzung!$C$18)&lt;=B48)*(IF(Besatzung!$D$18="",Besatzung!$B$6,Besatzung!$D$18)&gt;=B48)))*(Besatzung!$F$18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$18&lt;&gt;"")*IF(B48="",1,(IF(Besatzung!$C$18="",Besatzung!$B$5,Besatzung!$C$18)&lt;=B48)*(IF(Besatzung!$D$18="",Besatzung!$B$6,Besatzung!$D$18)&gt;=B48)))*((G48-IFERROR(H48,0))/IFERROR(SUMPRODUCT((Besatzung!$B$11:$B$22&lt;&gt;"")*(IF(Besatzung!$C$11:$C$22="",Besatzung!$B$5,Besatzung!$C$11:$C$22)&lt;=B48)*(IF(Besatzung!$D$11:$D$22="",Besatzung!$B$6,Besatzung!$D$11:$D$22)&gt;=B48)),1)+(Besatzung!$F$18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Q48="x")*((G48-IFERROR(H48,0))/IFERROR(COUNTIF(J48:U48,"x"),1)+(Besatzung!$F$18="x")*IFERROR(H48,0)/IFERROR(SUMPRODUCT((J48:U48="x")*(Besatzung!$F$11:$F$22="x")),1))),(IF(COUNTIF(J48:U48,"x")=0,IF(Besatzung!$B$18&lt;&gt;"",1,0),(Q48="x"))*(G48-IFERROR(H48,0))/IFERROR(IF(COUNTIF(J48:U48,"x")=0,COUNTA(Besatzung!$B$11:$B$22),COUNTIF(J48:U48,"x")),1)+IF(COUNTIF(J48:U48,"x")=0,(Besatzung!$F$18="x"),(Q48="x")*(Besatzung!$F$18="x"))*IFERROR(H48,0)/IFERROR(IF(COUNTIF(J48:U48,"x")=0,SUMPRODUCT((Besatzung!$B$11:$B$22&lt;&gt;"")*(Besatzung!$F$11:$F$22="x")),SUMPRODUCT((J48:U48="x")*(Besatzung!$F$11:$F$22="x"))),1))))),0))))</f>
        <v/>
      </c>
      <c r="AD48" s="106">
        <f>IF(C48="Gutschrift","",IF(G48="","",IF(Besatzung!$B$19="","",IFERROR(IF(I48="Zeitanteilig",(Besatzung!$G$19*(G48-IFERROR(H48,0))+((Besatzung!$B$19&lt;&gt;"")*IF(B48="",1,(IF(Besatzung!$C$19="",Besatzung!$B$5,Besatzung!$C$19)&lt;=B48)*(IF(Besatzung!$D$19="",Besatzung!$B$6,Besatzung!$D$19)&gt;=B48)))*(Besatzung!$F$19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$19&lt;&gt;"")*IF(B48="",1,(IF(Besatzung!$C$19="",Besatzung!$B$5,Besatzung!$C$19)&lt;=B48)*(IF(Besatzung!$D$19="",Besatzung!$B$6,Besatzung!$D$19)&gt;=B48)))*((G48-IFERROR(H48,0))/IFERROR(SUMPRODUCT((Besatzung!$B$11:$B$22&lt;&gt;"")*(IF(Besatzung!$C$11:$C$22="",Besatzung!$B$5,Besatzung!$C$11:$C$22)&lt;=B48)*(IF(Besatzung!$D$11:$D$22="",Besatzung!$B$6,Besatzung!$D$11:$D$22)&gt;=B48)),1)+(Besatzung!$F$19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R48="x")*((G48-IFERROR(H48,0))/IFERROR(COUNTIF(J48:U48,"x"),1)+(Besatzung!$F$19="x")*IFERROR(H48,0)/IFERROR(SUMPRODUCT((J48:U48="x")*(Besatzung!$F$11:$F$22="x")),1))),(IF(COUNTIF(J48:U48,"x")=0,IF(Besatzung!$B$19&lt;&gt;"",1,0),(R48="x"))*(G48-IFERROR(H48,0))/IFERROR(IF(COUNTIF(J48:U48,"x")=0,COUNTA(Besatzung!$B$11:$B$22),COUNTIF(J48:U48,"x")),1)+IF(COUNTIF(J48:U48,"x")=0,(Besatzung!$F$19="x"),(R48="x")*(Besatzung!$F$19="x"))*IFERROR(H48,0)/IFERROR(IF(COUNTIF(J48:U48,"x")=0,SUMPRODUCT((Besatzung!$B$11:$B$22&lt;&gt;"")*(Besatzung!$F$11:$F$22="x")),SUMPRODUCT((J48:U48="x")*(Besatzung!$F$11:$F$22="x"))),1))))),0))))</f>
        <v/>
      </c>
      <c r="AE48" s="106">
        <f>IF(C48="Gutschrift","",IF(G48="","",IF(Besatzung!$B$20="","",IFERROR(IF(I48="Zeitanteilig",(Besatzung!$G$20*(G48-IFERROR(H48,0))+((Besatzung!$B$20&lt;&gt;"")*IF(B48="",1,(IF(Besatzung!$C$20="",Besatzung!$B$5,Besatzung!$C$20)&lt;=B48)*(IF(Besatzung!$D$20="",Besatzung!$B$6,Besatzung!$D$20)&gt;=B48)))*(Besatzung!$F$20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$20&lt;&gt;"")*IF(B48="",1,(IF(Besatzung!$C$20="",Besatzung!$B$5,Besatzung!$C$20)&lt;=B48)*(IF(Besatzung!$D$20="",Besatzung!$B$6,Besatzung!$D$20)&gt;=B48)))*((G48-IFERROR(H48,0))/IFERROR(SUMPRODUCT((Besatzung!$B$11:$B$22&lt;&gt;"")*(IF(Besatzung!$C$11:$C$22="",Besatzung!$B$5,Besatzung!$C$11:$C$22)&lt;=B48)*(IF(Besatzung!$D$11:$D$22="",Besatzung!$B$6,Besatzung!$D$11:$D$22)&gt;=B48)),1)+(Besatzung!$F$20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S48="x")*((G48-IFERROR(H48,0))/IFERROR(COUNTIF(J48:U48,"x"),1)+(Besatzung!$F$20="x")*IFERROR(H48,0)/IFERROR(SUMPRODUCT((J48:U48="x")*(Besatzung!$F$11:$F$22="x")),1))),(IF(COUNTIF(J48:U48,"x")=0,IF(Besatzung!$B$20&lt;&gt;"",1,0),(S48="x"))*(G48-IFERROR(H48,0))/IFERROR(IF(COUNTIF(J48:U48,"x")=0,COUNTA(Besatzung!$B$11:$B$22),COUNTIF(J48:U48,"x")),1)+IF(COUNTIF(J48:U48,"x")=0,(Besatzung!$F$20="x"),(S48="x")*(Besatzung!$F$20="x"))*IFERROR(H48,0)/IFERROR(IF(COUNTIF(J48:U48,"x")=0,SUMPRODUCT((Besatzung!$B$11:$B$22&lt;&gt;"")*(Besatzung!$F$11:$F$22="x")),SUMPRODUCT((J48:U48="x")*(Besatzung!$F$11:$F$22="x"))),1))))),0))))</f>
        <v/>
      </c>
      <c r="AF48" s="106">
        <f>IF(C48="Gutschrift","",IF(G48="","",IF(Besatzung!$B$21="","",IFERROR(IF(I48="Zeitanteilig",(Besatzung!$G$21*(G48-IFERROR(H48,0))+((Besatzung!$B$21&lt;&gt;"")*IF(B48="",1,(IF(Besatzung!$C$21="",Besatzung!$B$5,Besatzung!$C$21)&lt;=B48)*(IF(Besatzung!$D$21="",Besatzung!$B$6,Besatzung!$D$21)&gt;=B48)))*(Besatzung!$F$21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$21&lt;&gt;"")*IF(B48="",1,(IF(Besatzung!$C$21="",Besatzung!$B$5,Besatzung!$C$21)&lt;=B48)*(IF(Besatzung!$D$21="",Besatzung!$B$6,Besatzung!$D$21)&gt;=B48)))*((G48-IFERROR(H48,0))/IFERROR(SUMPRODUCT((Besatzung!$B$11:$B$22&lt;&gt;"")*(IF(Besatzung!$C$11:$C$22="",Besatzung!$B$5,Besatzung!$C$11:$C$22)&lt;=B48)*(IF(Besatzung!$D$11:$D$22="",Besatzung!$B$6,Besatzung!$D$11:$D$22)&gt;=B48)),1)+(Besatzung!$F$21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T48="x")*((G48-IFERROR(H48,0))/IFERROR(COUNTIF(J48:U48,"x"),1)+(Besatzung!$F$21="x")*IFERROR(H48,0)/IFERROR(SUMPRODUCT((J48:U48="x")*(Besatzung!$F$11:$F$22="x")),1))),(IF(COUNTIF(J48:U48,"x")=0,IF(Besatzung!$B$21&lt;&gt;"",1,0),(T48="x"))*(G48-IFERROR(H48,0))/IFERROR(IF(COUNTIF(J48:U48,"x")=0,COUNTA(Besatzung!$B$11:$B$22),COUNTIF(J48:U48,"x")),1)+IF(COUNTIF(J48:U48,"x")=0,(Besatzung!$F$21="x"),(T48="x")*(Besatzung!$F$21="x"))*IFERROR(H48,0)/IFERROR(IF(COUNTIF(J48:U48,"x")=0,SUMPRODUCT((Besatzung!$B$11:$B$22&lt;&gt;"")*(Besatzung!$F$11:$F$22="x")),SUMPRODUCT((J48:U48="x")*(Besatzung!$F$11:$F$22="x"))),1))))),0))))</f>
        <v/>
      </c>
      <c r="AG48" s="106">
        <f>IF(C48="Gutschrift","",IF(G48="","",IF(Besatzung!$B$22="","",IFERROR(IF(I48="Zeitanteilig",(Besatzung!$G$22*(G48-IFERROR(H48,0))+((Besatzung!$B$22&lt;&gt;"")*IF(B48="",1,(IF(Besatzung!$C$22="",Besatzung!$B$5,Besatzung!$C$22)&lt;=B48)*(IF(Besatzung!$D$22="",Besatzung!$B$6,Besatzung!$D$22)&gt;=B48)))*(Besatzung!$F$22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$22&lt;&gt;"")*IF(B48="",1,(IF(Besatzung!$C$22="",Besatzung!$B$5,Besatzung!$C$22)&lt;=B48)*(IF(Besatzung!$D$22="",Besatzung!$B$6,Besatzung!$D$22)&gt;=B48)))*((G48-IFERROR(H48,0))/IFERROR(SUMPRODUCT((Besatzung!$B$11:$B$22&lt;&gt;"")*(IF(Besatzung!$C$11:$C$22="",Besatzung!$B$5,Besatzung!$C$11:$C$22)&lt;=B48)*(IF(Besatzung!$D$11:$D$22="",Besatzung!$B$6,Besatzung!$D$11:$D$22)&gt;=B48)),1)+(Besatzung!$F$22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U48="x")*((G48-IFERROR(H48,0))/IFERROR(COUNTIF(J48:U48,"x"),1)+(Besatzung!$F$22="x")*IFERROR(H48,0)/IFERROR(SUMPRODUCT((J48:U48="x")*(Besatzung!$F$11:$F$22="x")),1))),(IF(COUNTIF(J48:U48,"x")=0,IF(Besatzung!$B$22&lt;&gt;"",1,0),(U48="x"))*(G48-IFERROR(H48,0))/IFERROR(IF(COUNTIF(J48:U48,"x")=0,COUNTA(Besatzung!$B$11:$B$22),COUNTIF(J48:U48,"x")),1)+IF(COUNTIF(J48:U48,"x")=0,(Besatzung!$F$22="x"),(U48="x")*(Besatzung!$F$22="x"))*IFERROR(H48,0)/IFERROR(IF(COUNTIF(J48:U48,"x")=0,SUMPRODUCT((Besatzung!$B$11:$B$22&lt;&gt;"")*(Besatzung!$F$11:$F$22="x")),SUMPRODUCT((J48:U48="x")*(Besatzung!$F$11:$F$22="x"))),1))))),0))))</f>
        <v/>
      </c>
      <c r="AH48" s="107" t="n"/>
      <c r="AI48" s="107" t="n"/>
    </row>
    <row r="49" ht="21.75" customHeight="1" s="182">
      <c r="A49" s="97">
        <f>IF(AND(D49="",C49=""),"",46)</f>
        <v/>
      </c>
      <c r="B49" s="63" t="n"/>
      <c r="C49" s="108" t="n"/>
      <c r="D49" s="109" t="n"/>
      <c r="E49" s="110" t="n"/>
      <c r="F49" s="111" t="n"/>
      <c r="G49" s="112" t="n"/>
      <c r="H49" s="113" t="n"/>
      <c r="I49" s="114" t="n"/>
      <c r="J49" s="115" t="n"/>
      <c r="K49" s="115" t="n"/>
      <c r="L49" s="115" t="n"/>
      <c r="M49" s="115" t="n"/>
      <c r="N49" s="115" t="n"/>
      <c r="O49" s="115" t="n"/>
      <c r="P49" s="115" t="n"/>
      <c r="Q49" s="115" t="n"/>
      <c r="R49" s="115" t="n"/>
      <c r="S49" s="115" t="n"/>
      <c r="T49" s="115" t="n"/>
      <c r="U49" s="115" t="n"/>
      <c r="V49" s="106">
        <f>IF(C49="Gutschrift","",IF(G49="","",IF(Besatzung!$B$11="","",IFERROR(IF(I49="Zeitanteilig",(Besatzung!$G$11*(G49-IFERROR(H49,0))+((Besatzung!$B$11&lt;&gt;"")*IF(B49="",1,(IF(Besatzung!$C$11="",Besatzung!$B$5,Besatzung!$C$11)&lt;=B49)*(IF(Besatzung!$D$11="",Besatzung!$B$6,Besatzung!$D$11)&gt;=B49)))*(Besatzung!$F$11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$11&lt;&gt;"")*IF(B49="",1,(IF(Besatzung!$C$11="",Besatzung!$B$5,Besatzung!$C$11)&lt;=B49)*(IF(Besatzung!$D$11="",Besatzung!$B$6,Besatzung!$D$11)&gt;=B49)))*((G49-IFERROR(H49,0))/IFERROR(SUMPRODUCT((Besatzung!$B$11:$B$22&lt;&gt;"")*(IF(Besatzung!$C$11:$C$22="",Besatzung!$B$5,Besatzung!$C$11:$C$22)&lt;=B49)*(IF(Besatzung!$D$11:$D$22="",Besatzung!$B$6,Besatzung!$D$11:$D$22)&gt;=B49)),1)+(Besatzung!$F$11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J49="x")*((G49-IFERROR(H49,0))/IFERROR(COUNTIF(J49:U49,"x"),1)+(Besatzung!$F$11="x")*IFERROR(H49,0)/IFERROR(SUMPRODUCT((J49:U49="x")*(Besatzung!$F$11:$F$22="x")),1))),(IF(COUNTIF(J49:U49,"x")=0,IF(Besatzung!$B$11&lt;&gt;"",1,0),(J49="x"))*(G49-IFERROR(H49,0))/IFERROR(IF(COUNTIF(J49:U49,"x")=0,COUNTA(Besatzung!$B$11:$B$22),COUNTIF(J49:U49,"x")),1)+IF(COUNTIF(J49:U49,"x")=0,(Besatzung!$F$11="x"),(J49="x")*(Besatzung!$F$11="x"))*IFERROR(H49,0)/IFERROR(IF(COUNTIF(J49:U49,"x")=0,SUMPRODUCT((Besatzung!$B$11:$B$22&lt;&gt;"")*(Besatzung!$F$11:$F$22="x")),SUMPRODUCT((J49:U49="x")*(Besatzung!$F$11:$F$22="x"))),1))))),0))))</f>
        <v/>
      </c>
      <c r="W49" s="106">
        <f>IF(C49="Gutschrift","",IF(G49="","",IF(Besatzung!$B$12="","",IFERROR(IF(I49="Zeitanteilig",(Besatzung!$G$12*(G49-IFERROR(H49,0))+((Besatzung!$B$12&lt;&gt;"")*IF(B49="",1,(IF(Besatzung!$C$12="",Besatzung!$B$5,Besatzung!$C$12)&lt;=B49)*(IF(Besatzung!$D$12="",Besatzung!$B$6,Besatzung!$D$12)&gt;=B49)))*(Besatzung!$F$12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$12&lt;&gt;"")*IF(B49="",1,(IF(Besatzung!$C$12="",Besatzung!$B$5,Besatzung!$C$12)&lt;=B49)*(IF(Besatzung!$D$12="",Besatzung!$B$6,Besatzung!$D$12)&gt;=B49)))*((G49-IFERROR(H49,0))/IFERROR(SUMPRODUCT((Besatzung!$B$11:$B$22&lt;&gt;"")*(IF(Besatzung!$C$11:$C$22="",Besatzung!$B$5,Besatzung!$C$11:$C$22)&lt;=B49)*(IF(Besatzung!$D$11:$D$22="",Besatzung!$B$6,Besatzung!$D$11:$D$22)&gt;=B49)),1)+(Besatzung!$F$12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K49="x")*((G49-IFERROR(H49,0))/IFERROR(COUNTIF(J49:U49,"x"),1)+(Besatzung!$F$12="x")*IFERROR(H49,0)/IFERROR(SUMPRODUCT((J49:U49="x")*(Besatzung!$F$11:$F$22="x")),1))),(IF(COUNTIF(J49:U49,"x")=0,IF(Besatzung!$B$12&lt;&gt;"",1,0),(K49="x"))*(G49-IFERROR(H49,0))/IFERROR(IF(COUNTIF(J49:U49,"x")=0,COUNTA(Besatzung!$B$11:$B$22),COUNTIF(J49:U49,"x")),1)+IF(COUNTIF(J49:U49,"x")=0,(Besatzung!$F$12="x"),(K49="x")*(Besatzung!$F$12="x"))*IFERROR(H49,0)/IFERROR(IF(COUNTIF(J49:U49,"x")=0,SUMPRODUCT((Besatzung!$B$11:$B$22&lt;&gt;"")*(Besatzung!$F$11:$F$22="x")),SUMPRODUCT((J49:U49="x")*(Besatzung!$F$11:$F$22="x"))),1))))),0))))</f>
        <v/>
      </c>
      <c r="X49" s="106">
        <f>IF(C49="Gutschrift","",IF(G49="","",IF(Besatzung!$B$13="","",IFERROR(IF(I49="Zeitanteilig",(Besatzung!$G$13*(G49-IFERROR(H49,0))+((Besatzung!$B$13&lt;&gt;"")*IF(B49="",1,(IF(Besatzung!$C$13="",Besatzung!$B$5,Besatzung!$C$13)&lt;=B49)*(IF(Besatzung!$D$13="",Besatzung!$B$6,Besatzung!$D$13)&gt;=B49)))*(Besatzung!$F$13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$13&lt;&gt;"")*IF(B49="",1,(IF(Besatzung!$C$13="",Besatzung!$B$5,Besatzung!$C$13)&lt;=B49)*(IF(Besatzung!$D$13="",Besatzung!$B$6,Besatzung!$D$13)&gt;=B49)))*((G49-IFERROR(H49,0))/IFERROR(SUMPRODUCT((Besatzung!$B$11:$B$22&lt;&gt;"")*(IF(Besatzung!$C$11:$C$22="",Besatzung!$B$5,Besatzung!$C$11:$C$22)&lt;=B49)*(IF(Besatzung!$D$11:$D$22="",Besatzung!$B$6,Besatzung!$D$11:$D$22)&gt;=B49)),1)+(Besatzung!$F$13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K49="x")*((G49-IFERROR(H49,0))/IFERROR(COUNTIF(J49:U49,"x"),1)+(Besatzung!$F$13="x")*IFERROR(H49,0)/IFERROR(SUMPRODUCT((J49:U49="x")*(Besatzung!$F$11:$F$22="x")),1))),(IF(COUNTIF(J49:U49,"x")=0,IF(Besatzung!$B$13&lt;&gt;"",1,0),(K49="x"))*(G49-IFERROR(H49,0))/IFERROR(IF(COUNTIF(J49:U49,"x")=0,COUNTA(Besatzung!$B$11:$B$22),COUNTIF(J49:U49,"x")),1)+IF(COUNTIF(J49:U49,"x")=0,(Besatzung!$F$13="x"),(K49="x")*(Besatzung!$F$13="x"))*IFERROR(H49,0)/IFERROR(IF(COUNTIF(J49:U49,"x")=0,SUMPRODUCT((Besatzung!$B$11:$B$22&lt;&gt;"")*(Besatzung!$F$11:$F$22="x")),SUMPRODUCT((J49:U49="x")*(Besatzung!$F$11:$F$22="x"))),1))))),0))))</f>
        <v/>
      </c>
      <c r="Y49" s="106">
        <f>IF(C49="Gutschrift","",IF(G49="","",IF(Besatzung!$B$14="","",IFERROR(IF(I49="Zeitanteilig",(Besatzung!$G$14*(G49-IFERROR(H49,0))+((Besatzung!$B$14&lt;&gt;"")*IF(B49="",1,(IF(Besatzung!$C$14="",Besatzung!$B$5,Besatzung!$C$14)&lt;=B49)*(IF(Besatzung!$D$14="",Besatzung!$B$6,Besatzung!$D$14)&gt;=B49)))*(Besatzung!$F$14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$14&lt;&gt;"")*IF(B49="",1,(IF(Besatzung!$C$14="",Besatzung!$B$5,Besatzung!$C$14)&lt;=B49)*(IF(Besatzung!$D$14="",Besatzung!$B$6,Besatzung!$D$14)&gt;=B49)))*((G49-IFERROR(H49,0))/IFERROR(SUMPRODUCT((Besatzung!$B$11:$B$22&lt;&gt;"")*(IF(Besatzung!$C$11:$C$22="",Besatzung!$B$5,Besatzung!$C$11:$C$22)&lt;=B49)*(IF(Besatzung!$D$11:$D$22="",Besatzung!$B$6,Besatzung!$D$11:$D$22)&gt;=B49)),1)+(Besatzung!$F$14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M49="x")*((G49-IFERROR(H49,0))/IFERROR(COUNTIF(J49:U49,"x"),1)+(Besatzung!$F$14="x")*IFERROR(H49,0)/IFERROR(SUMPRODUCT((J49:U49="x")*(Besatzung!$F$11:$F$22="x")),1))),(IF(COUNTIF(J49:U49,"x")=0,IF(Besatzung!$B$14&lt;&gt;"",1,0),(M49="x"))*(G49-IFERROR(H49,0))/IFERROR(IF(COUNTIF(J49:U49,"x")=0,COUNTA(Besatzung!$B$11:$B$22),COUNTIF(J49:U49,"x")),1)+IF(COUNTIF(J49:U49,"x")=0,(Besatzung!$F$14="x"),(M49="x")*(Besatzung!$F$14="x"))*IFERROR(H49,0)/IFERROR(IF(COUNTIF(J49:U49,"x")=0,SUMPRODUCT((Besatzung!$B$11:$B$22&lt;&gt;"")*(Besatzung!$F$11:$F$22="x")),SUMPRODUCT((J49:U49="x")*(Besatzung!$F$11:$F$22="x"))),1))))),0))))</f>
        <v/>
      </c>
      <c r="Z49" s="106">
        <f>IF(C49="Gutschrift","",IF(G49="","",IF(Besatzung!$B$13="","",IFERROR(IF(I49="Zeitanteilig",(Besatzung!$G$15*(G49-IFERROR(H49,0))+((Besatzung!$B$13&lt;&gt;"")*IF(B49="",1,(IF(Besatzung!$C$15="",Besatzung!$B$5,Besatzung!$C$15)&lt;=B49)*(IF(Besatzung!$D$15="",Besatzung!$B$6,Besatzung!$D$15)&gt;=B49)))*(Besatzung!$F$15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$13&lt;&gt;"")*IF(B49="",1,(IF(Besatzung!$C$15="",Besatzung!$B$5,Besatzung!$C$15)&lt;=B49)*(IF(Besatzung!$D$15="",Besatzung!$B$6,Besatzung!$D$15)&gt;=B49)))*((G49-IFERROR(H49,0))/IFERROR(SUMPRODUCT((Besatzung!$B$11:$B$22&lt;&gt;"")*(IF(Besatzung!$C$11:$C$22="",Besatzung!$B$5,Besatzung!$C$11:$C$22)&lt;=B49)*(IF(Besatzung!$D$11:$D$22="",Besatzung!$B$6,Besatzung!$D$11:$D$22)&gt;=B49)),1)+(Besatzung!$F$15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N49="x")*((G49-IFERROR(H49,0))/IFERROR(COUNTIF(J49:U49,"x"),1)+(Besatzung!$F$15="x")*IFERROR(H49,0)/IFERROR(SUMPRODUCT((J49:U49="x")*(Besatzung!$F$11:$F$22="x")),1))),(IF(COUNTIF(J49:U49,"x")=0,IF(Besatzung!$B$13&lt;&gt;"",1,0),(N49="x"))*(G49-IFERROR(H49,0))/IFERROR(IF(COUNTIF(J49:U49,"x")=0,COUNTA(Besatzung!$B$11:$B$22),COUNTIF(J49:U49,"x")),1)+IF(COUNTIF(J49:U49,"x")=0,(Besatzung!$F$15="x"),(N49="x")*(Besatzung!$F$15="x"))*IFERROR(H49,0)/IFERROR(IF(COUNTIF(J49:U49,"x")=0,SUMPRODUCT((Besatzung!$B$11:$B$22&lt;&gt;"")*(Besatzung!$F$11:$F$22="x")),SUMPRODUCT((J49:U49="x")*(Besatzung!$F$11:$F$22="x"))),1))))),0))))</f>
        <v/>
      </c>
      <c r="AA49" s="106">
        <f>IF(C49="Gutschrift","",IF(G49="","",IF(Besatzung!$B$15="","",IFERROR(IF(I49="Zeitanteilig",(Besatzung!$G$16*(G49-IFERROR(H49,0))+((Besatzung!$B$15&lt;&gt;"")*IF(B49="",1,(IF(Besatzung!$C$16="",Besatzung!$B$5,Besatzung!$C$16)&lt;=B49)*(IF(Besatzung!$D$16="",Besatzung!$B$6,Besatzung!$D$16)&gt;=B49)))*(Besatzung!$F$16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$15&lt;&gt;"")*IF(B49="",1,(IF(Besatzung!$C$16="",Besatzung!$B$5,Besatzung!$C$16)&lt;=B49)*(IF(Besatzung!$D$16="",Besatzung!$B$6,Besatzung!$D$16)&gt;=B49)))*((G49-IFERROR(H49,0))/IFERROR(SUMPRODUCT((Besatzung!$B$11:$B$22&lt;&gt;"")*(IF(Besatzung!$C$11:$C$22="",Besatzung!$B$5,Besatzung!$C$11:$C$22)&lt;=B49)*(IF(Besatzung!$D$11:$D$22="",Besatzung!$B$6,Besatzung!$D$11:$D$22)&gt;=B49)),1)+(Besatzung!$F$16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O49="x")*((G49-IFERROR(H49,0))/IFERROR(COUNTIF(J49:U49,"x"),1)+(Besatzung!$F$16="x")*IFERROR(H49,0)/IFERROR(SUMPRODUCT((J49:U49="x")*(Besatzung!$F$11:$F$22="x")),1))),(IF(COUNTIF(J49:U49,"x")=0,IF(Besatzung!$B$15&lt;&gt;"",1,0),(O49="x"))*(G49-IFERROR(H49,0))/IFERROR(IF(COUNTIF(J49:U49,"x")=0,COUNTA(Besatzung!$B$11:$B$22),COUNTIF(J49:U49,"x")),1)+IF(COUNTIF(J49:U49,"x")=0,(Besatzung!$F$16="x"),(O49="x")*(Besatzung!$F$16="x"))*IFERROR(H49,0)/IFERROR(IF(COUNTIF(J49:U49,"x")=0,SUMPRODUCT((Besatzung!$B$11:$B$22&lt;&gt;"")*(Besatzung!$F$11:$F$22="x")),SUMPRODUCT((J49:U49="x")*(Besatzung!$F$11:$F$22="x"))),1))))),0))))</f>
        <v/>
      </c>
      <c r="AB49" s="106">
        <f>IF(C49="Gutschrift","",IF(G49="","",IF(Besatzung!$B$17="","",IFERROR(IF(I49="Zeitanteilig",(Besatzung!$G$17*(G49-IFERROR(H49,0))+((Besatzung!$B$17&lt;&gt;"")*IF(B49="",1,(IF(Besatzung!$C$17="",Besatzung!$B$5,Besatzung!$C$17)&lt;=B49)*(IF(Besatzung!$D$17="",Besatzung!$B$6,Besatzung!$D$17)&gt;=B49)))*(Besatzung!$F$17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$17&lt;&gt;"")*IF(B49="",1,(IF(Besatzung!$C$17="",Besatzung!$B$5,Besatzung!$C$17)&lt;=B49)*(IF(Besatzung!$D$17="",Besatzung!$B$6,Besatzung!$D$17)&gt;=B49)))*((G49-IFERROR(H49,0))/IFERROR(SUMPRODUCT((Besatzung!$B$11:$B$22&lt;&gt;"")*(IF(Besatzung!$C$11:$C$22="",Besatzung!$B$5,Besatzung!$C$11:$C$22)&lt;=B49)*(IF(Besatzung!$D$11:$D$22="",Besatzung!$B$6,Besatzung!$D$11:$D$22)&gt;=B49)),1)+(Besatzung!$F$17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P49="x")*((G49-IFERROR(H49,0))/IFERROR(COUNTIF(J49:U49,"x"),1)+(Besatzung!$F$17="x")*IFERROR(H49,0)/IFERROR(SUMPRODUCT((J49:U49="x")*(Besatzung!$F$11:$F$22="x")),1))),(IF(COUNTIF(J49:U49,"x")=0,IF(Besatzung!$B$17&lt;&gt;"",1,0),(P49="x"))*(G49-IFERROR(H49,0))/IFERROR(IF(COUNTIF(J49:U49,"x")=0,COUNTA(Besatzung!$B$11:$B$22),COUNTIF(J49:U49,"x")),1)+IF(COUNTIF(J49:U49,"x")=0,(Besatzung!$F$17="x"),(P49="x")*(Besatzung!$F$17="x"))*IFERROR(H49,0)/IFERROR(IF(COUNTIF(J49:U49,"x")=0,SUMPRODUCT((Besatzung!$B$11:$B$22&lt;&gt;"")*(Besatzung!$F$11:$F$22="x")),SUMPRODUCT((J49:U49="x")*(Besatzung!$F$11:$F$22="x"))),1))))),0))))</f>
        <v/>
      </c>
      <c r="AC49" s="106">
        <f>IF(C49="Gutschrift","",IF(G49="","",IF(Besatzung!$B$18="","",IFERROR(IF(I49="Zeitanteilig",(Besatzung!$G$18*(G49-IFERROR(H49,0))+((Besatzung!$B$18&lt;&gt;"")*IF(B49="",1,(IF(Besatzung!$C$18="",Besatzung!$B$5,Besatzung!$C$18)&lt;=B49)*(IF(Besatzung!$D$18="",Besatzung!$B$6,Besatzung!$D$18)&gt;=B49)))*(Besatzung!$F$18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$18&lt;&gt;"")*IF(B49="",1,(IF(Besatzung!$C$18="",Besatzung!$B$5,Besatzung!$C$18)&lt;=B49)*(IF(Besatzung!$D$18="",Besatzung!$B$6,Besatzung!$D$18)&gt;=B49)))*((G49-IFERROR(H49,0))/IFERROR(SUMPRODUCT((Besatzung!$B$11:$B$22&lt;&gt;"")*(IF(Besatzung!$C$11:$C$22="",Besatzung!$B$5,Besatzung!$C$11:$C$22)&lt;=B49)*(IF(Besatzung!$D$11:$D$22="",Besatzung!$B$6,Besatzung!$D$11:$D$22)&gt;=B49)),1)+(Besatzung!$F$18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Q49="x")*((G49-IFERROR(H49,0))/IFERROR(COUNTIF(J49:U49,"x"),1)+(Besatzung!$F$18="x")*IFERROR(H49,0)/IFERROR(SUMPRODUCT((J49:U49="x")*(Besatzung!$F$11:$F$22="x")),1))),(IF(COUNTIF(J49:U49,"x")=0,IF(Besatzung!$B$18&lt;&gt;"",1,0),(Q49="x"))*(G49-IFERROR(H49,0))/IFERROR(IF(COUNTIF(J49:U49,"x")=0,COUNTA(Besatzung!$B$11:$B$22),COUNTIF(J49:U49,"x")),1)+IF(COUNTIF(J49:U49,"x")=0,(Besatzung!$F$18="x"),(Q49="x")*(Besatzung!$F$18="x"))*IFERROR(H49,0)/IFERROR(IF(COUNTIF(J49:U49,"x")=0,SUMPRODUCT((Besatzung!$B$11:$B$22&lt;&gt;"")*(Besatzung!$F$11:$F$22="x")),SUMPRODUCT((J49:U49="x")*(Besatzung!$F$11:$F$22="x"))),1))))),0))))</f>
        <v/>
      </c>
      <c r="AD49" s="106">
        <f>IF(C49="Gutschrift","",IF(G49="","",IF(Besatzung!$B$19="","",IFERROR(IF(I49="Zeitanteilig",(Besatzung!$G$19*(G49-IFERROR(H49,0))+((Besatzung!$B$19&lt;&gt;"")*IF(B49="",1,(IF(Besatzung!$C$19="",Besatzung!$B$5,Besatzung!$C$19)&lt;=B49)*(IF(Besatzung!$D$19="",Besatzung!$B$6,Besatzung!$D$19)&gt;=B49)))*(Besatzung!$F$19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$19&lt;&gt;"")*IF(B49="",1,(IF(Besatzung!$C$19="",Besatzung!$B$5,Besatzung!$C$19)&lt;=B49)*(IF(Besatzung!$D$19="",Besatzung!$B$6,Besatzung!$D$19)&gt;=B49)))*((G49-IFERROR(H49,0))/IFERROR(SUMPRODUCT((Besatzung!$B$11:$B$22&lt;&gt;"")*(IF(Besatzung!$C$11:$C$22="",Besatzung!$B$5,Besatzung!$C$11:$C$22)&lt;=B49)*(IF(Besatzung!$D$11:$D$22="",Besatzung!$B$6,Besatzung!$D$11:$D$22)&gt;=B49)),1)+(Besatzung!$F$19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R49="x")*((G49-IFERROR(H49,0))/IFERROR(COUNTIF(J49:U49,"x"),1)+(Besatzung!$F$19="x")*IFERROR(H49,0)/IFERROR(SUMPRODUCT((J49:U49="x")*(Besatzung!$F$11:$F$22="x")),1))),(IF(COUNTIF(J49:U49,"x")=0,IF(Besatzung!$B$19&lt;&gt;"",1,0),(R49="x"))*(G49-IFERROR(H49,0))/IFERROR(IF(COUNTIF(J49:U49,"x")=0,COUNTA(Besatzung!$B$11:$B$22),COUNTIF(J49:U49,"x")),1)+IF(COUNTIF(J49:U49,"x")=0,(Besatzung!$F$19="x"),(R49="x")*(Besatzung!$F$19="x"))*IFERROR(H49,0)/IFERROR(IF(COUNTIF(J49:U49,"x")=0,SUMPRODUCT((Besatzung!$B$11:$B$22&lt;&gt;"")*(Besatzung!$F$11:$F$22="x")),SUMPRODUCT((J49:U49="x")*(Besatzung!$F$11:$F$22="x"))),1))))),0))))</f>
        <v/>
      </c>
      <c r="AE49" s="106">
        <f>IF(C49="Gutschrift","",IF(G49="","",IF(Besatzung!$B$20="","",IFERROR(IF(I49="Zeitanteilig",(Besatzung!$G$20*(G49-IFERROR(H49,0))+((Besatzung!$B$20&lt;&gt;"")*IF(B49="",1,(IF(Besatzung!$C$20="",Besatzung!$B$5,Besatzung!$C$20)&lt;=B49)*(IF(Besatzung!$D$20="",Besatzung!$B$6,Besatzung!$D$20)&gt;=B49)))*(Besatzung!$F$20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$20&lt;&gt;"")*IF(B49="",1,(IF(Besatzung!$C$20="",Besatzung!$B$5,Besatzung!$C$20)&lt;=B49)*(IF(Besatzung!$D$20="",Besatzung!$B$6,Besatzung!$D$20)&gt;=B49)))*((G49-IFERROR(H49,0))/IFERROR(SUMPRODUCT((Besatzung!$B$11:$B$22&lt;&gt;"")*(IF(Besatzung!$C$11:$C$22="",Besatzung!$B$5,Besatzung!$C$11:$C$22)&lt;=B49)*(IF(Besatzung!$D$11:$D$22="",Besatzung!$B$6,Besatzung!$D$11:$D$22)&gt;=B49)),1)+(Besatzung!$F$20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S49="x")*((G49-IFERROR(H49,0))/IFERROR(COUNTIF(J49:U49,"x"),1)+(Besatzung!$F$20="x")*IFERROR(H49,0)/IFERROR(SUMPRODUCT((J49:U49="x")*(Besatzung!$F$11:$F$22="x")),1))),(IF(COUNTIF(J49:U49,"x")=0,IF(Besatzung!$B$20&lt;&gt;"",1,0),(S49="x"))*(G49-IFERROR(H49,0))/IFERROR(IF(COUNTIF(J49:U49,"x")=0,COUNTA(Besatzung!$B$11:$B$22),COUNTIF(J49:U49,"x")),1)+IF(COUNTIF(J49:U49,"x")=0,(Besatzung!$F$20="x"),(S49="x")*(Besatzung!$F$20="x"))*IFERROR(H49,0)/IFERROR(IF(COUNTIF(J49:U49,"x")=0,SUMPRODUCT((Besatzung!$B$11:$B$22&lt;&gt;"")*(Besatzung!$F$11:$F$22="x")),SUMPRODUCT((J49:U49="x")*(Besatzung!$F$11:$F$22="x"))),1))))),0))))</f>
        <v/>
      </c>
      <c r="AF49" s="106">
        <f>IF(C49="Gutschrift","",IF(G49="","",IF(Besatzung!$B$21="","",IFERROR(IF(I49="Zeitanteilig",(Besatzung!$G$21*(G49-IFERROR(H49,0))+((Besatzung!$B$21&lt;&gt;"")*IF(B49="",1,(IF(Besatzung!$C$21="",Besatzung!$B$5,Besatzung!$C$21)&lt;=B49)*(IF(Besatzung!$D$21="",Besatzung!$B$6,Besatzung!$D$21)&gt;=B49)))*(Besatzung!$F$21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$21&lt;&gt;"")*IF(B49="",1,(IF(Besatzung!$C$21="",Besatzung!$B$5,Besatzung!$C$21)&lt;=B49)*(IF(Besatzung!$D$21="",Besatzung!$B$6,Besatzung!$D$21)&gt;=B49)))*((G49-IFERROR(H49,0))/IFERROR(SUMPRODUCT((Besatzung!$B$11:$B$22&lt;&gt;"")*(IF(Besatzung!$C$11:$C$22="",Besatzung!$B$5,Besatzung!$C$11:$C$22)&lt;=B49)*(IF(Besatzung!$D$11:$D$22="",Besatzung!$B$6,Besatzung!$D$11:$D$22)&gt;=B49)),1)+(Besatzung!$F$21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T49="x")*((G49-IFERROR(H49,0))/IFERROR(COUNTIF(J49:U49,"x"),1)+(Besatzung!$F$21="x")*IFERROR(H49,0)/IFERROR(SUMPRODUCT((J49:U49="x")*(Besatzung!$F$11:$F$22="x")),1))),(IF(COUNTIF(J49:U49,"x")=0,IF(Besatzung!$B$21&lt;&gt;"",1,0),(T49="x"))*(G49-IFERROR(H49,0))/IFERROR(IF(COUNTIF(J49:U49,"x")=0,COUNTA(Besatzung!$B$11:$B$22),COUNTIF(J49:U49,"x")),1)+IF(COUNTIF(J49:U49,"x")=0,(Besatzung!$F$21="x"),(T49="x")*(Besatzung!$F$21="x"))*IFERROR(H49,0)/IFERROR(IF(COUNTIF(J49:U49,"x")=0,SUMPRODUCT((Besatzung!$B$11:$B$22&lt;&gt;"")*(Besatzung!$F$11:$F$22="x")),SUMPRODUCT((J49:U49="x")*(Besatzung!$F$11:$F$22="x"))),1))))),0))))</f>
        <v/>
      </c>
      <c r="AG49" s="106">
        <f>IF(C49="Gutschrift","",IF(G49="","",IF(Besatzung!$B$22="","",IFERROR(IF(I49="Zeitanteilig",(Besatzung!$G$22*(G49-IFERROR(H49,0))+((Besatzung!$B$22&lt;&gt;"")*IF(B49="",1,(IF(Besatzung!$C$22="",Besatzung!$B$5,Besatzung!$C$22)&lt;=B49)*(IF(Besatzung!$D$22="",Besatzung!$B$6,Besatzung!$D$22)&gt;=B49)))*(Besatzung!$F$22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$22&lt;&gt;"")*IF(B49="",1,(IF(Besatzung!$C$22="",Besatzung!$B$5,Besatzung!$C$22)&lt;=B49)*(IF(Besatzung!$D$22="",Besatzung!$B$6,Besatzung!$D$22)&gt;=B49)))*((G49-IFERROR(H49,0))/IFERROR(SUMPRODUCT((Besatzung!$B$11:$B$22&lt;&gt;"")*(IF(Besatzung!$C$11:$C$22="",Besatzung!$B$5,Besatzung!$C$11:$C$22)&lt;=B49)*(IF(Besatzung!$D$11:$D$22="",Besatzung!$B$6,Besatzung!$D$11:$D$22)&gt;=B49)),1)+(Besatzung!$F$22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U49="x")*((G49-IFERROR(H49,0))/IFERROR(COUNTIF(J49:U49,"x"),1)+(Besatzung!$F$22="x")*IFERROR(H49,0)/IFERROR(SUMPRODUCT((J49:U49="x")*(Besatzung!$F$11:$F$22="x")),1))),(IF(COUNTIF(J49:U49,"x")=0,IF(Besatzung!$B$22&lt;&gt;"",1,0),(U49="x"))*(G49-IFERROR(H49,0))/IFERROR(IF(COUNTIF(J49:U49,"x")=0,COUNTA(Besatzung!$B$11:$B$22),COUNTIF(J49:U49,"x")),1)+IF(COUNTIF(J49:U49,"x")=0,(Besatzung!$F$22="x"),(U49="x")*(Besatzung!$F$22="x"))*IFERROR(H49,0)/IFERROR(IF(COUNTIF(J49:U49,"x")=0,SUMPRODUCT((Besatzung!$B$11:$B$22&lt;&gt;"")*(Besatzung!$F$11:$F$22="x")),SUMPRODUCT((J49:U49="x")*(Besatzung!$F$11:$F$22="x"))),1))))),0))))</f>
        <v/>
      </c>
      <c r="AH49" s="107" t="n"/>
      <c r="AI49" s="107" t="n"/>
    </row>
    <row r="50" ht="21.75" customHeight="1" s="182">
      <c r="A50" s="97">
        <f>IF(AND(D50="",C50=""),"",47)</f>
        <v/>
      </c>
      <c r="B50" s="56" t="n"/>
      <c r="C50" s="98" t="n"/>
      <c r="D50" s="99" t="n"/>
      <c r="E50" s="100" t="n"/>
      <c r="F50" s="101" t="n"/>
      <c r="G50" s="102" t="n"/>
      <c r="H50" s="103" t="n"/>
      <c r="I50" s="104" t="n"/>
      <c r="J50" s="105" t="n"/>
      <c r="K50" s="105" t="n"/>
      <c r="L50" s="105" t="n"/>
      <c r="M50" s="105" t="n"/>
      <c r="N50" s="105" t="n"/>
      <c r="O50" s="105" t="n"/>
      <c r="P50" s="105" t="n"/>
      <c r="Q50" s="105" t="n"/>
      <c r="R50" s="105" t="n"/>
      <c r="S50" s="105" t="n"/>
      <c r="T50" s="105" t="n"/>
      <c r="U50" s="105" t="n"/>
      <c r="V50" s="106">
        <f>IF(C50="Gutschrift","",IF(G50="","",IF(Besatzung!$B$11="","",IFERROR(IF(I50="Zeitanteilig",(Besatzung!$G$11*(G50-IFERROR(H50,0))+((Besatzung!$B$11&lt;&gt;"")*IF(B50="",1,(IF(Besatzung!$C$11="",Besatzung!$B$5,Besatzung!$C$11)&lt;=B50)*(IF(Besatzung!$D$11="",Besatzung!$B$6,Besatzung!$D$11)&gt;=B50)))*(Besatzung!$F$11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$11&lt;&gt;"")*IF(B50="",1,(IF(Besatzung!$C$11="",Besatzung!$B$5,Besatzung!$C$11)&lt;=B50)*(IF(Besatzung!$D$11="",Besatzung!$B$6,Besatzung!$D$11)&gt;=B50)))*((G50-IFERROR(H50,0))/IFERROR(SUMPRODUCT((Besatzung!$B$11:$B$22&lt;&gt;"")*(IF(Besatzung!$C$11:$C$22="",Besatzung!$B$5,Besatzung!$C$11:$C$22)&lt;=B50)*(IF(Besatzung!$D$11:$D$22="",Besatzung!$B$6,Besatzung!$D$11:$D$22)&gt;=B50)),1)+(Besatzung!$F$11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J50="x")*((G50-IFERROR(H50,0))/IFERROR(COUNTIF(J50:U50,"x"),1)+(Besatzung!$F$11="x")*IFERROR(H50,0)/IFERROR(SUMPRODUCT((J50:U50="x")*(Besatzung!$F$11:$F$22="x")),1))),(IF(COUNTIF(J50:U50,"x")=0,IF(Besatzung!$B$11&lt;&gt;"",1,0),(J50="x"))*(G50-IFERROR(H50,0))/IFERROR(IF(COUNTIF(J50:U50,"x")=0,COUNTA(Besatzung!$B$11:$B$22),COUNTIF(J50:U50,"x")),1)+IF(COUNTIF(J50:U50,"x")=0,(Besatzung!$F$11="x"),(J50="x")*(Besatzung!$F$11="x"))*IFERROR(H50,0)/IFERROR(IF(COUNTIF(J50:U50,"x")=0,SUMPRODUCT((Besatzung!$B$11:$B$22&lt;&gt;"")*(Besatzung!$F$11:$F$22="x")),SUMPRODUCT((J50:U50="x")*(Besatzung!$F$11:$F$22="x"))),1))))),0))))</f>
        <v/>
      </c>
      <c r="W50" s="106">
        <f>IF(C50="Gutschrift","",IF(G50="","",IF(Besatzung!$B$12="","",IFERROR(IF(I50="Zeitanteilig",(Besatzung!$G$12*(G50-IFERROR(H50,0))+((Besatzung!$B$12&lt;&gt;"")*IF(B50="",1,(IF(Besatzung!$C$12="",Besatzung!$B$5,Besatzung!$C$12)&lt;=B50)*(IF(Besatzung!$D$12="",Besatzung!$B$6,Besatzung!$D$12)&gt;=B50)))*(Besatzung!$F$12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$12&lt;&gt;"")*IF(B50="",1,(IF(Besatzung!$C$12="",Besatzung!$B$5,Besatzung!$C$12)&lt;=B50)*(IF(Besatzung!$D$12="",Besatzung!$B$6,Besatzung!$D$12)&gt;=B50)))*((G50-IFERROR(H50,0))/IFERROR(SUMPRODUCT((Besatzung!$B$11:$B$22&lt;&gt;"")*(IF(Besatzung!$C$11:$C$22="",Besatzung!$B$5,Besatzung!$C$11:$C$22)&lt;=B50)*(IF(Besatzung!$D$11:$D$22="",Besatzung!$B$6,Besatzung!$D$11:$D$22)&gt;=B50)),1)+(Besatzung!$F$12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K50="x")*((G50-IFERROR(H50,0))/IFERROR(COUNTIF(J50:U50,"x"),1)+(Besatzung!$F$12="x")*IFERROR(H50,0)/IFERROR(SUMPRODUCT((J50:U50="x")*(Besatzung!$F$11:$F$22="x")),1))),(IF(COUNTIF(J50:U50,"x")=0,IF(Besatzung!$B$12&lt;&gt;"",1,0),(K50="x"))*(G50-IFERROR(H50,0))/IFERROR(IF(COUNTIF(J50:U50,"x")=0,COUNTA(Besatzung!$B$11:$B$22),COUNTIF(J50:U50,"x")),1)+IF(COUNTIF(J50:U50,"x")=0,(Besatzung!$F$12="x"),(K50="x")*(Besatzung!$F$12="x"))*IFERROR(H50,0)/IFERROR(IF(COUNTIF(J50:U50,"x")=0,SUMPRODUCT((Besatzung!$B$11:$B$22&lt;&gt;"")*(Besatzung!$F$11:$F$22="x")),SUMPRODUCT((J50:U50="x")*(Besatzung!$F$11:$F$22="x"))),1))))),0))))</f>
        <v/>
      </c>
      <c r="X50" s="106">
        <f>IF(C50="Gutschrift","",IF(G50="","",IF(Besatzung!$B$13="","",IFERROR(IF(I50="Zeitanteilig",(Besatzung!$G$13*(G50-IFERROR(H50,0))+((Besatzung!$B$13&lt;&gt;"")*IF(B50="",1,(IF(Besatzung!$C$13="",Besatzung!$B$5,Besatzung!$C$13)&lt;=B50)*(IF(Besatzung!$D$13="",Besatzung!$B$6,Besatzung!$D$13)&gt;=B50)))*(Besatzung!$F$13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$13&lt;&gt;"")*IF(B50="",1,(IF(Besatzung!$C$13="",Besatzung!$B$5,Besatzung!$C$13)&lt;=B50)*(IF(Besatzung!$D$13="",Besatzung!$B$6,Besatzung!$D$13)&gt;=B50)))*((G50-IFERROR(H50,0))/IFERROR(SUMPRODUCT((Besatzung!$B$11:$B$22&lt;&gt;"")*(IF(Besatzung!$C$11:$C$22="",Besatzung!$B$5,Besatzung!$C$11:$C$22)&lt;=B50)*(IF(Besatzung!$D$11:$D$22="",Besatzung!$B$6,Besatzung!$D$11:$D$22)&gt;=B50)),1)+(Besatzung!$F$13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K50="x")*((G50-IFERROR(H50,0))/IFERROR(COUNTIF(J50:U50,"x"),1)+(Besatzung!$F$13="x")*IFERROR(H50,0)/IFERROR(SUMPRODUCT((J50:U50="x")*(Besatzung!$F$11:$F$22="x")),1))),(IF(COUNTIF(J50:U50,"x")=0,IF(Besatzung!$B$13&lt;&gt;"",1,0),(K50="x"))*(G50-IFERROR(H50,0))/IFERROR(IF(COUNTIF(J50:U50,"x")=0,COUNTA(Besatzung!$B$11:$B$22),COUNTIF(J50:U50,"x")),1)+IF(COUNTIF(J50:U50,"x")=0,(Besatzung!$F$13="x"),(K50="x")*(Besatzung!$F$13="x"))*IFERROR(H50,0)/IFERROR(IF(COUNTIF(J50:U50,"x")=0,SUMPRODUCT((Besatzung!$B$11:$B$22&lt;&gt;"")*(Besatzung!$F$11:$F$22="x")),SUMPRODUCT((J50:U50="x")*(Besatzung!$F$11:$F$22="x"))),1))))),0))))</f>
        <v/>
      </c>
      <c r="Y50" s="106">
        <f>IF(C50="Gutschrift","",IF(G50="","",IF(Besatzung!$B$14="","",IFERROR(IF(I50="Zeitanteilig",(Besatzung!$G$14*(G50-IFERROR(H50,0))+((Besatzung!$B$14&lt;&gt;"")*IF(B50="",1,(IF(Besatzung!$C$14="",Besatzung!$B$5,Besatzung!$C$14)&lt;=B50)*(IF(Besatzung!$D$14="",Besatzung!$B$6,Besatzung!$D$14)&gt;=B50)))*(Besatzung!$F$14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$14&lt;&gt;"")*IF(B50="",1,(IF(Besatzung!$C$14="",Besatzung!$B$5,Besatzung!$C$14)&lt;=B50)*(IF(Besatzung!$D$14="",Besatzung!$B$6,Besatzung!$D$14)&gt;=B50)))*((G50-IFERROR(H50,0))/IFERROR(SUMPRODUCT((Besatzung!$B$11:$B$22&lt;&gt;"")*(IF(Besatzung!$C$11:$C$22="",Besatzung!$B$5,Besatzung!$C$11:$C$22)&lt;=B50)*(IF(Besatzung!$D$11:$D$22="",Besatzung!$B$6,Besatzung!$D$11:$D$22)&gt;=B50)),1)+(Besatzung!$F$14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M50="x")*((G50-IFERROR(H50,0))/IFERROR(COUNTIF(J50:U50,"x"),1)+(Besatzung!$F$14="x")*IFERROR(H50,0)/IFERROR(SUMPRODUCT((J50:U50="x")*(Besatzung!$F$11:$F$22="x")),1))),(IF(COUNTIF(J50:U50,"x")=0,IF(Besatzung!$B$14&lt;&gt;"",1,0),(M50="x"))*(G50-IFERROR(H50,0))/IFERROR(IF(COUNTIF(J50:U50,"x")=0,COUNTA(Besatzung!$B$11:$B$22),COUNTIF(J50:U50,"x")),1)+IF(COUNTIF(J50:U50,"x")=0,(Besatzung!$F$14="x"),(M50="x")*(Besatzung!$F$14="x"))*IFERROR(H50,0)/IFERROR(IF(COUNTIF(J50:U50,"x")=0,SUMPRODUCT((Besatzung!$B$11:$B$22&lt;&gt;"")*(Besatzung!$F$11:$F$22="x")),SUMPRODUCT((J50:U50="x")*(Besatzung!$F$11:$F$22="x"))),1))))),0))))</f>
        <v/>
      </c>
      <c r="Z50" s="106">
        <f>IF(C50="Gutschrift","",IF(G50="","",IF(Besatzung!$B$13="","",IFERROR(IF(I50="Zeitanteilig",(Besatzung!$G$15*(G50-IFERROR(H50,0))+((Besatzung!$B$13&lt;&gt;"")*IF(B50="",1,(IF(Besatzung!$C$15="",Besatzung!$B$5,Besatzung!$C$15)&lt;=B50)*(IF(Besatzung!$D$15="",Besatzung!$B$6,Besatzung!$D$15)&gt;=B50)))*(Besatzung!$F$15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$13&lt;&gt;"")*IF(B50="",1,(IF(Besatzung!$C$15="",Besatzung!$B$5,Besatzung!$C$15)&lt;=B50)*(IF(Besatzung!$D$15="",Besatzung!$B$6,Besatzung!$D$15)&gt;=B50)))*((G50-IFERROR(H50,0))/IFERROR(SUMPRODUCT((Besatzung!$B$11:$B$22&lt;&gt;"")*(IF(Besatzung!$C$11:$C$22="",Besatzung!$B$5,Besatzung!$C$11:$C$22)&lt;=B50)*(IF(Besatzung!$D$11:$D$22="",Besatzung!$B$6,Besatzung!$D$11:$D$22)&gt;=B50)),1)+(Besatzung!$F$15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N50="x")*((G50-IFERROR(H50,0))/IFERROR(COUNTIF(J50:U50,"x"),1)+(Besatzung!$F$15="x")*IFERROR(H50,0)/IFERROR(SUMPRODUCT((J50:U50="x")*(Besatzung!$F$11:$F$22="x")),1))),(IF(COUNTIF(J50:U50,"x")=0,IF(Besatzung!$B$13&lt;&gt;"",1,0),(N50="x"))*(G50-IFERROR(H50,0))/IFERROR(IF(COUNTIF(J50:U50,"x")=0,COUNTA(Besatzung!$B$11:$B$22),COUNTIF(J50:U50,"x")),1)+IF(COUNTIF(J50:U50,"x")=0,(Besatzung!$F$15="x"),(N50="x")*(Besatzung!$F$15="x"))*IFERROR(H50,0)/IFERROR(IF(COUNTIF(J50:U50,"x")=0,SUMPRODUCT((Besatzung!$B$11:$B$22&lt;&gt;"")*(Besatzung!$F$11:$F$22="x")),SUMPRODUCT((J50:U50="x")*(Besatzung!$F$11:$F$22="x"))),1))))),0))))</f>
        <v/>
      </c>
      <c r="AA50" s="106">
        <f>IF(C50="Gutschrift","",IF(G50="","",IF(Besatzung!$B$15="","",IFERROR(IF(I50="Zeitanteilig",(Besatzung!$G$16*(G50-IFERROR(H50,0))+((Besatzung!$B$15&lt;&gt;"")*IF(B50="",1,(IF(Besatzung!$C$16="",Besatzung!$B$5,Besatzung!$C$16)&lt;=B50)*(IF(Besatzung!$D$16="",Besatzung!$B$6,Besatzung!$D$16)&gt;=B50)))*(Besatzung!$F$16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$15&lt;&gt;"")*IF(B50="",1,(IF(Besatzung!$C$16="",Besatzung!$B$5,Besatzung!$C$16)&lt;=B50)*(IF(Besatzung!$D$16="",Besatzung!$B$6,Besatzung!$D$16)&gt;=B50)))*((G50-IFERROR(H50,0))/IFERROR(SUMPRODUCT((Besatzung!$B$11:$B$22&lt;&gt;"")*(IF(Besatzung!$C$11:$C$22="",Besatzung!$B$5,Besatzung!$C$11:$C$22)&lt;=B50)*(IF(Besatzung!$D$11:$D$22="",Besatzung!$B$6,Besatzung!$D$11:$D$22)&gt;=B50)),1)+(Besatzung!$F$16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O50="x")*((G50-IFERROR(H50,0))/IFERROR(COUNTIF(J50:U50,"x"),1)+(Besatzung!$F$16="x")*IFERROR(H50,0)/IFERROR(SUMPRODUCT((J50:U50="x")*(Besatzung!$F$11:$F$22="x")),1))),(IF(COUNTIF(J50:U50,"x")=0,IF(Besatzung!$B$15&lt;&gt;"",1,0),(O50="x"))*(G50-IFERROR(H50,0))/IFERROR(IF(COUNTIF(J50:U50,"x")=0,COUNTA(Besatzung!$B$11:$B$22),COUNTIF(J50:U50,"x")),1)+IF(COUNTIF(J50:U50,"x")=0,(Besatzung!$F$16="x"),(O50="x")*(Besatzung!$F$16="x"))*IFERROR(H50,0)/IFERROR(IF(COUNTIF(J50:U50,"x")=0,SUMPRODUCT((Besatzung!$B$11:$B$22&lt;&gt;"")*(Besatzung!$F$11:$F$22="x")),SUMPRODUCT((J50:U50="x")*(Besatzung!$F$11:$F$22="x"))),1))))),0))))</f>
        <v/>
      </c>
      <c r="AB50" s="106">
        <f>IF(C50="Gutschrift","",IF(G50="","",IF(Besatzung!$B$17="","",IFERROR(IF(I50="Zeitanteilig",(Besatzung!$G$17*(G50-IFERROR(H50,0))+((Besatzung!$B$17&lt;&gt;"")*IF(B50="",1,(IF(Besatzung!$C$17="",Besatzung!$B$5,Besatzung!$C$17)&lt;=B50)*(IF(Besatzung!$D$17="",Besatzung!$B$6,Besatzung!$D$17)&gt;=B50)))*(Besatzung!$F$17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$17&lt;&gt;"")*IF(B50="",1,(IF(Besatzung!$C$17="",Besatzung!$B$5,Besatzung!$C$17)&lt;=B50)*(IF(Besatzung!$D$17="",Besatzung!$B$6,Besatzung!$D$17)&gt;=B50)))*((G50-IFERROR(H50,0))/IFERROR(SUMPRODUCT((Besatzung!$B$11:$B$22&lt;&gt;"")*(IF(Besatzung!$C$11:$C$22="",Besatzung!$B$5,Besatzung!$C$11:$C$22)&lt;=B50)*(IF(Besatzung!$D$11:$D$22="",Besatzung!$B$6,Besatzung!$D$11:$D$22)&gt;=B50)),1)+(Besatzung!$F$17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P50="x")*((G50-IFERROR(H50,0))/IFERROR(COUNTIF(J50:U50,"x"),1)+(Besatzung!$F$17="x")*IFERROR(H50,0)/IFERROR(SUMPRODUCT((J50:U50="x")*(Besatzung!$F$11:$F$22="x")),1))),(IF(COUNTIF(J50:U50,"x")=0,IF(Besatzung!$B$17&lt;&gt;"",1,0),(P50="x"))*(G50-IFERROR(H50,0))/IFERROR(IF(COUNTIF(J50:U50,"x")=0,COUNTA(Besatzung!$B$11:$B$22),COUNTIF(J50:U50,"x")),1)+IF(COUNTIF(J50:U50,"x")=0,(Besatzung!$F$17="x"),(P50="x")*(Besatzung!$F$17="x"))*IFERROR(H50,0)/IFERROR(IF(COUNTIF(J50:U50,"x")=0,SUMPRODUCT((Besatzung!$B$11:$B$22&lt;&gt;"")*(Besatzung!$F$11:$F$22="x")),SUMPRODUCT((J50:U50="x")*(Besatzung!$F$11:$F$22="x"))),1))))),0))))</f>
        <v/>
      </c>
      <c r="AC50" s="106">
        <f>IF(C50="Gutschrift","",IF(G50="","",IF(Besatzung!$B$18="","",IFERROR(IF(I50="Zeitanteilig",(Besatzung!$G$18*(G50-IFERROR(H50,0))+((Besatzung!$B$18&lt;&gt;"")*IF(B50="",1,(IF(Besatzung!$C$18="",Besatzung!$B$5,Besatzung!$C$18)&lt;=B50)*(IF(Besatzung!$D$18="",Besatzung!$B$6,Besatzung!$D$18)&gt;=B50)))*(Besatzung!$F$18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$18&lt;&gt;"")*IF(B50="",1,(IF(Besatzung!$C$18="",Besatzung!$B$5,Besatzung!$C$18)&lt;=B50)*(IF(Besatzung!$D$18="",Besatzung!$B$6,Besatzung!$D$18)&gt;=B50)))*((G50-IFERROR(H50,0))/IFERROR(SUMPRODUCT((Besatzung!$B$11:$B$22&lt;&gt;"")*(IF(Besatzung!$C$11:$C$22="",Besatzung!$B$5,Besatzung!$C$11:$C$22)&lt;=B50)*(IF(Besatzung!$D$11:$D$22="",Besatzung!$B$6,Besatzung!$D$11:$D$22)&gt;=B50)),1)+(Besatzung!$F$18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Q50="x")*((G50-IFERROR(H50,0))/IFERROR(COUNTIF(J50:U50,"x"),1)+(Besatzung!$F$18="x")*IFERROR(H50,0)/IFERROR(SUMPRODUCT((J50:U50="x")*(Besatzung!$F$11:$F$22="x")),1))),(IF(COUNTIF(J50:U50,"x")=0,IF(Besatzung!$B$18&lt;&gt;"",1,0),(Q50="x"))*(G50-IFERROR(H50,0))/IFERROR(IF(COUNTIF(J50:U50,"x")=0,COUNTA(Besatzung!$B$11:$B$22),COUNTIF(J50:U50,"x")),1)+IF(COUNTIF(J50:U50,"x")=0,(Besatzung!$F$18="x"),(Q50="x")*(Besatzung!$F$18="x"))*IFERROR(H50,0)/IFERROR(IF(COUNTIF(J50:U50,"x")=0,SUMPRODUCT((Besatzung!$B$11:$B$22&lt;&gt;"")*(Besatzung!$F$11:$F$22="x")),SUMPRODUCT((J50:U50="x")*(Besatzung!$F$11:$F$22="x"))),1))))),0))))</f>
        <v/>
      </c>
      <c r="AD50" s="106">
        <f>IF(C50="Gutschrift","",IF(G50="","",IF(Besatzung!$B$19="","",IFERROR(IF(I50="Zeitanteilig",(Besatzung!$G$19*(G50-IFERROR(H50,0))+((Besatzung!$B$19&lt;&gt;"")*IF(B50="",1,(IF(Besatzung!$C$19="",Besatzung!$B$5,Besatzung!$C$19)&lt;=B50)*(IF(Besatzung!$D$19="",Besatzung!$B$6,Besatzung!$D$19)&gt;=B50)))*(Besatzung!$F$19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$19&lt;&gt;"")*IF(B50="",1,(IF(Besatzung!$C$19="",Besatzung!$B$5,Besatzung!$C$19)&lt;=B50)*(IF(Besatzung!$D$19="",Besatzung!$B$6,Besatzung!$D$19)&gt;=B50)))*((G50-IFERROR(H50,0))/IFERROR(SUMPRODUCT((Besatzung!$B$11:$B$22&lt;&gt;"")*(IF(Besatzung!$C$11:$C$22="",Besatzung!$B$5,Besatzung!$C$11:$C$22)&lt;=B50)*(IF(Besatzung!$D$11:$D$22="",Besatzung!$B$6,Besatzung!$D$11:$D$22)&gt;=B50)),1)+(Besatzung!$F$19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R50="x")*((G50-IFERROR(H50,0))/IFERROR(COUNTIF(J50:U50,"x"),1)+(Besatzung!$F$19="x")*IFERROR(H50,0)/IFERROR(SUMPRODUCT((J50:U50="x")*(Besatzung!$F$11:$F$22="x")),1))),(IF(COUNTIF(J50:U50,"x")=0,IF(Besatzung!$B$19&lt;&gt;"",1,0),(R50="x"))*(G50-IFERROR(H50,0))/IFERROR(IF(COUNTIF(J50:U50,"x")=0,COUNTA(Besatzung!$B$11:$B$22),COUNTIF(J50:U50,"x")),1)+IF(COUNTIF(J50:U50,"x")=0,(Besatzung!$F$19="x"),(R50="x")*(Besatzung!$F$19="x"))*IFERROR(H50,0)/IFERROR(IF(COUNTIF(J50:U50,"x")=0,SUMPRODUCT((Besatzung!$B$11:$B$22&lt;&gt;"")*(Besatzung!$F$11:$F$22="x")),SUMPRODUCT((J50:U50="x")*(Besatzung!$F$11:$F$22="x"))),1))))),0))))</f>
        <v/>
      </c>
      <c r="AE50" s="106">
        <f>IF(C50="Gutschrift","",IF(G50="","",IF(Besatzung!$B$20="","",IFERROR(IF(I50="Zeitanteilig",(Besatzung!$G$20*(G50-IFERROR(H50,0))+((Besatzung!$B$20&lt;&gt;"")*IF(B50="",1,(IF(Besatzung!$C$20="",Besatzung!$B$5,Besatzung!$C$20)&lt;=B50)*(IF(Besatzung!$D$20="",Besatzung!$B$6,Besatzung!$D$20)&gt;=B50)))*(Besatzung!$F$20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$20&lt;&gt;"")*IF(B50="",1,(IF(Besatzung!$C$20="",Besatzung!$B$5,Besatzung!$C$20)&lt;=B50)*(IF(Besatzung!$D$20="",Besatzung!$B$6,Besatzung!$D$20)&gt;=B50)))*((G50-IFERROR(H50,0))/IFERROR(SUMPRODUCT((Besatzung!$B$11:$B$22&lt;&gt;"")*(IF(Besatzung!$C$11:$C$22="",Besatzung!$B$5,Besatzung!$C$11:$C$22)&lt;=B50)*(IF(Besatzung!$D$11:$D$22="",Besatzung!$B$6,Besatzung!$D$11:$D$22)&gt;=B50)),1)+(Besatzung!$F$20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S50="x")*((G50-IFERROR(H50,0))/IFERROR(COUNTIF(J50:U50,"x"),1)+(Besatzung!$F$20="x")*IFERROR(H50,0)/IFERROR(SUMPRODUCT((J50:U50="x")*(Besatzung!$F$11:$F$22="x")),1))),(IF(COUNTIF(J50:U50,"x")=0,IF(Besatzung!$B$20&lt;&gt;"",1,0),(S50="x"))*(G50-IFERROR(H50,0))/IFERROR(IF(COUNTIF(J50:U50,"x")=0,COUNTA(Besatzung!$B$11:$B$22),COUNTIF(J50:U50,"x")),1)+IF(COUNTIF(J50:U50,"x")=0,(Besatzung!$F$20="x"),(S50="x")*(Besatzung!$F$20="x"))*IFERROR(H50,0)/IFERROR(IF(COUNTIF(J50:U50,"x")=0,SUMPRODUCT((Besatzung!$B$11:$B$22&lt;&gt;"")*(Besatzung!$F$11:$F$22="x")),SUMPRODUCT((J50:U50="x")*(Besatzung!$F$11:$F$22="x"))),1))))),0))))</f>
        <v/>
      </c>
      <c r="AF50" s="106">
        <f>IF(C50="Gutschrift","",IF(G50="","",IF(Besatzung!$B$21="","",IFERROR(IF(I50="Zeitanteilig",(Besatzung!$G$21*(G50-IFERROR(H50,0))+((Besatzung!$B$21&lt;&gt;"")*IF(B50="",1,(IF(Besatzung!$C$21="",Besatzung!$B$5,Besatzung!$C$21)&lt;=B50)*(IF(Besatzung!$D$21="",Besatzung!$B$6,Besatzung!$D$21)&gt;=B50)))*(Besatzung!$F$21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$21&lt;&gt;"")*IF(B50="",1,(IF(Besatzung!$C$21="",Besatzung!$B$5,Besatzung!$C$21)&lt;=B50)*(IF(Besatzung!$D$21="",Besatzung!$B$6,Besatzung!$D$21)&gt;=B50)))*((G50-IFERROR(H50,0))/IFERROR(SUMPRODUCT((Besatzung!$B$11:$B$22&lt;&gt;"")*(IF(Besatzung!$C$11:$C$22="",Besatzung!$B$5,Besatzung!$C$11:$C$22)&lt;=B50)*(IF(Besatzung!$D$11:$D$22="",Besatzung!$B$6,Besatzung!$D$11:$D$22)&gt;=B50)),1)+(Besatzung!$F$21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T50="x")*((G50-IFERROR(H50,0))/IFERROR(COUNTIF(J50:U50,"x"),1)+(Besatzung!$F$21="x")*IFERROR(H50,0)/IFERROR(SUMPRODUCT((J50:U50="x")*(Besatzung!$F$11:$F$22="x")),1))),(IF(COUNTIF(J50:U50,"x")=0,IF(Besatzung!$B$21&lt;&gt;"",1,0),(T50="x"))*(G50-IFERROR(H50,0))/IFERROR(IF(COUNTIF(J50:U50,"x")=0,COUNTA(Besatzung!$B$11:$B$22),COUNTIF(J50:U50,"x")),1)+IF(COUNTIF(J50:U50,"x")=0,(Besatzung!$F$21="x"),(T50="x")*(Besatzung!$F$21="x"))*IFERROR(H50,0)/IFERROR(IF(COUNTIF(J50:U50,"x")=0,SUMPRODUCT((Besatzung!$B$11:$B$22&lt;&gt;"")*(Besatzung!$F$11:$F$22="x")),SUMPRODUCT((J50:U50="x")*(Besatzung!$F$11:$F$22="x"))),1))))),0))))</f>
        <v/>
      </c>
      <c r="AG50" s="106">
        <f>IF(C50="Gutschrift","",IF(G50="","",IF(Besatzung!$B$22="","",IFERROR(IF(I50="Zeitanteilig",(Besatzung!$G$22*(G50-IFERROR(H50,0))+((Besatzung!$B$22&lt;&gt;"")*IF(B50="",1,(IF(Besatzung!$C$22="",Besatzung!$B$5,Besatzung!$C$22)&lt;=B50)*(IF(Besatzung!$D$22="",Besatzung!$B$6,Besatzung!$D$22)&gt;=B50)))*(Besatzung!$F$22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$22&lt;&gt;"")*IF(B50="",1,(IF(Besatzung!$C$22="",Besatzung!$B$5,Besatzung!$C$22)&lt;=B50)*(IF(Besatzung!$D$22="",Besatzung!$B$6,Besatzung!$D$22)&gt;=B50)))*((G50-IFERROR(H50,0))/IFERROR(SUMPRODUCT((Besatzung!$B$11:$B$22&lt;&gt;"")*(IF(Besatzung!$C$11:$C$22="",Besatzung!$B$5,Besatzung!$C$11:$C$22)&lt;=B50)*(IF(Besatzung!$D$11:$D$22="",Besatzung!$B$6,Besatzung!$D$11:$D$22)&gt;=B50)),1)+(Besatzung!$F$22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U50="x")*((G50-IFERROR(H50,0))/IFERROR(COUNTIF(J50:U50,"x"),1)+(Besatzung!$F$22="x")*IFERROR(H50,0)/IFERROR(SUMPRODUCT((J50:U50="x")*(Besatzung!$F$11:$F$22="x")),1))),(IF(COUNTIF(J50:U50,"x")=0,IF(Besatzung!$B$22&lt;&gt;"",1,0),(U50="x"))*(G50-IFERROR(H50,0))/IFERROR(IF(COUNTIF(J50:U50,"x")=0,COUNTA(Besatzung!$B$11:$B$22),COUNTIF(J50:U50,"x")),1)+IF(COUNTIF(J50:U50,"x")=0,(Besatzung!$F$22="x"),(U50="x")*(Besatzung!$F$22="x"))*IFERROR(H50,0)/IFERROR(IF(COUNTIF(J50:U50,"x")=0,SUMPRODUCT((Besatzung!$B$11:$B$22&lt;&gt;"")*(Besatzung!$F$11:$F$22="x")),SUMPRODUCT((J50:U50="x")*(Besatzung!$F$11:$F$22="x"))),1))))),0))))</f>
        <v/>
      </c>
      <c r="AH50" s="107" t="n"/>
      <c r="AI50" s="107" t="n"/>
    </row>
    <row r="51" ht="21.75" customHeight="1" s="182">
      <c r="A51" s="97">
        <f>IF(AND(D51="",C51=""),"",48)</f>
        <v/>
      </c>
      <c r="B51" s="63" t="n"/>
      <c r="C51" s="108" t="n"/>
      <c r="D51" s="109" t="n"/>
      <c r="E51" s="110" t="n"/>
      <c r="F51" s="111" t="n"/>
      <c r="G51" s="112" t="n"/>
      <c r="H51" s="113" t="n"/>
      <c r="I51" s="114" t="n"/>
      <c r="J51" s="115" t="n"/>
      <c r="K51" s="115" t="n"/>
      <c r="L51" s="115" t="n"/>
      <c r="M51" s="115" t="n"/>
      <c r="N51" s="115" t="n"/>
      <c r="O51" s="115" t="n"/>
      <c r="P51" s="115" t="n"/>
      <c r="Q51" s="115" t="n"/>
      <c r="R51" s="115" t="n"/>
      <c r="S51" s="115" t="n"/>
      <c r="T51" s="115" t="n"/>
      <c r="U51" s="115" t="n"/>
      <c r="V51" s="106">
        <f>IF(C51="Gutschrift","",IF(G51="","",IF(Besatzung!$B$11="","",IFERROR(IF(I51="Zeitanteilig",(Besatzung!$G$11*(G51-IFERROR(H51,0))+((Besatzung!$B$11&lt;&gt;"")*IF(B51="",1,(IF(Besatzung!$C$11="",Besatzung!$B$5,Besatzung!$C$11)&lt;=B51)*(IF(Besatzung!$D$11="",Besatzung!$B$6,Besatzung!$D$11)&gt;=B51)))*(Besatzung!$F$11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$11&lt;&gt;"")*IF(B51="",1,(IF(Besatzung!$C$11="",Besatzung!$B$5,Besatzung!$C$11)&lt;=B51)*(IF(Besatzung!$D$11="",Besatzung!$B$6,Besatzung!$D$11)&gt;=B51)))*((G51-IFERROR(H51,0))/IFERROR(SUMPRODUCT((Besatzung!$B$11:$B$22&lt;&gt;"")*(IF(Besatzung!$C$11:$C$22="",Besatzung!$B$5,Besatzung!$C$11:$C$22)&lt;=B51)*(IF(Besatzung!$D$11:$D$22="",Besatzung!$B$6,Besatzung!$D$11:$D$22)&gt;=B51)),1)+(Besatzung!$F$11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J51="x")*((G51-IFERROR(H51,0))/IFERROR(COUNTIF(J51:U51,"x"),1)+(Besatzung!$F$11="x")*IFERROR(H51,0)/IFERROR(SUMPRODUCT((J51:U51="x")*(Besatzung!$F$11:$F$22="x")),1))),(IF(COUNTIF(J51:U51,"x")=0,IF(Besatzung!$B$11&lt;&gt;"",1,0),(J51="x"))*(G51-IFERROR(H51,0))/IFERROR(IF(COUNTIF(J51:U51,"x")=0,COUNTA(Besatzung!$B$11:$B$22),COUNTIF(J51:U51,"x")),1)+IF(COUNTIF(J51:U51,"x")=0,(Besatzung!$F$11="x"),(J51="x")*(Besatzung!$F$11="x"))*IFERROR(H51,0)/IFERROR(IF(COUNTIF(J51:U51,"x")=0,SUMPRODUCT((Besatzung!$B$11:$B$22&lt;&gt;"")*(Besatzung!$F$11:$F$22="x")),SUMPRODUCT((J51:U51="x")*(Besatzung!$F$11:$F$22="x"))),1))))),0))))</f>
        <v/>
      </c>
      <c r="W51" s="106">
        <f>IF(C51="Gutschrift","",IF(G51="","",IF(Besatzung!$B$12="","",IFERROR(IF(I51="Zeitanteilig",(Besatzung!$G$12*(G51-IFERROR(H51,0))+((Besatzung!$B$12&lt;&gt;"")*IF(B51="",1,(IF(Besatzung!$C$12="",Besatzung!$B$5,Besatzung!$C$12)&lt;=B51)*(IF(Besatzung!$D$12="",Besatzung!$B$6,Besatzung!$D$12)&gt;=B51)))*(Besatzung!$F$12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$12&lt;&gt;"")*IF(B51="",1,(IF(Besatzung!$C$12="",Besatzung!$B$5,Besatzung!$C$12)&lt;=B51)*(IF(Besatzung!$D$12="",Besatzung!$B$6,Besatzung!$D$12)&gt;=B51)))*((G51-IFERROR(H51,0))/IFERROR(SUMPRODUCT((Besatzung!$B$11:$B$22&lt;&gt;"")*(IF(Besatzung!$C$11:$C$22="",Besatzung!$B$5,Besatzung!$C$11:$C$22)&lt;=B51)*(IF(Besatzung!$D$11:$D$22="",Besatzung!$B$6,Besatzung!$D$11:$D$22)&gt;=B51)),1)+(Besatzung!$F$12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K51="x")*((G51-IFERROR(H51,0))/IFERROR(COUNTIF(J51:U51,"x"),1)+(Besatzung!$F$12="x")*IFERROR(H51,0)/IFERROR(SUMPRODUCT((J51:U51="x")*(Besatzung!$F$11:$F$22="x")),1))),(IF(COUNTIF(J51:U51,"x")=0,IF(Besatzung!$B$12&lt;&gt;"",1,0),(K51="x"))*(G51-IFERROR(H51,0))/IFERROR(IF(COUNTIF(J51:U51,"x")=0,COUNTA(Besatzung!$B$11:$B$22),COUNTIF(J51:U51,"x")),1)+IF(COUNTIF(J51:U51,"x")=0,(Besatzung!$F$12="x"),(K51="x")*(Besatzung!$F$12="x"))*IFERROR(H51,0)/IFERROR(IF(COUNTIF(J51:U51,"x")=0,SUMPRODUCT((Besatzung!$B$11:$B$22&lt;&gt;"")*(Besatzung!$F$11:$F$22="x")),SUMPRODUCT((J51:U51="x")*(Besatzung!$F$11:$F$22="x"))),1))))),0))))</f>
        <v/>
      </c>
      <c r="X51" s="106">
        <f>IF(C51="Gutschrift","",IF(G51="","",IF(Besatzung!$B$13="","",IFERROR(IF(I51="Zeitanteilig",(Besatzung!$G$13*(G51-IFERROR(H51,0))+((Besatzung!$B$13&lt;&gt;"")*IF(B51="",1,(IF(Besatzung!$C$13="",Besatzung!$B$5,Besatzung!$C$13)&lt;=B51)*(IF(Besatzung!$D$13="",Besatzung!$B$6,Besatzung!$D$13)&gt;=B51)))*(Besatzung!$F$13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$13&lt;&gt;"")*IF(B51="",1,(IF(Besatzung!$C$13="",Besatzung!$B$5,Besatzung!$C$13)&lt;=B51)*(IF(Besatzung!$D$13="",Besatzung!$B$6,Besatzung!$D$13)&gt;=B51)))*((G51-IFERROR(H51,0))/IFERROR(SUMPRODUCT((Besatzung!$B$11:$B$22&lt;&gt;"")*(IF(Besatzung!$C$11:$C$22="",Besatzung!$B$5,Besatzung!$C$11:$C$22)&lt;=B51)*(IF(Besatzung!$D$11:$D$22="",Besatzung!$B$6,Besatzung!$D$11:$D$22)&gt;=B51)),1)+(Besatzung!$F$13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K51="x")*((G51-IFERROR(H51,0))/IFERROR(COUNTIF(J51:U51,"x"),1)+(Besatzung!$F$13="x")*IFERROR(H51,0)/IFERROR(SUMPRODUCT((J51:U51="x")*(Besatzung!$F$11:$F$22="x")),1))),(IF(COUNTIF(J51:U51,"x")=0,IF(Besatzung!$B$13&lt;&gt;"",1,0),(K51="x"))*(G51-IFERROR(H51,0))/IFERROR(IF(COUNTIF(J51:U51,"x")=0,COUNTA(Besatzung!$B$11:$B$22),COUNTIF(J51:U51,"x")),1)+IF(COUNTIF(J51:U51,"x")=0,(Besatzung!$F$13="x"),(K51="x")*(Besatzung!$F$13="x"))*IFERROR(H51,0)/IFERROR(IF(COUNTIF(J51:U51,"x")=0,SUMPRODUCT((Besatzung!$B$11:$B$22&lt;&gt;"")*(Besatzung!$F$11:$F$22="x")),SUMPRODUCT((J51:U51="x")*(Besatzung!$F$11:$F$22="x"))),1))))),0))))</f>
        <v/>
      </c>
      <c r="Y51" s="106">
        <f>IF(C51="Gutschrift","",IF(G51="","",IF(Besatzung!$B$14="","",IFERROR(IF(I51="Zeitanteilig",(Besatzung!$G$14*(G51-IFERROR(H51,0))+((Besatzung!$B$14&lt;&gt;"")*IF(B51="",1,(IF(Besatzung!$C$14="",Besatzung!$B$5,Besatzung!$C$14)&lt;=B51)*(IF(Besatzung!$D$14="",Besatzung!$B$6,Besatzung!$D$14)&gt;=B51)))*(Besatzung!$F$14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$14&lt;&gt;"")*IF(B51="",1,(IF(Besatzung!$C$14="",Besatzung!$B$5,Besatzung!$C$14)&lt;=B51)*(IF(Besatzung!$D$14="",Besatzung!$B$6,Besatzung!$D$14)&gt;=B51)))*((G51-IFERROR(H51,0))/IFERROR(SUMPRODUCT((Besatzung!$B$11:$B$22&lt;&gt;"")*(IF(Besatzung!$C$11:$C$22="",Besatzung!$B$5,Besatzung!$C$11:$C$22)&lt;=B51)*(IF(Besatzung!$D$11:$D$22="",Besatzung!$B$6,Besatzung!$D$11:$D$22)&gt;=B51)),1)+(Besatzung!$F$14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M51="x")*((G51-IFERROR(H51,0))/IFERROR(COUNTIF(J51:U51,"x"),1)+(Besatzung!$F$14="x")*IFERROR(H51,0)/IFERROR(SUMPRODUCT((J51:U51="x")*(Besatzung!$F$11:$F$22="x")),1))),(IF(COUNTIF(J51:U51,"x")=0,IF(Besatzung!$B$14&lt;&gt;"",1,0),(M51="x"))*(G51-IFERROR(H51,0))/IFERROR(IF(COUNTIF(J51:U51,"x")=0,COUNTA(Besatzung!$B$11:$B$22),COUNTIF(J51:U51,"x")),1)+IF(COUNTIF(J51:U51,"x")=0,(Besatzung!$F$14="x"),(M51="x")*(Besatzung!$F$14="x"))*IFERROR(H51,0)/IFERROR(IF(COUNTIF(J51:U51,"x")=0,SUMPRODUCT((Besatzung!$B$11:$B$22&lt;&gt;"")*(Besatzung!$F$11:$F$22="x")),SUMPRODUCT((J51:U51="x")*(Besatzung!$F$11:$F$22="x"))),1))))),0))))</f>
        <v/>
      </c>
      <c r="Z51" s="106">
        <f>IF(C51="Gutschrift","",IF(G51="","",IF(Besatzung!$B$13="","",IFERROR(IF(I51="Zeitanteilig",(Besatzung!$G$15*(G51-IFERROR(H51,0))+((Besatzung!$B$13&lt;&gt;"")*IF(B51="",1,(IF(Besatzung!$C$15="",Besatzung!$B$5,Besatzung!$C$15)&lt;=B51)*(IF(Besatzung!$D$15="",Besatzung!$B$6,Besatzung!$D$15)&gt;=B51)))*(Besatzung!$F$15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$13&lt;&gt;"")*IF(B51="",1,(IF(Besatzung!$C$15="",Besatzung!$B$5,Besatzung!$C$15)&lt;=B51)*(IF(Besatzung!$D$15="",Besatzung!$B$6,Besatzung!$D$15)&gt;=B51)))*((G51-IFERROR(H51,0))/IFERROR(SUMPRODUCT((Besatzung!$B$11:$B$22&lt;&gt;"")*(IF(Besatzung!$C$11:$C$22="",Besatzung!$B$5,Besatzung!$C$11:$C$22)&lt;=B51)*(IF(Besatzung!$D$11:$D$22="",Besatzung!$B$6,Besatzung!$D$11:$D$22)&gt;=B51)),1)+(Besatzung!$F$15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N51="x")*((G51-IFERROR(H51,0))/IFERROR(COUNTIF(J51:U51,"x"),1)+(Besatzung!$F$15="x")*IFERROR(H51,0)/IFERROR(SUMPRODUCT((J51:U51="x")*(Besatzung!$F$11:$F$22="x")),1))),(IF(COUNTIF(J51:U51,"x")=0,IF(Besatzung!$B$13&lt;&gt;"",1,0),(N51="x"))*(G51-IFERROR(H51,0))/IFERROR(IF(COUNTIF(J51:U51,"x")=0,COUNTA(Besatzung!$B$11:$B$22),COUNTIF(J51:U51,"x")),1)+IF(COUNTIF(J51:U51,"x")=0,(Besatzung!$F$15="x"),(N51="x")*(Besatzung!$F$15="x"))*IFERROR(H51,0)/IFERROR(IF(COUNTIF(J51:U51,"x")=0,SUMPRODUCT((Besatzung!$B$11:$B$22&lt;&gt;"")*(Besatzung!$F$11:$F$22="x")),SUMPRODUCT((J51:U51="x")*(Besatzung!$F$11:$F$22="x"))),1))))),0))))</f>
        <v/>
      </c>
      <c r="AA51" s="106">
        <f>IF(C51="Gutschrift","",IF(G51="","",IF(Besatzung!$B$15="","",IFERROR(IF(I51="Zeitanteilig",(Besatzung!$G$16*(G51-IFERROR(H51,0))+((Besatzung!$B$15&lt;&gt;"")*IF(B51="",1,(IF(Besatzung!$C$16="",Besatzung!$B$5,Besatzung!$C$16)&lt;=B51)*(IF(Besatzung!$D$16="",Besatzung!$B$6,Besatzung!$D$16)&gt;=B51)))*(Besatzung!$F$16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$15&lt;&gt;"")*IF(B51="",1,(IF(Besatzung!$C$16="",Besatzung!$B$5,Besatzung!$C$16)&lt;=B51)*(IF(Besatzung!$D$16="",Besatzung!$B$6,Besatzung!$D$16)&gt;=B51)))*((G51-IFERROR(H51,0))/IFERROR(SUMPRODUCT((Besatzung!$B$11:$B$22&lt;&gt;"")*(IF(Besatzung!$C$11:$C$22="",Besatzung!$B$5,Besatzung!$C$11:$C$22)&lt;=B51)*(IF(Besatzung!$D$11:$D$22="",Besatzung!$B$6,Besatzung!$D$11:$D$22)&gt;=B51)),1)+(Besatzung!$F$16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O51="x")*((G51-IFERROR(H51,0))/IFERROR(COUNTIF(J51:U51,"x"),1)+(Besatzung!$F$16="x")*IFERROR(H51,0)/IFERROR(SUMPRODUCT((J51:U51="x")*(Besatzung!$F$11:$F$22="x")),1))),(IF(COUNTIF(J51:U51,"x")=0,IF(Besatzung!$B$15&lt;&gt;"",1,0),(O51="x"))*(G51-IFERROR(H51,0))/IFERROR(IF(COUNTIF(J51:U51,"x")=0,COUNTA(Besatzung!$B$11:$B$22),COUNTIF(J51:U51,"x")),1)+IF(COUNTIF(J51:U51,"x")=0,(Besatzung!$F$16="x"),(O51="x")*(Besatzung!$F$16="x"))*IFERROR(H51,0)/IFERROR(IF(COUNTIF(J51:U51,"x")=0,SUMPRODUCT((Besatzung!$B$11:$B$22&lt;&gt;"")*(Besatzung!$F$11:$F$22="x")),SUMPRODUCT((J51:U51="x")*(Besatzung!$F$11:$F$22="x"))),1))))),0))))</f>
        <v/>
      </c>
      <c r="AB51" s="106">
        <f>IF(C51="Gutschrift","",IF(G51="","",IF(Besatzung!$B$17="","",IFERROR(IF(I51="Zeitanteilig",(Besatzung!$G$17*(G51-IFERROR(H51,0))+((Besatzung!$B$17&lt;&gt;"")*IF(B51="",1,(IF(Besatzung!$C$17="",Besatzung!$B$5,Besatzung!$C$17)&lt;=B51)*(IF(Besatzung!$D$17="",Besatzung!$B$6,Besatzung!$D$17)&gt;=B51)))*(Besatzung!$F$17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$17&lt;&gt;"")*IF(B51="",1,(IF(Besatzung!$C$17="",Besatzung!$B$5,Besatzung!$C$17)&lt;=B51)*(IF(Besatzung!$D$17="",Besatzung!$B$6,Besatzung!$D$17)&gt;=B51)))*((G51-IFERROR(H51,0))/IFERROR(SUMPRODUCT((Besatzung!$B$11:$B$22&lt;&gt;"")*(IF(Besatzung!$C$11:$C$22="",Besatzung!$B$5,Besatzung!$C$11:$C$22)&lt;=B51)*(IF(Besatzung!$D$11:$D$22="",Besatzung!$B$6,Besatzung!$D$11:$D$22)&gt;=B51)),1)+(Besatzung!$F$17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P51="x")*((G51-IFERROR(H51,0))/IFERROR(COUNTIF(J51:U51,"x"),1)+(Besatzung!$F$17="x")*IFERROR(H51,0)/IFERROR(SUMPRODUCT((J51:U51="x")*(Besatzung!$F$11:$F$22="x")),1))),(IF(COUNTIF(J51:U51,"x")=0,IF(Besatzung!$B$17&lt;&gt;"",1,0),(P51="x"))*(G51-IFERROR(H51,0))/IFERROR(IF(COUNTIF(J51:U51,"x")=0,COUNTA(Besatzung!$B$11:$B$22),COUNTIF(J51:U51,"x")),1)+IF(COUNTIF(J51:U51,"x")=0,(Besatzung!$F$17="x"),(P51="x")*(Besatzung!$F$17="x"))*IFERROR(H51,0)/IFERROR(IF(COUNTIF(J51:U51,"x")=0,SUMPRODUCT((Besatzung!$B$11:$B$22&lt;&gt;"")*(Besatzung!$F$11:$F$22="x")),SUMPRODUCT((J51:U51="x")*(Besatzung!$F$11:$F$22="x"))),1))))),0))))</f>
        <v/>
      </c>
      <c r="AC51" s="106">
        <f>IF(C51="Gutschrift","",IF(G51="","",IF(Besatzung!$B$18="","",IFERROR(IF(I51="Zeitanteilig",(Besatzung!$G$18*(G51-IFERROR(H51,0))+((Besatzung!$B$18&lt;&gt;"")*IF(B51="",1,(IF(Besatzung!$C$18="",Besatzung!$B$5,Besatzung!$C$18)&lt;=B51)*(IF(Besatzung!$D$18="",Besatzung!$B$6,Besatzung!$D$18)&gt;=B51)))*(Besatzung!$F$18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$18&lt;&gt;"")*IF(B51="",1,(IF(Besatzung!$C$18="",Besatzung!$B$5,Besatzung!$C$18)&lt;=B51)*(IF(Besatzung!$D$18="",Besatzung!$B$6,Besatzung!$D$18)&gt;=B51)))*((G51-IFERROR(H51,0))/IFERROR(SUMPRODUCT((Besatzung!$B$11:$B$22&lt;&gt;"")*(IF(Besatzung!$C$11:$C$22="",Besatzung!$B$5,Besatzung!$C$11:$C$22)&lt;=B51)*(IF(Besatzung!$D$11:$D$22="",Besatzung!$B$6,Besatzung!$D$11:$D$22)&gt;=B51)),1)+(Besatzung!$F$18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Q51="x")*((G51-IFERROR(H51,0))/IFERROR(COUNTIF(J51:U51,"x"),1)+(Besatzung!$F$18="x")*IFERROR(H51,0)/IFERROR(SUMPRODUCT((J51:U51="x")*(Besatzung!$F$11:$F$22="x")),1))),(IF(COUNTIF(J51:U51,"x")=0,IF(Besatzung!$B$18&lt;&gt;"",1,0),(Q51="x"))*(G51-IFERROR(H51,0))/IFERROR(IF(COUNTIF(J51:U51,"x")=0,COUNTA(Besatzung!$B$11:$B$22),COUNTIF(J51:U51,"x")),1)+IF(COUNTIF(J51:U51,"x")=0,(Besatzung!$F$18="x"),(Q51="x")*(Besatzung!$F$18="x"))*IFERROR(H51,0)/IFERROR(IF(COUNTIF(J51:U51,"x")=0,SUMPRODUCT((Besatzung!$B$11:$B$22&lt;&gt;"")*(Besatzung!$F$11:$F$22="x")),SUMPRODUCT((J51:U51="x")*(Besatzung!$F$11:$F$22="x"))),1))))),0))))</f>
        <v/>
      </c>
      <c r="AD51" s="106">
        <f>IF(C51="Gutschrift","",IF(G51="","",IF(Besatzung!$B$19="","",IFERROR(IF(I51="Zeitanteilig",(Besatzung!$G$19*(G51-IFERROR(H51,0))+((Besatzung!$B$19&lt;&gt;"")*IF(B51="",1,(IF(Besatzung!$C$19="",Besatzung!$B$5,Besatzung!$C$19)&lt;=B51)*(IF(Besatzung!$D$19="",Besatzung!$B$6,Besatzung!$D$19)&gt;=B51)))*(Besatzung!$F$19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$19&lt;&gt;"")*IF(B51="",1,(IF(Besatzung!$C$19="",Besatzung!$B$5,Besatzung!$C$19)&lt;=B51)*(IF(Besatzung!$D$19="",Besatzung!$B$6,Besatzung!$D$19)&gt;=B51)))*((G51-IFERROR(H51,0))/IFERROR(SUMPRODUCT((Besatzung!$B$11:$B$22&lt;&gt;"")*(IF(Besatzung!$C$11:$C$22="",Besatzung!$B$5,Besatzung!$C$11:$C$22)&lt;=B51)*(IF(Besatzung!$D$11:$D$22="",Besatzung!$B$6,Besatzung!$D$11:$D$22)&gt;=B51)),1)+(Besatzung!$F$19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R51="x")*((G51-IFERROR(H51,0))/IFERROR(COUNTIF(J51:U51,"x"),1)+(Besatzung!$F$19="x")*IFERROR(H51,0)/IFERROR(SUMPRODUCT((J51:U51="x")*(Besatzung!$F$11:$F$22="x")),1))),(IF(COUNTIF(J51:U51,"x")=0,IF(Besatzung!$B$19&lt;&gt;"",1,0),(R51="x"))*(G51-IFERROR(H51,0))/IFERROR(IF(COUNTIF(J51:U51,"x")=0,COUNTA(Besatzung!$B$11:$B$22),COUNTIF(J51:U51,"x")),1)+IF(COUNTIF(J51:U51,"x")=0,(Besatzung!$F$19="x"),(R51="x")*(Besatzung!$F$19="x"))*IFERROR(H51,0)/IFERROR(IF(COUNTIF(J51:U51,"x")=0,SUMPRODUCT((Besatzung!$B$11:$B$22&lt;&gt;"")*(Besatzung!$F$11:$F$22="x")),SUMPRODUCT((J51:U51="x")*(Besatzung!$F$11:$F$22="x"))),1))))),0))))</f>
        <v/>
      </c>
      <c r="AE51" s="106">
        <f>IF(C51="Gutschrift","",IF(G51="","",IF(Besatzung!$B$20="","",IFERROR(IF(I51="Zeitanteilig",(Besatzung!$G$20*(G51-IFERROR(H51,0))+((Besatzung!$B$20&lt;&gt;"")*IF(B51="",1,(IF(Besatzung!$C$20="",Besatzung!$B$5,Besatzung!$C$20)&lt;=B51)*(IF(Besatzung!$D$20="",Besatzung!$B$6,Besatzung!$D$20)&gt;=B51)))*(Besatzung!$F$20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$20&lt;&gt;"")*IF(B51="",1,(IF(Besatzung!$C$20="",Besatzung!$B$5,Besatzung!$C$20)&lt;=B51)*(IF(Besatzung!$D$20="",Besatzung!$B$6,Besatzung!$D$20)&gt;=B51)))*((G51-IFERROR(H51,0))/IFERROR(SUMPRODUCT((Besatzung!$B$11:$B$22&lt;&gt;"")*(IF(Besatzung!$C$11:$C$22="",Besatzung!$B$5,Besatzung!$C$11:$C$22)&lt;=B51)*(IF(Besatzung!$D$11:$D$22="",Besatzung!$B$6,Besatzung!$D$11:$D$22)&gt;=B51)),1)+(Besatzung!$F$20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S51="x")*((G51-IFERROR(H51,0))/IFERROR(COUNTIF(J51:U51,"x"),1)+(Besatzung!$F$20="x")*IFERROR(H51,0)/IFERROR(SUMPRODUCT((J51:U51="x")*(Besatzung!$F$11:$F$22="x")),1))),(IF(COUNTIF(J51:U51,"x")=0,IF(Besatzung!$B$20&lt;&gt;"",1,0),(S51="x"))*(G51-IFERROR(H51,0))/IFERROR(IF(COUNTIF(J51:U51,"x")=0,COUNTA(Besatzung!$B$11:$B$22),COUNTIF(J51:U51,"x")),1)+IF(COUNTIF(J51:U51,"x")=0,(Besatzung!$F$20="x"),(S51="x")*(Besatzung!$F$20="x"))*IFERROR(H51,0)/IFERROR(IF(COUNTIF(J51:U51,"x")=0,SUMPRODUCT((Besatzung!$B$11:$B$22&lt;&gt;"")*(Besatzung!$F$11:$F$22="x")),SUMPRODUCT((J51:U51="x")*(Besatzung!$F$11:$F$22="x"))),1))))),0))))</f>
        <v/>
      </c>
      <c r="AF51" s="106">
        <f>IF(C51="Gutschrift","",IF(G51="","",IF(Besatzung!$B$21="","",IFERROR(IF(I51="Zeitanteilig",(Besatzung!$G$21*(G51-IFERROR(H51,0))+((Besatzung!$B$21&lt;&gt;"")*IF(B51="",1,(IF(Besatzung!$C$21="",Besatzung!$B$5,Besatzung!$C$21)&lt;=B51)*(IF(Besatzung!$D$21="",Besatzung!$B$6,Besatzung!$D$21)&gt;=B51)))*(Besatzung!$F$21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$21&lt;&gt;"")*IF(B51="",1,(IF(Besatzung!$C$21="",Besatzung!$B$5,Besatzung!$C$21)&lt;=B51)*(IF(Besatzung!$D$21="",Besatzung!$B$6,Besatzung!$D$21)&gt;=B51)))*((G51-IFERROR(H51,0))/IFERROR(SUMPRODUCT((Besatzung!$B$11:$B$22&lt;&gt;"")*(IF(Besatzung!$C$11:$C$22="",Besatzung!$B$5,Besatzung!$C$11:$C$22)&lt;=B51)*(IF(Besatzung!$D$11:$D$22="",Besatzung!$B$6,Besatzung!$D$11:$D$22)&gt;=B51)),1)+(Besatzung!$F$21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T51="x")*((G51-IFERROR(H51,0))/IFERROR(COUNTIF(J51:U51,"x"),1)+(Besatzung!$F$21="x")*IFERROR(H51,0)/IFERROR(SUMPRODUCT((J51:U51="x")*(Besatzung!$F$11:$F$22="x")),1))),(IF(COUNTIF(J51:U51,"x")=0,IF(Besatzung!$B$21&lt;&gt;"",1,0),(T51="x"))*(G51-IFERROR(H51,0))/IFERROR(IF(COUNTIF(J51:U51,"x")=0,COUNTA(Besatzung!$B$11:$B$22),COUNTIF(J51:U51,"x")),1)+IF(COUNTIF(J51:U51,"x")=0,(Besatzung!$F$21="x"),(T51="x")*(Besatzung!$F$21="x"))*IFERROR(H51,0)/IFERROR(IF(COUNTIF(J51:U51,"x")=0,SUMPRODUCT((Besatzung!$B$11:$B$22&lt;&gt;"")*(Besatzung!$F$11:$F$22="x")),SUMPRODUCT((J51:U51="x")*(Besatzung!$F$11:$F$22="x"))),1))))),0))))</f>
        <v/>
      </c>
      <c r="AG51" s="106">
        <f>IF(C51="Gutschrift","",IF(G51="","",IF(Besatzung!$B$22="","",IFERROR(IF(I51="Zeitanteilig",(Besatzung!$G$22*(G51-IFERROR(H51,0))+((Besatzung!$B$22&lt;&gt;"")*IF(B51="",1,(IF(Besatzung!$C$22="",Besatzung!$B$5,Besatzung!$C$22)&lt;=B51)*(IF(Besatzung!$D$22="",Besatzung!$B$6,Besatzung!$D$22)&gt;=B51)))*(Besatzung!$F$22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$22&lt;&gt;"")*IF(B51="",1,(IF(Besatzung!$C$22="",Besatzung!$B$5,Besatzung!$C$22)&lt;=B51)*(IF(Besatzung!$D$22="",Besatzung!$B$6,Besatzung!$D$22)&gt;=B51)))*((G51-IFERROR(H51,0))/IFERROR(SUMPRODUCT((Besatzung!$B$11:$B$22&lt;&gt;"")*(IF(Besatzung!$C$11:$C$22="",Besatzung!$B$5,Besatzung!$C$11:$C$22)&lt;=B51)*(IF(Besatzung!$D$11:$D$22="",Besatzung!$B$6,Besatzung!$D$11:$D$22)&gt;=B51)),1)+(Besatzung!$F$22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U51="x")*((G51-IFERROR(H51,0))/IFERROR(COUNTIF(J51:U51,"x"),1)+(Besatzung!$F$22="x")*IFERROR(H51,0)/IFERROR(SUMPRODUCT((J51:U51="x")*(Besatzung!$F$11:$F$22="x")),1))),(IF(COUNTIF(J51:U51,"x")=0,IF(Besatzung!$B$22&lt;&gt;"",1,0),(U51="x"))*(G51-IFERROR(H51,0))/IFERROR(IF(COUNTIF(J51:U51,"x")=0,COUNTA(Besatzung!$B$11:$B$22),COUNTIF(J51:U51,"x")),1)+IF(COUNTIF(J51:U51,"x")=0,(Besatzung!$F$22="x"),(U51="x")*(Besatzung!$F$22="x"))*IFERROR(H51,0)/IFERROR(IF(COUNTIF(J51:U51,"x")=0,SUMPRODUCT((Besatzung!$B$11:$B$22&lt;&gt;"")*(Besatzung!$F$11:$F$22="x")),SUMPRODUCT((J51:U51="x")*(Besatzung!$F$11:$F$22="x"))),1))))),0))))</f>
        <v/>
      </c>
      <c r="AH51" s="107" t="n"/>
      <c r="AI51" s="107" t="n"/>
    </row>
    <row r="52" ht="21.75" customHeight="1" s="182">
      <c r="A52" s="97">
        <f>IF(AND(D52="",C52=""),"",49)</f>
        <v/>
      </c>
      <c r="B52" s="56" t="n"/>
      <c r="C52" s="98" t="n"/>
      <c r="D52" s="99" t="n"/>
      <c r="E52" s="100" t="n"/>
      <c r="F52" s="101" t="n"/>
      <c r="G52" s="102" t="n"/>
      <c r="H52" s="103" t="n"/>
      <c r="I52" s="104" t="n"/>
      <c r="J52" s="105" t="n"/>
      <c r="K52" s="105" t="n"/>
      <c r="L52" s="105" t="n"/>
      <c r="M52" s="105" t="n"/>
      <c r="N52" s="105" t="n"/>
      <c r="O52" s="105" t="n"/>
      <c r="P52" s="105" t="n"/>
      <c r="Q52" s="105" t="n"/>
      <c r="R52" s="105" t="n"/>
      <c r="S52" s="105" t="n"/>
      <c r="T52" s="105" t="n"/>
      <c r="U52" s="105" t="n"/>
      <c r="V52" s="106">
        <f>IF(C52="Gutschrift","",IF(G52="","",IF(Besatzung!$B$11="","",IFERROR(IF(I52="Zeitanteilig",(Besatzung!$G$11*(G52-IFERROR(H52,0))+((Besatzung!$B$11&lt;&gt;"")*IF(B52="",1,(IF(Besatzung!$C$11="",Besatzung!$B$5,Besatzung!$C$11)&lt;=B52)*(IF(Besatzung!$D$11="",Besatzung!$B$6,Besatzung!$D$11)&gt;=B52)))*(Besatzung!$F$11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$11&lt;&gt;"")*IF(B52="",1,(IF(Besatzung!$C$11="",Besatzung!$B$5,Besatzung!$C$11)&lt;=B52)*(IF(Besatzung!$D$11="",Besatzung!$B$6,Besatzung!$D$11)&gt;=B52)))*((G52-IFERROR(H52,0))/IFERROR(SUMPRODUCT((Besatzung!$B$11:$B$22&lt;&gt;"")*(IF(Besatzung!$C$11:$C$22="",Besatzung!$B$5,Besatzung!$C$11:$C$22)&lt;=B52)*(IF(Besatzung!$D$11:$D$22="",Besatzung!$B$6,Besatzung!$D$11:$D$22)&gt;=B52)),1)+(Besatzung!$F$11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J52="x")*((G52-IFERROR(H52,0))/IFERROR(COUNTIF(J52:U52,"x"),1)+(Besatzung!$F$11="x")*IFERROR(H52,0)/IFERROR(SUMPRODUCT((J52:U52="x")*(Besatzung!$F$11:$F$22="x")),1))),(IF(COUNTIF(J52:U52,"x")=0,IF(Besatzung!$B$11&lt;&gt;"",1,0),(J52="x"))*(G52-IFERROR(H52,0))/IFERROR(IF(COUNTIF(J52:U52,"x")=0,COUNTA(Besatzung!$B$11:$B$22),COUNTIF(J52:U52,"x")),1)+IF(COUNTIF(J52:U52,"x")=0,(Besatzung!$F$11="x"),(J52="x")*(Besatzung!$F$11="x"))*IFERROR(H52,0)/IFERROR(IF(COUNTIF(J52:U52,"x")=0,SUMPRODUCT((Besatzung!$B$11:$B$22&lt;&gt;"")*(Besatzung!$F$11:$F$22="x")),SUMPRODUCT((J52:U52="x")*(Besatzung!$F$11:$F$22="x"))),1))))),0))))</f>
        <v/>
      </c>
      <c r="W52" s="106">
        <f>IF(C52="Gutschrift","",IF(G52="","",IF(Besatzung!$B$12="","",IFERROR(IF(I52="Zeitanteilig",(Besatzung!$G$12*(G52-IFERROR(H52,0))+((Besatzung!$B$12&lt;&gt;"")*IF(B52="",1,(IF(Besatzung!$C$12="",Besatzung!$B$5,Besatzung!$C$12)&lt;=B52)*(IF(Besatzung!$D$12="",Besatzung!$B$6,Besatzung!$D$12)&gt;=B52)))*(Besatzung!$F$12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$12&lt;&gt;"")*IF(B52="",1,(IF(Besatzung!$C$12="",Besatzung!$B$5,Besatzung!$C$12)&lt;=B52)*(IF(Besatzung!$D$12="",Besatzung!$B$6,Besatzung!$D$12)&gt;=B52)))*((G52-IFERROR(H52,0))/IFERROR(SUMPRODUCT((Besatzung!$B$11:$B$22&lt;&gt;"")*(IF(Besatzung!$C$11:$C$22="",Besatzung!$B$5,Besatzung!$C$11:$C$22)&lt;=B52)*(IF(Besatzung!$D$11:$D$22="",Besatzung!$B$6,Besatzung!$D$11:$D$22)&gt;=B52)),1)+(Besatzung!$F$12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K52="x")*((G52-IFERROR(H52,0))/IFERROR(COUNTIF(J52:U52,"x"),1)+(Besatzung!$F$12="x")*IFERROR(H52,0)/IFERROR(SUMPRODUCT((J52:U52="x")*(Besatzung!$F$11:$F$22="x")),1))),(IF(COUNTIF(J52:U52,"x")=0,IF(Besatzung!$B$12&lt;&gt;"",1,0),(K52="x"))*(G52-IFERROR(H52,0))/IFERROR(IF(COUNTIF(J52:U52,"x")=0,COUNTA(Besatzung!$B$11:$B$22),COUNTIF(J52:U52,"x")),1)+IF(COUNTIF(J52:U52,"x")=0,(Besatzung!$F$12="x"),(K52="x")*(Besatzung!$F$12="x"))*IFERROR(H52,0)/IFERROR(IF(COUNTIF(J52:U52,"x")=0,SUMPRODUCT((Besatzung!$B$11:$B$22&lt;&gt;"")*(Besatzung!$F$11:$F$22="x")),SUMPRODUCT((J52:U52="x")*(Besatzung!$F$11:$F$22="x"))),1))))),0))))</f>
        <v/>
      </c>
      <c r="X52" s="106">
        <f>IF(C52="Gutschrift","",IF(G52="","",IF(Besatzung!$B$13="","",IFERROR(IF(I52="Zeitanteilig",(Besatzung!$G$13*(G52-IFERROR(H52,0))+((Besatzung!$B$13&lt;&gt;"")*IF(B52="",1,(IF(Besatzung!$C$13="",Besatzung!$B$5,Besatzung!$C$13)&lt;=B52)*(IF(Besatzung!$D$13="",Besatzung!$B$6,Besatzung!$D$13)&gt;=B52)))*(Besatzung!$F$13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$13&lt;&gt;"")*IF(B52="",1,(IF(Besatzung!$C$13="",Besatzung!$B$5,Besatzung!$C$13)&lt;=B52)*(IF(Besatzung!$D$13="",Besatzung!$B$6,Besatzung!$D$13)&gt;=B52)))*((G52-IFERROR(H52,0))/IFERROR(SUMPRODUCT((Besatzung!$B$11:$B$22&lt;&gt;"")*(IF(Besatzung!$C$11:$C$22="",Besatzung!$B$5,Besatzung!$C$11:$C$22)&lt;=B52)*(IF(Besatzung!$D$11:$D$22="",Besatzung!$B$6,Besatzung!$D$11:$D$22)&gt;=B52)),1)+(Besatzung!$F$13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K52="x")*((G52-IFERROR(H52,0))/IFERROR(COUNTIF(J52:U52,"x"),1)+(Besatzung!$F$13="x")*IFERROR(H52,0)/IFERROR(SUMPRODUCT((J52:U52="x")*(Besatzung!$F$11:$F$22="x")),1))),(IF(COUNTIF(J52:U52,"x")=0,IF(Besatzung!$B$13&lt;&gt;"",1,0),(K52="x"))*(G52-IFERROR(H52,0))/IFERROR(IF(COUNTIF(J52:U52,"x")=0,COUNTA(Besatzung!$B$11:$B$22),COUNTIF(J52:U52,"x")),1)+IF(COUNTIF(J52:U52,"x")=0,(Besatzung!$F$13="x"),(K52="x")*(Besatzung!$F$13="x"))*IFERROR(H52,0)/IFERROR(IF(COUNTIF(J52:U52,"x")=0,SUMPRODUCT((Besatzung!$B$11:$B$22&lt;&gt;"")*(Besatzung!$F$11:$F$22="x")),SUMPRODUCT((J52:U52="x")*(Besatzung!$F$11:$F$22="x"))),1))))),0))))</f>
        <v/>
      </c>
      <c r="Y52" s="106">
        <f>IF(C52="Gutschrift","",IF(G52="","",IF(Besatzung!$B$14="","",IFERROR(IF(I52="Zeitanteilig",(Besatzung!$G$14*(G52-IFERROR(H52,0))+((Besatzung!$B$14&lt;&gt;"")*IF(B52="",1,(IF(Besatzung!$C$14="",Besatzung!$B$5,Besatzung!$C$14)&lt;=B52)*(IF(Besatzung!$D$14="",Besatzung!$B$6,Besatzung!$D$14)&gt;=B52)))*(Besatzung!$F$14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$14&lt;&gt;"")*IF(B52="",1,(IF(Besatzung!$C$14="",Besatzung!$B$5,Besatzung!$C$14)&lt;=B52)*(IF(Besatzung!$D$14="",Besatzung!$B$6,Besatzung!$D$14)&gt;=B52)))*((G52-IFERROR(H52,0))/IFERROR(SUMPRODUCT((Besatzung!$B$11:$B$22&lt;&gt;"")*(IF(Besatzung!$C$11:$C$22="",Besatzung!$B$5,Besatzung!$C$11:$C$22)&lt;=B52)*(IF(Besatzung!$D$11:$D$22="",Besatzung!$B$6,Besatzung!$D$11:$D$22)&gt;=B52)),1)+(Besatzung!$F$14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M52="x")*((G52-IFERROR(H52,0))/IFERROR(COUNTIF(J52:U52,"x"),1)+(Besatzung!$F$14="x")*IFERROR(H52,0)/IFERROR(SUMPRODUCT((J52:U52="x")*(Besatzung!$F$11:$F$22="x")),1))),(IF(COUNTIF(J52:U52,"x")=0,IF(Besatzung!$B$14&lt;&gt;"",1,0),(M52="x"))*(G52-IFERROR(H52,0))/IFERROR(IF(COUNTIF(J52:U52,"x")=0,COUNTA(Besatzung!$B$11:$B$22),COUNTIF(J52:U52,"x")),1)+IF(COUNTIF(J52:U52,"x")=0,(Besatzung!$F$14="x"),(M52="x")*(Besatzung!$F$14="x"))*IFERROR(H52,0)/IFERROR(IF(COUNTIF(J52:U52,"x")=0,SUMPRODUCT((Besatzung!$B$11:$B$22&lt;&gt;"")*(Besatzung!$F$11:$F$22="x")),SUMPRODUCT((J52:U52="x")*(Besatzung!$F$11:$F$22="x"))),1))))),0))))</f>
        <v/>
      </c>
      <c r="Z52" s="106">
        <f>IF(C52="Gutschrift","",IF(G52="","",IF(Besatzung!$B$13="","",IFERROR(IF(I52="Zeitanteilig",(Besatzung!$G$15*(G52-IFERROR(H52,0))+((Besatzung!$B$13&lt;&gt;"")*IF(B52="",1,(IF(Besatzung!$C$15="",Besatzung!$B$5,Besatzung!$C$15)&lt;=B52)*(IF(Besatzung!$D$15="",Besatzung!$B$6,Besatzung!$D$15)&gt;=B52)))*(Besatzung!$F$15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$13&lt;&gt;"")*IF(B52="",1,(IF(Besatzung!$C$15="",Besatzung!$B$5,Besatzung!$C$15)&lt;=B52)*(IF(Besatzung!$D$15="",Besatzung!$B$6,Besatzung!$D$15)&gt;=B52)))*((G52-IFERROR(H52,0))/IFERROR(SUMPRODUCT((Besatzung!$B$11:$B$22&lt;&gt;"")*(IF(Besatzung!$C$11:$C$22="",Besatzung!$B$5,Besatzung!$C$11:$C$22)&lt;=B52)*(IF(Besatzung!$D$11:$D$22="",Besatzung!$B$6,Besatzung!$D$11:$D$22)&gt;=B52)),1)+(Besatzung!$F$15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N52="x")*((G52-IFERROR(H52,0))/IFERROR(COUNTIF(J52:U52,"x"),1)+(Besatzung!$F$15="x")*IFERROR(H52,0)/IFERROR(SUMPRODUCT((J52:U52="x")*(Besatzung!$F$11:$F$22="x")),1))),(IF(COUNTIF(J52:U52,"x")=0,IF(Besatzung!$B$13&lt;&gt;"",1,0),(N52="x"))*(G52-IFERROR(H52,0))/IFERROR(IF(COUNTIF(J52:U52,"x")=0,COUNTA(Besatzung!$B$11:$B$22),COUNTIF(J52:U52,"x")),1)+IF(COUNTIF(J52:U52,"x")=0,(Besatzung!$F$15="x"),(N52="x")*(Besatzung!$F$15="x"))*IFERROR(H52,0)/IFERROR(IF(COUNTIF(J52:U52,"x")=0,SUMPRODUCT((Besatzung!$B$11:$B$22&lt;&gt;"")*(Besatzung!$F$11:$F$22="x")),SUMPRODUCT((J52:U52="x")*(Besatzung!$F$11:$F$22="x"))),1))))),0))))</f>
        <v/>
      </c>
      <c r="AA52" s="106">
        <f>IF(C52="Gutschrift","",IF(G52="","",IF(Besatzung!$B$15="","",IFERROR(IF(I52="Zeitanteilig",(Besatzung!$G$16*(G52-IFERROR(H52,0))+((Besatzung!$B$15&lt;&gt;"")*IF(B52="",1,(IF(Besatzung!$C$16="",Besatzung!$B$5,Besatzung!$C$16)&lt;=B52)*(IF(Besatzung!$D$16="",Besatzung!$B$6,Besatzung!$D$16)&gt;=B52)))*(Besatzung!$F$16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$15&lt;&gt;"")*IF(B52="",1,(IF(Besatzung!$C$16="",Besatzung!$B$5,Besatzung!$C$16)&lt;=B52)*(IF(Besatzung!$D$16="",Besatzung!$B$6,Besatzung!$D$16)&gt;=B52)))*((G52-IFERROR(H52,0))/IFERROR(SUMPRODUCT((Besatzung!$B$11:$B$22&lt;&gt;"")*(IF(Besatzung!$C$11:$C$22="",Besatzung!$B$5,Besatzung!$C$11:$C$22)&lt;=B52)*(IF(Besatzung!$D$11:$D$22="",Besatzung!$B$6,Besatzung!$D$11:$D$22)&gt;=B52)),1)+(Besatzung!$F$16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O52="x")*((G52-IFERROR(H52,0))/IFERROR(COUNTIF(J52:U52,"x"),1)+(Besatzung!$F$16="x")*IFERROR(H52,0)/IFERROR(SUMPRODUCT((J52:U52="x")*(Besatzung!$F$11:$F$22="x")),1))),(IF(COUNTIF(J52:U52,"x")=0,IF(Besatzung!$B$15&lt;&gt;"",1,0),(O52="x"))*(G52-IFERROR(H52,0))/IFERROR(IF(COUNTIF(J52:U52,"x")=0,COUNTA(Besatzung!$B$11:$B$22),COUNTIF(J52:U52,"x")),1)+IF(COUNTIF(J52:U52,"x")=0,(Besatzung!$F$16="x"),(O52="x")*(Besatzung!$F$16="x"))*IFERROR(H52,0)/IFERROR(IF(COUNTIF(J52:U52,"x")=0,SUMPRODUCT((Besatzung!$B$11:$B$22&lt;&gt;"")*(Besatzung!$F$11:$F$22="x")),SUMPRODUCT((J52:U52="x")*(Besatzung!$F$11:$F$22="x"))),1))))),0))))</f>
        <v/>
      </c>
      <c r="AB52" s="106">
        <f>IF(C52="Gutschrift","",IF(G52="","",IF(Besatzung!$B$17="","",IFERROR(IF(I52="Zeitanteilig",(Besatzung!$G$17*(G52-IFERROR(H52,0))+((Besatzung!$B$17&lt;&gt;"")*IF(B52="",1,(IF(Besatzung!$C$17="",Besatzung!$B$5,Besatzung!$C$17)&lt;=B52)*(IF(Besatzung!$D$17="",Besatzung!$B$6,Besatzung!$D$17)&gt;=B52)))*(Besatzung!$F$17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$17&lt;&gt;"")*IF(B52="",1,(IF(Besatzung!$C$17="",Besatzung!$B$5,Besatzung!$C$17)&lt;=B52)*(IF(Besatzung!$D$17="",Besatzung!$B$6,Besatzung!$D$17)&gt;=B52)))*((G52-IFERROR(H52,0))/IFERROR(SUMPRODUCT((Besatzung!$B$11:$B$22&lt;&gt;"")*(IF(Besatzung!$C$11:$C$22="",Besatzung!$B$5,Besatzung!$C$11:$C$22)&lt;=B52)*(IF(Besatzung!$D$11:$D$22="",Besatzung!$B$6,Besatzung!$D$11:$D$22)&gt;=B52)),1)+(Besatzung!$F$17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P52="x")*((G52-IFERROR(H52,0))/IFERROR(COUNTIF(J52:U52,"x"),1)+(Besatzung!$F$17="x")*IFERROR(H52,0)/IFERROR(SUMPRODUCT((J52:U52="x")*(Besatzung!$F$11:$F$22="x")),1))),(IF(COUNTIF(J52:U52,"x")=0,IF(Besatzung!$B$17&lt;&gt;"",1,0),(P52="x"))*(G52-IFERROR(H52,0))/IFERROR(IF(COUNTIF(J52:U52,"x")=0,COUNTA(Besatzung!$B$11:$B$22),COUNTIF(J52:U52,"x")),1)+IF(COUNTIF(J52:U52,"x")=0,(Besatzung!$F$17="x"),(P52="x")*(Besatzung!$F$17="x"))*IFERROR(H52,0)/IFERROR(IF(COUNTIF(J52:U52,"x")=0,SUMPRODUCT((Besatzung!$B$11:$B$22&lt;&gt;"")*(Besatzung!$F$11:$F$22="x")),SUMPRODUCT((J52:U52="x")*(Besatzung!$F$11:$F$22="x"))),1))))),0))))</f>
        <v/>
      </c>
      <c r="AC52" s="106">
        <f>IF(C52="Gutschrift","",IF(G52="","",IF(Besatzung!$B$18="","",IFERROR(IF(I52="Zeitanteilig",(Besatzung!$G$18*(G52-IFERROR(H52,0))+((Besatzung!$B$18&lt;&gt;"")*IF(B52="",1,(IF(Besatzung!$C$18="",Besatzung!$B$5,Besatzung!$C$18)&lt;=B52)*(IF(Besatzung!$D$18="",Besatzung!$B$6,Besatzung!$D$18)&gt;=B52)))*(Besatzung!$F$18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$18&lt;&gt;"")*IF(B52="",1,(IF(Besatzung!$C$18="",Besatzung!$B$5,Besatzung!$C$18)&lt;=B52)*(IF(Besatzung!$D$18="",Besatzung!$B$6,Besatzung!$D$18)&gt;=B52)))*((G52-IFERROR(H52,0))/IFERROR(SUMPRODUCT((Besatzung!$B$11:$B$22&lt;&gt;"")*(IF(Besatzung!$C$11:$C$22="",Besatzung!$B$5,Besatzung!$C$11:$C$22)&lt;=B52)*(IF(Besatzung!$D$11:$D$22="",Besatzung!$B$6,Besatzung!$D$11:$D$22)&gt;=B52)),1)+(Besatzung!$F$18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Q52="x")*((G52-IFERROR(H52,0))/IFERROR(COUNTIF(J52:U52,"x"),1)+(Besatzung!$F$18="x")*IFERROR(H52,0)/IFERROR(SUMPRODUCT((J52:U52="x")*(Besatzung!$F$11:$F$22="x")),1))),(IF(COUNTIF(J52:U52,"x")=0,IF(Besatzung!$B$18&lt;&gt;"",1,0),(Q52="x"))*(G52-IFERROR(H52,0))/IFERROR(IF(COUNTIF(J52:U52,"x")=0,COUNTA(Besatzung!$B$11:$B$22),COUNTIF(J52:U52,"x")),1)+IF(COUNTIF(J52:U52,"x")=0,(Besatzung!$F$18="x"),(Q52="x")*(Besatzung!$F$18="x"))*IFERROR(H52,0)/IFERROR(IF(COUNTIF(J52:U52,"x")=0,SUMPRODUCT((Besatzung!$B$11:$B$22&lt;&gt;"")*(Besatzung!$F$11:$F$22="x")),SUMPRODUCT((J52:U52="x")*(Besatzung!$F$11:$F$22="x"))),1))))),0))))</f>
        <v/>
      </c>
      <c r="AD52" s="106">
        <f>IF(C52="Gutschrift","",IF(G52="","",IF(Besatzung!$B$19="","",IFERROR(IF(I52="Zeitanteilig",(Besatzung!$G$19*(G52-IFERROR(H52,0))+((Besatzung!$B$19&lt;&gt;"")*IF(B52="",1,(IF(Besatzung!$C$19="",Besatzung!$B$5,Besatzung!$C$19)&lt;=B52)*(IF(Besatzung!$D$19="",Besatzung!$B$6,Besatzung!$D$19)&gt;=B52)))*(Besatzung!$F$19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$19&lt;&gt;"")*IF(B52="",1,(IF(Besatzung!$C$19="",Besatzung!$B$5,Besatzung!$C$19)&lt;=B52)*(IF(Besatzung!$D$19="",Besatzung!$B$6,Besatzung!$D$19)&gt;=B52)))*((G52-IFERROR(H52,0))/IFERROR(SUMPRODUCT((Besatzung!$B$11:$B$22&lt;&gt;"")*(IF(Besatzung!$C$11:$C$22="",Besatzung!$B$5,Besatzung!$C$11:$C$22)&lt;=B52)*(IF(Besatzung!$D$11:$D$22="",Besatzung!$B$6,Besatzung!$D$11:$D$22)&gt;=B52)),1)+(Besatzung!$F$19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R52="x")*((G52-IFERROR(H52,0))/IFERROR(COUNTIF(J52:U52,"x"),1)+(Besatzung!$F$19="x")*IFERROR(H52,0)/IFERROR(SUMPRODUCT((J52:U52="x")*(Besatzung!$F$11:$F$22="x")),1))),(IF(COUNTIF(J52:U52,"x")=0,IF(Besatzung!$B$19&lt;&gt;"",1,0),(R52="x"))*(G52-IFERROR(H52,0))/IFERROR(IF(COUNTIF(J52:U52,"x")=0,COUNTA(Besatzung!$B$11:$B$22),COUNTIF(J52:U52,"x")),1)+IF(COUNTIF(J52:U52,"x")=0,(Besatzung!$F$19="x"),(R52="x")*(Besatzung!$F$19="x"))*IFERROR(H52,0)/IFERROR(IF(COUNTIF(J52:U52,"x")=0,SUMPRODUCT((Besatzung!$B$11:$B$22&lt;&gt;"")*(Besatzung!$F$11:$F$22="x")),SUMPRODUCT((J52:U52="x")*(Besatzung!$F$11:$F$22="x"))),1))))),0))))</f>
        <v/>
      </c>
      <c r="AE52" s="106">
        <f>IF(C52="Gutschrift","",IF(G52="","",IF(Besatzung!$B$20="","",IFERROR(IF(I52="Zeitanteilig",(Besatzung!$G$20*(G52-IFERROR(H52,0))+((Besatzung!$B$20&lt;&gt;"")*IF(B52="",1,(IF(Besatzung!$C$20="",Besatzung!$B$5,Besatzung!$C$20)&lt;=B52)*(IF(Besatzung!$D$20="",Besatzung!$B$6,Besatzung!$D$20)&gt;=B52)))*(Besatzung!$F$20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$20&lt;&gt;"")*IF(B52="",1,(IF(Besatzung!$C$20="",Besatzung!$B$5,Besatzung!$C$20)&lt;=B52)*(IF(Besatzung!$D$20="",Besatzung!$B$6,Besatzung!$D$20)&gt;=B52)))*((G52-IFERROR(H52,0))/IFERROR(SUMPRODUCT((Besatzung!$B$11:$B$22&lt;&gt;"")*(IF(Besatzung!$C$11:$C$22="",Besatzung!$B$5,Besatzung!$C$11:$C$22)&lt;=B52)*(IF(Besatzung!$D$11:$D$22="",Besatzung!$B$6,Besatzung!$D$11:$D$22)&gt;=B52)),1)+(Besatzung!$F$20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S52="x")*((G52-IFERROR(H52,0))/IFERROR(COUNTIF(J52:U52,"x"),1)+(Besatzung!$F$20="x")*IFERROR(H52,0)/IFERROR(SUMPRODUCT((J52:U52="x")*(Besatzung!$F$11:$F$22="x")),1))),(IF(COUNTIF(J52:U52,"x")=0,IF(Besatzung!$B$20&lt;&gt;"",1,0),(S52="x"))*(G52-IFERROR(H52,0))/IFERROR(IF(COUNTIF(J52:U52,"x")=0,COUNTA(Besatzung!$B$11:$B$22),COUNTIF(J52:U52,"x")),1)+IF(COUNTIF(J52:U52,"x")=0,(Besatzung!$F$20="x"),(S52="x")*(Besatzung!$F$20="x"))*IFERROR(H52,0)/IFERROR(IF(COUNTIF(J52:U52,"x")=0,SUMPRODUCT((Besatzung!$B$11:$B$22&lt;&gt;"")*(Besatzung!$F$11:$F$22="x")),SUMPRODUCT((J52:U52="x")*(Besatzung!$F$11:$F$22="x"))),1))))),0))))</f>
        <v/>
      </c>
      <c r="AF52" s="106">
        <f>IF(C52="Gutschrift","",IF(G52="","",IF(Besatzung!$B$21="","",IFERROR(IF(I52="Zeitanteilig",(Besatzung!$G$21*(G52-IFERROR(H52,0))+((Besatzung!$B$21&lt;&gt;"")*IF(B52="",1,(IF(Besatzung!$C$21="",Besatzung!$B$5,Besatzung!$C$21)&lt;=B52)*(IF(Besatzung!$D$21="",Besatzung!$B$6,Besatzung!$D$21)&gt;=B52)))*(Besatzung!$F$21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$21&lt;&gt;"")*IF(B52="",1,(IF(Besatzung!$C$21="",Besatzung!$B$5,Besatzung!$C$21)&lt;=B52)*(IF(Besatzung!$D$21="",Besatzung!$B$6,Besatzung!$D$21)&gt;=B52)))*((G52-IFERROR(H52,0))/IFERROR(SUMPRODUCT((Besatzung!$B$11:$B$22&lt;&gt;"")*(IF(Besatzung!$C$11:$C$22="",Besatzung!$B$5,Besatzung!$C$11:$C$22)&lt;=B52)*(IF(Besatzung!$D$11:$D$22="",Besatzung!$B$6,Besatzung!$D$11:$D$22)&gt;=B52)),1)+(Besatzung!$F$21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T52="x")*((G52-IFERROR(H52,0))/IFERROR(COUNTIF(J52:U52,"x"),1)+(Besatzung!$F$21="x")*IFERROR(H52,0)/IFERROR(SUMPRODUCT((J52:U52="x")*(Besatzung!$F$11:$F$22="x")),1))),(IF(COUNTIF(J52:U52,"x")=0,IF(Besatzung!$B$21&lt;&gt;"",1,0),(T52="x"))*(G52-IFERROR(H52,0))/IFERROR(IF(COUNTIF(J52:U52,"x")=0,COUNTA(Besatzung!$B$11:$B$22),COUNTIF(J52:U52,"x")),1)+IF(COUNTIF(J52:U52,"x")=0,(Besatzung!$F$21="x"),(T52="x")*(Besatzung!$F$21="x"))*IFERROR(H52,0)/IFERROR(IF(COUNTIF(J52:U52,"x")=0,SUMPRODUCT((Besatzung!$B$11:$B$22&lt;&gt;"")*(Besatzung!$F$11:$F$22="x")),SUMPRODUCT((J52:U52="x")*(Besatzung!$F$11:$F$22="x"))),1))))),0))))</f>
        <v/>
      </c>
      <c r="AG52" s="106">
        <f>IF(C52="Gutschrift","",IF(G52="","",IF(Besatzung!$B$22="","",IFERROR(IF(I52="Zeitanteilig",(Besatzung!$G$22*(G52-IFERROR(H52,0))+((Besatzung!$B$22&lt;&gt;"")*IF(B52="",1,(IF(Besatzung!$C$22="",Besatzung!$B$5,Besatzung!$C$22)&lt;=B52)*(IF(Besatzung!$D$22="",Besatzung!$B$6,Besatzung!$D$22)&gt;=B52)))*(Besatzung!$F$22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$22&lt;&gt;"")*IF(B52="",1,(IF(Besatzung!$C$22="",Besatzung!$B$5,Besatzung!$C$22)&lt;=B52)*(IF(Besatzung!$D$22="",Besatzung!$B$6,Besatzung!$D$22)&gt;=B52)))*((G52-IFERROR(H52,0))/IFERROR(SUMPRODUCT((Besatzung!$B$11:$B$22&lt;&gt;"")*(IF(Besatzung!$C$11:$C$22="",Besatzung!$B$5,Besatzung!$C$11:$C$22)&lt;=B52)*(IF(Besatzung!$D$11:$D$22="",Besatzung!$B$6,Besatzung!$D$11:$D$22)&gt;=B52)),1)+(Besatzung!$F$22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U52="x")*((G52-IFERROR(H52,0))/IFERROR(COUNTIF(J52:U52,"x"),1)+(Besatzung!$F$22="x")*IFERROR(H52,0)/IFERROR(SUMPRODUCT((J52:U52="x")*(Besatzung!$F$11:$F$22="x")),1))),(IF(COUNTIF(J52:U52,"x")=0,IF(Besatzung!$B$22&lt;&gt;"",1,0),(U52="x"))*(G52-IFERROR(H52,0))/IFERROR(IF(COUNTIF(J52:U52,"x")=0,COUNTA(Besatzung!$B$11:$B$22),COUNTIF(J52:U52,"x")),1)+IF(COUNTIF(J52:U52,"x")=0,(Besatzung!$F$22="x"),(U52="x")*(Besatzung!$F$22="x"))*IFERROR(H52,0)/IFERROR(IF(COUNTIF(J52:U52,"x")=0,SUMPRODUCT((Besatzung!$B$11:$B$22&lt;&gt;"")*(Besatzung!$F$11:$F$22="x")),SUMPRODUCT((J52:U52="x")*(Besatzung!$F$11:$F$22="x"))),1))))),0))))</f>
        <v/>
      </c>
      <c r="AH52" s="107" t="n"/>
      <c r="AI52" s="107" t="n"/>
    </row>
    <row r="53" ht="21.75" customHeight="1" s="182">
      <c r="A53" s="97">
        <f>IF(AND(D53="",C53=""),"",50)</f>
        <v/>
      </c>
      <c r="B53" s="63" t="n"/>
      <c r="C53" s="108" t="n"/>
      <c r="D53" s="109" t="n"/>
      <c r="E53" s="110" t="n"/>
      <c r="F53" s="111" t="n"/>
      <c r="G53" s="112" t="n"/>
      <c r="H53" s="113" t="n"/>
      <c r="I53" s="114" t="n"/>
      <c r="J53" s="115" t="n"/>
      <c r="K53" s="115" t="n"/>
      <c r="L53" s="115" t="n"/>
      <c r="M53" s="115" t="n"/>
      <c r="N53" s="115" t="n"/>
      <c r="O53" s="115" t="n"/>
      <c r="P53" s="115" t="n"/>
      <c r="Q53" s="115" t="n"/>
      <c r="R53" s="115" t="n"/>
      <c r="S53" s="115" t="n"/>
      <c r="T53" s="115" t="n"/>
      <c r="U53" s="115" t="n"/>
      <c r="V53" s="106">
        <f>IF(C53="Gutschrift","",IF(G53="","",IF(Besatzung!$B$11="","",IFERROR(IF(I53="Zeitanteilig",(Besatzung!$G$11*(G53-IFERROR(H53,0))+((Besatzung!$B$11&lt;&gt;"")*IF(B53="",1,(IF(Besatzung!$C$11="",Besatzung!$B$5,Besatzung!$C$11)&lt;=B53)*(IF(Besatzung!$D$11="",Besatzung!$B$6,Besatzung!$D$11)&gt;=B53)))*(Besatzung!$F$11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$11&lt;&gt;"")*IF(B53="",1,(IF(Besatzung!$C$11="",Besatzung!$B$5,Besatzung!$C$11)&lt;=B53)*(IF(Besatzung!$D$11="",Besatzung!$B$6,Besatzung!$D$11)&gt;=B53)))*((G53-IFERROR(H53,0))/IFERROR(SUMPRODUCT((Besatzung!$B$11:$B$22&lt;&gt;"")*(IF(Besatzung!$C$11:$C$22="",Besatzung!$B$5,Besatzung!$C$11:$C$22)&lt;=B53)*(IF(Besatzung!$D$11:$D$22="",Besatzung!$B$6,Besatzung!$D$11:$D$22)&gt;=B53)),1)+(Besatzung!$F$11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J53="x")*((G53-IFERROR(H53,0))/IFERROR(COUNTIF(J53:U53,"x"),1)+(Besatzung!$F$11="x")*IFERROR(H53,0)/IFERROR(SUMPRODUCT((J53:U53="x")*(Besatzung!$F$11:$F$22="x")),1))),(IF(COUNTIF(J53:U53,"x")=0,IF(Besatzung!$B$11&lt;&gt;"",1,0),(J53="x"))*(G53-IFERROR(H53,0))/IFERROR(IF(COUNTIF(J53:U53,"x")=0,COUNTA(Besatzung!$B$11:$B$22),COUNTIF(J53:U53,"x")),1)+IF(COUNTIF(J53:U53,"x")=0,(Besatzung!$F$11="x"),(J53="x")*(Besatzung!$F$11="x"))*IFERROR(H53,0)/IFERROR(IF(COUNTIF(J53:U53,"x")=0,SUMPRODUCT((Besatzung!$B$11:$B$22&lt;&gt;"")*(Besatzung!$F$11:$F$22="x")),SUMPRODUCT((J53:U53="x")*(Besatzung!$F$11:$F$22="x"))),1))))),0))))</f>
        <v/>
      </c>
      <c r="W53" s="106">
        <f>IF(C53="Gutschrift","",IF(G53="","",IF(Besatzung!$B$12="","",IFERROR(IF(I53="Zeitanteilig",(Besatzung!$G$12*(G53-IFERROR(H53,0))+((Besatzung!$B$12&lt;&gt;"")*IF(B53="",1,(IF(Besatzung!$C$12="",Besatzung!$B$5,Besatzung!$C$12)&lt;=B53)*(IF(Besatzung!$D$12="",Besatzung!$B$6,Besatzung!$D$12)&gt;=B53)))*(Besatzung!$F$12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$12&lt;&gt;"")*IF(B53="",1,(IF(Besatzung!$C$12="",Besatzung!$B$5,Besatzung!$C$12)&lt;=B53)*(IF(Besatzung!$D$12="",Besatzung!$B$6,Besatzung!$D$12)&gt;=B53)))*((G53-IFERROR(H53,0))/IFERROR(SUMPRODUCT((Besatzung!$B$11:$B$22&lt;&gt;"")*(IF(Besatzung!$C$11:$C$22="",Besatzung!$B$5,Besatzung!$C$11:$C$22)&lt;=B53)*(IF(Besatzung!$D$11:$D$22="",Besatzung!$B$6,Besatzung!$D$11:$D$22)&gt;=B53)),1)+(Besatzung!$F$12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K53="x")*((G53-IFERROR(H53,0))/IFERROR(COUNTIF(J53:U53,"x"),1)+(Besatzung!$F$12="x")*IFERROR(H53,0)/IFERROR(SUMPRODUCT((J53:U53="x")*(Besatzung!$F$11:$F$22="x")),1))),(IF(COUNTIF(J53:U53,"x")=0,IF(Besatzung!$B$12&lt;&gt;"",1,0),(K53="x"))*(G53-IFERROR(H53,0))/IFERROR(IF(COUNTIF(J53:U53,"x")=0,COUNTA(Besatzung!$B$11:$B$22),COUNTIF(J53:U53,"x")),1)+IF(COUNTIF(J53:U53,"x")=0,(Besatzung!$F$12="x"),(K53="x")*(Besatzung!$F$12="x"))*IFERROR(H53,0)/IFERROR(IF(COUNTIF(J53:U53,"x")=0,SUMPRODUCT((Besatzung!$B$11:$B$22&lt;&gt;"")*(Besatzung!$F$11:$F$22="x")),SUMPRODUCT((J53:U53="x")*(Besatzung!$F$11:$F$22="x"))),1))))),0))))</f>
        <v/>
      </c>
      <c r="X53" s="106">
        <f>IF(C53="Gutschrift","",IF(G53="","",IF(Besatzung!$B$13="","",IFERROR(IF(I53="Zeitanteilig",(Besatzung!$G$13*(G53-IFERROR(H53,0))+((Besatzung!$B$13&lt;&gt;"")*IF(B53="",1,(IF(Besatzung!$C$13="",Besatzung!$B$5,Besatzung!$C$13)&lt;=B53)*(IF(Besatzung!$D$13="",Besatzung!$B$6,Besatzung!$D$13)&gt;=B53)))*(Besatzung!$F$13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$13&lt;&gt;"")*IF(B53="",1,(IF(Besatzung!$C$13="",Besatzung!$B$5,Besatzung!$C$13)&lt;=B53)*(IF(Besatzung!$D$13="",Besatzung!$B$6,Besatzung!$D$13)&gt;=B53)))*((G53-IFERROR(H53,0))/IFERROR(SUMPRODUCT((Besatzung!$B$11:$B$22&lt;&gt;"")*(IF(Besatzung!$C$11:$C$22="",Besatzung!$B$5,Besatzung!$C$11:$C$22)&lt;=B53)*(IF(Besatzung!$D$11:$D$22="",Besatzung!$B$6,Besatzung!$D$11:$D$22)&gt;=B53)),1)+(Besatzung!$F$13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K53="x")*((G53-IFERROR(H53,0))/IFERROR(COUNTIF(J53:U53,"x"),1)+(Besatzung!$F$13="x")*IFERROR(H53,0)/IFERROR(SUMPRODUCT((J53:U53="x")*(Besatzung!$F$11:$F$22="x")),1))),(IF(COUNTIF(J53:U53,"x")=0,IF(Besatzung!$B$13&lt;&gt;"",1,0),(K53="x"))*(G53-IFERROR(H53,0))/IFERROR(IF(COUNTIF(J53:U53,"x")=0,COUNTA(Besatzung!$B$11:$B$22),COUNTIF(J53:U53,"x")),1)+IF(COUNTIF(J53:U53,"x")=0,(Besatzung!$F$13="x"),(K53="x")*(Besatzung!$F$13="x"))*IFERROR(H53,0)/IFERROR(IF(COUNTIF(J53:U53,"x")=0,SUMPRODUCT((Besatzung!$B$11:$B$22&lt;&gt;"")*(Besatzung!$F$11:$F$22="x")),SUMPRODUCT((J53:U53="x")*(Besatzung!$F$11:$F$22="x"))),1))))),0))))</f>
        <v/>
      </c>
      <c r="Y53" s="106">
        <f>IF(C53="Gutschrift","",IF(G53="","",IF(Besatzung!$B$14="","",IFERROR(IF(I53="Zeitanteilig",(Besatzung!$G$14*(G53-IFERROR(H53,0))+((Besatzung!$B$14&lt;&gt;"")*IF(B53="",1,(IF(Besatzung!$C$14="",Besatzung!$B$5,Besatzung!$C$14)&lt;=B53)*(IF(Besatzung!$D$14="",Besatzung!$B$6,Besatzung!$D$14)&gt;=B53)))*(Besatzung!$F$14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$14&lt;&gt;"")*IF(B53="",1,(IF(Besatzung!$C$14="",Besatzung!$B$5,Besatzung!$C$14)&lt;=B53)*(IF(Besatzung!$D$14="",Besatzung!$B$6,Besatzung!$D$14)&gt;=B53)))*((G53-IFERROR(H53,0))/IFERROR(SUMPRODUCT((Besatzung!$B$11:$B$22&lt;&gt;"")*(IF(Besatzung!$C$11:$C$22="",Besatzung!$B$5,Besatzung!$C$11:$C$22)&lt;=B53)*(IF(Besatzung!$D$11:$D$22="",Besatzung!$B$6,Besatzung!$D$11:$D$22)&gt;=B53)),1)+(Besatzung!$F$14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M53="x")*((G53-IFERROR(H53,0))/IFERROR(COUNTIF(J53:U53,"x"),1)+(Besatzung!$F$14="x")*IFERROR(H53,0)/IFERROR(SUMPRODUCT((J53:U53="x")*(Besatzung!$F$11:$F$22="x")),1))),(IF(COUNTIF(J53:U53,"x")=0,IF(Besatzung!$B$14&lt;&gt;"",1,0),(M53="x"))*(G53-IFERROR(H53,0))/IFERROR(IF(COUNTIF(J53:U53,"x")=0,COUNTA(Besatzung!$B$11:$B$22),COUNTIF(J53:U53,"x")),1)+IF(COUNTIF(J53:U53,"x")=0,(Besatzung!$F$14="x"),(M53="x")*(Besatzung!$F$14="x"))*IFERROR(H53,0)/IFERROR(IF(COUNTIF(J53:U53,"x")=0,SUMPRODUCT((Besatzung!$B$11:$B$22&lt;&gt;"")*(Besatzung!$F$11:$F$22="x")),SUMPRODUCT((J53:U53="x")*(Besatzung!$F$11:$F$22="x"))),1))))),0))))</f>
        <v/>
      </c>
      <c r="Z53" s="106">
        <f>IF(C53="Gutschrift","",IF(G53="","",IF(Besatzung!$B$13="","",IFERROR(IF(I53="Zeitanteilig",(Besatzung!$G$15*(G53-IFERROR(H53,0))+((Besatzung!$B$13&lt;&gt;"")*IF(B53="",1,(IF(Besatzung!$C$15="",Besatzung!$B$5,Besatzung!$C$15)&lt;=B53)*(IF(Besatzung!$D$15="",Besatzung!$B$6,Besatzung!$D$15)&gt;=B53)))*(Besatzung!$F$15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$13&lt;&gt;"")*IF(B53="",1,(IF(Besatzung!$C$15="",Besatzung!$B$5,Besatzung!$C$15)&lt;=B53)*(IF(Besatzung!$D$15="",Besatzung!$B$6,Besatzung!$D$15)&gt;=B53)))*((G53-IFERROR(H53,0))/IFERROR(SUMPRODUCT((Besatzung!$B$11:$B$22&lt;&gt;"")*(IF(Besatzung!$C$11:$C$22="",Besatzung!$B$5,Besatzung!$C$11:$C$22)&lt;=B53)*(IF(Besatzung!$D$11:$D$22="",Besatzung!$B$6,Besatzung!$D$11:$D$22)&gt;=B53)),1)+(Besatzung!$F$15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N53="x")*((G53-IFERROR(H53,0))/IFERROR(COUNTIF(J53:U53,"x"),1)+(Besatzung!$F$15="x")*IFERROR(H53,0)/IFERROR(SUMPRODUCT((J53:U53="x")*(Besatzung!$F$11:$F$22="x")),1))),(IF(COUNTIF(J53:U53,"x")=0,IF(Besatzung!$B$13&lt;&gt;"",1,0),(N53="x"))*(G53-IFERROR(H53,0))/IFERROR(IF(COUNTIF(J53:U53,"x")=0,COUNTA(Besatzung!$B$11:$B$22),COUNTIF(J53:U53,"x")),1)+IF(COUNTIF(J53:U53,"x")=0,(Besatzung!$F$15="x"),(N53="x")*(Besatzung!$F$15="x"))*IFERROR(H53,0)/IFERROR(IF(COUNTIF(J53:U53,"x")=0,SUMPRODUCT((Besatzung!$B$11:$B$22&lt;&gt;"")*(Besatzung!$F$11:$F$22="x")),SUMPRODUCT((J53:U53="x")*(Besatzung!$F$11:$F$22="x"))),1))))),0))))</f>
        <v/>
      </c>
      <c r="AA53" s="106">
        <f>IF(C53="Gutschrift","",IF(G53="","",IF(Besatzung!$B$15="","",IFERROR(IF(I53="Zeitanteilig",(Besatzung!$G$16*(G53-IFERROR(H53,0))+((Besatzung!$B$15&lt;&gt;"")*IF(B53="",1,(IF(Besatzung!$C$16="",Besatzung!$B$5,Besatzung!$C$16)&lt;=B53)*(IF(Besatzung!$D$16="",Besatzung!$B$6,Besatzung!$D$16)&gt;=B53)))*(Besatzung!$F$16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$15&lt;&gt;"")*IF(B53="",1,(IF(Besatzung!$C$16="",Besatzung!$B$5,Besatzung!$C$16)&lt;=B53)*(IF(Besatzung!$D$16="",Besatzung!$B$6,Besatzung!$D$16)&gt;=B53)))*((G53-IFERROR(H53,0))/IFERROR(SUMPRODUCT((Besatzung!$B$11:$B$22&lt;&gt;"")*(IF(Besatzung!$C$11:$C$22="",Besatzung!$B$5,Besatzung!$C$11:$C$22)&lt;=B53)*(IF(Besatzung!$D$11:$D$22="",Besatzung!$B$6,Besatzung!$D$11:$D$22)&gt;=B53)),1)+(Besatzung!$F$16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O53="x")*((G53-IFERROR(H53,0))/IFERROR(COUNTIF(J53:U53,"x"),1)+(Besatzung!$F$16="x")*IFERROR(H53,0)/IFERROR(SUMPRODUCT((J53:U53="x")*(Besatzung!$F$11:$F$22="x")),1))),(IF(COUNTIF(J53:U53,"x")=0,IF(Besatzung!$B$15&lt;&gt;"",1,0),(O53="x"))*(G53-IFERROR(H53,0))/IFERROR(IF(COUNTIF(J53:U53,"x")=0,COUNTA(Besatzung!$B$11:$B$22),COUNTIF(J53:U53,"x")),1)+IF(COUNTIF(J53:U53,"x")=0,(Besatzung!$F$16="x"),(O53="x")*(Besatzung!$F$16="x"))*IFERROR(H53,0)/IFERROR(IF(COUNTIF(J53:U53,"x")=0,SUMPRODUCT((Besatzung!$B$11:$B$22&lt;&gt;"")*(Besatzung!$F$11:$F$22="x")),SUMPRODUCT((J53:U53="x")*(Besatzung!$F$11:$F$22="x"))),1))))),0))))</f>
        <v/>
      </c>
      <c r="AB53" s="106">
        <f>IF(C53="Gutschrift","",IF(G53="","",IF(Besatzung!$B$17="","",IFERROR(IF(I53="Zeitanteilig",(Besatzung!$G$17*(G53-IFERROR(H53,0))+((Besatzung!$B$17&lt;&gt;"")*IF(B53="",1,(IF(Besatzung!$C$17="",Besatzung!$B$5,Besatzung!$C$17)&lt;=B53)*(IF(Besatzung!$D$17="",Besatzung!$B$6,Besatzung!$D$17)&gt;=B53)))*(Besatzung!$F$17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$17&lt;&gt;"")*IF(B53="",1,(IF(Besatzung!$C$17="",Besatzung!$B$5,Besatzung!$C$17)&lt;=B53)*(IF(Besatzung!$D$17="",Besatzung!$B$6,Besatzung!$D$17)&gt;=B53)))*((G53-IFERROR(H53,0))/IFERROR(SUMPRODUCT((Besatzung!$B$11:$B$22&lt;&gt;"")*(IF(Besatzung!$C$11:$C$22="",Besatzung!$B$5,Besatzung!$C$11:$C$22)&lt;=B53)*(IF(Besatzung!$D$11:$D$22="",Besatzung!$B$6,Besatzung!$D$11:$D$22)&gt;=B53)),1)+(Besatzung!$F$17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P53="x")*((G53-IFERROR(H53,0))/IFERROR(COUNTIF(J53:U53,"x"),1)+(Besatzung!$F$17="x")*IFERROR(H53,0)/IFERROR(SUMPRODUCT((J53:U53="x")*(Besatzung!$F$11:$F$22="x")),1))),(IF(COUNTIF(J53:U53,"x")=0,IF(Besatzung!$B$17&lt;&gt;"",1,0),(P53="x"))*(G53-IFERROR(H53,0))/IFERROR(IF(COUNTIF(J53:U53,"x")=0,COUNTA(Besatzung!$B$11:$B$22),COUNTIF(J53:U53,"x")),1)+IF(COUNTIF(J53:U53,"x")=0,(Besatzung!$F$17="x"),(P53="x")*(Besatzung!$F$17="x"))*IFERROR(H53,0)/IFERROR(IF(COUNTIF(J53:U53,"x")=0,SUMPRODUCT((Besatzung!$B$11:$B$22&lt;&gt;"")*(Besatzung!$F$11:$F$22="x")),SUMPRODUCT((J53:U53="x")*(Besatzung!$F$11:$F$22="x"))),1))))),0))))</f>
        <v/>
      </c>
      <c r="AC53" s="106">
        <f>IF(C53="Gutschrift","",IF(G53="","",IF(Besatzung!$B$18="","",IFERROR(IF(I53="Zeitanteilig",(Besatzung!$G$18*(G53-IFERROR(H53,0))+((Besatzung!$B$18&lt;&gt;"")*IF(B53="",1,(IF(Besatzung!$C$18="",Besatzung!$B$5,Besatzung!$C$18)&lt;=B53)*(IF(Besatzung!$D$18="",Besatzung!$B$6,Besatzung!$D$18)&gt;=B53)))*(Besatzung!$F$18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$18&lt;&gt;"")*IF(B53="",1,(IF(Besatzung!$C$18="",Besatzung!$B$5,Besatzung!$C$18)&lt;=B53)*(IF(Besatzung!$D$18="",Besatzung!$B$6,Besatzung!$D$18)&gt;=B53)))*((G53-IFERROR(H53,0))/IFERROR(SUMPRODUCT((Besatzung!$B$11:$B$22&lt;&gt;"")*(IF(Besatzung!$C$11:$C$22="",Besatzung!$B$5,Besatzung!$C$11:$C$22)&lt;=B53)*(IF(Besatzung!$D$11:$D$22="",Besatzung!$B$6,Besatzung!$D$11:$D$22)&gt;=B53)),1)+(Besatzung!$F$18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Q53="x")*((G53-IFERROR(H53,0))/IFERROR(COUNTIF(J53:U53,"x"),1)+(Besatzung!$F$18="x")*IFERROR(H53,0)/IFERROR(SUMPRODUCT((J53:U53="x")*(Besatzung!$F$11:$F$22="x")),1))),(IF(COUNTIF(J53:U53,"x")=0,IF(Besatzung!$B$18&lt;&gt;"",1,0),(Q53="x"))*(G53-IFERROR(H53,0))/IFERROR(IF(COUNTIF(J53:U53,"x")=0,COUNTA(Besatzung!$B$11:$B$22),COUNTIF(J53:U53,"x")),1)+IF(COUNTIF(J53:U53,"x")=0,(Besatzung!$F$18="x"),(Q53="x")*(Besatzung!$F$18="x"))*IFERROR(H53,0)/IFERROR(IF(COUNTIF(J53:U53,"x")=0,SUMPRODUCT((Besatzung!$B$11:$B$22&lt;&gt;"")*(Besatzung!$F$11:$F$22="x")),SUMPRODUCT((J53:U53="x")*(Besatzung!$F$11:$F$22="x"))),1))))),0))))</f>
        <v/>
      </c>
      <c r="AD53" s="106">
        <f>IF(C53="Gutschrift","",IF(G53="","",IF(Besatzung!$B$19="","",IFERROR(IF(I53="Zeitanteilig",(Besatzung!$G$19*(G53-IFERROR(H53,0))+((Besatzung!$B$19&lt;&gt;"")*IF(B53="",1,(IF(Besatzung!$C$19="",Besatzung!$B$5,Besatzung!$C$19)&lt;=B53)*(IF(Besatzung!$D$19="",Besatzung!$B$6,Besatzung!$D$19)&gt;=B53)))*(Besatzung!$F$19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$19&lt;&gt;"")*IF(B53="",1,(IF(Besatzung!$C$19="",Besatzung!$B$5,Besatzung!$C$19)&lt;=B53)*(IF(Besatzung!$D$19="",Besatzung!$B$6,Besatzung!$D$19)&gt;=B53)))*((G53-IFERROR(H53,0))/IFERROR(SUMPRODUCT((Besatzung!$B$11:$B$22&lt;&gt;"")*(IF(Besatzung!$C$11:$C$22="",Besatzung!$B$5,Besatzung!$C$11:$C$22)&lt;=B53)*(IF(Besatzung!$D$11:$D$22="",Besatzung!$B$6,Besatzung!$D$11:$D$22)&gt;=B53)),1)+(Besatzung!$F$19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R53="x")*((G53-IFERROR(H53,0))/IFERROR(COUNTIF(J53:U53,"x"),1)+(Besatzung!$F$19="x")*IFERROR(H53,0)/IFERROR(SUMPRODUCT((J53:U53="x")*(Besatzung!$F$11:$F$22="x")),1))),(IF(COUNTIF(J53:U53,"x")=0,IF(Besatzung!$B$19&lt;&gt;"",1,0),(R53="x"))*(G53-IFERROR(H53,0))/IFERROR(IF(COUNTIF(J53:U53,"x")=0,COUNTA(Besatzung!$B$11:$B$22),COUNTIF(J53:U53,"x")),1)+IF(COUNTIF(J53:U53,"x")=0,(Besatzung!$F$19="x"),(R53="x")*(Besatzung!$F$19="x"))*IFERROR(H53,0)/IFERROR(IF(COUNTIF(J53:U53,"x")=0,SUMPRODUCT((Besatzung!$B$11:$B$22&lt;&gt;"")*(Besatzung!$F$11:$F$22="x")),SUMPRODUCT((J53:U53="x")*(Besatzung!$F$11:$F$22="x"))),1))))),0))))</f>
        <v/>
      </c>
      <c r="AE53" s="106">
        <f>IF(C53="Gutschrift","",IF(G53="","",IF(Besatzung!$B$20="","",IFERROR(IF(I53="Zeitanteilig",(Besatzung!$G$20*(G53-IFERROR(H53,0))+((Besatzung!$B$20&lt;&gt;"")*IF(B53="",1,(IF(Besatzung!$C$20="",Besatzung!$B$5,Besatzung!$C$20)&lt;=B53)*(IF(Besatzung!$D$20="",Besatzung!$B$6,Besatzung!$D$20)&gt;=B53)))*(Besatzung!$F$20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$20&lt;&gt;"")*IF(B53="",1,(IF(Besatzung!$C$20="",Besatzung!$B$5,Besatzung!$C$20)&lt;=B53)*(IF(Besatzung!$D$20="",Besatzung!$B$6,Besatzung!$D$20)&gt;=B53)))*((G53-IFERROR(H53,0))/IFERROR(SUMPRODUCT((Besatzung!$B$11:$B$22&lt;&gt;"")*(IF(Besatzung!$C$11:$C$22="",Besatzung!$B$5,Besatzung!$C$11:$C$22)&lt;=B53)*(IF(Besatzung!$D$11:$D$22="",Besatzung!$B$6,Besatzung!$D$11:$D$22)&gt;=B53)),1)+(Besatzung!$F$20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S53="x")*((G53-IFERROR(H53,0))/IFERROR(COUNTIF(J53:U53,"x"),1)+(Besatzung!$F$20="x")*IFERROR(H53,0)/IFERROR(SUMPRODUCT((J53:U53="x")*(Besatzung!$F$11:$F$22="x")),1))),(IF(COUNTIF(J53:U53,"x")=0,IF(Besatzung!$B$20&lt;&gt;"",1,0),(S53="x"))*(G53-IFERROR(H53,0))/IFERROR(IF(COUNTIF(J53:U53,"x")=0,COUNTA(Besatzung!$B$11:$B$22),COUNTIF(J53:U53,"x")),1)+IF(COUNTIF(J53:U53,"x")=0,(Besatzung!$F$20="x"),(S53="x")*(Besatzung!$F$20="x"))*IFERROR(H53,0)/IFERROR(IF(COUNTIF(J53:U53,"x")=0,SUMPRODUCT((Besatzung!$B$11:$B$22&lt;&gt;"")*(Besatzung!$F$11:$F$22="x")),SUMPRODUCT((J53:U53="x")*(Besatzung!$F$11:$F$22="x"))),1))))),0))))</f>
        <v/>
      </c>
      <c r="AF53" s="106">
        <f>IF(C53="Gutschrift","",IF(G53="","",IF(Besatzung!$B$21="","",IFERROR(IF(I53="Zeitanteilig",(Besatzung!$G$21*(G53-IFERROR(H53,0))+((Besatzung!$B$21&lt;&gt;"")*IF(B53="",1,(IF(Besatzung!$C$21="",Besatzung!$B$5,Besatzung!$C$21)&lt;=B53)*(IF(Besatzung!$D$21="",Besatzung!$B$6,Besatzung!$D$21)&gt;=B53)))*(Besatzung!$F$21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$21&lt;&gt;"")*IF(B53="",1,(IF(Besatzung!$C$21="",Besatzung!$B$5,Besatzung!$C$21)&lt;=B53)*(IF(Besatzung!$D$21="",Besatzung!$B$6,Besatzung!$D$21)&gt;=B53)))*((G53-IFERROR(H53,0))/IFERROR(SUMPRODUCT((Besatzung!$B$11:$B$22&lt;&gt;"")*(IF(Besatzung!$C$11:$C$22="",Besatzung!$B$5,Besatzung!$C$11:$C$22)&lt;=B53)*(IF(Besatzung!$D$11:$D$22="",Besatzung!$B$6,Besatzung!$D$11:$D$22)&gt;=B53)),1)+(Besatzung!$F$21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T53="x")*((G53-IFERROR(H53,0))/IFERROR(COUNTIF(J53:U53,"x"),1)+(Besatzung!$F$21="x")*IFERROR(H53,0)/IFERROR(SUMPRODUCT((J53:U53="x")*(Besatzung!$F$11:$F$22="x")),1))),(IF(COUNTIF(J53:U53,"x")=0,IF(Besatzung!$B$21&lt;&gt;"",1,0),(T53="x"))*(G53-IFERROR(H53,0))/IFERROR(IF(COUNTIF(J53:U53,"x")=0,COUNTA(Besatzung!$B$11:$B$22),COUNTIF(J53:U53,"x")),1)+IF(COUNTIF(J53:U53,"x")=0,(Besatzung!$F$21="x"),(T53="x")*(Besatzung!$F$21="x"))*IFERROR(H53,0)/IFERROR(IF(COUNTIF(J53:U53,"x")=0,SUMPRODUCT((Besatzung!$B$11:$B$22&lt;&gt;"")*(Besatzung!$F$11:$F$22="x")),SUMPRODUCT((J53:U53="x")*(Besatzung!$F$11:$F$22="x"))),1))))),0))))</f>
        <v/>
      </c>
      <c r="AG53" s="106">
        <f>IF(C53="Gutschrift","",IF(G53="","",IF(Besatzung!$B$22="","",IFERROR(IF(I53="Zeitanteilig",(Besatzung!$G$22*(G53-IFERROR(H53,0))+((Besatzung!$B$22&lt;&gt;"")*IF(B53="",1,(IF(Besatzung!$C$22="",Besatzung!$B$5,Besatzung!$C$22)&lt;=B53)*(IF(Besatzung!$D$22="",Besatzung!$B$6,Besatzung!$D$22)&gt;=B53)))*(Besatzung!$F$22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$22&lt;&gt;"")*IF(B53="",1,(IF(Besatzung!$C$22="",Besatzung!$B$5,Besatzung!$C$22)&lt;=B53)*(IF(Besatzung!$D$22="",Besatzung!$B$6,Besatzung!$D$22)&gt;=B53)))*((G53-IFERROR(H53,0))/IFERROR(SUMPRODUCT((Besatzung!$B$11:$B$22&lt;&gt;"")*(IF(Besatzung!$C$11:$C$22="",Besatzung!$B$5,Besatzung!$C$11:$C$22)&lt;=B53)*(IF(Besatzung!$D$11:$D$22="",Besatzung!$B$6,Besatzung!$D$11:$D$22)&gt;=B53)),1)+(Besatzung!$F$22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U53="x")*((G53-IFERROR(H53,0))/IFERROR(COUNTIF(J53:U53,"x"),1)+(Besatzung!$F$22="x")*IFERROR(H53,0)/IFERROR(SUMPRODUCT((J53:U53="x")*(Besatzung!$F$11:$F$22="x")),1))),(IF(COUNTIF(J53:U53,"x")=0,IF(Besatzung!$B$22&lt;&gt;"",1,0),(U53="x"))*(G53-IFERROR(H53,0))/IFERROR(IF(COUNTIF(J53:U53,"x")=0,COUNTA(Besatzung!$B$11:$B$22),COUNTIF(J53:U53,"x")),1)+IF(COUNTIF(J53:U53,"x")=0,(Besatzung!$F$22="x"),(U53="x")*(Besatzung!$F$22="x"))*IFERROR(H53,0)/IFERROR(IF(COUNTIF(J53:U53,"x")=0,SUMPRODUCT((Besatzung!$B$11:$B$22&lt;&gt;"")*(Besatzung!$F$11:$F$22="x")),SUMPRODUCT((J53:U53="x")*(Besatzung!$F$11:$F$22="x"))),1))))),0))))</f>
        <v/>
      </c>
      <c r="AH53" s="107" t="n"/>
      <c r="AI53" s="107" t="n"/>
    </row>
    <row r="54" ht="21.75" customHeight="1" s="182">
      <c r="A54" s="97">
        <f>IF(AND(D54="",C54=""),"",51)</f>
        <v/>
      </c>
      <c r="B54" s="56" t="n"/>
      <c r="C54" s="98" t="n"/>
      <c r="D54" s="99" t="n"/>
      <c r="E54" s="100" t="n"/>
      <c r="F54" s="101" t="n"/>
      <c r="G54" s="102" t="n"/>
      <c r="H54" s="103" t="n"/>
      <c r="I54" s="104" t="n"/>
      <c r="J54" s="105" t="n"/>
      <c r="K54" s="105" t="n"/>
      <c r="L54" s="105" t="n"/>
      <c r="M54" s="105" t="n"/>
      <c r="N54" s="105" t="n"/>
      <c r="O54" s="105" t="n"/>
      <c r="P54" s="105" t="n"/>
      <c r="Q54" s="105" t="n"/>
      <c r="R54" s="105" t="n"/>
      <c r="S54" s="105" t="n"/>
      <c r="T54" s="105" t="n"/>
      <c r="U54" s="105" t="n"/>
      <c r="V54" s="106">
        <f>IF(C54="Gutschrift","",IF(G54="","",IF(Besatzung!$B$11="","",IFERROR(IF(I54="Zeitanteilig",(Besatzung!$G$11*(G54-IFERROR(H54,0))+((Besatzung!$B$11&lt;&gt;"")*IF(B54="",1,(IF(Besatzung!$C$11="",Besatzung!$B$5,Besatzung!$C$11)&lt;=B54)*(IF(Besatzung!$D$11="",Besatzung!$B$6,Besatzung!$D$11)&gt;=B54)))*(Besatzung!$F$11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$11&lt;&gt;"")*IF(B54="",1,(IF(Besatzung!$C$11="",Besatzung!$B$5,Besatzung!$C$11)&lt;=B54)*(IF(Besatzung!$D$11="",Besatzung!$B$6,Besatzung!$D$11)&gt;=B54)))*((G54-IFERROR(H54,0))/IFERROR(SUMPRODUCT((Besatzung!$B$11:$B$22&lt;&gt;"")*(IF(Besatzung!$C$11:$C$22="",Besatzung!$B$5,Besatzung!$C$11:$C$22)&lt;=B54)*(IF(Besatzung!$D$11:$D$22="",Besatzung!$B$6,Besatzung!$D$11:$D$22)&gt;=B54)),1)+(Besatzung!$F$11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J54="x")*((G54-IFERROR(H54,0))/IFERROR(COUNTIF(J54:U54,"x"),1)+(Besatzung!$F$11="x")*IFERROR(H54,0)/IFERROR(SUMPRODUCT((J54:U54="x")*(Besatzung!$F$11:$F$22="x")),1))),(IF(COUNTIF(J54:U54,"x")=0,IF(Besatzung!$B$11&lt;&gt;"",1,0),(J54="x"))*(G54-IFERROR(H54,0))/IFERROR(IF(COUNTIF(J54:U54,"x")=0,COUNTA(Besatzung!$B$11:$B$22),COUNTIF(J54:U54,"x")),1)+IF(COUNTIF(J54:U54,"x")=0,(Besatzung!$F$11="x"),(J54="x")*(Besatzung!$F$11="x"))*IFERROR(H54,0)/IFERROR(IF(COUNTIF(J54:U54,"x")=0,SUMPRODUCT((Besatzung!$B$11:$B$22&lt;&gt;"")*(Besatzung!$F$11:$F$22="x")),SUMPRODUCT((J54:U54="x")*(Besatzung!$F$11:$F$22="x"))),1))))),0))))</f>
        <v/>
      </c>
      <c r="W54" s="106">
        <f>IF(C54="Gutschrift","",IF(G54="","",IF(Besatzung!$B$12="","",IFERROR(IF(I54="Zeitanteilig",(Besatzung!$G$12*(G54-IFERROR(H54,0))+((Besatzung!$B$12&lt;&gt;"")*IF(B54="",1,(IF(Besatzung!$C$12="",Besatzung!$B$5,Besatzung!$C$12)&lt;=B54)*(IF(Besatzung!$D$12="",Besatzung!$B$6,Besatzung!$D$12)&gt;=B54)))*(Besatzung!$F$12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$12&lt;&gt;"")*IF(B54="",1,(IF(Besatzung!$C$12="",Besatzung!$B$5,Besatzung!$C$12)&lt;=B54)*(IF(Besatzung!$D$12="",Besatzung!$B$6,Besatzung!$D$12)&gt;=B54)))*((G54-IFERROR(H54,0))/IFERROR(SUMPRODUCT((Besatzung!$B$11:$B$22&lt;&gt;"")*(IF(Besatzung!$C$11:$C$22="",Besatzung!$B$5,Besatzung!$C$11:$C$22)&lt;=B54)*(IF(Besatzung!$D$11:$D$22="",Besatzung!$B$6,Besatzung!$D$11:$D$22)&gt;=B54)),1)+(Besatzung!$F$12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K54="x")*((G54-IFERROR(H54,0))/IFERROR(COUNTIF(J54:U54,"x"),1)+(Besatzung!$F$12="x")*IFERROR(H54,0)/IFERROR(SUMPRODUCT((J54:U54="x")*(Besatzung!$F$11:$F$22="x")),1))),(IF(COUNTIF(J54:U54,"x")=0,IF(Besatzung!$B$12&lt;&gt;"",1,0),(K54="x"))*(G54-IFERROR(H54,0))/IFERROR(IF(COUNTIF(J54:U54,"x")=0,COUNTA(Besatzung!$B$11:$B$22),COUNTIF(J54:U54,"x")),1)+IF(COUNTIF(J54:U54,"x")=0,(Besatzung!$F$12="x"),(K54="x")*(Besatzung!$F$12="x"))*IFERROR(H54,0)/IFERROR(IF(COUNTIF(J54:U54,"x")=0,SUMPRODUCT((Besatzung!$B$11:$B$22&lt;&gt;"")*(Besatzung!$F$11:$F$22="x")),SUMPRODUCT((J54:U54="x")*(Besatzung!$F$11:$F$22="x"))),1))))),0))))</f>
        <v/>
      </c>
      <c r="X54" s="106">
        <f>IF(C54="Gutschrift","",IF(G54="","",IF(Besatzung!$B$13="","",IFERROR(IF(I54="Zeitanteilig",(Besatzung!$G$13*(G54-IFERROR(H54,0))+((Besatzung!$B$13&lt;&gt;"")*IF(B54="",1,(IF(Besatzung!$C$13="",Besatzung!$B$5,Besatzung!$C$13)&lt;=B54)*(IF(Besatzung!$D$13="",Besatzung!$B$6,Besatzung!$D$13)&gt;=B54)))*(Besatzung!$F$13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$13&lt;&gt;"")*IF(B54="",1,(IF(Besatzung!$C$13="",Besatzung!$B$5,Besatzung!$C$13)&lt;=B54)*(IF(Besatzung!$D$13="",Besatzung!$B$6,Besatzung!$D$13)&gt;=B54)))*((G54-IFERROR(H54,0))/IFERROR(SUMPRODUCT((Besatzung!$B$11:$B$22&lt;&gt;"")*(IF(Besatzung!$C$11:$C$22="",Besatzung!$B$5,Besatzung!$C$11:$C$22)&lt;=B54)*(IF(Besatzung!$D$11:$D$22="",Besatzung!$B$6,Besatzung!$D$11:$D$22)&gt;=B54)),1)+(Besatzung!$F$13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K54="x")*((G54-IFERROR(H54,0))/IFERROR(COUNTIF(J54:U54,"x"),1)+(Besatzung!$F$13="x")*IFERROR(H54,0)/IFERROR(SUMPRODUCT((J54:U54="x")*(Besatzung!$F$11:$F$22="x")),1))),(IF(COUNTIF(J54:U54,"x")=0,IF(Besatzung!$B$13&lt;&gt;"",1,0),(K54="x"))*(G54-IFERROR(H54,0))/IFERROR(IF(COUNTIF(J54:U54,"x")=0,COUNTA(Besatzung!$B$11:$B$22),COUNTIF(J54:U54,"x")),1)+IF(COUNTIF(J54:U54,"x")=0,(Besatzung!$F$13="x"),(K54="x")*(Besatzung!$F$13="x"))*IFERROR(H54,0)/IFERROR(IF(COUNTIF(J54:U54,"x")=0,SUMPRODUCT((Besatzung!$B$11:$B$22&lt;&gt;"")*(Besatzung!$F$11:$F$22="x")),SUMPRODUCT((J54:U54="x")*(Besatzung!$F$11:$F$22="x"))),1))))),0))))</f>
        <v/>
      </c>
      <c r="Y54" s="106">
        <f>IF(C54="Gutschrift","",IF(G54="","",IF(Besatzung!$B$14="","",IFERROR(IF(I54="Zeitanteilig",(Besatzung!$G$14*(G54-IFERROR(H54,0))+((Besatzung!$B$14&lt;&gt;"")*IF(B54="",1,(IF(Besatzung!$C$14="",Besatzung!$B$5,Besatzung!$C$14)&lt;=B54)*(IF(Besatzung!$D$14="",Besatzung!$B$6,Besatzung!$D$14)&gt;=B54)))*(Besatzung!$F$14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$14&lt;&gt;"")*IF(B54="",1,(IF(Besatzung!$C$14="",Besatzung!$B$5,Besatzung!$C$14)&lt;=B54)*(IF(Besatzung!$D$14="",Besatzung!$B$6,Besatzung!$D$14)&gt;=B54)))*((G54-IFERROR(H54,0))/IFERROR(SUMPRODUCT((Besatzung!$B$11:$B$22&lt;&gt;"")*(IF(Besatzung!$C$11:$C$22="",Besatzung!$B$5,Besatzung!$C$11:$C$22)&lt;=B54)*(IF(Besatzung!$D$11:$D$22="",Besatzung!$B$6,Besatzung!$D$11:$D$22)&gt;=B54)),1)+(Besatzung!$F$14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M54="x")*((G54-IFERROR(H54,0))/IFERROR(COUNTIF(J54:U54,"x"),1)+(Besatzung!$F$14="x")*IFERROR(H54,0)/IFERROR(SUMPRODUCT((J54:U54="x")*(Besatzung!$F$11:$F$22="x")),1))),(IF(COUNTIF(J54:U54,"x")=0,IF(Besatzung!$B$14&lt;&gt;"",1,0),(M54="x"))*(G54-IFERROR(H54,0))/IFERROR(IF(COUNTIF(J54:U54,"x")=0,COUNTA(Besatzung!$B$11:$B$22),COUNTIF(J54:U54,"x")),1)+IF(COUNTIF(J54:U54,"x")=0,(Besatzung!$F$14="x"),(M54="x")*(Besatzung!$F$14="x"))*IFERROR(H54,0)/IFERROR(IF(COUNTIF(J54:U54,"x")=0,SUMPRODUCT((Besatzung!$B$11:$B$22&lt;&gt;"")*(Besatzung!$F$11:$F$22="x")),SUMPRODUCT((J54:U54="x")*(Besatzung!$F$11:$F$22="x"))),1))))),0))))</f>
        <v/>
      </c>
      <c r="Z54" s="106">
        <f>IF(C54="Gutschrift","",IF(G54="","",IF(Besatzung!$B$13="","",IFERROR(IF(I54="Zeitanteilig",(Besatzung!$G$15*(G54-IFERROR(H54,0))+((Besatzung!$B$13&lt;&gt;"")*IF(B54="",1,(IF(Besatzung!$C$15="",Besatzung!$B$5,Besatzung!$C$15)&lt;=B54)*(IF(Besatzung!$D$15="",Besatzung!$B$6,Besatzung!$D$15)&gt;=B54)))*(Besatzung!$F$15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$13&lt;&gt;"")*IF(B54="",1,(IF(Besatzung!$C$15="",Besatzung!$B$5,Besatzung!$C$15)&lt;=B54)*(IF(Besatzung!$D$15="",Besatzung!$B$6,Besatzung!$D$15)&gt;=B54)))*((G54-IFERROR(H54,0))/IFERROR(SUMPRODUCT((Besatzung!$B$11:$B$22&lt;&gt;"")*(IF(Besatzung!$C$11:$C$22="",Besatzung!$B$5,Besatzung!$C$11:$C$22)&lt;=B54)*(IF(Besatzung!$D$11:$D$22="",Besatzung!$B$6,Besatzung!$D$11:$D$22)&gt;=B54)),1)+(Besatzung!$F$15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N54="x")*((G54-IFERROR(H54,0))/IFERROR(COUNTIF(J54:U54,"x"),1)+(Besatzung!$F$15="x")*IFERROR(H54,0)/IFERROR(SUMPRODUCT((J54:U54="x")*(Besatzung!$F$11:$F$22="x")),1))),(IF(COUNTIF(J54:U54,"x")=0,IF(Besatzung!$B$13&lt;&gt;"",1,0),(N54="x"))*(G54-IFERROR(H54,0))/IFERROR(IF(COUNTIF(J54:U54,"x")=0,COUNTA(Besatzung!$B$11:$B$22),COUNTIF(J54:U54,"x")),1)+IF(COUNTIF(J54:U54,"x")=0,(Besatzung!$F$15="x"),(N54="x")*(Besatzung!$F$15="x"))*IFERROR(H54,0)/IFERROR(IF(COUNTIF(J54:U54,"x")=0,SUMPRODUCT((Besatzung!$B$11:$B$22&lt;&gt;"")*(Besatzung!$F$11:$F$22="x")),SUMPRODUCT((J54:U54="x")*(Besatzung!$F$11:$F$22="x"))),1))))),0))))</f>
        <v/>
      </c>
      <c r="AA54" s="106">
        <f>IF(C54="Gutschrift","",IF(G54="","",IF(Besatzung!$B$15="","",IFERROR(IF(I54="Zeitanteilig",(Besatzung!$G$16*(G54-IFERROR(H54,0))+((Besatzung!$B$15&lt;&gt;"")*IF(B54="",1,(IF(Besatzung!$C$16="",Besatzung!$B$5,Besatzung!$C$16)&lt;=B54)*(IF(Besatzung!$D$16="",Besatzung!$B$6,Besatzung!$D$16)&gt;=B54)))*(Besatzung!$F$16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$15&lt;&gt;"")*IF(B54="",1,(IF(Besatzung!$C$16="",Besatzung!$B$5,Besatzung!$C$16)&lt;=B54)*(IF(Besatzung!$D$16="",Besatzung!$B$6,Besatzung!$D$16)&gt;=B54)))*((G54-IFERROR(H54,0))/IFERROR(SUMPRODUCT((Besatzung!$B$11:$B$22&lt;&gt;"")*(IF(Besatzung!$C$11:$C$22="",Besatzung!$B$5,Besatzung!$C$11:$C$22)&lt;=B54)*(IF(Besatzung!$D$11:$D$22="",Besatzung!$B$6,Besatzung!$D$11:$D$22)&gt;=B54)),1)+(Besatzung!$F$16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O54="x")*((G54-IFERROR(H54,0))/IFERROR(COUNTIF(J54:U54,"x"),1)+(Besatzung!$F$16="x")*IFERROR(H54,0)/IFERROR(SUMPRODUCT((J54:U54="x")*(Besatzung!$F$11:$F$22="x")),1))),(IF(COUNTIF(J54:U54,"x")=0,IF(Besatzung!$B$15&lt;&gt;"",1,0),(O54="x"))*(G54-IFERROR(H54,0))/IFERROR(IF(COUNTIF(J54:U54,"x")=0,COUNTA(Besatzung!$B$11:$B$22),COUNTIF(J54:U54,"x")),1)+IF(COUNTIF(J54:U54,"x")=0,(Besatzung!$F$16="x"),(O54="x")*(Besatzung!$F$16="x"))*IFERROR(H54,0)/IFERROR(IF(COUNTIF(J54:U54,"x")=0,SUMPRODUCT((Besatzung!$B$11:$B$22&lt;&gt;"")*(Besatzung!$F$11:$F$22="x")),SUMPRODUCT((J54:U54="x")*(Besatzung!$F$11:$F$22="x"))),1))))),0))))</f>
        <v/>
      </c>
      <c r="AB54" s="106">
        <f>IF(C54="Gutschrift","",IF(G54="","",IF(Besatzung!$B$17="","",IFERROR(IF(I54="Zeitanteilig",(Besatzung!$G$17*(G54-IFERROR(H54,0))+((Besatzung!$B$17&lt;&gt;"")*IF(B54="",1,(IF(Besatzung!$C$17="",Besatzung!$B$5,Besatzung!$C$17)&lt;=B54)*(IF(Besatzung!$D$17="",Besatzung!$B$6,Besatzung!$D$17)&gt;=B54)))*(Besatzung!$F$17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$17&lt;&gt;"")*IF(B54="",1,(IF(Besatzung!$C$17="",Besatzung!$B$5,Besatzung!$C$17)&lt;=B54)*(IF(Besatzung!$D$17="",Besatzung!$B$6,Besatzung!$D$17)&gt;=B54)))*((G54-IFERROR(H54,0))/IFERROR(SUMPRODUCT((Besatzung!$B$11:$B$22&lt;&gt;"")*(IF(Besatzung!$C$11:$C$22="",Besatzung!$B$5,Besatzung!$C$11:$C$22)&lt;=B54)*(IF(Besatzung!$D$11:$D$22="",Besatzung!$B$6,Besatzung!$D$11:$D$22)&gt;=B54)),1)+(Besatzung!$F$17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P54="x")*((G54-IFERROR(H54,0))/IFERROR(COUNTIF(J54:U54,"x"),1)+(Besatzung!$F$17="x")*IFERROR(H54,0)/IFERROR(SUMPRODUCT((J54:U54="x")*(Besatzung!$F$11:$F$22="x")),1))),(IF(COUNTIF(J54:U54,"x")=0,IF(Besatzung!$B$17&lt;&gt;"",1,0),(P54="x"))*(G54-IFERROR(H54,0))/IFERROR(IF(COUNTIF(J54:U54,"x")=0,COUNTA(Besatzung!$B$11:$B$22),COUNTIF(J54:U54,"x")),1)+IF(COUNTIF(J54:U54,"x")=0,(Besatzung!$F$17="x"),(P54="x")*(Besatzung!$F$17="x"))*IFERROR(H54,0)/IFERROR(IF(COUNTIF(J54:U54,"x")=0,SUMPRODUCT((Besatzung!$B$11:$B$22&lt;&gt;"")*(Besatzung!$F$11:$F$22="x")),SUMPRODUCT((J54:U54="x")*(Besatzung!$F$11:$F$22="x"))),1))))),0))))</f>
        <v/>
      </c>
      <c r="AC54" s="106">
        <f>IF(C54="Gutschrift","",IF(G54="","",IF(Besatzung!$B$18="","",IFERROR(IF(I54="Zeitanteilig",(Besatzung!$G$18*(G54-IFERROR(H54,0))+((Besatzung!$B$18&lt;&gt;"")*IF(B54="",1,(IF(Besatzung!$C$18="",Besatzung!$B$5,Besatzung!$C$18)&lt;=B54)*(IF(Besatzung!$D$18="",Besatzung!$B$6,Besatzung!$D$18)&gt;=B54)))*(Besatzung!$F$18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$18&lt;&gt;"")*IF(B54="",1,(IF(Besatzung!$C$18="",Besatzung!$B$5,Besatzung!$C$18)&lt;=B54)*(IF(Besatzung!$D$18="",Besatzung!$B$6,Besatzung!$D$18)&gt;=B54)))*((G54-IFERROR(H54,0))/IFERROR(SUMPRODUCT((Besatzung!$B$11:$B$22&lt;&gt;"")*(IF(Besatzung!$C$11:$C$22="",Besatzung!$B$5,Besatzung!$C$11:$C$22)&lt;=B54)*(IF(Besatzung!$D$11:$D$22="",Besatzung!$B$6,Besatzung!$D$11:$D$22)&gt;=B54)),1)+(Besatzung!$F$18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Q54="x")*((G54-IFERROR(H54,0))/IFERROR(COUNTIF(J54:U54,"x"),1)+(Besatzung!$F$18="x")*IFERROR(H54,0)/IFERROR(SUMPRODUCT((J54:U54="x")*(Besatzung!$F$11:$F$22="x")),1))),(IF(COUNTIF(J54:U54,"x")=0,IF(Besatzung!$B$18&lt;&gt;"",1,0),(Q54="x"))*(G54-IFERROR(H54,0))/IFERROR(IF(COUNTIF(J54:U54,"x")=0,COUNTA(Besatzung!$B$11:$B$22),COUNTIF(J54:U54,"x")),1)+IF(COUNTIF(J54:U54,"x")=0,(Besatzung!$F$18="x"),(Q54="x")*(Besatzung!$F$18="x"))*IFERROR(H54,0)/IFERROR(IF(COUNTIF(J54:U54,"x")=0,SUMPRODUCT((Besatzung!$B$11:$B$22&lt;&gt;"")*(Besatzung!$F$11:$F$22="x")),SUMPRODUCT((J54:U54="x")*(Besatzung!$F$11:$F$22="x"))),1))))),0))))</f>
        <v/>
      </c>
      <c r="AD54" s="106">
        <f>IF(C54="Gutschrift","",IF(G54="","",IF(Besatzung!$B$19="","",IFERROR(IF(I54="Zeitanteilig",(Besatzung!$G$19*(G54-IFERROR(H54,0))+((Besatzung!$B$19&lt;&gt;"")*IF(B54="",1,(IF(Besatzung!$C$19="",Besatzung!$B$5,Besatzung!$C$19)&lt;=B54)*(IF(Besatzung!$D$19="",Besatzung!$B$6,Besatzung!$D$19)&gt;=B54)))*(Besatzung!$F$19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$19&lt;&gt;"")*IF(B54="",1,(IF(Besatzung!$C$19="",Besatzung!$B$5,Besatzung!$C$19)&lt;=B54)*(IF(Besatzung!$D$19="",Besatzung!$B$6,Besatzung!$D$19)&gt;=B54)))*((G54-IFERROR(H54,0))/IFERROR(SUMPRODUCT((Besatzung!$B$11:$B$22&lt;&gt;"")*(IF(Besatzung!$C$11:$C$22="",Besatzung!$B$5,Besatzung!$C$11:$C$22)&lt;=B54)*(IF(Besatzung!$D$11:$D$22="",Besatzung!$B$6,Besatzung!$D$11:$D$22)&gt;=B54)),1)+(Besatzung!$F$19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R54="x")*((G54-IFERROR(H54,0))/IFERROR(COUNTIF(J54:U54,"x"),1)+(Besatzung!$F$19="x")*IFERROR(H54,0)/IFERROR(SUMPRODUCT((J54:U54="x")*(Besatzung!$F$11:$F$22="x")),1))),(IF(COUNTIF(J54:U54,"x")=0,IF(Besatzung!$B$19&lt;&gt;"",1,0),(R54="x"))*(G54-IFERROR(H54,0))/IFERROR(IF(COUNTIF(J54:U54,"x")=0,COUNTA(Besatzung!$B$11:$B$22),COUNTIF(J54:U54,"x")),1)+IF(COUNTIF(J54:U54,"x")=0,(Besatzung!$F$19="x"),(R54="x")*(Besatzung!$F$19="x"))*IFERROR(H54,0)/IFERROR(IF(COUNTIF(J54:U54,"x")=0,SUMPRODUCT((Besatzung!$B$11:$B$22&lt;&gt;"")*(Besatzung!$F$11:$F$22="x")),SUMPRODUCT((J54:U54="x")*(Besatzung!$F$11:$F$22="x"))),1))))),0))))</f>
        <v/>
      </c>
      <c r="AE54" s="106">
        <f>IF(C54="Gutschrift","",IF(G54="","",IF(Besatzung!$B$20="","",IFERROR(IF(I54="Zeitanteilig",(Besatzung!$G$20*(G54-IFERROR(H54,0))+((Besatzung!$B$20&lt;&gt;"")*IF(B54="",1,(IF(Besatzung!$C$20="",Besatzung!$B$5,Besatzung!$C$20)&lt;=B54)*(IF(Besatzung!$D$20="",Besatzung!$B$6,Besatzung!$D$20)&gt;=B54)))*(Besatzung!$F$20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$20&lt;&gt;"")*IF(B54="",1,(IF(Besatzung!$C$20="",Besatzung!$B$5,Besatzung!$C$20)&lt;=B54)*(IF(Besatzung!$D$20="",Besatzung!$B$6,Besatzung!$D$20)&gt;=B54)))*((G54-IFERROR(H54,0))/IFERROR(SUMPRODUCT((Besatzung!$B$11:$B$22&lt;&gt;"")*(IF(Besatzung!$C$11:$C$22="",Besatzung!$B$5,Besatzung!$C$11:$C$22)&lt;=B54)*(IF(Besatzung!$D$11:$D$22="",Besatzung!$B$6,Besatzung!$D$11:$D$22)&gt;=B54)),1)+(Besatzung!$F$20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S54="x")*((G54-IFERROR(H54,0))/IFERROR(COUNTIF(J54:U54,"x"),1)+(Besatzung!$F$20="x")*IFERROR(H54,0)/IFERROR(SUMPRODUCT((J54:U54="x")*(Besatzung!$F$11:$F$22="x")),1))),(IF(COUNTIF(J54:U54,"x")=0,IF(Besatzung!$B$20&lt;&gt;"",1,0),(S54="x"))*(G54-IFERROR(H54,0))/IFERROR(IF(COUNTIF(J54:U54,"x")=0,COUNTA(Besatzung!$B$11:$B$22),COUNTIF(J54:U54,"x")),1)+IF(COUNTIF(J54:U54,"x")=0,(Besatzung!$F$20="x"),(S54="x")*(Besatzung!$F$20="x"))*IFERROR(H54,0)/IFERROR(IF(COUNTIF(J54:U54,"x")=0,SUMPRODUCT((Besatzung!$B$11:$B$22&lt;&gt;"")*(Besatzung!$F$11:$F$22="x")),SUMPRODUCT((J54:U54="x")*(Besatzung!$F$11:$F$22="x"))),1))))),0))))</f>
        <v/>
      </c>
      <c r="AF54" s="106">
        <f>IF(C54="Gutschrift","",IF(G54="","",IF(Besatzung!$B$21="","",IFERROR(IF(I54="Zeitanteilig",(Besatzung!$G$21*(G54-IFERROR(H54,0))+((Besatzung!$B$21&lt;&gt;"")*IF(B54="",1,(IF(Besatzung!$C$21="",Besatzung!$B$5,Besatzung!$C$21)&lt;=B54)*(IF(Besatzung!$D$21="",Besatzung!$B$6,Besatzung!$D$21)&gt;=B54)))*(Besatzung!$F$21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$21&lt;&gt;"")*IF(B54="",1,(IF(Besatzung!$C$21="",Besatzung!$B$5,Besatzung!$C$21)&lt;=B54)*(IF(Besatzung!$D$21="",Besatzung!$B$6,Besatzung!$D$21)&gt;=B54)))*((G54-IFERROR(H54,0))/IFERROR(SUMPRODUCT((Besatzung!$B$11:$B$22&lt;&gt;"")*(IF(Besatzung!$C$11:$C$22="",Besatzung!$B$5,Besatzung!$C$11:$C$22)&lt;=B54)*(IF(Besatzung!$D$11:$D$22="",Besatzung!$B$6,Besatzung!$D$11:$D$22)&gt;=B54)),1)+(Besatzung!$F$21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T54="x")*((G54-IFERROR(H54,0))/IFERROR(COUNTIF(J54:U54,"x"),1)+(Besatzung!$F$21="x")*IFERROR(H54,0)/IFERROR(SUMPRODUCT((J54:U54="x")*(Besatzung!$F$11:$F$22="x")),1))),(IF(COUNTIF(J54:U54,"x")=0,IF(Besatzung!$B$21&lt;&gt;"",1,0),(T54="x"))*(G54-IFERROR(H54,0))/IFERROR(IF(COUNTIF(J54:U54,"x")=0,COUNTA(Besatzung!$B$11:$B$22),COUNTIF(J54:U54,"x")),1)+IF(COUNTIF(J54:U54,"x")=0,(Besatzung!$F$21="x"),(T54="x")*(Besatzung!$F$21="x"))*IFERROR(H54,0)/IFERROR(IF(COUNTIF(J54:U54,"x")=0,SUMPRODUCT((Besatzung!$B$11:$B$22&lt;&gt;"")*(Besatzung!$F$11:$F$22="x")),SUMPRODUCT((J54:U54="x")*(Besatzung!$F$11:$F$22="x"))),1))))),0))))</f>
        <v/>
      </c>
      <c r="AG54" s="106">
        <f>IF(C54="Gutschrift","",IF(G54="","",IF(Besatzung!$B$22="","",IFERROR(IF(I54="Zeitanteilig",(Besatzung!$G$22*(G54-IFERROR(H54,0))+((Besatzung!$B$22&lt;&gt;"")*IF(B54="",1,(IF(Besatzung!$C$22="",Besatzung!$B$5,Besatzung!$C$22)&lt;=B54)*(IF(Besatzung!$D$22="",Besatzung!$B$6,Besatzung!$D$22)&gt;=B54)))*(Besatzung!$F$22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$22&lt;&gt;"")*IF(B54="",1,(IF(Besatzung!$C$22="",Besatzung!$B$5,Besatzung!$C$22)&lt;=B54)*(IF(Besatzung!$D$22="",Besatzung!$B$6,Besatzung!$D$22)&gt;=B54)))*((G54-IFERROR(H54,0))/IFERROR(SUMPRODUCT((Besatzung!$B$11:$B$22&lt;&gt;"")*(IF(Besatzung!$C$11:$C$22="",Besatzung!$B$5,Besatzung!$C$11:$C$22)&lt;=B54)*(IF(Besatzung!$D$11:$D$22="",Besatzung!$B$6,Besatzung!$D$11:$D$22)&gt;=B54)),1)+(Besatzung!$F$22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U54="x")*((G54-IFERROR(H54,0))/IFERROR(COUNTIF(J54:U54,"x"),1)+(Besatzung!$F$22="x")*IFERROR(H54,0)/IFERROR(SUMPRODUCT((J54:U54="x")*(Besatzung!$F$11:$F$22="x")),1))),(IF(COUNTIF(J54:U54,"x")=0,IF(Besatzung!$B$22&lt;&gt;"",1,0),(U54="x"))*(G54-IFERROR(H54,0))/IFERROR(IF(COUNTIF(J54:U54,"x")=0,COUNTA(Besatzung!$B$11:$B$22),COUNTIF(J54:U54,"x")),1)+IF(COUNTIF(J54:U54,"x")=0,(Besatzung!$F$22="x"),(U54="x")*(Besatzung!$F$22="x"))*IFERROR(H54,0)/IFERROR(IF(COUNTIF(J54:U54,"x")=0,SUMPRODUCT((Besatzung!$B$11:$B$22&lt;&gt;"")*(Besatzung!$F$11:$F$22="x")),SUMPRODUCT((J54:U54="x")*(Besatzung!$F$11:$F$22="x"))),1))))),0))))</f>
        <v/>
      </c>
      <c r="AH54" s="107" t="n"/>
      <c r="AI54" s="107" t="n"/>
    </row>
    <row r="55" ht="21.75" customHeight="1" s="182">
      <c r="A55" s="97">
        <f>IF(AND(D55="",C55=""),"",52)</f>
        <v/>
      </c>
      <c r="B55" s="63" t="n"/>
      <c r="C55" s="108" t="n"/>
      <c r="D55" s="109" t="n"/>
      <c r="E55" s="110" t="n"/>
      <c r="F55" s="111" t="n"/>
      <c r="G55" s="112" t="n"/>
      <c r="H55" s="113" t="n"/>
      <c r="I55" s="114" t="n"/>
      <c r="J55" s="115" t="n"/>
      <c r="K55" s="115" t="n"/>
      <c r="L55" s="115" t="n"/>
      <c r="M55" s="115" t="n"/>
      <c r="N55" s="115" t="n"/>
      <c r="O55" s="115" t="n"/>
      <c r="P55" s="115" t="n"/>
      <c r="Q55" s="115" t="n"/>
      <c r="R55" s="115" t="n"/>
      <c r="S55" s="115" t="n"/>
      <c r="T55" s="115" t="n"/>
      <c r="U55" s="115" t="n"/>
      <c r="V55" s="106">
        <f>IF(C55="Gutschrift","",IF(G55="","",IF(Besatzung!$B$11="","",IFERROR(IF(I55="Zeitanteilig",(Besatzung!$G$11*(G55-IFERROR(H55,0))+((Besatzung!$B$11&lt;&gt;"")*IF(B55="",1,(IF(Besatzung!$C$11="",Besatzung!$B$5,Besatzung!$C$11)&lt;=B55)*(IF(Besatzung!$D$11="",Besatzung!$B$6,Besatzung!$D$11)&gt;=B55)))*(Besatzung!$F$11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$11&lt;&gt;"")*IF(B55="",1,(IF(Besatzung!$C$11="",Besatzung!$B$5,Besatzung!$C$11)&lt;=B55)*(IF(Besatzung!$D$11="",Besatzung!$B$6,Besatzung!$D$11)&gt;=B55)))*((G55-IFERROR(H55,0))/IFERROR(SUMPRODUCT((Besatzung!$B$11:$B$22&lt;&gt;"")*(IF(Besatzung!$C$11:$C$22="",Besatzung!$B$5,Besatzung!$C$11:$C$22)&lt;=B55)*(IF(Besatzung!$D$11:$D$22="",Besatzung!$B$6,Besatzung!$D$11:$D$22)&gt;=B55)),1)+(Besatzung!$F$11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J55="x")*((G55-IFERROR(H55,0))/IFERROR(COUNTIF(J55:U55,"x"),1)+(Besatzung!$F$11="x")*IFERROR(H55,0)/IFERROR(SUMPRODUCT((J55:U55="x")*(Besatzung!$F$11:$F$22="x")),1))),(IF(COUNTIF(J55:U55,"x")=0,IF(Besatzung!$B$11&lt;&gt;"",1,0),(J55="x"))*(G55-IFERROR(H55,0))/IFERROR(IF(COUNTIF(J55:U55,"x")=0,COUNTA(Besatzung!$B$11:$B$22),COUNTIF(J55:U55,"x")),1)+IF(COUNTIF(J55:U55,"x")=0,(Besatzung!$F$11="x"),(J55="x")*(Besatzung!$F$11="x"))*IFERROR(H55,0)/IFERROR(IF(COUNTIF(J55:U55,"x")=0,SUMPRODUCT((Besatzung!$B$11:$B$22&lt;&gt;"")*(Besatzung!$F$11:$F$22="x")),SUMPRODUCT((J55:U55="x")*(Besatzung!$F$11:$F$22="x"))),1))))),0))))</f>
        <v/>
      </c>
      <c r="W55" s="106">
        <f>IF(C55="Gutschrift","",IF(G55="","",IF(Besatzung!$B$12="","",IFERROR(IF(I55="Zeitanteilig",(Besatzung!$G$12*(G55-IFERROR(H55,0))+((Besatzung!$B$12&lt;&gt;"")*IF(B55="",1,(IF(Besatzung!$C$12="",Besatzung!$B$5,Besatzung!$C$12)&lt;=B55)*(IF(Besatzung!$D$12="",Besatzung!$B$6,Besatzung!$D$12)&gt;=B55)))*(Besatzung!$F$12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$12&lt;&gt;"")*IF(B55="",1,(IF(Besatzung!$C$12="",Besatzung!$B$5,Besatzung!$C$12)&lt;=B55)*(IF(Besatzung!$D$12="",Besatzung!$B$6,Besatzung!$D$12)&gt;=B55)))*((G55-IFERROR(H55,0))/IFERROR(SUMPRODUCT((Besatzung!$B$11:$B$22&lt;&gt;"")*(IF(Besatzung!$C$11:$C$22="",Besatzung!$B$5,Besatzung!$C$11:$C$22)&lt;=B55)*(IF(Besatzung!$D$11:$D$22="",Besatzung!$B$6,Besatzung!$D$11:$D$22)&gt;=B55)),1)+(Besatzung!$F$12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K55="x")*((G55-IFERROR(H55,0))/IFERROR(COUNTIF(J55:U55,"x"),1)+(Besatzung!$F$12="x")*IFERROR(H55,0)/IFERROR(SUMPRODUCT((J55:U55="x")*(Besatzung!$F$11:$F$22="x")),1))),(IF(COUNTIF(J55:U55,"x")=0,IF(Besatzung!$B$12&lt;&gt;"",1,0),(K55="x"))*(G55-IFERROR(H55,0))/IFERROR(IF(COUNTIF(J55:U55,"x")=0,COUNTA(Besatzung!$B$11:$B$22),COUNTIF(J55:U55,"x")),1)+IF(COUNTIF(J55:U55,"x")=0,(Besatzung!$F$12="x"),(K55="x")*(Besatzung!$F$12="x"))*IFERROR(H55,0)/IFERROR(IF(COUNTIF(J55:U55,"x")=0,SUMPRODUCT((Besatzung!$B$11:$B$22&lt;&gt;"")*(Besatzung!$F$11:$F$22="x")),SUMPRODUCT((J55:U55="x")*(Besatzung!$F$11:$F$22="x"))),1))))),0))))</f>
        <v/>
      </c>
      <c r="X55" s="106">
        <f>IF(C55="Gutschrift","",IF(G55="","",IF(Besatzung!$B$13="","",IFERROR(IF(I55="Zeitanteilig",(Besatzung!$G$13*(G55-IFERROR(H55,0))+((Besatzung!$B$13&lt;&gt;"")*IF(B55="",1,(IF(Besatzung!$C$13="",Besatzung!$B$5,Besatzung!$C$13)&lt;=B55)*(IF(Besatzung!$D$13="",Besatzung!$B$6,Besatzung!$D$13)&gt;=B55)))*(Besatzung!$F$13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$13&lt;&gt;"")*IF(B55="",1,(IF(Besatzung!$C$13="",Besatzung!$B$5,Besatzung!$C$13)&lt;=B55)*(IF(Besatzung!$D$13="",Besatzung!$B$6,Besatzung!$D$13)&gt;=B55)))*((G55-IFERROR(H55,0))/IFERROR(SUMPRODUCT((Besatzung!$B$11:$B$22&lt;&gt;"")*(IF(Besatzung!$C$11:$C$22="",Besatzung!$B$5,Besatzung!$C$11:$C$22)&lt;=B55)*(IF(Besatzung!$D$11:$D$22="",Besatzung!$B$6,Besatzung!$D$11:$D$22)&gt;=B55)),1)+(Besatzung!$F$13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K55="x")*((G55-IFERROR(H55,0))/IFERROR(COUNTIF(J55:U55,"x"),1)+(Besatzung!$F$13="x")*IFERROR(H55,0)/IFERROR(SUMPRODUCT((J55:U55="x")*(Besatzung!$F$11:$F$22="x")),1))),(IF(COUNTIF(J55:U55,"x")=0,IF(Besatzung!$B$13&lt;&gt;"",1,0),(K55="x"))*(G55-IFERROR(H55,0))/IFERROR(IF(COUNTIF(J55:U55,"x")=0,COUNTA(Besatzung!$B$11:$B$22),COUNTIF(J55:U55,"x")),1)+IF(COUNTIF(J55:U55,"x")=0,(Besatzung!$F$13="x"),(K55="x")*(Besatzung!$F$13="x"))*IFERROR(H55,0)/IFERROR(IF(COUNTIF(J55:U55,"x")=0,SUMPRODUCT((Besatzung!$B$11:$B$22&lt;&gt;"")*(Besatzung!$F$11:$F$22="x")),SUMPRODUCT((J55:U55="x")*(Besatzung!$F$11:$F$22="x"))),1))))),0))))</f>
        <v/>
      </c>
      <c r="Y55" s="106">
        <f>IF(C55="Gutschrift","",IF(G55="","",IF(Besatzung!$B$14="","",IFERROR(IF(I55="Zeitanteilig",(Besatzung!$G$14*(G55-IFERROR(H55,0))+((Besatzung!$B$14&lt;&gt;"")*IF(B55="",1,(IF(Besatzung!$C$14="",Besatzung!$B$5,Besatzung!$C$14)&lt;=B55)*(IF(Besatzung!$D$14="",Besatzung!$B$6,Besatzung!$D$14)&gt;=B55)))*(Besatzung!$F$14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$14&lt;&gt;"")*IF(B55="",1,(IF(Besatzung!$C$14="",Besatzung!$B$5,Besatzung!$C$14)&lt;=B55)*(IF(Besatzung!$D$14="",Besatzung!$B$6,Besatzung!$D$14)&gt;=B55)))*((G55-IFERROR(H55,0))/IFERROR(SUMPRODUCT((Besatzung!$B$11:$B$22&lt;&gt;"")*(IF(Besatzung!$C$11:$C$22="",Besatzung!$B$5,Besatzung!$C$11:$C$22)&lt;=B55)*(IF(Besatzung!$D$11:$D$22="",Besatzung!$B$6,Besatzung!$D$11:$D$22)&gt;=B55)),1)+(Besatzung!$F$14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M55="x")*((G55-IFERROR(H55,0))/IFERROR(COUNTIF(J55:U55,"x"),1)+(Besatzung!$F$14="x")*IFERROR(H55,0)/IFERROR(SUMPRODUCT((J55:U55="x")*(Besatzung!$F$11:$F$22="x")),1))),(IF(COUNTIF(J55:U55,"x")=0,IF(Besatzung!$B$14&lt;&gt;"",1,0),(M55="x"))*(G55-IFERROR(H55,0))/IFERROR(IF(COUNTIF(J55:U55,"x")=0,COUNTA(Besatzung!$B$11:$B$22),COUNTIF(J55:U55,"x")),1)+IF(COUNTIF(J55:U55,"x")=0,(Besatzung!$F$14="x"),(M55="x")*(Besatzung!$F$14="x"))*IFERROR(H55,0)/IFERROR(IF(COUNTIF(J55:U55,"x")=0,SUMPRODUCT((Besatzung!$B$11:$B$22&lt;&gt;"")*(Besatzung!$F$11:$F$22="x")),SUMPRODUCT((J55:U55="x")*(Besatzung!$F$11:$F$22="x"))),1))))),0))))</f>
        <v/>
      </c>
      <c r="Z55" s="106">
        <f>IF(C55="Gutschrift","",IF(G55="","",IF(Besatzung!$B$13="","",IFERROR(IF(I55="Zeitanteilig",(Besatzung!$G$15*(G55-IFERROR(H55,0))+((Besatzung!$B$13&lt;&gt;"")*IF(B55="",1,(IF(Besatzung!$C$15="",Besatzung!$B$5,Besatzung!$C$15)&lt;=B55)*(IF(Besatzung!$D$15="",Besatzung!$B$6,Besatzung!$D$15)&gt;=B55)))*(Besatzung!$F$15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$13&lt;&gt;"")*IF(B55="",1,(IF(Besatzung!$C$15="",Besatzung!$B$5,Besatzung!$C$15)&lt;=B55)*(IF(Besatzung!$D$15="",Besatzung!$B$6,Besatzung!$D$15)&gt;=B55)))*((G55-IFERROR(H55,0))/IFERROR(SUMPRODUCT((Besatzung!$B$11:$B$22&lt;&gt;"")*(IF(Besatzung!$C$11:$C$22="",Besatzung!$B$5,Besatzung!$C$11:$C$22)&lt;=B55)*(IF(Besatzung!$D$11:$D$22="",Besatzung!$B$6,Besatzung!$D$11:$D$22)&gt;=B55)),1)+(Besatzung!$F$15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N55="x")*((G55-IFERROR(H55,0))/IFERROR(COUNTIF(J55:U55,"x"),1)+(Besatzung!$F$15="x")*IFERROR(H55,0)/IFERROR(SUMPRODUCT((J55:U55="x")*(Besatzung!$F$11:$F$22="x")),1))),(IF(COUNTIF(J55:U55,"x")=0,IF(Besatzung!$B$13&lt;&gt;"",1,0),(N55="x"))*(G55-IFERROR(H55,0))/IFERROR(IF(COUNTIF(J55:U55,"x")=0,COUNTA(Besatzung!$B$11:$B$22),COUNTIF(J55:U55,"x")),1)+IF(COUNTIF(J55:U55,"x")=0,(Besatzung!$F$15="x"),(N55="x")*(Besatzung!$F$15="x"))*IFERROR(H55,0)/IFERROR(IF(COUNTIF(J55:U55,"x")=0,SUMPRODUCT((Besatzung!$B$11:$B$22&lt;&gt;"")*(Besatzung!$F$11:$F$22="x")),SUMPRODUCT((J55:U55="x")*(Besatzung!$F$11:$F$22="x"))),1))))),0))))</f>
        <v/>
      </c>
      <c r="AA55" s="106">
        <f>IF(C55="Gutschrift","",IF(G55="","",IF(Besatzung!$B$15="","",IFERROR(IF(I55="Zeitanteilig",(Besatzung!$G$16*(G55-IFERROR(H55,0))+((Besatzung!$B$15&lt;&gt;"")*IF(B55="",1,(IF(Besatzung!$C$16="",Besatzung!$B$5,Besatzung!$C$16)&lt;=B55)*(IF(Besatzung!$D$16="",Besatzung!$B$6,Besatzung!$D$16)&gt;=B55)))*(Besatzung!$F$16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$15&lt;&gt;"")*IF(B55="",1,(IF(Besatzung!$C$16="",Besatzung!$B$5,Besatzung!$C$16)&lt;=B55)*(IF(Besatzung!$D$16="",Besatzung!$B$6,Besatzung!$D$16)&gt;=B55)))*((G55-IFERROR(H55,0))/IFERROR(SUMPRODUCT((Besatzung!$B$11:$B$22&lt;&gt;"")*(IF(Besatzung!$C$11:$C$22="",Besatzung!$B$5,Besatzung!$C$11:$C$22)&lt;=B55)*(IF(Besatzung!$D$11:$D$22="",Besatzung!$B$6,Besatzung!$D$11:$D$22)&gt;=B55)),1)+(Besatzung!$F$16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O55="x")*((G55-IFERROR(H55,0))/IFERROR(COUNTIF(J55:U55,"x"),1)+(Besatzung!$F$16="x")*IFERROR(H55,0)/IFERROR(SUMPRODUCT((J55:U55="x")*(Besatzung!$F$11:$F$22="x")),1))),(IF(COUNTIF(J55:U55,"x")=0,IF(Besatzung!$B$15&lt;&gt;"",1,0),(O55="x"))*(G55-IFERROR(H55,0))/IFERROR(IF(COUNTIF(J55:U55,"x")=0,COUNTA(Besatzung!$B$11:$B$22),COUNTIF(J55:U55,"x")),1)+IF(COUNTIF(J55:U55,"x")=0,(Besatzung!$F$16="x"),(O55="x")*(Besatzung!$F$16="x"))*IFERROR(H55,0)/IFERROR(IF(COUNTIF(J55:U55,"x")=0,SUMPRODUCT((Besatzung!$B$11:$B$22&lt;&gt;"")*(Besatzung!$F$11:$F$22="x")),SUMPRODUCT((J55:U55="x")*(Besatzung!$F$11:$F$22="x"))),1))))),0))))</f>
        <v/>
      </c>
      <c r="AB55" s="106">
        <f>IF(C55="Gutschrift","",IF(G55="","",IF(Besatzung!$B$17="","",IFERROR(IF(I55="Zeitanteilig",(Besatzung!$G$17*(G55-IFERROR(H55,0))+((Besatzung!$B$17&lt;&gt;"")*IF(B55="",1,(IF(Besatzung!$C$17="",Besatzung!$B$5,Besatzung!$C$17)&lt;=B55)*(IF(Besatzung!$D$17="",Besatzung!$B$6,Besatzung!$D$17)&gt;=B55)))*(Besatzung!$F$17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$17&lt;&gt;"")*IF(B55="",1,(IF(Besatzung!$C$17="",Besatzung!$B$5,Besatzung!$C$17)&lt;=B55)*(IF(Besatzung!$D$17="",Besatzung!$B$6,Besatzung!$D$17)&gt;=B55)))*((G55-IFERROR(H55,0))/IFERROR(SUMPRODUCT((Besatzung!$B$11:$B$22&lt;&gt;"")*(IF(Besatzung!$C$11:$C$22="",Besatzung!$B$5,Besatzung!$C$11:$C$22)&lt;=B55)*(IF(Besatzung!$D$11:$D$22="",Besatzung!$B$6,Besatzung!$D$11:$D$22)&gt;=B55)),1)+(Besatzung!$F$17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P55="x")*((G55-IFERROR(H55,0))/IFERROR(COUNTIF(J55:U55,"x"),1)+(Besatzung!$F$17="x")*IFERROR(H55,0)/IFERROR(SUMPRODUCT((J55:U55="x")*(Besatzung!$F$11:$F$22="x")),1))),(IF(COUNTIF(J55:U55,"x")=0,IF(Besatzung!$B$17&lt;&gt;"",1,0),(P55="x"))*(G55-IFERROR(H55,0))/IFERROR(IF(COUNTIF(J55:U55,"x")=0,COUNTA(Besatzung!$B$11:$B$22),COUNTIF(J55:U55,"x")),1)+IF(COUNTIF(J55:U55,"x")=0,(Besatzung!$F$17="x"),(P55="x")*(Besatzung!$F$17="x"))*IFERROR(H55,0)/IFERROR(IF(COUNTIF(J55:U55,"x")=0,SUMPRODUCT((Besatzung!$B$11:$B$22&lt;&gt;"")*(Besatzung!$F$11:$F$22="x")),SUMPRODUCT((J55:U55="x")*(Besatzung!$F$11:$F$22="x"))),1))))),0))))</f>
        <v/>
      </c>
      <c r="AC55" s="106">
        <f>IF(C55="Gutschrift","",IF(G55="","",IF(Besatzung!$B$18="","",IFERROR(IF(I55="Zeitanteilig",(Besatzung!$G$18*(G55-IFERROR(H55,0))+((Besatzung!$B$18&lt;&gt;"")*IF(B55="",1,(IF(Besatzung!$C$18="",Besatzung!$B$5,Besatzung!$C$18)&lt;=B55)*(IF(Besatzung!$D$18="",Besatzung!$B$6,Besatzung!$D$18)&gt;=B55)))*(Besatzung!$F$18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$18&lt;&gt;"")*IF(B55="",1,(IF(Besatzung!$C$18="",Besatzung!$B$5,Besatzung!$C$18)&lt;=B55)*(IF(Besatzung!$D$18="",Besatzung!$B$6,Besatzung!$D$18)&gt;=B55)))*((G55-IFERROR(H55,0))/IFERROR(SUMPRODUCT((Besatzung!$B$11:$B$22&lt;&gt;"")*(IF(Besatzung!$C$11:$C$22="",Besatzung!$B$5,Besatzung!$C$11:$C$22)&lt;=B55)*(IF(Besatzung!$D$11:$D$22="",Besatzung!$B$6,Besatzung!$D$11:$D$22)&gt;=B55)),1)+(Besatzung!$F$18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Q55="x")*((G55-IFERROR(H55,0))/IFERROR(COUNTIF(J55:U55,"x"),1)+(Besatzung!$F$18="x")*IFERROR(H55,0)/IFERROR(SUMPRODUCT((J55:U55="x")*(Besatzung!$F$11:$F$22="x")),1))),(IF(COUNTIF(J55:U55,"x")=0,IF(Besatzung!$B$18&lt;&gt;"",1,0),(Q55="x"))*(G55-IFERROR(H55,0))/IFERROR(IF(COUNTIF(J55:U55,"x")=0,COUNTA(Besatzung!$B$11:$B$22),COUNTIF(J55:U55,"x")),1)+IF(COUNTIF(J55:U55,"x")=0,(Besatzung!$F$18="x"),(Q55="x")*(Besatzung!$F$18="x"))*IFERROR(H55,0)/IFERROR(IF(COUNTIF(J55:U55,"x")=0,SUMPRODUCT((Besatzung!$B$11:$B$22&lt;&gt;"")*(Besatzung!$F$11:$F$22="x")),SUMPRODUCT((J55:U55="x")*(Besatzung!$F$11:$F$22="x"))),1))))),0))))</f>
        <v/>
      </c>
      <c r="AD55" s="106">
        <f>IF(C55="Gutschrift","",IF(G55="","",IF(Besatzung!$B$19="","",IFERROR(IF(I55="Zeitanteilig",(Besatzung!$G$19*(G55-IFERROR(H55,0))+((Besatzung!$B$19&lt;&gt;"")*IF(B55="",1,(IF(Besatzung!$C$19="",Besatzung!$B$5,Besatzung!$C$19)&lt;=B55)*(IF(Besatzung!$D$19="",Besatzung!$B$6,Besatzung!$D$19)&gt;=B55)))*(Besatzung!$F$19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$19&lt;&gt;"")*IF(B55="",1,(IF(Besatzung!$C$19="",Besatzung!$B$5,Besatzung!$C$19)&lt;=B55)*(IF(Besatzung!$D$19="",Besatzung!$B$6,Besatzung!$D$19)&gt;=B55)))*((G55-IFERROR(H55,0))/IFERROR(SUMPRODUCT((Besatzung!$B$11:$B$22&lt;&gt;"")*(IF(Besatzung!$C$11:$C$22="",Besatzung!$B$5,Besatzung!$C$11:$C$22)&lt;=B55)*(IF(Besatzung!$D$11:$D$22="",Besatzung!$B$6,Besatzung!$D$11:$D$22)&gt;=B55)),1)+(Besatzung!$F$19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R55="x")*((G55-IFERROR(H55,0))/IFERROR(COUNTIF(J55:U55,"x"),1)+(Besatzung!$F$19="x")*IFERROR(H55,0)/IFERROR(SUMPRODUCT((J55:U55="x")*(Besatzung!$F$11:$F$22="x")),1))),(IF(COUNTIF(J55:U55,"x")=0,IF(Besatzung!$B$19&lt;&gt;"",1,0),(R55="x"))*(G55-IFERROR(H55,0))/IFERROR(IF(COUNTIF(J55:U55,"x")=0,COUNTA(Besatzung!$B$11:$B$22),COUNTIF(J55:U55,"x")),1)+IF(COUNTIF(J55:U55,"x")=0,(Besatzung!$F$19="x"),(R55="x")*(Besatzung!$F$19="x"))*IFERROR(H55,0)/IFERROR(IF(COUNTIF(J55:U55,"x")=0,SUMPRODUCT((Besatzung!$B$11:$B$22&lt;&gt;"")*(Besatzung!$F$11:$F$22="x")),SUMPRODUCT((J55:U55="x")*(Besatzung!$F$11:$F$22="x"))),1))))),0))))</f>
        <v/>
      </c>
      <c r="AE55" s="106">
        <f>IF(C55="Gutschrift","",IF(G55="","",IF(Besatzung!$B$20="","",IFERROR(IF(I55="Zeitanteilig",(Besatzung!$G$20*(G55-IFERROR(H55,0))+((Besatzung!$B$20&lt;&gt;"")*IF(B55="",1,(IF(Besatzung!$C$20="",Besatzung!$B$5,Besatzung!$C$20)&lt;=B55)*(IF(Besatzung!$D$20="",Besatzung!$B$6,Besatzung!$D$20)&gt;=B55)))*(Besatzung!$F$20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$20&lt;&gt;"")*IF(B55="",1,(IF(Besatzung!$C$20="",Besatzung!$B$5,Besatzung!$C$20)&lt;=B55)*(IF(Besatzung!$D$20="",Besatzung!$B$6,Besatzung!$D$20)&gt;=B55)))*((G55-IFERROR(H55,0))/IFERROR(SUMPRODUCT((Besatzung!$B$11:$B$22&lt;&gt;"")*(IF(Besatzung!$C$11:$C$22="",Besatzung!$B$5,Besatzung!$C$11:$C$22)&lt;=B55)*(IF(Besatzung!$D$11:$D$22="",Besatzung!$B$6,Besatzung!$D$11:$D$22)&gt;=B55)),1)+(Besatzung!$F$20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S55="x")*((G55-IFERROR(H55,0))/IFERROR(COUNTIF(J55:U55,"x"),1)+(Besatzung!$F$20="x")*IFERROR(H55,0)/IFERROR(SUMPRODUCT((J55:U55="x")*(Besatzung!$F$11:$F$22="x")),1))),(IF(COUNTIF(J55:U55,"x")=0,IF(Besatzung!$B$20&lt;&gt;"",1,0),(S55="x"))*(G55-IFERROR(H55,0))/IFERROR(IF(COUNTIF(J55:U55,"x")=0,COUNTA(Besatzung!$B$11:$B$22),COUNTIF(J55:U55,"x")),1)+IF(COUNTIF(J55:U55,"x")=0,(Besatzung!$F$20="x"),(S55="x")*(Besatzung!$F$20="x"))*IFERROR(H55,0)/IFERROR(IF(COUNTIF(J55:U55,"x")=0,SUMPRODUCT((Besatzung!$B$11:$B$22&lt;&gt;"")*(Besatzung!$F$11:$F$22="x")),SUMPRODUCT((J55:U55="x")*(Besatzung!$F$11:$F$22="x"))),1))))),0))))</f>
        <v/>
      </c>
      <c r="AF55" s="106">
        <f>IF(C55="Gutschrift","",IF(G55="","",IF(Besatzung!$B$21="","",IFERROR(IF(I55="Zeitanteilig",(Besatzung!$G$21*(G55-IFERROR(H55,0))+((Besatzung!$B$21&lt;&gt;"")*IF(B55="",1,(IF(Besatzung!$C$21="",Besatzung!$B$5,Besatzung!$C$21)&lt;=B55)*(IF(Besatzung!$D$21="",Besatzung!$B$6,Besatzung!$D$21)&gt;=B55)))*(Besatzung!$F$21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$21&lt;&gt;"")*IF(B55="",1,(IF(Besatzung!$C$21="",Besatzung!$B$5,Besatzung!$C$21)&lt;=B55)*(IF(Besatzung!$D$21="",Besatzung!$B$6,Besatzung!$D$21)&gt;=B55)))*((G55-IFERROR(H55,0))/IFERROR(SUMPRODUCT((Besatzung!$B$11:$B$22&lt;&gt;"")*(IF(Besatzung!$C$11:$C$22="",Besatzung!$B$5,Besatzung!$C$11:$C$22)&lt;=B55)*(IF(Besatzung!$D$11:$D$22="",Besatzung!$B$6,Besatzung!$D$11:$D$22)&gt;=B55)),1)+(Besatzung!$F$21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T55="x")*((G55-IFERROR(H55,0))/IFERROR(COUNTIF(J55:U55,"x"),1)+(Besatzung!$F$21="x")*IFERROR(H55,0)/IFERROR(SUMPRODUCT((J55:U55="x")*(Besatzung!$F$11:$F$22="x")),1))),(IF(COUNTIF(J55:U55,"x")=0,IF(Besatzung!$B$21&lt;&gt;"",1,0),(T55="x"))*(G55-IFERROR(H55,0))/IFERROR(IF(COUNTIF(J55:U55,"x")=0,COUNTA(Besatzung!$B$11:$B$22),COUNTIF(J55:U55,"x")),1)+IF(COUNTIF(J55:U55,"x")=0,(Besatzung!$F$21="x"),(T55="x")*(Besatzung!$F$21="x"))*IFERROR(H55,0)/IFERROR(IF(COUNTIF(J55:U55,"x")=0,SUMPRODUCT((Besatzung!$B$11:$B$22&lt;&gt;"")*(Besatzung!$F$11:$F$22="x")),SUMPRODUCT((J55:U55="x")*(Besatzung!$F$11:$F$22="x"))),1))))),0))))</f>
        <v/>
      </c>
      <c r="AG55" s="106">
        <f>IF(C55="Gutschrift","",IF(G55="","",IF(Besatzung!$B$22="","",IFERROR(IF(I55="Zeitanteilig",(Besatzung!$G$22*(G55-IFERROR(H55,0))+((Besatzung!$B$22&lt;&gt;"")*IF(B55="",1,(IF(Besatzung!$C$22="",Besatzung!$B$5,Besatzung!$C$22)&lt;=B55)*(IF(Besatzung!$D$22="",Besatzung!$B$6,Besatzung!$D$22)&gt;=B55)))*(Besatzung!$F$22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$22&lt;&gt;"")*IF(B55="",1,(IF(Besatzung!$C$22="",Besatzung!$B$5,Besatzung!$C$22)&lt;=B55)*(IF(Besatzung!$D$22="",Besatzung!$B$6,Besatzung!$D$22)&gt;=B55)))*((G55-IFERROR(H55,0))/IFERROR(SUMPRODUCT((Besatzung!$B$11:$B$22&lt;&gt;"")*(IF(Besatzung!$C$11:$C$22="",Besatzung!$B$5,Besatzung!$C$11:$C$22)&lt;=B55)*(IF(Besatzung!$D$11:$D$22="",Besatzung!$B$6,Besatzung!$D$11:$D$22)&gt;=B55)),1)+(Besatzung!$F$22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U55="x")*((G55-IFERROR(H55,0))/IFERROR(COUNTIF(J55:U55,"x"),1)+(Besatzung!$F$22="x")*IFERROR(H55,0)/IFERROR(SUMPRODUCT((J55:U55="x")*(Besatzung!$F$11:$F$22="x")),1))),(IF(COUNTIF(J55:U55,"x")=0,IF(Besatzung!$B$22&lt;&gt;"",1,0),(U55="x"))*(G55-IFERROR(H55,0))/IFERROR(IF(COUNTIF(J55:U55,"x")=0,COUNTA(Besatzung!$B$11:$B$22),COUNTIF(J55:U55,"x")),1)+IF(COUNTIF(J55:U55,"x")=0,(Besatzung!$F$22="x"),(U55="x")*(Besatzung!$F$22="x"))*IFERROR(H55,0)/IFERROR(IF(COUNTIF(J55:U55,"x")=0,SUMPRODUCT((Besatzung!$B$11:$B$22&lt;&gt;"")*(Besatzung!$F$11:$F$22="x")),SUMPRODUCT((J55:U55="x")*(Besatzung!$F$11:$F$22="x"))),1))))),0))))</f>
        <v/>
      </c>
      <c r="AH55" s="107" t="n"/>
      <c r="AI55" s="107" t="n"/>
    </row>
    <row r="56" ht="21.75" customHeight="1" s="182">
      <c r="A56" s="97">
        <f>IF(AND(D56="",C56=""),"",53)</f>
        <v/>
      </c>
      <c r="B56" s="56" t="n"/>
      <c r="C56" s="98" t="n"/>
      <c r="D56" s="99" t="n"/>
      <c r="E56" s="100" t="n"/>
      <c r="F56" s="101" t="n"/>
      <c r="G56" s="102" t="n"/>
      <c r="H56" s="103" t="n"/>
      <c r="I56" s="104" t="n"/>
      <c r="J56" s="105" t="n"/>
      <c r="K56" s="105" t="n"/>
      <c r="L56" s="105" t="n"/>
      <c r="M56" s="105" t="n"/>
      <c r="N56" s="105" t="n"/>
      <c r="O56" s="105" t="n"/>
      <c r="P56" s="105" t="n"/>
      <c r="Q56" s="105" t="n"/>
      <c r="R56" s="105" t="n"/>
      <c r="S56" s="105" t="n"/>
      <c r="T56" s="105" t="n"/>
      <c r="U56" s="105" t="n"/>
      <c r="V56" s="106">
        <f>IF(C56="Gutschrift","",IF(G56="","",IF(Besatzung!$B$11="","",IFERROR(IF(I56="Zeitanteilig",(Besatzung!$G$11*(G56-IFERROR(H56,0))+((Besatzung!$B$11&lt;&gt;"")*IF(B56="",1,(IF(Besatzung!$C$11="",Besatzung!$B$5,Besatzung!$C$11)&lt;=B56)*(IF(Besatzung!$D$11="",Besatzung!$B$6,Besatzung!$D$11)&gt;=B56)))*(Besatzung!$F$11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$11&lt;&gt;"")*IF(B56="",1,(IF(Besatzung!$C$11="",Besatzung!$B$5,Besatzung!$C$11)&lt;=B56)*(IF(Besatzung!$D$11="",Besatzung!$B$6,Besatzung!$D$11)&gt;=B56)))*((G56-IFERROR(H56,0))/IFERROR(SUMPRODUCT((Besatzung!$B$11:$B$22&lt;&gt;"")*(IF(Besatzung!$C$11:$C$22="",Besatzung!$B$5,Besatzung!$C$11:$C$22)&lt;=B56)*(IF(Besatzung!$D$11:$D$22="",Besatzung!$B$6,Besatzung!$D$11:$D$22)&gt;=B56)),1)+(Besatzung!$F$11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J56="x")*((G56-IFERROR(H56,0))/IFERROR(COUNTIF(J56:U56,"x"),1)+(Besatzung!$F$11="x")*IFERROR(H56,0)/IFERROR(SUMPRODUCT((J56:U56="x")*(Besatzung!$F$11:$F$22="x")),1))),(IF(COUNTIF(J56:U56,"x")=0,IF(Besatzung!$B$11&lt;&gt;"",1,0),(J56="x"))*(G56-IFERROR(H56,0))/IFERROR(IF(COUNTIF(J56:U56,"x")=0,COUNTA(Besatzung!$B$11:$B$22),COUNTIF(J56:U56,"x")),1)+IF(COUNTIF(J56:U56,"x")=0,(Besatzung!$F$11="x"),(J56="x")*(Besatzung!$F$11="x"))*IFERROR(H56,0)/IFERROR(IF(COUNTIF(J56:U56,"x")=0,SUMPRODUCT((Besatzung!$B$11:$B$22&lt;&gt;"")*(Besatzung!$F$11:$F$22="x")),SUMPRODUCT((J56:U56="x")*(Besatzung!$F$11:$F$22="x"))),1))))),0))))</f>
        <v/>
      </c>
      <c r="W56" s="106">
        <f>IF(C56="Gutschrift","",IF(G56="","",IF(Besatzung!$B$12="","",IFERROR(IF(I56="Zeitanteilig",(Besatzung!$G$12*(G56-IFERROR(H56,0))+((Besatzung!$B$12&lt;&gt;"")*IF(B56="",1,(IF(Besatzung!$C$12="",Besatzung!$B$5,Besatzung!$C$12)&lt;=B56)*(IF(Besatzung!$D$12="",Besatzung!$B$6,Besatzung!$D$12)&gt;=B56)))*(Besatzung!$F$12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$12&lt;&gt;"")*IF(B56="",1,(IF(Besatzung!$C$12="",Besatzung!$B$5,Besatzung!$C$12)&lt;=B56)*(IF(Besatzung!$D$12="",Besatzung!$B$6,Besatzung!$D$12)&gt;=B56)))*((G56-IFERROR(H56,0))/IFERROR(SUMPRODUCT((Besatzung!$B$11:$B$22&lt;&gt;"")*(IF(Besatzung!$C$11:$C$22="",Besatzung!$B$5,Besatzung!$C$11:$C$22)&lt;=B56)*(IF(Besatzung!$D$11:$D$22="",Besatzung!$B$6,Besatzung!$D$11:$D$22)&gt;=B56)),1)+(Besatzung!$F$12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K56="x")*((G56-IFERROR(H56,0))/IFERROR(COUNTIF(J56:U56,"x"),1)+(Besatzung!$F$12="x")*IFERROR(H56,0)/IFERROR(SUMPRODUCT((J56:U56="x")*(Besatzung!$F$11:$F$22="x")),1))),(IF(COUNTIF(J56:U56,"x")=0,IF(Besatzung!$B$12&lt;&gt;"",1,0),(K56="x"))*(G56-IFERROR(H56,0))/IFERROR(IF(COUNTIF(J56:U56,"x")=0,COUNTA(Besatzung!$B$11:$B$22),COUNTIF(J56:U56,"x")),1)+IF(COUNTIF(J56:U56,"x")=0,(Besatzung!$F$12="x"),(K56="x")*(Besatzung!$F$12="x"))*IFERROR(H56,0)/IFERROR(IF(COUNTIF(J56:U56,"x")=0,SUMPRODUCT((Besatzung!$B$11:$B$22&lt;&gt;"")*(Besatzung!$F$11:$F$22="x")),SUMPRODUCT((J56:U56="x")*(Besatzung!$F$11:$F$22="x"))),1))))),0))))</f>
        <v/>
      </c>
      <c r="X56" s="106">
        <f>IF(C56="Gutschrift","",IF(G56="","",IF(Besatzung!$B$13="","",IFERROR(IF(I56="Zeitanteilig",(Besatzung!$G$13*(G56-IFERROR(H56,0))+((Besatzung!$B$13&lt;&gt;"")*IF(B56="",1,(IF(Besatzung!$C$13="",Besatzung!$B$5,Besatzung!$C$13)&lt;=B56)*(IF(Besatzung!$D$13="",Besatzung!$B$6,Besatzung!$D$13)&gt;=B56)))*(Besatzung!$F$13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$13&lt;&gt;"")*IF(B56="",1,(IF(Besatzung!$C$13="",Besatzung!$B$5,Besatzung!$C$13)&lt;=B56)*(IF(Besatzung!$D$13="",Besatzung!$B$6,Besatzung!$D$13)&gt;=B56)))*((G56-IFERROR(H56,0))/IFERROR(SUMPRODUCT((Besatzung!$B$11:$B$22&lt;&gt;"")*(IF(Besatzung!$C$11:$C$22="",Besatzung!$B$5,Besatzung!$C$11:$C$22)&lt;=B56)*(IF(Besatzung!$D$11:$D$22="",Besatzung!$B$6,Besatzung!$D$11:$D$22)&gt;=B56)),1)+(Besatzung!$F$13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K56="x")*((G56-IFERROR(H56,0))/IFERROR(COUNTIF(J56:U56,"x"),1)+(Besatzung!$F$13="x")*IFERROR(H56,0)/IFERROR(SUMPRODUCT((J56:U56="x")*(Besatzung!$F$11:$F$22="x")),1))),(IF(COUNTIF(J56:U56,"x")=0,IF(Besatzung!$B$13&lt;&gt;"",1,0),(K56="x"))*(G56-IFERROR(H56,0))/IFERROR(IF(COUNTIF(J56:U56,"x")=0,COUNTA(Besatzung!$B$11:$B$22),COUNTIF(J56:U56,"x")),1)+IF(COUNTIF(J56:U56,"x")=0,(Besatzung!$F$13="x"),(K56="x")*(Besatzung!$F$13="x"))*IFERROR(H56,0)/IFERROR(IF(COUNTIF(J56:U56,"x")=0,SUMPRODUCT((Besatzung!$B$11:$B$22&lt;&gt;"")*(Besatzung!$F$11:$F$22="x")),SUMPRODUCT((J56:U56="x")*(Besatzung!$F$11:$F$22="x"))),1))))),0))))</f>
        <v/>
      </c>
      <c r="Y56" s="106">
        <f>IF(C56="Gutschrift","",IF(G56="","",IF(Besatzung!$B$14="","",IFERROR(IF(I56="Zeitanteilig",(Besatzung!$G$14*(G56-IFERROR(H56,0))+((Besatzung!$B$14&lt;&gt;"")*IF(B56="",1,(IF(Besatzung!$C$14="",Besatzung!$B$5,Besatzung!$C$14)&lt;=B56)*(IF(Besatzung!$D$14="",Besatzung!$B$6,Besatzung!$D$14)&gt;=B56)))*(Besatzung!$F$14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$14&lt;&gt;"")*IF(B56="",1,(IF(Besatzung!$C$14="",Besatzung!$B$5,Besatzung!$C$14)&lt;=B56)*(IF(Besatzung!$D$14="",Besatzung!$B$6,Besatzung!$D$14)&gt;=B56)))*((G56-IFERROR(H56,0))/IFERROR(SUMPRODUCT((Besatzung!$B$11:$B$22&lt;&gt;"")*(IF(Besatzung!$C$11:$C$22="",Besatzung!$B$5,Besatzung!$C$11:$C$22)&lt;=B56)*(IF(Besatzung!$D$11:$D$22="",Besatzung!$B$6,Besatzung!$D$11:$D$22)&gt;=B56)),1)+(Besatzung!$F$14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M56="x")*((G56-IFERROR(H56,0))/IFERROR(COUNTIF(J56:U56,"x"),1)+(Besatzung!$F$14="x")*IFERROR(H56,0)/IFERROR(SUMPRODUCT((J56:U56="x")*(Besatzung!$F$11:$F$22="x")),1))),(IF(COUNTIF(J56:U56,"x")=0,IF(Besatzung!$B$14&lt;&gt;"",1,0),(M56="x"))*(G56-IFERROR(H56,0))/IFERROR(IF(COUNTIF(J56:U56,"x")=0,COUNTA(Besatzung!$B$11:$B$22),COUNTIF(J56:U56,"x")),1)+IF(COUNTIF(J56:U56,"x")=0,(Besatzung!$F$14="x"),(M56="x")*(Besatzung!$F$14="x"))*IFERROR(H56,0)/IFERROR(IF(COUNTIF(J56:U56,"x")=0,SUMPRODUCT((Besatzung!$B$11:$B$22&lt;&gt;"")*(Besatzung!$F$11:$F$22="x")),SUMPRODUCT((J56:U56="x")*(Besatzung!$F$11:$F$22="x"))),1))))),0))))</f>
        <v/>
      </c>
      <c r="Z56" s="106">
        <f>IF(C56="Gutschrift","",IF(G56="","",IF(Besatzung!$B$13="","",IFERROR(IF(I56="Zeitanteilig",(Besatzung!$G$15*(G56-IFERROR(H56,0))+((Besatzung!$B$13&lt;&gt;"")*IF(B56="",1,(IF(Besatzung!$C$15="",Besatzung!$B$5,Besatzung!$C$15)&lt;=B56)*(IF(Besatzung!$D$15="",Besatzung!$B$6,Besatzung!$D$15)&gt;=B56)))*(Besatzung!$F$15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$13&lt;&gt;"")*IF(B56="",1,(IF(Besatzung!$C$15="",Besatzung!$B$5,Besatzung!$C$15)&lt;=B56)*(IF(Besatzung!$D$15="",Besatzung!$B$6,Besatzung!$D$15)&gt;=B56)))*((G56-IFERROR(H56,0))/IFERROR(SUMPRODUCT((Besatzung!$B$11:$B$22&lt;&gt;"")*(IF(Besatzung!$C$11:$C$22="",Besatzung!$B$5,Besatzung!$C$11:$C$22)&lt;=B56)*(IF(Besatzung!$D$11:$D$22="",Besatzung!$B$6,Besatzung!$D$11:$D$22)&gt;=B56)),1)+(Besatzung!$F$15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N56="x")*((G56-IFERROR(H56,0))/IFERROR(COUNTIF(J56:U56,"x"),1)+(Besatzung!$F$15="x")*IFERROR(H56,0)/IFERROR(SUMPRODUCT((J56:U56="x")*(Besatzung!$F$11:$F$22="x")),1))),(IF(COUNTIF(J56:U56,"x")=0,IF(Besatzung!$B$13&lt;&gt;"",1,0),(N56="x"))*(G56-IFERROR(H56,0))/IFERROR(IF(COUNTIF(J56:U56,"x")=0,COUNTA(Besatzung!$B$11:$B$22),COUNTIF(J56:U56,"x")),1)+IF(COUNTIF(J56:U56,"x")=0,(Besatzung!$F$15="x"),(N56="x")*(Besatzung!$F$15="x"))*IFERROR(H56,0)/IFERROR(IF(COUNTIF(J56:U56,"x")=0,SUMPRODUCT((Besatzung!$B$11:$B$22&lt;&gt;"")*(Besatzung!$F$11:$F$22="x")),SUMPRODUCT((J56:U56="x")*(Besatzung!$F$11:$F$22="x"))),1))))),0))))</f>
        <v/>
      </c>
      <c r="AA56" s="106">
        <f>IF(C56="Gutschrift","",IF(G56="","",IF(Besatzung!$B$15="","",IFERROR(IF(I56="Zeitanteilig",(Besatzung!$G$16*(G56-IFERROR(H56,0))+((Besatzung!$B$15&lt;&gt;"")*IF(B56="",1,(IF(Besatzung!$C$16="",Besatzung!$B$5,Besatzung!$C$16)&lt;=B56)*(IF(Besatzung!$D$16="",Besatzung!$B$6,Besatzung!$D$16)&gt;=B56)))*(Besatzung!$F$16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$15&lt;&gt;"")*IF(B56="",1,(IF(Besatzung!$C$16="",Besatzung!$B$5,Besatzung!$C$16)&lt;=B56)*(IF(Besatzung!$D$16="",Besatzung!$B$6,Besatzung!$D$16)&gt;=B56)))*((G56-IFERROR(H56,0))/IFERROR(SUMPRODUCT((Besatzung!$B$11:$B$22&lt;&gt;"")*(IF(Besatzung!$C$11:$C$22="",Besatzung!$B$5,Besatzung!$C$11:$C$22)&lt;=B56)*(IF(Besatzung!$D$11:$D$22="",Besatzung!$B$6,Besatzung!$D$11:$D$22)&gt;=B56)),1)+(Besatzung!$F$16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O56="x")*((G56-IFERROR(H56,0))/IFERROR(COUNTIF(J56:U56,"x"),1)+(Besatzung!$F$16="x")*IFERROR(H56,0)/IFERROR(SUMPRODUCT((J56:U56="x")*(Besatzung!$F$11:$F$22="x")),1))),(IF(COUNTIF(J56:U56,"x")=0,IF(Besatzung!$B$15&lt;&gt;"",1,0),(O56="x"))*(G56-IFERROR(H56,0))/IFERROR(IF(COUNTIF(J56:U56,"x")=0,COUNTA(Besatzung!$B$11:$B$22),COUNTIF(J56:U56,"x")),1)+IF(COUNTIF(J56:U56,"x")=0,(Besatzung!$F$16="x"),(O56="x")*(Besatzung!$F$16="x"))*IFERROR(H56,0)/IFERROR(IF(COUNTIF(J56:U56,"x")=0,SUMPRODUCT((Besatzung!$B$11:$B$22&lt;&gt;"")*(Besatzung!$F$11:$F$22="x")),SUMPRODUCT((J56:U56="x")*(Besatzung!$F$11:$F$22="x"))),1))))),0))))</f>
        <v/>
      </c>
      <c r="AB56" s="106">
        <f>IF(C56="Gutschrift","",IF(G56="","",IF(Besatzung!$B$17="","",IFERROR(IF(I56="Zeitanteilig",(Besatzung!$G$17*(G56-IFERROR(H56,0))+((Besatzung!$B$17&lt;&gt;"")*IF(B56="",1,(IF(Besatzung!$C$17="",Besatzung!$B$5,Besatzung!$C$17)&lt;=B56)*(IF(Besatzung!$D$17="",Besatzung!$B$6,Besatzung!$D$17)&gt;=B56)))*(Besatzung!$F$17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$17&lt;&gt;"")*IF(B56="",1,(IF(Besatzung!$C$17="",Besatzung!$B$5,Besatzung!$C$17)&lt;=B56)*(IF(Besatzung!$D$17="",Besatzung!$B$6,Besatzung!$D$17)&gt;=B56)))*((G56-IFERROR(H56,0))/IFERROR(SUMPRODUCT((Besatzung!$B$11:$B$22&lt;&gt;"")*(IF(Besatzung!$C$11:$C$22="",Besatzung!$B$5,Besatzung!$C$11:$C$22)&lt;=B56)*(IF(Besatzung!$D$11:$D$22="",Besatzung!$B$6,Besatzung!$D$11:$D$22)&gt;=B56)),1)+(Besatzung!$F$17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P56="x")*((G56-IFERROR(H56,0))/IFERROR(COUNTIF(J56:U56,"x"),1)+(Besatzung!$F$17="x")*IFERROR(H56,0)/IFERROR(SUMPRODUCT((J56:U56="x")*(Besatzung!$F$11:$F$22="x")),1))),(IF(COUNTIF(J56:U56,"x")=0,IF(Besatzung!$B$17&lt;&gt;"",1,0),(P56="x"))*(G56-IFERROR(H56,0))/IFERROR(IF(COUNTIF(J56:U56,"x")=0,COUNTA(Besatzung!$B$11:$B$22),COUNTIF(J56:U56,"x")),1)+IF(COUNTIF(J56:U56,"x")=0,(Besatzung!$F$17="x"),(P56="x")*(Besatzung!$F$17="x"))*IFERROR(H56,0)/IFERROR(IF(COUNTIF(J56:U56,"x")=0,SUMPRODUCT((Besatzung!$B$11:$B$22&lt;&gt;"")*(Besatzung!$F$11:$F$22="x")),SUMPRODUCT((J56:U56="x")*(Besatzung!$F$11:$F$22="x"))),1))))),0))))</f>
        <v/>
      </c>
      <c r="AC56" s="106">
        <f>IF(C56="Gutschrift","",IF(G56="","",IF(Besatzung!$B$18="","",IFERROR(IF(I56="Zeitanteilig",(Besatzung!$G$18*(G56-IFERROR(H56,0))+((Besatzung!$B$18&lt;&gt;"")*IF(B56="",1,(IF(Besatzung!$C$18="",Besatzung!$B$5,Besatzung!$C$18)&lt;=B56)*(IF(Besatzung!$D$18="",Besatzung!$B$6,Besatzung!$D$18)&gt;=B56)))*(Besatzung!$F$18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$18&lt;&gt;"")*IF(B56="",1,(IF(Besatzung!$C$18="",Besatzung!$B$5,Besatzung!$C$18)&lt;=B56)*(IF(Besatzung!$D$18="",Besatzung!$B$6,Besatzung!$D$18)&gt;=B56)))*((G56-IFERROR(H56,0))/IFERROR(SUMPRODUCT((Besatzung!$B$11:$B$22&lt;&gt;"")*(IF(Besatzung!$C$11:$C$22="",Besatzung!$B$5,Besatzung!$C$11:$C$22)&lt;=B56)*(IF(Besatzung!$D$11:$D$22="",Besatzung!$B$6,Besatzung!$D$11:$D$22)&gt;=B56)),1)+(Besatzung!$F$18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Q56="x")*((G56-IFERROR(H56,0))/IFERROR(COUNTIF(J56:U56,"x"),1)+(Besatzung!$F$18="x")*IFERROR(H56,0)/IFERROR(SUMPRODUCT((J56:U56="x")*(Besatzung!$F$11:$F$22="x")),1))),(IF(COUNTIF(J56:U56,"x")=0,IF(Besatzung!$B$18&lt;&gt;"",1,0),(Q56="x"))*(G56-IFERROR(H56,0))/IFERROR(IF(COUNTIF(J56:U56,"x")=0,COUNTA(Besatzung!$B$11:$B$22),COUNTIF(J56:U56,"x")),1)+IF(COUNTIF(J56:U56,"x")=0,(Besatzung!$F$18="x"),(Q56="x")*(Besatzung!$F$18="x"))*IFERROR(H56,0)/IFERROR(IF(COUNTIF(J56:U56,"x")=0,SUMPRODUCT((Besatzung!$B$11:$B$22&lt;&gt;"")*(Besatzung!$F$11:$F$22="x")),SUMPRODUCT((J56:U56="x")*(Besatzung!$F$11:$F$22="x"))),1))))),0))))</f>
        <v/>
      </c>
      <c r="AD56" s="106">
        <f>IF(C56="Gutschrift","",IF(G56="","",IF(Besatzung!$B$19="","",IFERROR(IF(I56="Zeitanteilig",(Besatzung!$G$19*(G56-IFERROR(H56,0))+((Besatzung!$B$19&lt;&gt;"")*IF(B56="",1,(IF(Besatzung!$C$19="",Besatzung!$B$5,Besatzung!$C$19)&lt;=B56)*(IF(Besatzung!$D$19="",Besatzung!$B$6,Besatzung!$D$19)&gt;=B56)))*(Besatzung!$F$19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$19&lt;&gt;"")*IF(B56="",1,(IF(Besatzung!$C$19="",Besatzung!$B$5,Besatzung!$C$19)&lt;=B56)*(IF(Besatzung!$D$19="",Besatzung!$B$6,Besatzung!$D$19)&gt;=B56)))*((G56-IFERROR(H56,0))/IFERROR(SUMPRODUCT((Besatzung!$B$11:$B$22&lt;&gt;"")*(IF(Besatzung!$C$11:$C$22="",Besatzung!$B$5,Besatzung!$C$11:$C$22)&lt;=B56)*(IF(Besatzung!$D$11:$D$22="",Besatzung!$B$6,Besatzung!$D$11:$D$22)&gt;=B56)),1)+(Besatzung!$F$19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R56="x")*((G56-IFERROR(H56,0))/IFERROR(COUNTIF(J56:U56,"x"),1)+(Besatzung!$F$19="x")*IFERROR(H56,0)/IFERROR(SUMPRODUCT((J56:U56="x")*(Besatzung!$F$11:$F$22="x")),1))),(IF(COUNTIF(J56:U56,"x")=0,IF(Besatzung!$B$19&lt;&gt;"",1,0),(R56="x"))*(G56-IFERROR(H56,0))/IFERROR(IF(COUNTIF(J56:U56,"x")=0,COUNTA(Besatzung!$B$11:$B$22),COUNTIF(J56:U56,"x")),1)+IF(COUNTIF(J56:U56,"x")=0,(Besatzung!$F$19="x"),(R56="x")*(Besatzung!$F$19="x"))*IFERROR(H56,0)/IFERROR(IF(COUNTIF(J56:U56,"x")=0,SUMPRODUCT((Besatzung!$B$11:$B$22&lt;&gt;"")*(Besatzung!$F$11:$F$22="x")),SUMPRODUCT((J56:U56="x")*(Besatzung!$F$11:$F$22="x"))),1))))),0))))</f>
        <v/>
      </c>
      <c r="AE56" s="106">
        <f>IF(C56="Gutschrift","",IF(G56="","",IF(Besatzung!$B$20="","",IFERROR(IF(I56="Zeitanteilig",(Besatzung!$G$20*(G56-IFERROR(H56,0))+((Besatzung!$B$20&lt;&gt;"")*IF(B56="",1,(IF(Besatzung!$C$20="",Besatzung!$B$5,Besatzung!$C$20)&lt;=B56)*(IF(Besatzung!$D$20="",Besatzung!$B$6,Besatzung!$D$20)&gt;=B56)))*(Besatzung!$F$20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$20&lt;&gt;"")*IF(B56="",1,(IF(Besatzung!$C$20="",Besatzung!$B$5,Besatzung!$C$20)&lt;=B56)*(IF(Besatzung!$D$20="",Besatzung!$B$6,Besatzung!$D$20)&gt;=B56)))*((G56-IFERROR(H56,0))/IFERROR(SUMPRODUCT((Besatzung!$B$11:$B$22&lt;&gt;"")*(IF(Besatzung!$C$11:$C$22="",Besatzung!$B$5,Besatzung!$C$11:$C$22)&lt;=B56)*(IF(Besatzung!$D$11:$D$22="",Besatzung!$B$6,Besatzung!$D$11:$D$22)&gt;=B56)),1)+(Besatzung!$F$20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S56="x")*((G56-IFERROR(H56,0))/IFERROR(COUNTIF(J56:U56,"x"),1)+(Besatzung!$F$20="x")*IFERROR(H56,0)/IFERROR(SUMPRODUCT((J56:U56="x")*(Besatzung!$F$11:$F$22="x")),1))),(IF(COUNTIF(J56:U56,"x")=0,IF(Besatzung!$B$20&lt;&gt;"",1,0),(S56="x"))*(G56-IFERROR(H56,0))/IFERROR(IF(COUNTIF(J56:U56,"x")=0,COUNTA(Besatzung!$B$11:$B$22),COUNTIF(J56:U56,"x")),1)+IF(COUNTIF(J56:U56,"x")=0,(Besatzung!$F$20="x"),(S56="x")*(Besatzung!$F$20="x"))*IFERROR(H56,0)/IFERROR(IF(COUNTIF(J56:U56,"x")=0,SUMPRODUCT((Besatzung!$B$11:$B$22&lt;&gt;"")*(Besatzung!$F$11:$F$22="x")),SUMPRODUCT((J56:U56="x")*(Besatzung!$F$11:$F$22="x"))),1))))),0))))</f>
        <v/>
      </c>
      <c r="AF56" s="106">
        <f>IF(C56="Gutschrift","",IF(G56="","",IF(Besatzung!$B$21="","",IFERROR(IF(I56="Zeitanteilig",(Besatzung!$G$21*(G56-IFERROR(H56,0))+((Besatzung!$B$21&lt;&gt;"")*IF(B56="",1,(IF(Besatzung!$C$21="",Besatzung!$B$5,Besatzung!$C$21)&lt;=B56)*(IF(Besatzung!$D$21="",Besatzung!$B$6,Besatzung!$D$21)&gt;=B56)))*(Besatzung!$F$21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$21&lt;&gt;"")*IF(B56="",1,(IF(Besatzung!$C$21="",Besatzung!$B$5,Besatzung!$C$21)&lt;=B56)*(IF(Besatzung!$D$21="",Besatzung!$B$6,Besatzung!$D$21)&gt;=B56)))*((G56-IFERROR(H56,0))/IFERROR(SUMPRODUCT((Besatzung!$B$11:$B$22&lt;&gt;"")*(IF(Besatzung!$C$11:$C$22="",Besatzung!$B$5,Besatzung!$C$11:$C$22)&lt;=B56)*(IF(Besatzung!$D$11:$D$22="",Besatzung!$B$6,Besatzung!$D$11:$D$22)&gt;=B56)),1)+(Besatzung!$F$21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T56="x")*((G56-IFERROR(H56,0))/IFERROR(COUNTIF(J56:U56,"x"),1)+(Besatzung!$F$21="x")*IFERROR(H56,0)/IFERROR(SUMPRODUCT((J56:U56="x")*(Besatzung!$F$11:$F$22="x")),1))),(IF(COUNTIF(J56:U56,"x")=0,IF(Besatzung!$B$21&lt;&gt;"",1,0),(T56="x"))*(G56-IFERROR(H56,0))/IFERROR(IF(COUNTIF(J56:U56,"x")=0,COUNTA(Besatzung!$B$11:$B$22),COUNTIF(J56:U56,"x")),1)+IF(COUNTIF(J56:U56,"x")=0,(Besatzung!$F$21="x"),(T56="x")*(Besatzung!$F$21="x"))*IFERROR(H56,0)/IFERROR(IF(COUNTIF(J56:U56,"x")=0,SUMPRODUCT((Besatzung!$B$11:$B$22&lt;&gt;"")*(Besatzung!$F$11:$F$22="x")),SUMPRODUCT((J56:U56="x")*(Besatzung!$F$11:$F$22="x"))),1))))),0))))</f>
        <v/>
      </c>
      <c r="AG56" s="106">
        <f>IF(C56="Gutschrift","",IF(G56="","",IF(Besatzung!$B$22="","",IFERROR(IF(I56="Zeitanteilig",(Besatzung!$G$22*(G56-IFERROR(H56,0))+((Besatzung!$B$22&lt;&gt;"")*IF(B56="",1,(IF(Besatzung!$C$22="",Besatzung!$B$5,Besatzung!$C$22)&lt;=B56)*(IF(Besatzung!$D$22="",Besatzung!$B$6,Besatzung!$D$22)&gt;=B56)))*(Besatzung!$F$22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$22&lt;&gt;"")*IF(B56="",1,(IF(Besatzung!$C$22="",Besatzung!$B$5,Besatzung!$C$22)&lt;=B56)*(IF(Besatzung!$D$22="",Besatzung!$B$6,Besatzung!$D$22)&gt;=B56)))*((G56-IFERROR(H56,0))/IFERROR(SUMPRODUCT((Besatzung!$B$11:$B$22&lt;&gt;"")*(IF(Besatzung!$C$11:$C$22="",Besatzung!$B$5,Besatzung!$C$11:$C$22)&lt;=B56)*(IF(Besatzung!$D$11:$D$22="",Besatzung!$B$6,Besatzung!$D$11:$D$22)&gt;=B56)),1)+(Besatzung!$F$22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U56="x")*((G56-IFERROR(H56,0))/IFERROR(COUNTIF(J56:U56,"x"),1)+(Besatzung!$F$22="x")*IFERROR(H56,0)/IFERROR(SUMPRODUCT((J56:U56="x")*(Besatzung!$F$11:$F$22="x")),1))),(IF(COUNTIF(J56:U56,"x")=0,IF(Besatzung!$B$22&lt;&gt;"",1,0),(U56="x"))*(G56-IFERROR(H56,0))/IFERROR(IF(COUNTIF(J56:U56,"x")=0,COUNTA(Besatzung!$B$11:$B$22),COUNTIF(J56:U56,"x")),1)+IF(COUNTIF(J56:U56,"x")=0,(Besatzung!$F$22="x"),(U56="x")*(Besatzung!$F$22="x"))*IFERROR(H56,0)/IFERROR(IF(COUNTIF(J56:U56,"x")=0,SUMPRODUCT((Besatzung!$B$11:$B$22&lt;&gt;"")*(Besatzung!$F$11:$F$22="x")),SUMPRODUCT((J56:U56="x")*(Besatzung!$F$11:$F$22="x"))),1))))),0))))</f>
        <v/>
      </c>
      <c r="AH56" s="107" t="n"/>
      <c r="AI56" s="107" t="n"/>
    </row>
    <row r="57" ht="21.75" customHeight="1" s="182">
      <c r="A57" s="97">
        <f>IF(AND(D57="",C57=""),"",54)</f>
        <v/>
      </c>
      <c r="B57" s="63" t="n"/>
      <c r="C57" s="108" t="n"/>
      <c r="D57" s="109" t="n"/>
      <c r="E57" s="110" t="n"/>
      <c r="F57" s="111" t="n"/>
      <c r="G57" s="112" t="n"/>
      <c r="H57" s="113" t="n"/>
      <c r="I57" s="114" t="n"/>
      <c r="J57" s="115" t="n"/>
      <c r="K57" s="115" t="n"/>
      <c r="L57" s="115" t="n"/>
      <c r="M57" s="115" t="n"/>
      <c r="N57" s="115" t="n"/>
      <c r="O57" s="115" t="n"/>
      <c r="P57" s="115" t="n"/>
      <c r="Q57" s="115" t="n"/>
      <c r="R57" s="115" t="n"/>
      <c r="S57" s="115" t="n"/>
      <c r="T57" s="115" t="n"/>
      <c r="U57" s="115" t="n"/>
      <c r="V57" s="106">
        <f>IF(C57="Gutschrift","",IF(G57="","",IF(Besatzung!$B$11="","",IFERROR(IF(I57="Zeitanteilig",(Besatzung!$G$11*(G57-IFERROR(H57,0))+((Besatzung!$B$11&lt;&gt;"")*IF(B57="",1,(IF(Besatzung!$C$11="",Besatzung!$B$5,Besatzung!$C$11)&lt;=B57)*(IF(Besatzung!$D$11="",Besatzung!$B$6,Besatzung!$D$11)&gt;=B57)))*(Besatzung!$F$11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$11&lt;&gt;"")*IF(B57="",1,(IF(Besatzung!$C$11="",Besatzung!$B$5,Besatzung!$C$11)&lt;=B57)*(IF(Besatzung!$D$11="",Besatzung!$B$6,Besatzung!$D$11)&gt;=B57)))*((G57-IFERROR(H57,0))/IFERROR(SUMPRODUCT((Besatzung!$B$11:$B$22&lt;&gt;"")*(IF(Besatzung!$C$11:$C$22="",Besatzung!$B$5,Besatzung!$C$11:$C$22)&lt;=B57)*(IF(Besatzung!$D$11:$D$22="",Besatzung!$B$6,Besatzung!$D$11:$D$22)&gt;=B57)),1)+(Besatzung!$F$11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J57="x")*((G57-IFERROR(H57,0))/IFERROR(COUNTIF(J57:U57,"x"),1)+(Besatzung!$F$11="x")*IFERROR(H57,0)/IFERROR(SUMPRODUCT((J57:U57="x")*(Besatzung!$F$11:$F$22="x")),1))),(IF(COUNTIF(J57:U57,"x")=0,IF(Besatzung!$B$11&lt;&gt;"",1,0),(J57="x"))*(G57-IFERROR(H57,0))/IFERROR(IF(COUNTIF(J57:U57,"x")=0,COUNTA(Besatzung!$B$11:$B$22),COUNTIF(J57:U57,"x")),1)+IF(COUNTIF(J57:U57,"x")=0,(Besatzung!$F$11="x"),(J57="x")*(Besatzung!$F$11="x"))*IFERROR(H57,0)/IFERROR(IF(COUNTIF(J57:U57,"x")=0,SUMPRODUCT((Besatzung!$B$11:$B$22&lt;&gt;"")*(Besatzung!$F$11:$F$22="x")),SUMPRODUCT((J57:U57="x")*(Besatzung!$F$11:$F$22="x"))),1))))),0))))</f>
        <v/>
      </c>
      <c r="W57" s="106">
        <f>IF(C57="Gutschrift","",IF(G57="","",IF(Besatzung!$B$12="","",IFERROR(IF(I57="Zeitanteilig",(Besatzung!$G$12*(G57-IFERROR(H57,0))+((Besatzung!$B$12&lt;&gt;"")*IF(B57="",1,(IF(Besatzung!$C$12="",Besatzung!$B$5,Besatzung!$C$12)&lt;=B57)*(IF(Besatzung!$D$12="",Besatzung!$B$6,Besatzung!$D$12)&gt;=B57)))*(Besatzung!$F$12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$12&lt;&gt;"")*IF(B57="",1,(IF(Besatzung!$C$12="",Besatzung!$B$5,Besatzung!$C$12)&lt;=B57)*(IF(Besatzung!$D$12="",Besatzung!$B$6,Besatzung!$D$12)&gt;=B57)))*((G57-IFERROR(H57,0))/IFERROR(SUMPRODUCT((Besatzung!$B$11:$B$22&lt;&gt;"")*(IF(Besatzung!$C$11:$C$22="",Besatzung!$B$5,Besatzung!$C$11:$C$22)&lt;=B57)*(IF(Besatzung!$D$11:$D$22="",Besatzung!$B$6,Besatzung!$D$11:$D$22)&gt;=B57)),1)+(Besatzung!$F$12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K57="x")*((G57-IFERROR(H57,0))/IFERROR(COUNTIF(J57:U57,"x"),1)+(Besatzung!$F$12="x")*IFERROR(H57,0)/IFERROR(SUMPRODUCT((J57:U57="x")*(Besatzung!$F$11:$F$22="x")),1))),(IF(COUNTIF(J57:U57,"x")=0,IF(Besatzung!$B$12&lt;&gt;"",1,0),(K57="x"))*(G57-IFERROR(H57,0))/IFERROR(IF(COUNTIF(J57:U57,"x")=0,COUNTA(Besatzung!$B$11:$B$22),COUNTIF(J57:U57,"x")),1)+IF(COUNTIF(J57:U57,"x")=0,(Besatzung!$F$12="x"),(K57="x")*(Besatzung!$F$12="x"))*IFERROR(H57,0)/IFERROR(IF(COUNTIF(J57:U57,"x")=0,SUMPRODUCT((Besatzung!$B$11:$B$22&lt;&gt;"")*(Besatzung!$F$11:$F$22="x")),SUMPRODUCT((J57:U57="x")*(Besatzung!$F$11:$F$22="x"))),1))))),0))))</f>
        <v/>
      </c>
      <c r="X57" s="106">
        <f>IF(C57="Gutschrift","",IF(G57="","",IF(Besatzung!$B$13="","",IFERROR(IF(I57="Zeitanteilig",(Besatzung!$G$13*(G57-IFERROR(H57,0))+((Besatzung!$B$13&lt;&gt;"")*IF(B57="",1,(IF(Besatzung!$C$13="",Besatzung!$B$5,Besatzung!$C$13)&lt;=B57)*(IF(Besatzung!$D$13="",Besatzung!$B$6,Besatzung!$D$13)&gt;=B57)))*(Besatzung!$F$13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$13&lt;&gt;"")*IF(B57="",1,(IF(Besatzung!$C$13="",Besatzung!$B$5,Besatzung!$C$13)&lt;=B57)*(IF(Besatzung!$D$13="",Besatzung!$B$6,Besatzung!$D$13)&gt;=B57)))*((G57-IFERROR(H57,0))/IFERROR(SUMPRODUCT((Besatzung!$B$11:$B$22&lt;&gt;"")*(IF(Besatzung!$C$11:$C$22="",Besatzung!$B$5,Besatzung!$C$11:$C$22)&lt;=B57)*(IF(Besatzung!$D$11:$D$22="",Besatzung!$B$6,Besatzung!$D$11:$D$22)&gt;=B57)),1)+(Besatzung!$F$13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K57="x")*((G57-IFERROR(H57,0))/IFERROR(COUNTIF(J57:U57,"x"),1)+(Besatzung!$F$13="x")*IFERROR(H57,0)/IFERROR(SUMPRODUCT((J57:U57="x")*(Besatzung!$F$11:$F$22="x")),1))),(IF(COUNTIF(J57:U57,"x")=0,IF(Besatzung!$B$13&lt;&gt;"",1,0),(K57="x"))*(G57-IFERROR(H57,0))/IFERROR(IF(COUNTIF(J57:U57,"x")=0,COUNTA(Besatzung!$B$11:$B$22),COUNTIF(J57:U57,"x")),1)+IF(COUNTIF(J57:U57,"x")=0,(Besatzung!$F$13="x"),(K57="x")*(Besatzung!$F$13="x"))*IFERROR(H57,0)/IFERROR(IF(COUNTIF(J57:U57,"x")=0,SUMPRODUCT((Besatzung!$B$11:$B$22&lt;&gt;"")*(Besatzung!$F$11:$F$22="x")),SUMPRODUCT((J57:U57="x")*(Besatzung!$F$11:$F$22="x"))),1))))),0))))</f>
        <v/>
      </c>
      <c r="Y57" s="106">
        <f>IF(C57="Gutschrift","",IF(G57="","",IF(Besatzung!$B$14="","",IFERROR(IF(I57="Zeitanteilig",(Besatzung!$G$14*(G57-IFERROR(H57,0))+((Besatzung!$B$14&lt;&gt;"")*IF(B57="",1,(IF(Besatzung!$C$14="",Besatzung!$B$5,Besatzung!$C$14)&lt;=B57)*(IF(Besatzung!$D$14="",Besatzung!$B$6,Besatzung!$D$14)&gt;=B57)))*(Besatzung!$F$14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$14&lt;&gt;"")*IF(B57="",1,(IF(Besatzung!$C$14="",Besatzung!$B$5,Besatzung!$C$14)&lt;=B57)*(IF(Besatzung!$D$14="",Besatzung!$B$6,Besatzung!$D$14)&gt;=B57)))*((G57-IFERROR(H57,0))/IFERROR(SUMPRODUCT((Besatzung!$B$11:$B$22&lt;&gt;"")*(IF(Besatzung!$C$11:$C$22="",Besatzung!$B$5,Besatzung!$C$11:$C$22)&lt;=B57)*(IF(Besatzung!$D$11:$D$22="",Besatzung!$B$6,Besatzung!$D$11:$D$22)&gt;=B57)),1)+(Besatzung!$F$14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M57="x")*((G57-IFERROR(H57,0))/IFERROR(COUNTIF(J57:U57,"x"),1)+(Besatzung!$F$14="x")*IFERROR(H57,0)/IFERROR(SUMPRODUCT((J57:U57="x")*(Besatzung!$F$11:$F$22="x")),1))),(IF(COUNTIF(J57:U57,"x")=0,IF(Besatzung!$B$14&lt;&gt;"",1,0),(M57="x"))*(G57-IFERROR(H57,0))/IFERROR(IF(COUNTIF(J57:U57,"x")=0,COUNTA(Besatzung!$B$11:$B$22),COUNTIF(J57:U57,"x")),1)+IF(COUNTIF(J57:U57,"x")=0,(Besatzung!$F$14="x"),(M57="x")*(Besatzung!$F$14="x"))*IFERROR(H57,0)/IFERROR(IF(COUNTIF(J57:U57,"x")=0,SUMPRODUCT((Besatzung!$B$11:$B$22&lt;&gt;"")*(Besatzung!$F$11:$F$22="x")),SUMPRODUCT((J57:U57="x")*(Besatzung!$F$11:$F$22="x"))),1))))),0))))</f>
        <v/>
      </c>
      <c r="Z57" s="106">
        <f>IF(C57="Gutschrift","",IF(G57="","",IF(Besatzung!$B$13="","",IFERROR(IF(I57="Zeitanteilig",(Besatzung!$G$15*(G57-IFERROR(H57,0))+((Besatzung!$B$13&lt;&gt;"")*IF(B57="",1,(IF(Besatzung!$C$15="",Besatzung!$B$5,Besatzung!$C$15)&lt;=B57)*(IF(Besatzung!$D$15="",Besatzung!$B$6,Besatzung!$D$15)&gt;=B57)))*(Besatzung!$F$15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$13&lt;&gt;"")*IF(B57="",1,(IF(Besatzung!$C$15="",Besatzung!$B$5,Besatzung!$C$15)&lt;=B57)*(IF(Besatzung!$D$15="",Besatzung!$B$6,Besatzung!$D$15)&gt;=B57)))*((G57-IFERROR(H57,0))/IFERROR(SUMPRODUCT((Besatzung!$B$11:$B$22&lt;&gt;"")*(IF(Besatzung!$C$11:$C$22="",Besatzung!$B$5,Besatzung!$C$11:$C$22)&lt;=B57)*(IF(Besatzung!$D$11:$D$22="",Besatzung!$B$6,Besatzung!$D$11:$D$22)&gt;=B57)),1)+(Besatzung!$F$15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N57="x")*((G57-IFERROR(H57,0))/IFERROR(COUNTIF(J57:U57,"x"),1)+(Besatzung!$F$15="x")*IFERROR(H57,0)/IFERROR(SUMPRODUCT((J57:U57="x")*(Besatzung!$F$11:$F$22="x")),1))),(IF(COUNTIF(J57:U57,"x")=0,IF(Besatzung!$B$13&lt;&gt;"",1,0),(N57="x"))*(G57-IFERROR(H57,0))/IFERROR(IF(COUNTIF(J57:U57,"x")=0,COUNTA(Besatzung!$B$11:$B$22),COUNTIF(J57:U57,"x")),1)+IF(COUNTIF(J57:U57,"x")=0,(Besatzung!$F$15="x"),(N57="x")*(Besatzung!$F$15="x"))*IFERROR(H57,0)/IFERROR(IF(COUNTIF(J57:U57,"x")=0,SUMPRODUCT((Besatzung!$B$11:$B$22&lt;&gt;"")*(Besatzung!$F$11:$F$22="x")),SUMPRODUCT((J57:U57="x")*(Besatzung!$F$11:$F$22="x"))),1))))),0))))</f>
        <v/>
      </c>
      <c r="AA57" s="106">
        <f>IF(C57="Gutschrift","",IF(G57="","",IF(Besatzung!$B$15="","",IFERROR(IF(I57="Zeitanteilig",(Besatzung!$G$16*(G57-IFERROR(H57,0))+((Besatzung!$B$15&lt;&gt;"")*IF(B57="",1,(IF(Besatzung!$C$16="",Besatzung!$B$5,Besatzung!$C$16)&lt;=B57)*(IF(Besatzung!$D$16="",Besatzung!$B$6,Besatzung!$D$16)&gt;=B57)))*(Besatzung!$F$16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$15&lt;&gt;"")*IF(B57="",1,(IF(Besatzung!$C$16="",Besatzung!$B$5,Besatzung!$C$16)&lt;=B57)*(IF(Besatzung!$D$16="",Besatzung!$B$6,Besatzung!$D$16)&gt;=B57)))*((G57-IFERROR(H57,0))/IFERROR(SUMPRODUCT((Besatzung!$B$11:$B$22&lt;&gt;"")*(IF(Besatzung!$C$11:$C$22="",Besatzung!$B$5,Besatzung!$C$11:$C$22)&lt;=B57)*(IF(Besatzung!$D$11:$D$22="",Besatzung!$B$6,Besatzung!$D$11:$D$22)&gt;=B57)),1)+(Besatzung!$F$16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O57="x")*((G57-IFERROR(H57,0))/IFERROR(COUNTIF(J57:U57,"x"),1)+(Besatzung!$F$16="x")*IFERROR(H57,0)/IFERROR(SUMPRODUCT((J57:U57="x")*(Besatzung!$F$11:$F$22="x")),1))),(IF(COUNTIF(J57:U57,"x")=0,IF(Besatzung!$B$15&lt;&gt;"",1,0),(O57="x"))*(G57-IFERROR(H57,0))/IFERROR(IF(COUNTIF(J57:U57,"x")=0,COUNTA(Besatzung!$B$11:$B$22),COUNTIF(J57:U57,"x")),1)+IF(COUNTIF(J57:U57,"x")=0,(Besatzung!$F$16="x"),(O57="x")*(Besatzung!$F$16="x"))*IFERROR(H57,0)/IFERROR(IF(COUNTIF(J57:U57,"x")=0,SUMPRODUCT((Besatzung!$B$11:$B$22&lt;&gt;"")*(Besatzung!$F$11:$F$22="x")),SUMPRODUCT((J57:U57="x")*(Besatzung!$F$11:$F$22="x"))),1))))),0))))</f>
        <v/>
      </c>
      <c r="AB57" s="106">
        <f>IF(C57="Gutschrift","",IF(G57="","",IF(Besatzung!$B$17="","",IFERROR(IF(I57="Zeitanteilig",(Besatzung!$G$17*(G57-IFERROR(H57,0))+((Besatzung!$B$17&lt;&gt;"")*IF(B57="",1,(IF(Besatzung!$C$17="",Besatzung!$B$5,Besatzung!$C$17)&lt;=B57)*(IF(Besatzung!$D$17="",Besatzung!$B$6,Besatzung!$D$17)&gt;=B57)))*(Besatzung!$F$17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$17&lt;&gt;"")*IF(B57="",1,(IF(Besatzung!$C$17="",Besatzung!$B$5,Besatzung!$C$17)&lt;=B57)*(IF(Besatzung!$D$17="",Besatzung!$B$6,Besatzung!$D$17)&gt;=B57)))*((G57-IFERROR(H57,0))/IFERROR(SUMPRODUCT((Besatzung!$B$11:$B$22&lt;&gt;"")*(IF(Besatzung!$C$11:$C$22="",Besatzung!$B$5,Besatzung!$C$11:$C$22)&lt;=B57)*(IF(Besatzung!$D$11:$D$22="",Besatzung!$B$6,Besatzung!$D$11:$D$22)&gt;=B57)),1)+(Besatzung!$F$17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P57="x")*((G57-IFERROR(H57,0))/IFERROR(COUNTIF(J57:U57,"x"),1)+(Besatzung!$F$17="x")*IFERROR(H57,0)/IFERROR(SUMPRODUCT((J57:U57="x")*(Besatzung!$F$11:$F$22="x")),1))),(IF(COUNTIF(J57:U57,"x")=0,IF(Besatzung!$B$17&lt;&gt;"",1,0),(P57="x"))*(G57-IFERROR(H57,0))/IFERROR(IF(COUNTIF(J57:U57,"x")=0,COUNTA(Besatzung!$B$11:$B$22),COUNTIF(J57:U57,"x")),1)+IF(COUNTIF(J57:U57,"x")=0,(Besatzung!$F$17="x"),(P57="x")*(Besatzung!$F$17="x"))*IFERROR(H57,0)/IFERROR(IF(COUNTIF(J57:U57,"x")=0,SUMPRODUCT((Besatzung!$B$11:$B$22&lt;&gt;"")*(Besatzung!$F$11:$F$22="x")),SUMPRODUCT((J57:U57="x")*(Besatzung!$F$11:$F$22="x"))),1))))),0))))</f>
        <v/>
      </c>
      <c r="AC57" s="106">
        <f>IF(C57="Gutschrift","",IF(G57="","",IF(Besatzung!$B$18="","",IFERROR(IF(I57="Zeitanteilig",(Besatzung!$G$18*(G57-IFERROR(H57,0))+((Besatzung!$B$18&lt;&gt;"")*IF(B57="",1,(IF(Besatzung!$C$18="",Besatzung!$B$5,Besatzung!$C$18)&lt;=B57)*(IF(Besatzung!$D$18="",Besatzung!$B$6,Besatzung!$D$18)&gt;=B57)))*(Besatzung!$F$18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$18&lt;&gt;"")*IF(B57="",1,(IF(Besatzung!$C$18="",Besatzung!$B$5,Besatzung!$C$18)&lt;=B57)*(IF(Besatzung!$D$18="",Besatzung!$B$6,Besatzung!$D$18)&gt;=B57)))*((G57-IFERROR(H57,0))/IFERROR(SUMPRODUCT((Besatzung!$B$11:$B$22&lt;&gt;"")*(IF(Besatzung!$C$11:$C$22="",Besatzung!$B$5,Besatzung!$C$11:$C$22)&lt;=B57)*(IF(Besatzung!$D$11:$D$22="",Besatzung!$B$6,Besatzung!$D$11:$D$22)&gt;=B57)),1)+(Besatzung!$F$18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Q57="x")*((G57-IFERROR(H57,0))/IFERROR(COUNTIF(J57:U57,"x"),1)+(Besatzung!$F$18="x")*IFERROR(H57,0)/IFERROR(SUMPRODUCT((J57:U57="x")*(Besatzung!$F$11:$F$22="x")),1))),(IF(COUNTIF(J57:U57,"x")=0,IF(Besatzung!$B$18&lt;&gt;"",1,0),(Q57="x"))*(G57-IFERROR(H57,0))/IFERROR(IF(COUNTIF(J57:U57,"x")=0,COUNTA(Besatzung!$B$11:$B$22),COUNTIF(J57:U57,"x")),1)+IF(COUNTIF(J57:U57,"x")=0,(Besatzung!$F$18="x"),(Q57="x")*(Besatzung!$F$18="x"))*IFERROR(H57,0)/IFERROR(IF(COUNTIF(J57:U57,"x")=0,SUMPRODUCT((Besatzung!$B$11:$B$22&lt;&gt;"")*(Besatzung!$F$11:$F$22="x")),SUMPRODUCT((J57:U57="x")*(Besatzung!$F$11:$F$22="x"))),1))))),0))))</f>
        <v/>
      </c>
      <c r="AD57" s="106">
        <f>IF(C57="Gutschrift","",IF(G57="","",IF(Besatzung!$B$19="","",IFERROR(IF(I57="Zeitanteilig",(Besatzung!$G$19*(G57-IFERROR(H57,0))+((Besatzung!$B$19&lt;&gt;"")*IF(B57="",1,(IF(Besatzung!$C$19="",Besatzung!$B$5,Besatzung!$C$19)&lt;=B57)*(IF(Besatzung!$D$19="",Besatzung!$B$6,Besatzung!$D$19)&gt;=B57)))*(Besatzung!$F$19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$19&lt;&gt;"")*IF(B57="",1,(IF(Besatzung!$C$19="",Besatzung!$B$5,Besatzung!$C$19)&lt;=B57)*(IF(Besatzung!$D$19="",Besatzung!$B$6,Besatzung!$D$19)&gt;=B57)))*((G57-IFERROR(H57,0))/IFERROR(SUMPRODUCT((Besatzung!$B$11:$B$22&lt;&gt;"")*(IF(Besatzung!$C$11:$C$22="",Besatzung!$B$5,Besatzung!$C$11:$C$22)&lt;=B57)*(IF(Besatzung!$D$11:$D$22="",Besatzung!$B$6,Besatzung!$D$11:$D$22)&gt;=B57)),1)+(Besatzung!$F$19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R57="x")*((G57-IFERROR(H57,0))/IFERROR(COUNTIF(J57:U57,"x"),1)+(Besatzung!$F$19="x")*IFERROR(H57,0)/IFERROR(SUMPRODUCT((J57:U57="x")*(Besatzung!$F$11:$F$22="x")),1))),(IF(COUNTIF(J57:U57,"x")=0,IF(Besatzung!$B$19&lt;&gt;"",1,0),(R57="x"))*(G57-IFERROR(H57,0))/IFERROR(IF(COUNTIF(J57:U57,"x")=0,COUNTA(Besatzung!$B$11:$B$22),COUNTIF(J57:U57,"x")),1)+IF(COUNTIF(J57:U57,"x")=0,(Besatzung!$F$19="x"),(R57="x")*(Besatzung!$F$19="x"))*IFERROR(H57,0)/IFERROR(IF(COUNTIF(J57:U57,"x")=0,SUMPRODUCT((Besatzung!$B$11:$B$22&lt;&gt;"")*(Besatzung!$F$11:$F$22="x")),SUMPRODUCT((J57:U57="x")*(Besatzung!$F$11:$F$22="x"))),1))))),0))))</f>
        <v/>
      </c>
      <c r="AE57" s="106">
        <f>IF(C57="Gutschrift","",IF(G57="","",IF(Besatzung!$B$20="","",IFERROR(IF(I57="Zeitanteilig",(Besatzung!$G$20*(G57-IFERROR(H57,0))+((Besatzung!$B$20&lt;&gt;"")*IF(B57="",1,(IF(Besatzung!$C$20="",Besatzung!$B$5,Besatzung!$C$20)&lt;=B57)*(IF(Besatzung!$D$20="",Besatzung!$B$6,Besatzung!$D$20)&gt;=B57)))*(Besatzung!$F$20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$20&lt;&gt;"")*IF(B57="",1,(IF(Besatzung!$C$20="",Besatzung!$B$5,Besatzung!$C$20)&lt;=B57)*(IF(Besatzung!$D$20="",Besatzung!$B$6,Besatzung!$D$20)&gt;=B57)))*((G57-IFERROR(H57,0))/IFERROR(SUMPRODUCT((Besatzung!$B$11:$B$22&lt;&gt;"")*(IF(Besatzung!$C$11:$C$22="",Besatzung!$B$5,Besatzung!$C$11:$C$22)&lt;=B57)*(IF(Besatzung!$D$11:$D$22="",Besatzung!$B$6,Besatzung!$D$11:$D$22)&gt;=B57)),1)+(Besatzung!$F$20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S57="x")*((G57-IFERROR(H57,0))/IFERROR(COUNTIF(J57:U57,"x"),1)+(Besatzung!$F$20="x")*IFERROR(H57,0)/IFERROR(SUMPRODUCT((J57:U57="x")*(Besatzung!$F$11:$F$22="x")),1))),(IF(COUNTIF(J57:U57,"x")=0,IF(Besatzung!$B$20&lt;&gt;"",1,0),(S57="x"))*(G57-IFERROR(H57,0))/IFERROR(IF(COUNTIF(J57:U57,"x")=0,COUNTA(Besatzung!$B$11:$B$22),COUNTIF(J57:U57,"x")),1)+IF(COUNTIF(J57:U57,"x")=0,(Besatzung!$F$20="x"),(S57="x")*(Besatzung!$F$20="x"))*IFERROR(H57,0)/IFERROR(IF(COUNTIF(J57:U57,"x")=0,SUMPRODUCT((Besatzung!$B$11:$B$22&lt;&gt;"")*(Besatzung!$F$11:$F$22="x")),SUMPRODUCT((J57:U57="x")*(Besatzung!$F$11:$F$22="x"))),1))))),0))))</f>
        <v/>
      </c>
      <c r="AF57" s="106">
        <f>IF(C57="Gutschrift","",IF(G57="","",IF(Besatzung!$B$21="","",IFERROR(IF(I57="Zeitanteilig",(Besatzung!$G$21*(G57-IFERROR(H57,0))+((Besatzung!$B$21&lt;&gt;"")*IF(B57="",1,(IF(Besatzung!$C$21="",Besatzung!$B$5,Besatzung!$C$21)&lt;=B57)*(IF(Besatzung!$D$21="",Besatzung!$B$6,Besatzung!$D$21)&gt;=B57)))*(Besatzung!$F$21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$21&lt;&gt;"")*IF(B57="",1,(IF(Besatzung!$C$21="",Besatzung!$B$5,Besatzung!$C$21)&lt;=B57)*(IF(Besatzung!$D$21="",Besatzung!$B$6,Besatzung!$D$21)&gt;=B57)))*((G57-IFERROR(H57,0))/IFERROR(SUMPRODUCT((Besatzung!$B$11:$B$22&lt;&gt;"")*(IF(Besatzung!$C$11:$C$22="",Besatzung!$B$5,Besatzung!$C$11:$C$22)&lt;=B57)*(IF(Besatzung!$D$11:$D$22="",Besatzung!$B$6,Besatzung!$D$11:$D$22)&gt;=B57)),1)+(Besatzung!$F$21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T57="x")*((G57-IFERROR(H57,0))/IFERROR(COUNTIF(J57:U57,"x"),1)+(Besatzung!$F$21="x")*IFERROR(H57,0)/IFERROR(SUMPRODUCT((J57:U57="x")*(Besatzung!$F$11:$F$22="x")),1))),(IF(COUNTIF(J57:U57,"x")=0,IF(Besatzung!$B$21&lt;&gt;"",1,0),(T57="x"))*(G57-IFERROR(H57,0))/IFERROR(IF(COUNTIF(J57:U57,"x")=0,COUNTA(Besatzung!$B$11:$B$22),COUNTIF(J57:U57,"x")),1)+IF(COUNTIF(J57:U57,"x")=0,(Besatzung!$F$21="x"),(T57="x")*(Besatzung!$F$21="x"))*IFERROR(H57,0)/IFERROR(IF(COUNTIF(J57:U57,"x")=0,SUMPRODUCT((Besatzung!$B$11:$B$22&lt;&gt;"")*(Besatzung!$F$11:$F$22="x")),SUMPRODUCT((J57:U57="x")*(Besatzung!$F$11:$F$22="x"))),1))))),0))))</f>
        <v/>
      </c>
      <c r="AG57" s="106">
        <f>IF(C57="Gutschrift","",IF(G57="","",IF(Besatzung!$B$22="","",IFERROR(IF(I57="Zeitanteilig",(Besatzung!$G$22*(G57-IFERROR(H57,0))+((Besatzung!$B$22&lt;&gt;"")*IF(B57="",1,(IF(Besatzung!$C$22="",Besatzung!$B$5,Besatzung!$C$22)&lt;=B57)*(IF(Besatzung!$D$22="",Besatzung!$B$6,Besatzung!$D$22)&gt;=B57)))*(Besatzung!$F$22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$22&lt;&gt;"")*IF(B57="",1,(IF(Besatzung!$C$22="",Besatzung!$B$5,Besatzung!$C$22)&lt;=B57)*(IF(Besatzung!$D$22="",Besatzung!$B$6,Besatzung!$D$22)&gt;=B57)))*((G57-IFERROR(H57,0))/IFERROR(SUMPRODUCT((Besatzung!$B$11:$B$22&lt;&gt;"")*(IF(Besatzung!$C$11:$C$22="",Besatzung!$B$5,Besatzung!$C$11:$C$22)&lt;=B57)*(IF(Besatzung!$D$11:$D$22="",Besatzung!$B$6,Besatzung!$D$11:$D$22)&gt;=B57)),1)+(Besatzung!$F$22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U57="x")*((G57-IFERROR(H57,0))/IFERROR(COUNTIF(J57:U57,"x"),1)+(Besatzung!$F$22="x")*IFERROR(H57,0)/IFERROR(SUMPRODUCT((J57:U57="x")*(Besatzung!$F$11:$F$22="x")),1))),(IF(COUNTIF(J57:U57,"x")=0,IF(Besatzung!$B$22&lt;&gt;"",1,0),(U57="x"))*(G57-IFERROR(H57,0))/IFERROR(IF(COUNTIF(J57:U57,"x")=0,COUNTA(Besatzung!$B$11:$B$22),COUNTIF(J57:U57,"x")),1)+IF(COUNTIF(J57:U57,"x")=0,(Besatzung!$F$22="x"),(U57="x")*(Besatzung!$F$22="x"))*IFERROR(H57,0)/IFERROR(IF(COUNTIF(J57:U57,"x")=0,SUMPRODUCT((Besatzung!$B$11:$B$22&lt;&gt;"")*(Besatzung!$F$11:$F$22="x")),SUMPRODUCT((J57:U57="x")*(Besatzung!$F$11:$F$22="x"))),1))))),0))))</f>
        <v/>
      </c>
      <c r="AH57" s="107" t="n"/>
      <c r="AI57" s="107" t="n"/>
    </row>
    <row r="58" ht="21.75" customHeight="1" s="182">
      <c r="A58" s="97">
        <f>IF(AND(D58="",C58=""),"",55)</f>
        <v/>
      </c>
      <c r="B58" s="56" t="n"/>
      <c r="C58" s="98" t="n"/>
      <c r="D58" s="99" t="n"/>
      <c r="E58" s="100" t="n"/>
      <c r="F58" s="101" t="n"/>
      <c r="G58" s="102" t="n"/>
      <c r="H58" s="103" t="n"/>
      <c r="I58" s="104" t="n"/>
      <c r="J58" s="105" t="n"/>
      <c r="K58" s="105" t="n"/>
      <c r="L58" s="105" t="n"/>
      <c r="M58" s="105" t="n"/>
      <c r="N58" s="105" t="n"/>
      <c r="O58" s="105" t="n"/>
      <c r="P58" s="105" t="n"/>
      <c r="Q58" s="105" t="n"/>
      <c r="R58" s="105" t="n"/>
      <c r="S58" s="105" t="n"/>
      <c r="T58" s="105" t="n"/>
      <c r="U58" s="105" t="n"/>
      <c r="V58" s="106">
        <f>IF(C58="Gutschrift","",IF(G58="","",IF(Besatzung!$B$11="","",IFERROR(IF(I58="Zeitanteilig",(Besatzung!$G$11*(G58-IFERROR(H58,0))+((Besatzung!$B$11&lt;&gt;"")*IF(B58="",1,(IF(Besatzung!$C$11="",Besatzung!$B$5,Besatzung!$C$11)&lt;=B58)*(IF(Besatzung!$D$11="",Besatzung!$B$6,Besatzung!$D$11)&gt;=B58)))*(Besatzung!$F$11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$11&lt;&gt;"")*IF(B58="",1,(IF(Besatzung!$C$11="",Besatzung!$B$5,Besatzung!$C$11)&lt;=B58)*(IF(Besatzung!$D$11="",Besatzung!$B$6,Besatzung!$D$11)&gt;=B58)))*((G58-IFERROR(H58,0))/IFERROR(SUMPRODUCT((Besatzung!$B$11:$B$22&lt;&gt;"")*(IF(Besatzung!$C$11:$C$22="",Besatzung!$B$5,Besatzung!$C$11:$C$22)&lt;=B58)*(IF(Besatzung!$D$11:$D$22="",Besatzung!$B$6,Besatzung!$D$11:$D$22)&gt;=B58)),1)+(Besatzung!$F$11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J58="x")*((G58-IFERROR(H58,0))/IFERROR(COUNTIF(J58:U58,"x"),1)+(Besatzung!$F$11="x")*IFERROR(H58,0)/IFERROR(SUMPRODUCT((J58:U58="x")*(Besatzung!$F$11:$F$22="x")),1))),(IF(COUNTIF(J58:U58,"x")=0,IF(Besatzung!$B$11&lt;&gt;"",1,0),(J58="x"))*(G58-IFERROR(H58,0))/IFERROR(IF(COUNTIF(J58:U58,"x")=0,COUNTA(Besatzung!$B$11:$B$22),COUNTIF(J58:U58,"x")),1)+IF(COUNTIF(J58:U58,"x")=0,(Besatzung!$F$11="x"),(J58="x")*(Besatzung!$F$11="x"))*IFERROR(H58,0)/IFERROR(IF(COUNTIF(J58:U58,"x")=0,SUMPRODUCT((Besatzung!$B$11:$B$22&lt;&gt;"")*(Besatzung!$F$11:$F$22="x")),SUMPRODUCT((J58:U58="x")*(Besatzung!$F$11:$F$22="x"))),1))))),0))))</f>
        <v/>
      </c>
      <c r="W58" s="106">
        <f>IF(C58="Gutschrift","",IF(G58="","",IF(Besatzung!$B$12="","",IFERROR(IF(I58="Zeitanteilig",(Besatzung!$G$12*(G58-IFERROR(H58,0))+((Besatzung!$B$12&lt;&gt;"")*IF(B58="",1,(IF(Besatzung!$C$12="",Besatzung!$B$5,Besatzung!$C$12)&lt;=B58)*(IF(Besatzung!$D$12="",Besatzung!$B$6,Besatzung!$D$12)&gt;=B58)))*(Besatzung!$F$12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$12&lt;&gt;"")*IF(B58="",1,(IF(Besatzung!$C$12="",Besatzung!$B$5,Besatzung!$C$12)&lt;=B58)*(IF(Besatzung!$D$12="",Besatzung!$B$6,Besatzung!$D$12)&gt;=B58)))*((G58-IFERROR(H58,0))/IFERROR(SUMPRODUCT((Besatzung!$B$11:$B$22&lt;&gt;"")*(IF(Besatzung!$C$11:$C$22="",Besatzung!$B$5,Besatzung!$C$11:$C$22)&lt;=B58)*(IF(Besatzung!$D$11:$D$22="",Besatzung!$B$6,Besatzung!$D$11:$D$22)&gt;=B58)),1)+(Besatzung!$F$12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K58="x")*((G58-IFERROR(H58,0))/IFERROR(COUNTIF(J58:U58,"x"),1)+(Besatzung!$F$12="x")*IFERROR(H58,0)/IFERROR(SUMPRODUCT((J58:U58="x")*(Besatzung!$F$11:$F$22="x")),1))),(IF(COUNTIF(J58:U58,"x")=0,IF(Besatzung!$B$12&lt;&gt;"",1,0),(K58="x"))*(G58-IFERROR(H58,0))/IFERROR(IF(COUNTIF(J58:U58,"x")=0,COUNTA(Besatzung!$B$11:$B$22),COUNTIF(J58:U58,"x")),1)+IF(COUNTIF(J58:U58,"x")=0,(Besatzung!$F$12="x"),(K58="x")*(Besatzung!$F$12="x"))*IFERROR(H58,0)/IFERROR(IF(COUNTIF(J58:U58,"x")=0,SUMPRODUCT((Besatzung!$B$11:$B$22&lt;&gt;"")*(Besatzung!$F$11:$F$22="x")),SUMPRODUCT((J58:U58="x")*(Besatzung!$F$11:$F$22="x"))),1))))),0))))</f>
        <v/>
      </c>
      <c r="X58" s="106">
        <f>IF(C58="Gutschrift","",IF(G58="","",IF(Besatzung!$B$13="","",IFERROR(IF(I58="Zeitanteilig",(Besatzung!$G$13*(G58-IFERROR(H58,0))+((Besatzung!$B$13&lt;&gt;"")*IF(B58="",1,(IF(Besatzung!$C$13="",Besatzung!$B$5,Besatzung!$C$13)&lt;=B58)*(IF(Besatzung!$D$13="",Besatzung!$B$6,Besatzung!$D$13)&gt;=B58)))*(Besatzung!$F$13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$13&lt;&gt;"")*IF(B58="",1,(IF(Besatzung!$C$13="",Besatzung!$B$5,Besatzung!$C$13)&lt;=B58)*(IF(Besatzung!$D$13="",Besatzung!$B$6,Besatzung!$D$13)&gt;=B58)))*((G58-IFERROR(H58,0))/IFERROR(SUMPRODUCT((Besatzung!$B$11:$B$22&lt;&gt;"")*(IF(Besatzung!$C$11:$C$22="",Besatzung!$B$5,Besatzung!$C$11:$C$22)&lt;=B58)*(IF(Besatzung!$D$11:$D$22="",Besatzung!$B$6,Besatzung!$D$11:$D$22)&gt;=B58)),1)+(Besatzung!$F$13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K58="x")*((G58-IFERROR(H58,0))/IFERROR(COUNTIF(J58:U58,"x"),1)+(Besatzung!$F$13="x")*IFERROR(H58,0)/IFERROR(SUMPRODUCT((J58:U58="x")*(Besatzung!$F$11:$F$22="x")),1))),(IF(COUNTIF(J58:U58,"x")=0,IF(Besatzung!$B$13&lt;&gt;"",1,0),(K58="x"))*(G58-IFERROR(H58,0))/IFERROR(IF(COUNTIF(J58:U58,"x")=0,COUNTA(Besatzung!$B$11:$B$22),COUNTIF(J58:U58,"x")),1)+IF(COUNTIF(J58:U58,"x")=0,(Besatzung!$F$13="x"),(K58="x")*(Besatzung!$F$13="x"))*IFERROR(H58,0)/IFERROR(IF(COUNTIF(J58:U58,"x")=0,SUMPRODUCT((Besatzung!$B$11:$B$22&lt;&gt;"")*(Besatzung!$F$11:$F$22="x")),SUMPRODUCT((J58:U58="x")*(Besatzung!$F$11:$F$22="x"))),1))))),0))))</f>
        <v/>
      </c>
      <c r="Y58" s="106">
        <f>IF(C58="Gutschrift","",IF(G58="","",IF(Besatzung!$B$14="","",IFERROR(IF(I58="Zeitanteilig",(Besatzung!$G$14*(G58-IFERROR(H58,0))+((Besatzung!$B$14&lt;&gt;"")*IF(B58="",1,(IF(Besatzung!$C$14="",Besatzung!$B$5,Besatzung!$C$14)&lt;=B58)*(IF(Besatzung!$D$14="",Besatzung!$B$6,Besatzung!$D$14)&gt;=B58)))*(Besatzung!$F$14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$14&lt;&gt;"")*IF(B58="",1,(IF(Besatzung!$C$14="",Besatzung!$B$5,Besatzung!$C$14)&lt;=B58)*(IF(Besatzung!$D$14="",Besatzung!$B$6,Besatzung!$D$14)&gt;=B58)))*((G58-IFERROR(H58,0))/IFERROR(SUMPRODUCT((Besatzung!$B$11:$B$22&lt;&gt;"")*(IF(Besatzung!$C$11:$C$22="",Besatzung!$B$5,Besatzung!$C$11:$C$22)&lt;=B58)*(IF(Besatzung!$D$11:$D$22="",Besatzung!$B$6,Besatzung!$D$11:$D$22)&gt;=B58)),1)+(Besatzung!$F$14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M58="x")*((G58-IFERROR(H58,0))/IFERROR(COUNTIF(J58:U58,"x"),1)+(Besatzung!$F$14="x")*IFERROR(H58,0)/IFERROR(SUMPRODUCT((J58:U58="x")*(Besatzung!$F$11:$F$22="x")),1))),(IF(COUNTIF(J58:U58,"x")=0,IF(Besatzung!$B$14&lt;&gt;"",1,0),(M58="x"))*(G58-IFERROR(H58,0))/IFERROR(IF(COUNTIF(J58:U58,"x")=0,COUNTA(Besatzung!$B$11:$B$22),COUNTIF(J58:U58,"x")),1)+IF(COUNTIF(J58:U58,"x")=0,(Besatzung!$F$14="x"),(M58="x")*(Besatzung!$F$14="x"))*IFERROR(H58,0)/IFERROR(IF(COUNTIF(J58:U58,"x")=0,SUMPRODUCT((Besatzung!$B$11:$B$22&lt;&gt;"")*(Besatzung!$F$11:$F$22="x")),SUMPRODUCT((J58:U58="x")*(Besatzung!$F$11:$F$22="x"))),1))))),0))))</f>
        <v/>
      </c>
      <c r="Z58" s="106">
        <f>IF(C58="Gutschrift","",IF(G58="","",IF(Besatzung!$B$13="","",IFERROR(IF(I58="Zeitanteilig",(Besatzung!$G$15*(G58-IFERROR(H58,0))+((Besatzung!$B$13&lt;&gt;"")*IF(B58="",1,(IF(Besatzung!$C$15="",Besatzung!$B$5,Besatzung!$C$15)&lt;=B58)*(IF(Besatzung!$D$15="",Besatzung!$B$6,Besatzung!$D$15)&gt;=B58)))*(Besatzung!$F$15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$13&lt;&gt;"")*IF(B58="",1,(IF(Besatzung!$C$15="",Besatzung!$B$5,Besatzung!$C$15)&lt;=B58)*(IF(Besatzung!$D$15="",Besatzung!$B$6,Besatzung!$D$15)&gt;=B58)))*((G58-IFERROR(H58,0))/IFERROR(SUMPRODUCT((Besatzung!$B$11:$B$22&lt;&gt;"")*(IF(Besatzung!$C$11:$C$22="",Besatzung!$B$5,Besatzung!$C$11:$C$22)&lt;=B58)*(IF(Besatzung!$D$11:$D$22="",Besatzung!$B$6,Besatzung!$D$11:$D$22)&gt;=B58)),1)+(Besatzung!$F$15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N58="x")*((G58-IFERROR(H58,0))/IFERROR(COUNTIF(J58:U58,"x"),1)+(Besatzung!$F$15="x")*IFERROR(H58,0)/IFERROR(SUMPRODUCT((J58:U58="x")*(Besatzung!$F$11:$F$22="x")),1))),(IF(COUNTIF(J58:U58,"x")=0,IF(Besatzung!$B$13&lt;&gt;"",1,0),(N58="x"))*(G58-IFERROR(H58,0))/IFERROR(IF(COUNTIF(J58:U58,"x")=0,COUNTA(Besatzung!$B$11:$B$22),COUNTIF(J58:U58,"x")),1)+IF(COUNTIF(J58:U58,"x")=0,(Besatzung!$F$15="x"),(N58="x")*(Besatzung!$F$15="x"))*IFERROR(H58,0)/IFERROR(IF(COUNTIF(J58:U58,"x")=0,SUMPRODUCT((Besatzung!$B$11:$B$22&lt;&gt;"")*(Besatzung!$F$11:$F$22="x")),SUMPRODUCT((J58:U58="x")*(Besatzung!$F$11:$F$22="x"))),1))))),0))))</f>
        <v/>
      </c>
      <c r="AA58" s="106">
        <f>IF(C58="Gutschrift","",IF(G58="","",IF(Besatzung!$B$15="","",IFERROR(IF(I58="Zeitanteilig",(Besatzung!$G$16*(G58-IFERROR(H58,0))+((Besatzung!$B$15&lt;&gt;"")*IF(B58="",1,(IF(Besatzung!$C$16="",Besatzung!$B$5,Besatzung!$C$16)&lt;=B58)*(IF(Besatzung!$D$16="",Besatzung!$B$6,Besatzung!$D$16)&gt;=B58)))*(Besatzung!$F$16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$15&lt;&gt;"")*IF(B58="",1,(IF(Besatzung!$C$16="",Besatzung!$B$5,Besatzung!$C$16)&lt;=B58)*(IF(Besatzung!$D$16="",Besatzung!$B$6,Besatzung!$D$16)&gt;=B58)))*((G58-IFERROR(H58,0))/IFERROR(SUMPRODUCT((Besatzung!$B$11:$B$22&lt;&gt;"")*(IF(Besatzung!$C$11:$C$22="",Besatzung!$B$5,Besatzung!$C$11:$C$22)&lt;=B58)*(IF(Besatzung!$D$11:$D$22="",Besatzung!$B$6,Besatzung!$D$11:$D$22)&gt;=B58)),1)+(Besatzung!$F$16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O58="x")*((G58-IFERROR(H58,0))/IFERROR(COUNTIF(J58:U58,"x"),1)+(Besatzung!$F$16="x")*IFERROR(H58,0)/IFERROR(SUMPRODUCT((J58:U58="x")*(Besatzung!$F$11:$F$22="x")),1))),(IF(COUNTIF(J58:U58,"x")=0,IF(Besatzung!$B$15&lt;&gt;"",1,0),(O58="x"))*(G58-IFERROR(H58,0))/IFERROR(IF(COUNTIF(J58:U58,"x")=0,COUNTA(Besatzung!$B$11:$B$22),COUNTIF(J58:U58,"x")),1)+IF(COUNTIF(J58:U58,"x")=0,(Besatzung!$F$16="x"),(O58="x")*(Besatzung!$F$16="x"))*IFERROR(H58,0)/IFERROR(IF(COUNTIF(J58:U58,"x")=0,SUMPRODUCT((Besatzung!$B$11:$B$22&lt;&gt;"")*(Besatzung!$F$11:$F$22="x")),SUMPRODUCT((J58:U58="x")*(Besatzung!$F$11:$F$22="x"))),1))))),0))))</f>
        <v/>
      </c>
      <c r="AB58" s="106">
        <f>IF(C58="Gutschrift","",IF(G58="","",IF(Besatzung!$B$17="","",IFERROR(IF(I58="Zeitanteilig",(Besatzung!$G$17*(G58-IFERROR(H58,0))+((Besatzung!$B$17&lt;&gt;"")*IF(B58="",1,(IF(Besatzung!$C$17="",Besatzung!$B$5,Besatzung!$C$17)&lt;=B58)*(IF(Besatzung!$D$17="",Besatzung!$B$6,Besatzung!$D$17)&gt;=B58)))*(Besatzung!$F$17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$17&lt;&gt;"")*IF(B58="",1,(IF(Besatzung!$C$17="",Besatzung!$B$5,Besatzung!$C$17)&lt;=B58)*(IF(Besatzung!$D$17="",Besatzung!$B$6,Besatzung!$D$17)&gt;=B58)))*((G58-IFERROR(H58,0))/IFERROR(SUMPRODUCT((Besatzung!$B$11:$B$22&lt;&gt;"")*(IF(Besatzung!$C$11:$C$22="",Besatzung!$B$5,Besatzung!$C$11:$C$22)&lt;=B58)*(IF(Besatzung!$D$11:$D$22="",Besatzung!$B$6,Besatzung!$D$11:$D$22)&gt;=B58)),1)+(Besatzung!$F$17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P58="x")*((G58-IFERROR(H58,0))/IFERROR(COUNTIF(J58:U58,"x"),1)+(Besatzung!$F$17="x")*IFERROR(H58,0)/IFERROR(SUMPRODUCT((J58:U58="x")*(Besatzung!$F$11:$F$22="x")),1))),(IF(COUNTIF(J58:U58,"x")=0,IF(Besatzung!$B$17&lt;&gt;"",1,0),(P58="x"))*(G58-IFERROR(H58,0))/IFERROR(IF(COUNTIF(J58:U58,"x")=0,COUNTA(Besatzung!$B$11:$B$22),COUNTIF(J58:U58,"x")),1)+IF(COUNTIF(J58:U58,"x")=0,(Besatzung!$F$17="x"),(P58="x")*(Besatzung!$F$17="x"))*IFERROR(H58,0)/IFERROR(IF(COUNTIF(J58:U58,"x")=0,SUMPRODUCT((Besatzung!$B$11:$B$22&lt;&gt;"")*(Besatzung!$F$11:$F$22="x")),SUMPRODUCT((J58:U58="x")*(Besatzung!$F$11:$F$22="x"))),1))))),0))))</f>
        <v/>
      </c>
      <c r="AC58" s="106">
        <f>IF(C58="Gutschrift","",IF(G58="","",IF(Besatzung!$B$18="","",IFERROR(IF(I58="Zeitanteilig",(Besatzung!$G$18*(G58-IFERROR(H58,0))+((Besatzung!$B$18&lt;&gt;"")*IF(B58="",1,(IF(Besatzung!$C$18="",Besatzung!$B$5,Besatzung!$C$18)&lt;=B58)*(IF(Besatzung!$D$18="",Besatzung!$B$6,Besatzung!$D$18)&gt;=B58)))*(Besatzung!$F$18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$18&lt;&gt;"")*IF(B58="",1,(IF(Besatzung!$C$18="",Besatzung!$B$5,Besatzung!$C$18)&lt;=B58)*(IF(Besatzung!$D$18="",Besatzung!$B$6,Besatzung!$D$18)&gt;=B58)))*((G58-IFERROR(H58,0))/IFERROR(SUMPRODUCT((Besatzung!$B$11:$B$22&lt;&gt;"")*(IF(Besatzung!$C$11:$C$22="",Besatzung!$B$5,Besatzung!$C$11:$C$22)&lt;=B58)*(IF(Besatzung!$D$11:$D$22="",Besatzung!$B$6,Besatzung!$D$11:$D$22)&gt;=B58)),1)+(Besatzung!$F$18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Q58="x")*((G58-IFERROR(H58,0))/IFERROR(COUNTIF(J58:U58,"x"),1)+(Besatzung!$F$18="x")*IFERROR(H58,0)/IFERROR(SUMPRODUCT((J58:U58="x")*(Besatzung!$F$11:$F$22="x")),1))),(IF(COUNTIF(J58:U58,"x")=0,IF(Besatzung!$B$18&lt;&gt;"",1,0),(Q58="x"))*(G58-IFERROR(H58,0))/IFERROR(IF(COUNTIF(J58:U58,"x")=0,COUNTA(Besatzung!$B$11:$B$22),COUNTIF(J58:U58,"x")),1)+IF(COUNTIF(J58:U58,"x")=0,(Besatzung!$F$18="x"),(Q58="x")*(Besatzung!$F$18="x"))*IFERROR(H58,0)/IFERROR(IF(COUNTIF(J58:U58,"x")=0,SUMPRODUCT((Besatzung!$B$11:$B$22&lt;&gt;"")*(Besatzung!$F$11:$F$22="x")),SUMPRODUCT((J58:U58="x")*(Besatzung!$F$11:$F$22="x"))),1))))),0))))</f>
        <v/>
      </c>
      <c r="AD58" s="106">
        <f>IF(C58="Gutschrift","",IF(G58="","",IF(Besatzung!$B$19="","",IFERROR(IF(I58="Zeitanteilig",(Besatzung!$G$19*(G58-IFERROR(H58,0))+((Besatzung!$B$19&lt;&gt;"")*IF(B58="",1,(IF(Besatzung!$C$19="",Besatzung!$B$5,Besatzung!$C$19)&lt;=B58)*(IF(Besatzung!$D$19="",Besatzung!$B$6,Besatzung!$D$19)&gt;=B58)))*(Besatzung!$F$19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$19&lt;&gt;"")*IF(B58="",1,(IF(Besatzung!$C$19="",Besatzung!$B$5,Besatzung!$C$19)&lt;=B58)*(IF(Besatzung!$D$19="",Besatzung!$B$6,Besatzung!$D$19)&gt;=B58)))*((G58-IFERROR(H58,0))/IFERROR(SUMPRODUCT((Besatzung!$B$11:$B$22&lt;&gt;"")*(IF(Besatzung!$C$11:$C$22="",Besatzung!$B$5,Besatzung!$C$11:$C$22)&lt;=B58)*(IF(Besatzung!$D$11:$D$22="",Besatzung!$B$6,Besatzung!$D$11:$D$22)&gt;=B58)),1)+(Besatzung!$F$19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R58="x")*((G58-IFERROR(H58,0))/IFERROR(COUNTIF(J58:U58,"x"),1)+(Besatzung!$F$19="x")*IFERROR(H58,0)/IFERROR(SUMPRODUCT((J58:U58="x")*(Besatzung!$F$11:$F$22="x")),1))),(IF(COUNTIF(J58:U58,"x")=0,IF(Besatzung!$B$19&lt;&gt;"",1,0),(R58="x"))*(G58-IFERROR(H58,0))/IFERROR(IF(COUNTIF(J58:U58,"x")=0,COUNTA(Besatzung!$B$11:$B$22),COUNTIF(J58:U58,"x")),1)+IF(COUNTIF(J58:U58,"x")=0,(Besatzung!$F$19="x"),(R58="x")*(Besatzung!$F$19="x"))*IFERROR(H58,0)/IFERROR(IF(COUNTIF(J58:U58,"x")=0,SUMPRODUCT((Besatzung!$B$11:$B$22&lt;&gt;"")*(Besatzung!$F$11:$F$22="x")),SUMPRODUCT((J58:U58="x")*(Besatzung!$F$11:$F$22="x"))),1))))),0))))</f>
        <v/>
      </c>
      <c r="AE58" s="106">
        <f>IF(C58="Gutschrift","",IF(G58="","",IF(Besatzung!$B$20="","",IFERROR(IF(I58="Zeitanteilig",(Besatzung!$G$20*(G58-IFERROR(H58,0))+((Besatzung!$B$20&lt;&gt;"")*IF(B58="",1,(IF(Besatzung!$C$20="",Besatzung!$B$5,Besatzung!$C$20)&lt;=B58)*(IF(Besatzung!$D$20="",Besatzung!$B$6,Besatzung!$D$20)&gt;=B58)))*(Besatzung!$F$20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$20&lt;&gt;"")*IF(B58="",1,(IF(Besatzung!$C$20="",Besatzung!$B$5,Besatzung!$C$20)&lt;=B58)*(IF(Besatzung!$D$20="",Besatzung!$B$6,Besatzung!$D$20)&gt;=B58)))*((G58-IFERROR(H58,0))/IFERROR(SUMPRODUCT((Besatzung!$B$11:$B$22&lt;&gt;"")*(IF(Besatzung!$C$11:$C$22="",Besatzung!$B$5,Besatzung!$C$11:$C$22)&lt;=B58)*(IF(Besatzung!$D$11:$D$22="",Besatzung!$B$6,Besatzung!$D$11:$D$22)&gt;=B58)),1)+(Besatzung!$F$20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S58="x")*((G58-IFERROR(H58,0))/IFERROR(COUNTIF(J58:U58,"x"),1)+(Besatzung!$F$20="x")*IFERROR(H58,0)/IFERROR(SUMPRODUCT((J58:U58="x")*(Besatzung!$F$11:$F$22="x")),1))),(IF(COUNTIF(J58:U58,"x")=0,IF(Besatzung!$B$20&lt;&gt;"",1,0),(S58="x"))*(G58-IFERROR(H58,0))/IFERROR(IF(COUNTIF(J58:U58,"x")=0,COUNTA(Besatzung!$B$11:$B$22),COUNTIF(J58:U58,"x")),1)+IF(COUNTIF(J58:U58,"x")=0,(Besatzung!$F$20="x"),(S58="x")*(Besatzung!$F$20="x"))*IFERROR(H58,0)/IFERROR(IF(COUNTIF(J58:U58,"x")=0,SUMPRODUCT((Besatzung!$B$11:$B$22&lt;&gt;"")*(Besatzung!$F$11:$F$22="x")),SUMPRODUCT((J58:U58="x")*(Besatzung!$F$11:$F$22="x"))),1))))),0))))</f>
        <v/>
      </c>
      <c r="AF58" s="106">
        <f>IF(C58="Gutschrift","",IF(G58="","",IF(Besatzung!$B$21="","",IFERROR(IF(I58="Zeitanteilig",(Besatzung!$G$21*(G58-IFERROR(H58,0))+((Besatzung!$B$21&lt;&gt;"")*IF(B58="",1,(IF(Besatzung!$C$21="",Besatzung!$B$5,Besatzung!$C$21)&lt;=B58)*(IF(Besatzung!$D$21="",Besatzung!$B$6,Besatzung!$D$21)&gt;=B58)))*(Besatzung!$F$21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$21&lt;&gt;"")*IF(B58="",1,(IF(Besatzung!$C$21="",Besatzung!$B$5,Besatzung!$C$21)&lt;=B58)*(IF(Besatzung!$D$21="",Besatzung!$B$6,Besatzung!$D$21)&gt;=B58)))*((G58-IFERROR(H58,0))/IFERROR(SUMPRODUCT((Besatzung!$B$11:$B$22&lt;&gt;"")*(IF(Besatzung!$C$11:$C$22="",Besatzung!$B$5,Besatzung!$C$11:$C$22)&lt;=B58)*(IF(Besatzung!$D$11:$D$22="",Besatzung!$B$6,Besatzung!$D$11:$D$22)&gt;=B58)),1)+(Besatzung!$F$21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T58="x")*((G58-IFERROR(H58,0))/IFERROR(COUNTIF(J58:U58,"x"),1)+(Besatzung!$F$21="x")*IFERROR(H58,0)/IFERROR(SUMPRODUCT((J58:U58="x")*(Besatzung!$F$11:$F$22="x")),1))),(IF(COUNTIF(J58:U58,"x")=0,IF(Besatzung!$B$21&lt;&gt;"",1,0),(T58="x"))*(G58-IFERROR(H58,0))/IFERROR(IF(COUNTIF(J58:U58,"x")=0,COUNTA(Besatzung!$B$11:$B$22),COUNTIF(J58:U58,"x")),1)+IF(COUNTIF(J58:U58,"x")=0,(Besatzung!$F$21="x"),(T58="x")*(Besatzung!$F$21="x"))*IFERROR(H58,0)/IFERROR(IF(COUNTIF(J58:U58,"x")=0,SUMPRODUCT((Besatzung!$B$11:$B$22&lt;&gt;"")*(Besatzung!$F$11:$F$22="x")),SUMPRODUCT((J58:U58="x")*(Besatzung!$F$11:$F$22="x"))),1))))),0))))</f>
        <v/>
      </c>
      <c r="AG58" s="106">
        <f>IF(C58="Gutschrift","",IF(G58="","",IF(Besatzung!$B$22="","",IFERROR(IF(I58="Zeitanteilig",(Besatzung!$G$22*(G58-IFERROR(H58,0))+((Besatzung!$B$22&lt;&gt;"")*IF(B58="",1,(IF(Besatzung!$C$22="",Besatzung!$B$5,Besatzung!$C$22)&lt;=B58)*(IF(Besatzung!$D$22="",Besatzung!$B$6,Besatzung!$D$22)&gt;=B58)))*(Besatzung!$F$22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$22&lt;&gt;"")*IF(B58="",1,(IF(Besatzung!$C$22="",Besatzung!$B$5,Besatzung!$C$22)&lt;=B58)*(IF(Besatzung!$D$22="",Besatzung!$B$6,Besatzung!$D$22)&gt;=B58)))*((G58-IFERROR(H58,0))/IFERROR(SUMPRODUCT((Besatzung!$B$11:$B$22&lt;&gt;"")*(IF(Besatzung!$C$11:$C$22="",Besatzung!$B$5,Besatzung!$C$11:$C$22)&lt;=B58)*(IF(Besatzung!$D$11:$D$22="",Besatzung!$B$6,Besatzung!$D$11:$D$22)&gt;=B58)),1)+(Besatzung!$F$22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U58="x")*((G58-IFERROR(H58,0))/IFERROR(COUNTIF(J58:U58,"x"),1)+(Besatzung!$F$22="x")*IFERROR(H58,0)/IFERROR(SUMPRODUCT((J58:U58="x")*(Besatzung!$F$11:$F$22="x")),1))),(IF(COUNTIF(J58:U58,"x")=0,IF(Besatzung!$B$22&lt;&gt;"",1,0),(U58="x"))*(G58-IFERROR(H58,0))/IFERROR(IF(COUNTIF(J58:U58,"x")=0,COUNTA(Besatzung!$B$11:$B$22),COUNTIF(J58:U58,"x")),1)+IF(COUNTIF(J58:U58,"x")=0,(Besatzung!$F$22="x"),(U58="x")*(Besatzung!$F$22="x"))*IFERROR(H58,0)/IFERROR(IF(COUNTIF(J58:U58,"x")=0,SUMPRODUCT((Besatzung!$B$11:$B$22&lt;&gt;"")*(Besatzung!$F$11:$F$22="x")),SUMPRODUCT((J58:U58="x")*(Besatzung!$F$11:$F$22="x"))),1))))),0))))</f>
        <v/>
      </c>
      <c r="AH58" s="107" t="n"/>
      <c r="AI58" s="107" t="n"/>
    </row>
    <row r="59" ht="21.75" customHeight="1" s="182">
      <c r="A59" s="97">
        <f>IF(AND(D59="",C59=""),"",56)</f>
        <v/>
      </c>
      <c r="B59" s="63" t="n"/>
      <c r="C59" s="108" t="n"/>
      <c r="D59" s="109" t="n"/>
      <c r="E59" s="110" t="n"/>
      <c r="F59" s="111" t="n"/>
      <c r="G59" s="112" t="n"/>
      <c r="H59" s="113" t="n"/>
      <c r="I59" s="114" t="n"/>
      <c r="J59" s="115" t="n"/>
      <c r="K59" s="115" t="n"/>
      <c r="L59" s="115" t="n"/>
      <c r="M59" s="115" t="n"/>
      <c r="N59" s="115" t="n"/>
      <c r="O59" s="115" t="n"/>
      <c r="P59" s="115" t="n"/>
      <c r="Q59" s="115" t="n"/>
      <c r="R59" s="115" t="n"/>
      <c r="S59" s="115" t="n"/>
      <c r="T59" s="115" t="n"/>
      <c r="U59" s="115" t="n"/>
      <c r="V59" s="106">
        <f>IF(C59="Gutschrift","",IF(G59="","",IF(Besatzung!$B$11="","",IFERROR(IF(I59="Zeitanteilig",(Besatzung!$G$11*(G59-IFERROR(H59,0))+((Besatzung!$B$11&lt;&gt;"")*IF(B59="",1,(IF(Besatzung!$C$11="",Besatzung!$B$5,Besatzung!$C$11)&lt;=B59)*(IF(Besatzung!$D$11="",Besatzung!$B$6,Besatzung!$D$11)&gt;=B59)))*(Besatzung!$F$11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$11&lt;&gt;"")*IF(B59="",1,(IF(Besatzung!$C$11="",Besatzung!$B$5,Besatzung!$C$11)&lt;=B59)*(IF(Besatzung!$D$11="",Besatzung!$B$6,Besatzung!$D$11)&gt;=B59)))*((G59-IFERROR(H59,0))/IFERROR(SUMPRODUCT((Besatzung!$B$11:$B$22&lt;&gt;"")*(IF(Besatzung!$C$11:$C$22="",Besatzung!$B$5,Besatzung!$C$11:$C$22)&lt;=B59)*(IF(Besatzung!$D$11:$D$22="",Besatzung!$B$6,Besatzung!$D$11:$D$22)&gt;=B59)),1)+(Besatzung!$F$11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J59="x")*((G59-IFERROR(H59,0))/IFERROR(COUNTIF(J59:U59,"x"),1)+(Besatzung!$F$11="x")*IFERROR(H59,0)/IFERROR(SUMPRODUCT((J59:U59="x")*(Besatzung!$F$11:$F$22="x")),1))),(IF(COUNTIF(J59:U59,"x")=0,IF(Besatzung!$B$11&lt;&gt;"",1,0),(J59="x"))*(G59-IFERROR(H59,0))/IFERROR(IF(COUNTIF(J59:U59,"x")=0,COUNTA(Besatzung!$B$11:$B$22),COUNTIF(J59:U59,"x")),1)+IF(COUNTIF(J59:U59,"x")=0,(Besatzung!$F$11="x"),(J59="x")*(Besatzung!$F$11="x"))*IFERROR(H59,0)/IFERROR(IF(COUNTIF(J59:U59,"x")=0,SUMPRODUCT((Besatzung!$B$11:$B$22&lt;&gt;"")*(Besatzung!$F$11:$F$22="x")),SUMPRODUCT((J59:U59="x")*(Besatzung!$F$11:$F$22="x"))),1))))),0))))</f>
        <v/>
      </c>
      <c r="W59" s="106">
        <f>IF(C59="Gutschrift","",IF(G59="","",IF(Besatzung!$B$12="","",IFERROR(IF(I59="Zeitanteilig",(Besatzung!$G$12*(G59-IFERROR(H59,0))+((Besatzung!$B$12&lt;&gt;"")*IF(B59="",1,(IF(Besatzung!$C$12="",Besatzung!$B$5,Besatzung!$C$12)&lt;=B59)*(IF(Besatzung!$D$12="",Besatzung!$B$6,Besatzung!$D$12)&gt;=B59)))*(Besatzung!$F$12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$12&lt;&gt;"")*IF(B59="",1,(IF(Besatzung!$C$12="",Besatzung!$B$5,Besatzung!$C$12)&lt;=B59)*(IF(Besatzung!$D$12="",Besatzung!$B$6,Besatzung!$D$12)&gt;=B59)))*((G59-IFERROR(H59,0))/IFERROR(SUMPRODUCT((Besatzung!$B$11:$B$22&lt;&gt;"")*(IF(Besatzung!$C$11:$C$22="",Besatzung!$B$5,Besatzung!$C$11:$C$22)&lt;=B59)*(IF(Besatzung!$D$11:$D$22="",Besatzung!$B$6,Besatzung!$D$11:$D$22)&gt;=B59)),1)+(Besatzung!$F$12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K59="x")*((G59-IFERROR(H59,0))/IFERROR(COUNTIF(J59:U59,"x"),1)+(Besatzung!$F$12="x")*IFERROR(H59,0)/IFERROR(SUMPRODUCT((J59:U59="x")*(Besatzung!$F$11:$F$22="x")),1))),(IF(COUNTIF(J59:U59,"x")=0,IF(Besatzung!$B$12&lt;&gt;"",1,0),(K59="x"))*(G59-IFERROR(H59,0))/IFERROR(IF(COUNTIF(J59:U59,"x")=0,COUNTA(Besatzung!$B$11:$B$22),COUNTIF(J59:U59,"x")),1)+IF(COUNTIF(J59:U59,"x")=0,(Besatzung!$F$12="x"),(K59="x")*(Besatzung!$F$12="x"))*IFERROR(H59,0)/IFERROR(IF(COUNTIF(J59:U59,"x")=0,SUMPRODUCT((Besatzung!$B$11:$B$22&lt;&gt;"")*(Besatzung!$F$11:$F$22="x")),SUMPRODUCT((J59:U59="x")*(Besatzung!$F$11:$F$22="x"))),1))))),0))))</f>
        <v/>
      </c>
      <c r="X59" s="106">
        <f>IF(C59="Gutschrift","",IF(G59="","",IF(Besatzung!$B$13="","",IFERROR(IF(I59="Zeitanteilig",(Besatzung!$G$13*(G59-IFERROR(H59,0))+((Besatzung!$B$13&lt;&gt;"")*IF(B59="",1,(IF(Besatzung!$C$13="",Besatzung!$B$5,Besatzung!$C$13)&lt;=B59)*(IF(Besatzung!$D$13="",Besatzung!$B$6,Besatzung!$D$13)&gt;=B59)))*(Besatzung!$F$13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$13&lt;&gt;"")*IF(B59="",1,(IF(Besatzung!$C$13="",Besatzung!$B$5,Besatzung!$C$13)&lt;=B59)*(IF(Besatzung!$D$13="",Besatzung!$B$6,Besatzung!$D$13)&gt;=B59)))*((G59-IFERROR(H59,0))/IFERROR(SUMPRODUCT((Besatzung!$B$11:$B$22&lt;&gt;"")*(IF(Besatzung!$C$11:$C$22="",Besatzung!$B$5,Besatzung!$C$11:$C$22)&lt;=B59)*(IF(Besatzung!$D$11:$D$22="",Besatzung!$B$6,Besatzung!$D$11:$D$22)&gt;=B59)),1)+(Besatzung!$F$13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K59="x")*((G59-IFERROR(H59,0))/IFERROR(COUNTIF(J59:U59,"x"),1)+(Besatzung!$F$13="x")*IFERROR(H59,0)/IFERROR(SUMPRODUCT((J59:U59="x")*(Besatzung!$F$11:$F$22="x")),1))),(IF(COUNTIF(J59:U59,"x")=0,IF(Besatzung!$B$13&lt;&gt;"",1,0),(K59="x"))*(G59-IFERROR(H59,0))/IFERROR(IF(COUNTIF(J59:U59,"x")=0,COUNTA(Besatzung!$B$11:$B$22),COUNTIF(J59:U59,"x")),1)+IF(COUNTIF(J59:U59,"x")=0,(Besatzung!$F$13="x"),(K59="x")*(Besatzung!$F$13="x"))*IFERROR(H59,0)/IFERROR(IF(COUNTIF(J59:U59,"x")=0,SUMPRODUCT((Besatzung!$B$11:$B$22&lt;&gt;"")*(Besatzung!$F$11:$F$22="x")),SUMPRODUCT((J59:U59="x")*(Besatzung!$F$11:$F$22="x"))),1))))),0))))</f>
        <v/>
      </c>
      <c r="Y59" s="106">
        <f>IF(C59="Gutschrift","",IF(G59="","",IF(Besatzung!$B$14="","",IFERROR(IF(I59="Zeitanteilig",(Besatzung!$G$14*(G59-IFERROR(H59,0))+((Besatzung!$B$14&lt;&gt;"")*IF(B59="",1,(IF(Besatzung!$C$14="",Besatzung!$B$5,Besatzung!$C$14)&lt;=B59)*(IF(Besatzung!$D$14="",Besatzung!$B$6,Besatzung!$D$14)&gt;=B59)))*(Besatzung!$F$14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$14&lt;&gt;"")*IF(B59="",1,(IF(Besatzung!$C$14="",Besatzung!$B$5,Besatzung!$C$14)&lt;=B59)*(IF(Besatzung!$D$14="",Besatzung!$B$6,Besatzung!$D$14)&gt;=B59)))*((G59-IFERROR(H59,0))/IFERROR(SUMPRODUCT((Besatzung!$B$11:$B$22&lt;&gt;"")*(IF(Besatzung!$C$11:$C$22="",Besatzung!$B$5,Besatzung!$C$11:$C$22)&lt;=B59)*(IF(Besatzung!$D$11:$D$22="",Besatzung!$B$6,Besatzung!$D$11:$D$22)&gt;=B59)),1)+(Besatzung!$F$14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M59="x")*((G59-IFERROR(H59,0))/IFERROR(COUNTIF(J59:U59,"x"),1)+(Besatzung!$F$14="x")*IFERROR(H59,0)/IFERROR(SUMPRODUCT((J59:U59="x")*(Besatzung!$F$11:$F$22="x")),1))),(IF(COUNTIF(J59:U59,"x")=0,IF(Besatzung!$B$14&lt;&gt;"",1,0),(M59="x"))*(G59-IFERROR(H59,0))/IFERROR(IF(COUNTIF(J59:U59,"x")=0,COUNTA(Besatzung!$B$11:$B$22),COUNTIF(J59:U59,"x")),1)+IF(COUNTIF(J59:U59,"x")=0,(Besatzung!$F$14="x"),(M59="x")*(Besatzung!$F$14="x"))*IFERROR(H59,0)/IFERROR(IF(COUNTIF(J59:U59,"x")=0,SUMPRODUCT((Besatzung!$B$11:$B$22&lt;&gt;"")*(Besatzung!$F$11:$F$22="x")),SUMPRODUCT((J59:U59="x")*(Besatzung!$F$11:$F$22="x"))),1))))),0))))</f>
        <v/>
      </c>
      <c r="Z59" s="106">
        <f>IF(C59="Gutschrift","",IF(G59="","",IF(Besatzung!$B$13="","",IFERROR(IF(I59="Zeitanteilig",(Besatzung!$G$15*(G59-IFERROR(H59,0))+((Besatzung!$B$13&lt;&gt;"")*IF(B59="",1,(IF(Besatzung!$C$15="",Besatzung!$B$5,Besatzung!$C$15)&lt;=B59)*(IF(Besatzung!$D$15="",Besatzung!$B$6,Besatzung!$D$15)&gt;=B59)))*(Besatzung!$F$15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$13&lt;&gt;"")*IF(B59="",1,(IF(Besatzung!$C$15="",Besatzung!$B$5,Besatzung!$C$15)&lt;=B59)*(IF(Besatzung!$D$15="",Besatzung!$B$6,Besatzung!$D$15)&gt;=B59)))*((G59-IFERROR(H59,0))/IFERROR(SUMPRODUCT((Besatzung!$B$11:$B$22&lt;&gt;"")*(IF(Besatzung!$C$11:$C$22="",Besatzung!$B$5,Besatzung!$C$11:$C$22)&lt;=B59)*(IF(Besatzung!$D$11:$D$22="",Besatzung!$B$6,Besatzung!$D$11:$D$22)&gt;=B59)),1)+(Besatzung!$F$15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N59="x")*((G59-IFERROR(H59,0))/IFERROR(COUNTIF(J59:U59,"x"),1)+(Besatzung!$F$15="x")*IFERROR(H59,0)/IFERROR(SUMPRODUCT((J59:U59="x")*(Besatzung!$F$11:$F$22="x")),1))),(IF(COUNTIF(J59:U59,"x")=0,IF(Besatzung!$B$13&lt;&gt;"",1,0),(N59="x"))*(G59-IFERROR(H59,0))/IFERROR(IF(COUNTIF(J59:U59,"x")=0,COUNTA(Besatzung!$B$11:$B$22),COUNTIF(J59:U59,"x")),1)+IF(COUNTIF(J59:U59,"x")=0,(Besatzung!$F$15="x"),(N59="x")*(Besatzung!$F$15="x"))*IFERROR(H59,0)/IFERROR(IF(COUNTIF(J59:U59,"x")=0,SUMPRODUCT((Besatzung!$B$11:$B$22&lt;&gt;"")*(Besatzung!$F$11:$F$22="x")),SUMPRODUCT((J59:U59="x")*(Besatzung!$F$11:$F$22="x"))),1))))),0))))</f>
        <v/>
      </c>
      <c r="AA59" s="106">
        <f>IF(C59="Gutschrift","",IF(G59="","",IF(Besatzung!$B$15="","",IFERROR(IF(I59="Zeitanteilig",(Besatzung!$G$16*(G59-IFERROR(H59,0))+((Besatzung!$B$15&lt;&gt;"")*IF(B59="",1,(IF(Besatzung!$C$16="",Besatzung!$B$5,Besatzung!$C$16)&lt;=B59)*(IF(Besatzung!$D$16="",Besatzung!$B$6,Besatzung!$D$16)&gt;=B59)))*(Besatzung!$F$16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$15&lt;&gt;"")*IF(B59="",1,(IF(Besatzung!$C$16="",Besatzung!$B$5,Besatzung!$C$16)&lt;=B59)*(IF(Besatzung!$D$16="",Besatzung!$B$6,Besatzung!$D$16)&gt;=B59)))*((G59-IFERROR(H59,0))/IFERROR(SUMPRODUCT((Besatzung!$B$11:$B$22&lt;&gt;"")*(IF(Besatzung!$C$11:$C$22="",Besatzung!$B$5,Besatzung!$C$11:$C$22)&lt;=B59)*(IF(Besatzung!$D$11:$D$22="",Besatzung!$B$6,Besatzung!$D$11:$D$22)&gt;=B59)),1)+(Besatzung!$F$16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O59="x")*((G59-IFERROR(H59,0))/IFERROR(COUNTIF(J59:U59,"x"),1)+(Besatzung!$F$16="x")*IFERROR(H59,0)/IFERROR(SUMPRODUCT((J59:U59="x")*(Besatzung!$F$11:$F$22="x")),1))),(IF(COUNTIF(J59:U59,"x")=0,IF(Besatzung!$B$15&lt;&gt;"",1,0),(O59="x"))*(G59-IFERROR(H59,0))/IFERROR(IF(COUNTIF(J59:U59,"x")=0,COUNTA(Besatzung!$B$11:$B$22),COUNTIF(J59:U59,"x")),1)+IF(COUNTIF(J59:U59,"x")=0,(Besatzung!$F$16="x"),(O59="x")*(Besatzung!$F$16="x"))*IFERROR(H59,0)/IFERROR(IF(COUNTIF(J59:U59,"x")=0,SUMPRODUCT((Besatzung!$B$11:$B$22&lt;&gt;"")*(Besatzung!$F$11:$F$22="x")),SUMPRODUCT((J59:U59="x")*(Besatzung!$F$11:$F$22="x"))),1))))),0))))</f>
        <v/>
      </c>
      <c r="AB59" s="106">
        <f>IF(C59="Gutschrift","",IF(G59="","",IF(Besatzung!$B$17="","",IFERROR(IF(I59="Zeitanteilig",(Besatzung!$G$17*(G59-IFERROR(H59,0))+((Besatzung!$B$17&lt;&gt;"")*IF(B59="",1,(IF(Besatzung!$C$17="",Besatzung!$B$5,Besatzung!$C$17)&lt;=B59)*(IF(Besatzung!$D$17="",Besatzung!$B$6,Besatzung!$D$17)&gt;=B59)))*(Besatzung!$F$17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$17&lt;&gt;"")*IF(B59="",1,(IF(Besatzung!$C$17="",Besatzung!$B$5,Besatzung!$C$17)&lt;=B59)*(IF(Besatzung!$D$17="",Besatzung!$B$6,Besatzung!$D$17)&gt;=B59)))*((G59-IFERROR(H59,0))/IFERROR(SUMPRODUCT((Besatzung!$B$11:$B$22&lt;&gt;"")*(IF(Besatzung!$C$11:$C$22="",Besatzung!$B$5,Besatzung!$C$11:$C$22)&lt;=B59)*(IF(Besatzung!$D$11:$D$22="",Besatzung!$B$6,Besatzung!$D$11:$D$22)&gt;=B59)),1)+(Besatzung!$F$17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P59="x")*((G59-IFERROR(H59,0))/IFERROR(COUNTIF(J59:U59,"x"),1)+(Besatzung!$F$17="x")*IFERROR(H59,0)/IFERROR(SUMPRODUCT((J59:U59="x")*(Besatzung!$F$11:$F$22="x")),1))),(IF(COUNTIF(J59:U59,"x")=0,IF(Besatzung!$B$17&lt;&gt;"",1,0),(P59="x"))*(G59-IFERROR(H59,0))/IFERROR(IF(COUNTIF(J59:U59,"x")=0,COUNTA(Besatzung!$B$11:$B$22),COUNTIF(J59:U59,"x")),1)+IF(COUNTIF(J59:U59,"x")=0,(Besatzung!$F$17="x"),(P59="x")*(Besatzung!$F$17="x"))*IFERROR(H59,0)/IFERROR(IF(COUNTIF(J59:U59,"x")=0,SUMPRODUCT((Besatzung!$B$11:$B$22&lt;&gt;"")*(Besatzung!$F$11:$F$22="x")),SUMPRODUCT((J59:U59="x")*(Besatzung!$F$11:$F$22="x"))),1))))),0))))</f>
        <v/>
      </c>
      <c r="AC59" s="106">
        <f>IF(C59="Gutschrift","",IF(G59="","",IF(Besatzung!$B$18="","",IFERROR(IF(I59="Zeitanteilig",(Besatzung!$G$18*(G59-IFERROR(H59,0))+((Besatzung!$B$18&lt;&gt;"")*IF(B59="",1,(IF(Besatzung!$C$18="",Besatzung!$B$5,Besatzung!$C$18)&lt;=B59)*(IF(Besatzung!$D$18="",Besatzung!$B$6,Besatzung!$D$18)&gt;=B59)))*(Besatzung!$F$18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$18&lt;&gt;"")*IF(B59="",1,(IF(Besatzung!$C$18="",Besatzung!$B$5,Besatzung!$C$18)&lt;=B59)*(IF(Besatzung!$D$18="",Besatzung!$B$6,Besatzung!$D$18)&gt;=B59)))*((G59-IFERROR(H59,0))/IFERROR(SUMPRODUCT((Besatzung!$B$11:$B$22&lt;&gt;"")*(IF(Besatzung!$C$11:$C$22="",Besatzung!$B$5,Besatzung!$C$11:$C$22)&lt;=B59)*(IF(Besatzung!$D$11:$D$22="",Besatzung!$B$6,Besatzung!$D$11:$D$22)&gt;=B59)),1)+(Besatzung!$F$18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Q59="x")*((G59-IFERROR(H59,0))/IFERROR(COUNTIF(J59:U59,"x"),1)+(Besatzung!$F$18="x")*IFERROR(H59,0)/IFERROR(SUMPRODUCT((J59:U59="x")*(Besatzung!$F$11:$F$22="x")),1))),(IF(COUNTIF(J59:U59,"x")=0,IF(Besatzung!$B$18&lt;&gt;"",1,0),(Q59="x"))*(G59-IFERROR(H59,0))/IFERROR(IF(COUNTIF(J59:U59,"x")=0,COUNTA(Besatzung!$B$11:$B$22),COUNTIF(J59:U59,"x")),1)+IF(COUNTIF(J59:U59,"x")=0,(Besatzung!$F$18="x"),(Q59="x")*(Besatzung!$F$18="x"))*IFERROR(H59,0)/IFERROR(IF(COUNTIF(J59:U59,"x")=0,SUMPRODUCT((Besatzung!$B$11:$B$22&lt;&gt;"")*(Besatzung!$F$11:$F$22="x")),SUMPRODUCT((J59:U59="x")*(Besatzung!$F$11:$F$22="x"))),1))))),0))))</f>
        <v/>
      </c>
      <c r="AD59" s="106">
        <f>IF(C59="Gutschrift","",IF(G59="","",IF(Besatzung!$B$19="","",IFERROR(IF(I59="Zeitanteilig",(Besatzung!$G$19*(G59-IFERROR(H59,0))+((Besatzung!$B$19&lt;&gt;"")*IF(B59="",1,(IF(Besatzung!$C$19="",Besatzung!$B$5,Besatzung!$C$19)&lt;=B59)*(IF(Besatzung!$D$19="",Besatzung!$B$6,Besatzung!$D$19)&gt;=B59)))*(Besatzung!$F$19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$19&lt;&gt;"")*IF(B59="",1,(IF(Besatzung!$C$19="",Besatzung!$B$5,Besatzung!$C$19)&lt;=B59)*(IF(Besatzung!$D$19="",Besatzung!$B$6,Besatzung!$D$19)&gt;=B59)))*((G59-IFERROR(H59,0))/IFERROR(SUMPRODUCT((Besatzung!$B$11:$B$22&lt;&gt;"")*(IF(Besatzung!$C$11:$C$22="",Besatzung!$B$5,Besatzung!$C$11:$C$22)&lt;=B59)*(IF(Besatzung!$D$11:$D$22="",Besatzung!$B$6,Besatzung!$D$11:$D$22)&gt;=B59)),1)+(Besatzung!$F$19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R59="x")*((G59-IFERROR(H59,0))/IFERROR(COUNTIF(J59:U59,"x"),1)+(Besatzung!$F$19="x")*IFERROR(H59,0)/IFERROR(SUMPRODUCT((J59:U59="x")*(Besatzung!$F$11:$F$22="x")),1))),(IF(COUNTIF(J59:U59,"x")=0,IF(Besatzung!$B$19&lt;&gt;"",1,0),(R59="x"))*(G59-IFERROR(H59,0))/IFERROR(IF(COUNTIF(J59:U59,"x")=0,COUNTA(Besatzung!$B$11:$B$22),COUNTIF(J59:U59,"x")),1)+IF(COUNTIF(J59:U59,"x")=0,(Besatzung!$F$19="x"),(R59="x")*(Besatzung!$F$19="x"))*IFERROR(H59,0)/IFERROR(IF(COUNTIF(J59:U59,"x")=0,SUMPRODUCT((Besatzung!$B$11:$B$22&lt;&gt;"")*(Besatzung!$F$11:$F$22="x")),SUMPRODUCT((J59:U59="x")*(Besatzung!$F$11:$F$22="x"))),1))))),0))))</f>
        <v/>
      </c>
      <c r="AE59" s="106">
        <f>IF(C59="Gutschrift","",IF(G59="","",IF(Besatzung!$B$20="","",IFERROR(IF(I59="Zeitanteilig",(Besatzung!$G$20*(G59-IFERROR(H59,0))+((Besatzung!$B$20&lt;&gt;"")*IF(B59="",1,(IF(Besatzung!$C$20="",Besatzung!$B$5,Besatzung!$C$20)&lt;=B59)*(IF(Besatzung!$D$20="",Besatzung!$B$6,Besatzung!$D$20)&gt;=B59)))*(Besatzung!$F$20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$20&lt;&gt;"")*IF(B59="",1,(IF(Besatzung!$C$20="",Besatzung!$B$5,Besatzung!$C$20)&lt;=B59)*(IF(Besatzung!$D$20="",Besatzung!$B$6,Besatzung!$D$20)&gt;=B59)))*((G59-IFERROR(H59,0))/IFERROR(SUMPRODUCT((Besatzung!$B$11:$B$22&lt;&gt;"")*(IF(Besatzung!$C$11:$C$22="",Besatzung!$B$5,Besatzung!$C$11:$C$22)&lt;=B59)*(IF(Besatzung!$D$11:$D$22="",Besatzung!$B$6,Besatzung!$D$11:$D$22)&gt;=B59)),1)+(Besatzung!$F$20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S59="x")*((G59-IFERROR(H59,0))/IFERROR(COUNTIF(J59:U59,"x"),1)+(Besatzung!$F$20="x")*IFERROR(H59,0)/IFERROR(SUMPRODUCT((J59:U59="x")*(Besatzung!$F$11:$F$22="x")),1))),(IF(COUNTIF(J59:U59,"x")=0,IF(Besatzung!$B$20&lt;&gt;"",1,0),(S59="x"))*(G59-IFERROR(H59,0))/IFERROR(IF(COUNTIF(J59:U59,"x")=0,COUNTA(Besatzung!$B$11:$B$22),COUNTIF(J59:U59,"x")),1)+IF(COUNTIF(J59:U59,"x")=0,(Besatzung!$F$20="x"),(S59="x")*(Besatzung!$F$20="x"))*IFERROR(H59,0)/IFERROR(IF(COUNTIF(J59:U59,"x")=0,SUMPRODUCT((Besatzung!$B$11:$B$22&lt;&gt;"")*(Besatzung!$F$11:$F$22="x")),SUMPRODUCT((J59:U59="x")*(Besatzung!$F$11:$F$22="x"))),1))))),0))))</f>
        <v/>
      </c>
      <c r="AF59" s="106">
        <f>IF(C59="Gutschrift","",IF(G59="","",IF(Besatzung!$B$21="","",IFERROR(IF(I59="Zeitanteilig",(Besatzung!$G$21*(G59-IFERROR(H59,0))+((Besatzung!$B$21&lt;&gt;"")*IF(B59="",1,(IF(Besatzung!$C$21="",Besatzung!$B$5,Besatzung!$C$21)&lt;=B59)*(IF(Besatzung!$D$21="",Besatzung!$B$6,Besatzung!$D$21)&gt;=B59)))*(Besatzung!$F$21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$21&lt;&gt;"")*IF(B59="",1,(IF(Besatzung!$C$21="",Besatzung!$B$5,Besatzung!$C$21)&lt;=B59)*(IF(Besatzung!$D$21="",Besatzung!$B$6,Besatzung!$D$21)&gt;=B59)))*((G59-IFERROR(H59,0))/IFERROR(SUMPRODUCT((Besatzung!$B$11:$B$22&lt;&gt;"")*(IF(Besatzung!$C$11:$C$22="",Besatzung!$B$5,Besatzung!$C$11:$C$22)&lt;=B59)*(IF(Besatzung!$D$11:$D$22="",Besatzung!$B$6,Besatzung!$D$11:$D$22)&gt;=B59)),1)+(Besatzung!$F$21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T59="x")*((G59-IFERROR(H59,0))/IFERROR(COUNTIF(J59:U59,"x"),1)+(Besatzung!$F$21="x")*IFERROR(H59,0)/IFERROR(SUMPRODUCT((J59:U59="x")*(Besatzung!$F$11:$F$22="x")),1))),(IF(COUNTIF(J59:U59,"x")=0,IF(Besatzung!$B$21&lt;&gt;"",1,0),(T59="x"))*(G59-IFERROR(H59,0))/IFERROR(IF(COUNTIF(J59:U59,"x")=0,COUNTA(Besatzung!$B$11:$B$22),COUNTIF(J59:U59,"x")),1)+IF(COUNTIF(J59:U59,"x")=0,(Besatzung!$F$21="x"),(T59="x")*(Besatzung!$F$21="x"))*IFERROR(H59,0)/IFERROR(IF(COUNTIF(J59:U59,"x")=0,SUMPRODUCT((Besatzung!$B$11:$B$22&lt;&gt;"")*(Besatzung!$F$11:$F$22="x")),SUMPRODUCT((J59:U59="x")*(Besatzung!$F$11:$F$22="x"))),1))))),0))))</f>
        <v/>
      </c>
      <c r="AG59" s="106">
        <f>IF(C59="Gutschrift","",IF(G59="","",IF(Besatzung!$B$22="","",IFERROR(IF(I59="Zeitanteilig",(Besatzung!$G$22*(G59-IFERROR(H59,0))+((Besatzung!$B$22&lt;&gt;"")*IF(B59="",1,(IF(Besatzung!$C$22="",Besatzung!$B$5,Besatzung!$C$22)&lt;=B59)*(IF(Besatzung!$D$22="",Besatzung!$B$6,Besatzung!$D$22)&gt;=B59)))*(Besatzung!$F$22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$22&lt;&gt;"")*IF(B59="",1,(IF(Besatzung!$C$22="",Besatzung!$B$5,Besatzung!$C$22)&lt;=B59)*(IF(Besatzung!$D$22="",Besatzung!$B$6,Besatzung!$D$22)&gt;=B59)))*((G59-IFERROR(H59,0))/IFERROR(SUMPRODUCT((Besatzung!$B$11:$B$22&lt;&gt;"")*(IF(Besatzung!$C$11:$C$22="",Besatzung!$B$5,Besatzung!$C$11:$C$22)&lt;=B59)*(IF(Besatzung!$D$11:$D$22="",Besatzung!$B$6,Besatzung!$D$11:$D$22)&gt;=B59)),1)+(Besatzung!$F$22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U59="x")*((G59-IFERROR(H59,0))/IFERROR(COUNTIF(J59:U59,"x"),1)+(Besatzung!$F$22="x")*IFERROR(H59,0)/IFERROR(SUMPRODUCT((J59:U59="x")*(Besatzung!$F$11:$F$22="x")),1))),(IF(COUNTIF(J59:U59,"x")=0,IF(Besatzung!$B$22&lt;&gt;"",1,0),(U59="x"))*(G59-IFERROR(H59,0))/IFERROR(IF(COUNTIF(J59:U59,"x")=0,COUNTA(Besatzung!$B$11:$B$22),COUNTIF(J59:U59,"x")),1)+IF(COUNTIF(J59:U59,"x")=0,(Besatzung!$F$22="x"),(U59="x")*(Besatzung!$F$22="x"))*IFERROR(H59,0)/IFERROR(IF(COUNTIF(J59:U59,"x")=0,SUMPRODUCT((Besatzung!$B$11:$B$22&lt;&gt;"")*(Besatzung!$F$11:$F$22="x")),SUMPRODUCT((J59:U59="x")*(Besatzung!$F$11:$F$22="x"))),1))))),0))))</f>
        <v/>
      </c>
      <c r="AH59" s="107" t="n"/>
      <c r="AI59" s="107" t="n"/>
    </row>
    <row r="60" ht="21.75" customHeight="1" s="182">
      <c r="A60" s="97">
        <f>IF(AND(D60="",C60=""),"",57)</f>
        <v/>
      </c>
      <c r="B60" s="56" t="n"/>
      <c r="C60" s="98" t="n"/>
      <c r="D60" s="99" t="n"/>
      <c r="E60" s="100" t="n"/>
      <c r="F60" s="101" t="n"/>
      <c r="G60" s="102" t="n"/>
      <c r="H60" s="103" t="n"/>
      <c r="I60" s="104" t="n"/>
      <c r="J60" s="105" t="n"/>
      <c r="K60" s="105" t="n"/>
      <c r="L60" s="105" t="n"/>
      <c r="M60" s="105" t="n"/>
      <c r="N60" s="105" t="n"/>
      <c r="O60" s="105" t="n"/>
      <c r="P60" s="105" t="n"/>
      <c r="Q60" s="105" t="n"/>
      <c r="R60" s="105" t="n"/>
      <c r="S60" s="105" t="n"/>
      <c r="T60" s="105" t="n"/>
      <c r="U60" s="105" t="n"/>
      <c r="V60" s="106">
        <f>IF(C60="Gutschrift","",IF(G60="","",IF(Besatzung!$B$11="","",IFERROR(IF(I60="Zeitanteilig",(Besatzung!$G$11*(G60-IFERROR(H60,0))+((Besatzung!$B$11&lt;&gt;"")*IF(B60="",1,(IF(Besatzung!$C$11="",Besatzung!$B$5,Besatzung!$C$11)&lt;=B60)*(IF(Besatzung!$D$11="",Besatzung!$B$6,Besatzung!$D$11)&gt;=B60)))*(Besatzung!$F$11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$11&lt;&gt;"")*IF(B60="",1,(IF(Besatzung!$C$11="",Besatzung!$B$5,Besatzung!$C$11)&lt;=B60)*(IF(Besatzung!$D$11="",Besatzung!$B$6,Besatzung!$D$11)&gt;=B60)))*((G60-IFERROR(H60,0))/IFERROR(SUMPRODUCT((Besatzung!$B$11:$B$22&lt;&gt;"")*(IF(Besatzung!$C$11:$C$22="",Besatzung!$B$5,Besatzung!$C$11:$C$22)&lt;=B60)*(IF(Besatzung!$D$11:$D$22="",Besatzung!$B$6,Besatzung!$D$11:$D$22)&gt;=B60)),1)+(Besatzung!$F$11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J60="x")*((G60-IFERROR(H60,0))/IFERROR(COUNTIF(J60:U60,"x"),1)+(Besatzung!$F$11="x")*IFERROR(H60,0)/IFERROR(SUMPRODUCT((J60:U60="x")*(Besatzung!$F$11:$F$22="x")),1))),(IF(COUNTIF(J60:U60,"x")=0,IF(Besatzung!$B$11&lt;&gt;"",1,0),(J60="x"))*(G60-IFERROR(H60,0))/IFERROR(IF(COUNTIF(J60:U60,"x")=0,COUNTA(Besatzung!$B$11:$B$22),COUNTIF(J60:U60,"x")),1)+IF(COUNTIF(J60:U60,"x")=0,(Besatzung!$F$11="x"),(J60="x")*(Besatzung!$F$11="x"))*IFERROR(H60,0)/IFERROR(IF(COUNTIF(J60:U60,"x")=0,SUMPRODUCT((Besatzung!$B$11:$B$22&lt;&gt;"")*(Besatzung!$F$11:$F$22="x")),SUMPRODUCT((J60:U60="x")*(Besatzung!$F$11:$F$22="x"))),1))))),0))))</f>
        <v/>
      </c>
      <c r="W60" s="106">
        <f>IF(C60="Gutschrift","",IF(G60="","",IF(Besatzung!$B$12="","",IFERROR(IF(I60="Zeitanteilig",(Besatzung!$G$12*(G60-IFERROR(H60,0))+((Besatzung!$B$12&lt;&gt;"")*IF(B60="",1,(IF(Besatzung!$C$12="",Besatzung!$B$5,Besatzung!$C$12)&lt;=B60)*(IF(Besatzung!$D$12="",Besatzung!$B$6,Besatzung!$D$12)&gt;=B60)))*(Besatzung!$F$12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$12&lt;&gt;"")*IF(B60="",1,(IF(Besatzung!$C$12="",Besatzung!$B$5,Besatzung!$C$12)&lt;=B60)*(IF(Besatzung!$D$12="",Besatzung!$B$6,Besatzung!$D$12)&gt;=B60)))*((G60-IFERROR(H60,0))/IFERROR(SUMPRODUCT((Besatzung!$B$11:$B$22&lt;&gt;"")*(IF(Besatzung!$C$11:$C$22="",Besatzung!$B$5,Besatzung!$C$11:$C$22)&lt;=B60)*(IF(Besatzung!$D$11:$D$22="",Besatzung!$B$6,Besatzung!$D$11:$D$22)&gt;=B60)),1)+(Besatzung!$F$12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K60="x")*((G60-IFERROR(H60,0))/IFERROR(COUNTIF(J60:U60,"x"),1)+(Besatzung!$F$12="x")*IFERROR(H60,0)/IFERROR(SUMPRODUCT((J60:U60="x")*(Besatzung!$F$11:$F$22="x")),1))),(IF(COUNTIF(J60:U60,"x")=0,IF(Besatzung!$B$12&lt;&gt;"",1,0),(K60="x"))*(G60-IFERROR(H60,0))/IFERROR(IF(COUNTIF(J60:U60,"x")=0,COUNTA(Besatzung!$B$11:$B$22),COUNTIF(J60:U60,"x")),1)+IF(COUNTIF(J60:U60,"x")=0,(Besatzung!$F$12="x"),(K60="x")*(Besatzung!$F$12="x"))*IFERROR(H60,0)/IFERROR(IF(COUNTIF(J60:U60,"x")=0,SUMPRODUCT((Besatzung!$B$11:$B$22&lt;&gt;"")*(Besatzung!$F$11:$F$22="x")),SUMPRODUCT((J60:U60="x")*(Besatzung!$F$11:$F$22="x"))),1))))),0))))</f>
        <v/>
      </c>
      <c r="X60" s="106">
        <f>IF(C60="Gutschrift","",IF(G60="","",IF(Besatzung!$B$13="","",IFERROR(IF(I60="Zeitanteilig",(Besatzung!$G$13*(G60-IFERROR(H60,0))+((Besatzung!$B$13&lt;&gt;"")*IF(B60="",1,(IF(Besatzung!$C$13="",Besatzung!$B$5,Besatzung!$C$13)&lt;=B60)*(IF(Besatzung!$D$13="",Besatzung!$B$6,Besatzung!$D$13)&gt;=B60)))*(Besatzung!$F$13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$13&lt;&gt;"")*IF(B60="",1,(IF(Besatzung!$C$13="",Besatzung!$B$5,Besatzung!$C$13)&lt;=B60)*(IF(Besatzung!$D$13="",Besatzung!$B$6,Besatzung!$D$13)&gt;=B60)))*((G60-IFERROR(H60,0))/IFERROR(SUMPRODUCT((Besatzung!$B$11:$B$22&lt;&gt;"")*(IF(Besatzung!$C$11:$C$22="",Besatzung!$B$5,Besatzung!$C$11:$C$22)&lt;=B60)*(IF(Besatzung!$D$11:$D$22="",Besatzung!$B$6,Besatzung!$D$11:$D$22)&gt;=B60)),1)+(Besatzung!$F$13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K60="x")*((G60-IFERROR(H60,0))/IFERROR(COUNTIF(J60:U60,"x"),1)+(Besatzung!$F$13="x")*IFERROR(H60,0)/IFERROR(SUMPRODUCT((J60:U60="x")*(Besatzung!$F$11:$F$22="x")),1))),(IF(COUNTIF(J60:U60,"x")=0,IF(Besatzung!$B$13&lt;&gt;"",1,0),(K60="x"))*(G60-IFERROR(H60,0))/IFERROR(IF(COUNTIF(J60:U60,"x")=0,COUNTA(Besatzung!$B$11:$B$22),COUNTIF(J60:U60,"x")),1)+IF(COUNTIF(J60:U60,"x")=0,(Besatzung!$F$13="x"),(K60="x")*(Besatzung!$F$13="x"))*IFERROR(H60,0)/IFERROR(IF(COUNTIF(J60:U60,"x")=0,SUMPRODUCT((Besatzung!$B$11:$B$22&lt;&gt;"")*(Besatzung!$F$11:$F$22="x")),SUMPRODUCT((J60:U60="x")*(Besatzung!$F$11:$F$22="x"))),1))))),0))))</f>
        <v/>
      </c>
      <c r="Y60" s="106">
        <f>IF(C60="Gutschrift","",IF(G60="","",IF(Besatzung!$B$14="","",IFERROR(IF(I60="Zeitanteilig",(Besatzung!$G$14*(G60-IFERROR(H60,0))+((Besatzung!$B$14&lt;&gt;"")*IF(B60="",1,(IF(Besatzung!$C$14="",Besatzung!$B$5,Besatzung!$C$14)&lt;=B60)*(IF(Besatzung!$D$14="",Besatzung!$B$6,Besatzung!$D$14)&gt;=B60)))*(Besatzung!$F$14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$14&lt;&gt;"")*IF(B60="",1,(IF(Besatzung!$C$14="",Besatzung!$B$5,Besatzung!$C$14)&lt;=B60)*(IF(Besatzung!$D$14="",Besatzung!$B$6,Besatzung!$D$14)&gt;=B60)))*((G60-IFERROR(H60,0))/IFERROR(SUMPRODUCT((Besatzung!$B$11:$B$22&lt;&gt;"")*(IF(Besatzung!$C$11:$C$22="",Besatzung!$B$5,Besatzung!$C$11:$C$22)&lt;=B60)*(IF(Besatzung!$D$11:$D$22="",Besatzung!$B$6,Besatzung!$D$11:$D$22)&gt;=B60)),1)+(Besatzung!$F$14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M60="x")*((G60-IFERROR(H60,0))/IFERROR(COUNTIF(J60:U60,"x"),1)+(Besatzung!$F$14="x")*IFERROR(H60,0)/IFERROR(SUMPRODUCT((J60:U60="x")*(Besatzung!$F$11:$F$22="x")),1))),(IF(COUNTIF(J60:U60,"x")=0,IF(Besatzung!$B$14&lt;&gt;"",1,0),(M60="x"))*(G60-IFERROR(H60,0))/IFERROR(IF(COUNTIF(J60:U60,"x")=0,COUNTA(Besatzung!$B$11:$B$22),COUNTIF(J60:U60,"x")),1)+IF(COUNTIF(J60:U60,"x")=0,(Besatzung!$F$14="x"),(M60="x")*(Besatzung!$F$14="x"))*IFERROR(H60,0)/IFERROR(IF(COUNTIF(J60:U60,"x")=0,SUMPRODUCT((Besatzung!$B$11:$B$22&lt;&gt;"")*(Besatzung!$F$11:$F$22="x")),SUMPRODUCT((J60:U60="x")*(Besatzung!$F$11:$F$22="x"))),1))))),0))))</f>
        <v/>
      </c>
      <c r="Z60" s="106">
        <f>IF(C60="Gutschrift","",IF(G60="","",IF(Besatzung!$B$13="","",IFERROR(IF(I60="Zeitanteilig",(Besatzung!$G$15*(G60-IFERROR(H60,0))+((Besatzung!$B$13&lt;&gt;"")*IF(B60="",1,(IF(Besatzung!$C$15="",Besatzung!$B$5,Besatzung!$C$15)&lt;=B60)*(IF(Besatzung!$D$15="",Besatzung!$B$6,Besatzung!$D$15)&gt;=B60)))*(Besatzung!$F$15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$13&lt;&gt;"")*IF(B60="",1,(IF(Besatzung!$C$15="",Besatzung!$B$5,Besatzung!$C$15)&lt;=B60)*(IF(Besatzung!$D$15="",Besatzung!$B$6,Besatzung!$D$15)&gt;=B60)))*((G60-IFERROR(H60,0))/IFERROR(SUMPRODUCT((Besatzung!$B$11:$B$22&lt;&gt;"")*(IF(Besatzung!$C$11:$C$22="",Besatzung!$B$5,Besatzung!$C$11:$C$22)&lt;=B60)*(IF(Besatzung!$D$11:$D$22="",Besatzung!$B$6,Besatzung!$D$11:$D$22)&gt;=B60)),1)+(Besatzung!$F$15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N60="x")*((G60-IFERROR(H60,0))/IFERROR(COUNTIF(J60:U60,"x"),1)+(Besatzung!$F$15="x")*IFERROR(H60,0)/IFERROR(SUMPRODUCT((J60:U60="x")*(Besatzung!$F$11:$F$22="x")),1))),(IF(COUNTIF(J60:U60,"x")=0,IF(Besatzung!$B$13&lt;&gt;"",1,0),(N60="x"))*(G60-IFERROR(H60,0))/IFERROR(IF(COUNTIF(J60:U60,"x")=0,COUNTA(Besatzung!$B$11:$B$22),COUNTIF(J60:U60,"x")),1)+IF(COUNTIF(J60:U60,"x")=0,(Besatzung!$F$15="x"),(N60="x")*(Besatzung!$F$15="x"))*IFERROR(H60,0)/IFERROR(IF(COUNTIF(J60:U60,"x")=0,SUMPRODUCT((Besatzung!$B$11:$B$22&lt;&gt;"")*(Besatzung!$F$11:$F$22="x")),SUMPRODUCT((J60:U60="x")*(Besatzung!$F$11:$F$22="x"))),1))))),0))))</f>
        <v/>
      </c>
      <c r="AA60" s="106">
        <f>IF(C60="Gutschrift","",IF(G60="","",IF(Besatzung!$B$15="","",IFERROR(IF(I60="Zeitanteilig",(Besatzung!$G$16*(G60-IFERROR(H60,0))+((Besatzung!$B$15&lt;&gt;"")*IF(B60="",1,(IF(Besatzung!$C$16="",Besatzung!$B$5,Besatzung!$C$16)&lt;=B60)*(IF(Besatzung!$D$16="",Besatzung!$B$6,Besatzung!$D$16)&gt;=B60)))*(Besatzung!$F$16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$15&lt;&gt;"")*IF(B60="",1,(IF(Besatzung!$C$16="",Besatzung!$B$5,Besatzung!$C$16)&lt;=B60)*(IF(Besatzung!$D$16="",Besatzung!$B$6,Besatzung!$D$16)&gt;=B60)))*((G60-IFERROR(H60,0))/IFERROR(SUMPRODUCT((Besatzung!$B$11:$B$22&lt;&gt;"")*(IF(Besatzung!$C$11:$C$22="",Besatzung!$B$5,Besatzung!$C$11:$C$22)&lt;=B60)*(IF(Besatzung!$D$11:$D$22="",Besatzung!$B$6,Besatzung!$D$11:$D$22)&gt;=B60)),1)+(Besatzung!$F$16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O60="x")*((G60-IFERROR(H60,0))/IFERROR(COUNTIF(J60:U60,"x"),1)+(Besatzung!$F$16="x")*IFERROR(H60,0)/IFERROR(SUMPRODUCT((J60:U60="x")*(Besatzung!$F$11:$F$22="x")),1))),(IF(COUNTIF(J60:U60,"x")=0,IF(Besatzung!$B$15&lt;&gt;"",1,0),(O60="x"))*(G60-IFERROR(H60,0))/IFERROR(IF(COUNTIF(J60:U60,"x")=0,COUNTA(Besatzung!$B$11:$B$22),COUNTIF(J60:U60,"x")),1)+IF(COUNTIF(J60:U60,"x")=0,(Besatzung!$F$16="x"),(O60="x")*(Besatzung!$F$16="x"))*IFERROR(H60,0)/IFERROR(IF(COUNTIF(J60:U60,"x")=0,SUMPRODUCT((Besatzung!$B$11:$B$22&lt;&gt;"")*(Besatzung!$F$11:$F$22="x")),SUMPRODUCT((J60:U60="x")*(Besatzung!$F$11:$F$22="x"))),1))))),0))))</f>
        <v/>
      </c>
      <c r="AB60" s="106">
        <f>IF(C60="Gutschrift","",IF(G60="","",IF(Besatzung!$B$17="","",IFERROR(IF(I60="Zeitanteilig",(Besatzung!$G$17*(G60-IFERROR(H60,0))+((Besatzung!$B$17&lt;&gt;"")*IF(B60="",1,(IF(Besatzung!$C$17="",Besatzung!$B$5,Besatzung!$C$17)&lt;=B60)*(IF(Besatzung!$D$17="",Besatzung!$B$6,Besatzung!$D$17)&gt;=B60)))*(Besatzung!$F$17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$17&lt;&gt;"")*IF(B60="",1,(IF(Besatzung!$C$17="",Besatzung!$B$5,Besatzung!$C$17)&lt;=B60)*(IF(Besatzung!$D$17="",Besatzung!$B$6,Besatzung!$D$17)&gt;=B60)))*((G60-IFERROR(H60,0))/IFERROR(SUMPRODUCT((Besatzung!$B$11:$B$22&lt;&gt;"")*(IF(Besatzung!$C$11:$C$22="",Besatzung!$B$5,Besatzung!$C$11:$C$22)&lt;=B60)*(IF(Besatzung!$D$11:$D$22="",Besatzung!$B$6,Besatzung!$D$11:$D$22)&gt;=B60)),1)+(Besatzung!$F$17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P60="x")*((G60-IFERROR(H60,0))/IFERROR(COUNTIF(J60:U60,"x"),1)+(Besatzung!$F$17="x")*IFERROR(H60,0)/IFERROR(SUMPRODUCT((J60:U60="x")*(Besatzung!$F$11:$F$22="x")),1))),(IF(COUNTIF(J60:U60,"x")=0,IF(Besatzung!$B$17&lt;&gt;"",1,0),(P60="x"))*(G60-IFERROR(H60,0))/IFERROR(IF(COUNTIF(J60:U60,"x")=0,COUNTA(Besatzung!$B$11:$B$22),COUNTIF(J60:U60,"x")),1)+IF(COUNTIF(J60:U60,"x")=0,(Besatzung!$F$17="x"),(P60="x")*(Besatzung!$F$17="x"))*IFERROR(H60,0)/IFERROR(IF(COUNTIF(J60:U60,"x")=0,SUMPRODUCT((Besatzung!$B$11:$B$22&lt;&gt;"")*(Besatzung!$F$11:$F$22="x")),SUMPRODUCT((J60:U60="x")*(Besatzung!$F$11:$F$22="x"))),1))))),0))))</f>
        <v/>
      </c>
      <c r="AC60" s="106">
        <f>IF(C60="Gutschrift","",IF(G60="","",IF(Besatzung!$B$18="","",IFERROR(IF(I60="Zeitanteilig",(Besatzung!$G$18*(G60-IFERROR(H60,0))+((Besatzung!$B$18&lt;&gt;"")*IF(B60="",1,(IF(Besatzung!$C$18="",Besatzung!$B$5,Besatzung!$C$18)&lt;=B60)*(IF(Besatzung!$D$18="",Besatzung!$B$6,Besatzung!$D$18)&gt;=B60)))*(Besatzung!$F$18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$18&lt;&gt;"")*IF(B60="",1,(IF(Besatzung!$C$18="",Besatzung!$B$5,Besatzung!$C$18)&lt;=B60)*(IF(Besatzung!$D$18="",Besatzung!$B$6,Besatzung!$D$18)&gt;=B60)))*((G60-IFERROR(H60,0))/IFERROR(SUMPRODUCT((Besatzung!$B$11:$B$22&lt;&gt;"")*(IF(Besatzung!$C$11:$C$22="",Besatzung!$B$5,Besatzung!$C$11:$C$22)&lt;=B60)*(IF(Besatzung!$D$11:$D$22="",Besatzung!$B$6,Besatzung!$D$11:$D$22)&gt;=B60)),1)+(Besatzung!$F$18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Q60="x")*((G60-IFERROR(H60,0))/IFERROR(COUNTIF(J60:U60,"x"),1)+(Besatzung!$F$18="x")*IFERROR(H60,0)/IFERROR(SUMPRODUCT((J60:U60="x")*(Besatzung!$F$11:$F$22="x")),1))),(IF(COUNTIF(J60:U60,"x")=0,IF(Besatzung!$B$18&lt;&gt;"",1,0),(Q60="x"))*(G60-IFERROR(H60,0))/IFERROR(IF(COUNTIF(J60:U60,"x")=0,COUNTA(Besatzung!$B$11:$B$22),COUNTIF(J60:U60,"x")),1)+IF(COUNTIF(J60:U60,"x")=0,(Besatzung!$F$18="x"),(Q60="x")*(Besatzung!$F$18="x"))*IFERROR(H60,0)/IFERROR(IF(COUNTIF(J60:U60,"x")=0,SUMPRODUCT((Besatzung!$B$11:$B$22&lt;&gt;"")*(Besatzung!$F$11:$F$22="x")),SUMPRODUCT((J60:U60="x")*(Besatzung!$F$11:$F$22="x"))),1))))),0))))</f>
        <v/>
      </c>
      <c r="AD60" s="106">
        <f>IF(C60="Gutschrift","",IF(G60="","",IF(Besatzung!$B$19="","",IFERROR(IF(I60="Zeitanteilig",(Besatzung!$G$19*(G60-IFERROR(H60,0))+((Besatzung!$B$19&lt;&gt;"")*IF(B60="",1,(IF(Besatzung!$C$19="",Besatzung!$B$5,Besatzung!$C$19)&lt;=B60)*(IF(Besatzung!$D$19="",Besatzung!$B$6,Besatzung!$D$19)&gt;=B60)))*(Besatzung!$F$19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$19&lt;&gt;"")*IF(B60="",1,(IF(Besatzung!$C$19="",Besatzung!$B$5,Besatzung!$C$19)&lt;=B60)*(IF(Besatzung!$D$19="",Besatzung!$B$6,Besatzung!$D$19)&gt;=B60)))*((G60-IFERROR(H60,0))/IFERROR(SUMPRODUCT((Besatzung!$B$11:$B$22&lt;&gt;"")*(IF(Besatzung!$C$11:$C$22="",Besatzung!$B$5,Besatzung!$C$11:$C$22)&lt;=B60)*(IF(Besatzung!$D$11:$D$22="",Besatzung!$B$6,Besatzung!$D$11:$D$22)&gt;=B60)),1)+(Besatzung!$F$19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R60="x")*((G60-IFERROR(H60,0))/IFERROR(COUNTIF(J60:U60,"x"),1)+(Besatzung!$F$19="x")*IFERROR(H60,0)/IFERROR(SUMPRODUCT((J60:U60="x")*(Besatzung!$F$11:$F$22="x")),1))),(IF(COUNTIF(J60:U60,"x")=0,IF(Besatzung!$B$19&lt;&gt;"",1,0),(R60="x"))*(G60-IFERROR(H60,0))/IFERROR(IF(COUNTIF(J60:U60,"x")=0,COUNTA(Besatzung!$B$11:$B$22),COUNTIF(J60:U60,"x")),1)+IF(COUNTIF(J60:U60,"x")=0,(Besatzung!$F$19="x"),(R60="x")*(Besatzung!$F$19="x"))*IFERROR(H60,0)/IFERROR(IF(COUNTIF(J60:U60,"x")=0,SUMPRODUCT((Besatzung!$B$11:$B$22&lt;&gt;"")*(Besatzung!$F$11:$F$22="x")),SUMPRODUCT((J60:U60="x")*(Besatzung!$F$11:$F$22="x"))),1))))),0))))</f>
        <v/>
      </c>
      <c r="AE60" s="106">
        <f>IF(C60="Gutschrift","",IF(G60="","",IF(Besatzung!$B$20="","",IFERROR(IF(I60="Zeitanteilig",(Besatzung!$G$20*(G60-IFERROR(H60,0))+((Besatzung!$B$20&lt;&gt;"")*IF(B60="",1,(IF(Besatzung!$C$20="",Besatzung!$B$5,Besatzung!$C$20)&lt;=B60)*(IF(Besatzung!$D$20="",Besatzung!$B$6,Besatzung!$D$20)&gt;=B60)))*(Besatzung!$F$20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$20&lt;&gt;"")*IF(B60="",1,(IF(Besatzung!$C$20="",Besatzung!$B$5,Besatzung!$C$20)&lt;=B60)*(IF(Besatzung!$D$20="",Besatzung!$B$6,Besatzung!$D$20)&gt;=B60)))*((G60-IFERROR(H60,0))/IFERROR(SUMPRODUCT((Besatzung!$B$11:$B$22&lt;&gt;"")*(IF(Besatzung!$C$11:$C$22="",Besatzung!$B$5,Besatzung!$C$11:$C$22)&lt;=B60)*(IF(Besatzung!$D$11:$D$22="",Besatzung!$B$6,Besatzung!$D$11:$D$22)&gt;=B60)),1)+(Besatzung!$F$20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S60="x")*((G60-IFERROR(H60,0))/IFERROR(COUNTIF(J60:U60,"x"),1)+(Besatzung!$F$20="x")*IFERROR(H60,0)/IFERROR(SUMPRODUCT((J60:U60="x")*(Besatzung!$F$11:$F$22="x")),1))),(IF(COUNTIF(J60:U60,"x")=0,IF(Besatzung!$B$20&lt;&gt;"",1,0),(S60="x"))*(G60-IFERROR(H60,0))/IFERROR(IF(COUNTIF(J60:U60,"x")=0,COUNTA(Besatzung!$B$11:$B$22),COUNTIF(J60:U60,"x")),1)+IF(COUNTIF(J60:U60,"x")=0,(Besatzung!$F$20="x"),(S60="x")*(Besatzung!$F$20="x"))*IFERROR(H60,0)/IFERROR(IF(COUNTIF(J60:U60,"x")=0,SUMPRODUCT((Besatzung!$B$11:$B$22&lt;&gt;"")*(Besatzung!$F$11:$F$22="x")),SUMPRODUCT((J60:U60="x")*(Besatzung!$F$11:$F$22="x"))),1))))),0))))</f>
        <v/>
      </c>
      <c r="AF60" s="106">
        <f>IF(C60="Gutschrift","",IF(G60="","",IF(Besatzung!$B$21="","",IFERROR(IF(I60="Zeitanteilig",(Besatzung!$G$21*(G60-IFERROR(H60,0))+((Besatzung!$B$21&lt;&gt;"")*IF(B60="",1,(IF(Besatzung!$C$21="",Besatzung!$B$5,Besatzung!$C$21)&lt;=B60)*(IF(Besatzung!$D$21="",Besatzung!$B$6,Besatzung!$D$21)&gt;=B60)))*(Besatzung!$F$21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$21&lt;&gt;"")*IF(B60="",1,(IF(Besatzung!$C$21="",Besatzung!$B$5,Besatzung!$C$21)&lt;=B60)*(IF(Besatzung!$D$21="",Besatzung!$B$6,Besatzung!$D$21)&gt;=B60)))*((G60-IFERROR(H60,0))/IFERROR(SUMPRODUCT((Besatzung!$B$11:$B$22&lt;&gt;"")*(IF(Besatzung!$C$11:$C$22="",Besatzung!$B$5,Besatzung!$C$11:$C$22)&lt;=B60)*(IF(Besatzung!$D$11:$D$22="",Besatzung!$B$6,Besatzung!$D$11:$D$22)&gt;=B60)),1)+(Besatzung!$F$21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T60="x")*((G60-IFERROR(H60,0))/IFERROR(COUNTIF(J60:U60,"x"),1)+(Besatzung!$F$21="x")*IFERROR(H60,0)/IFERROR(SUMPRODUCT((J60:U60="x")*(Besatzung!$F$11:$F$22="x")),1))),(IF(COUNTIF(J60:U60,"x")=0,IF(Besatzung!$B$21&lt;&gt;"",1,0),(T60="x"))*(G60-IFERROR(H60,0))/IFERROR(IF(COUNTIF(J60:U60,"x")=0,COUNTA(Besatzung!$B$11:$B$22),COUNTIF(J60:U60,"x")),1)+IF(COUNTIF(J60:U60,"x")=0,(Besatzung!$F$21="x"),(T60="x")*(Besatzung!$F$21="x"))*IFERROR(H60,0)/IFERROR(IF(COUNTIF(J60:U60,"x")=0,SUMPRODUCT((Besatzung!$B$11:$B$22&lt;&gt;"")*(Besatzung!$F$11:$F$22="x")),SUMPRODUCT((J60:U60="x")*(Besatzung!$F$11:$F$22="x"))),1))))),0))))</f>
        <v/>
      </c>
      <c r="AG60" s="106">
        <f>IF(C60="Gutschrift","",IF(G60="","",IF(Besatzung!$B$22="","",IFERROR(IF(I60="Zeitanteilig",(Besatzung!$G$22*(G60-IFERROR(H60,0))+((Besatzung!$B$22&lt;&gt;"")*IF(B60="",1,(IF(Besatzung!$C$22="",Besatzung!$B$5,Besatzung!$C$22)&lt;=B60)*(IF(Besatzung!$D$22="",Besatzung!$B$6,Besatzung!$D$22)&gt;=B60)))*(Besatzung!$F$22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$22&lt;&gt;"")*IF(B60="",1,(IF(Besatzung!$C$22="",Besatzung!$B$5,Besatzung!$C$22)&lt;=B60)*(IF(Besatzung!$D$22="",Besatzung!$B$6,Besatzung!$D$22)&gt;=B60)))*((G60-IFERROR(H60,0))/IFERROR(SUMPRODUCT((Besatzung!$B$11:$B$22&lt;&gt;"")*(IF(Besatzung!$C$11:$C$22="",Besatzung!$B$5,Besatzung!$C$11:$C$22)&lt;=B60)*(IF(Besatzung!$D$11:$D$22="",Besatzung!$B$6,Besatzung!$D$11:$D$22)&gt;=B60)),1)+(Besatzung!$F$22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U60="x")*((G60-IFERROR(H60,0))/IFERROR(COUNTIF(J60:U60,"x"),1)+(Besatzung!$F$22="x")*IFERROR(H60,0)/IFERROR(SUMPRODUCT((J60:U60="x")*(Besatzung!$F$11:$F$22="x")),1))),(IF(COUNTIF(J60:U60,"x")=0,IF(Besatzung!$B$22&lt;&gt;"",1,0),(U60="x"))*(G60-IFERROR(H60,0))/IFERROR(IF(COUNTIF(J60:U60,"x")=0,COUNTA(Besatzung!$B$11:$B$22),COUNTIF(J60:U60,"x")),1)+IF(COUNTIF(J60:U60,"x")=0,(Besatzung!$F$22="x"),(U60="x")*(Besatzung!$F$22="x"))*IFERROR(H60,0)/IFERROR(IF(COUNTIF(J60:U60,"x")=0,SUMPRODUCT((Besatzung!$B$11:$B$22&lt;&gt;"")*(Besatzung!$F$11:$F$22="x")),SUMPRODUCT((J60:U60="x")*(Besatzung!$F$11:$F$22="x"))),1))))),0))))</f>
        <v/>
      </c>
      <c r="AH60" s="107" t="n"/>
      <c r="AI60" s="107" t="n"/>
    </row>
    <row r="61" ht="21.75" customHeight="1" s="182">
      <c r="A61" s="97">
        <f>IF(AND(D61="",C61=""),"",58)</f>
        <v/>
      </c>
      <c r="B61" s="63" t="n"/>
      <c r="C61" s="108" t="n"/>
      <c r="D61" s="109" t="n"/>
      <c r="E61" s="110" t="n"/>
      <c r="F61" s="111" t="n"/>
      <c r="G61" s="112" t="n"/>
      <c r="H61" s="113" t="n"/>
      <c r="I61" s="114" t="n"/>
      <c r="J61" s="115" t="n"/>
      <c r="K61" s="115" t="n"/>
      <c r="L61" s="115" t="n"/>
      <c r="M61" s="115" t="n"/>
      <c r="N61" s="115" t="n"/>
      <c r="O61" s="115" t="n"/>
      <c r="P61" s="115" t="n"/>
      <c r="Q61" s="115" t="n"/>
      <c r="R61" s="115" t="n"/>
      <c r="S61" s="115" t="n"/>
      <c r="T61" s="115" t="n"/>
      <c r="U61" s="115" t="n"/>
      <c r="V61" s="106">
        <f>IF(C61="Gutschrift","",IF(G61="","",IF(Besatzung!$B$11="","",IFERROR(IF(I61="Zeitanteilig",(Besatzung!$G$11*(G61-IFERROR(H61,0))+((Besatzung!$B$11&lt;&gt;"")*IF(B61="",1,(IF(Besatzung!$C$11="",Besatzung!$B$5,Besatzung!$C$11)&lt;=B61)*(IF(Besatzung!$D$11="",Besatzung!$B$6,Besatzung!$D$11)&gt;=B61)))*(Besatzung!$F$11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$11&lt;&gt;"")*IF(B61="",1,(IF(Besatzung!$C$11="",Besatzung!$B$5,Besatzung!$C$11)&lt;=B61)*(IF(Besatzung!$D$11="",Besatzung!$B$6,Besatzung!$D$11)&gt;=B61)))*((G61-IFERROR(H61,0))/IFERROR(SUMPRODUCT((Besatzung!$B$11:$B$22&lt;&gt;"")*(IF(Besatzung!$C$11:$C$22="",Besatzung!$B$5,Besatzung!$C$11:$C$22)&lt;=B61)*(IF(Besatzung!$D$11:$D$22="",Besatzung!$B$6,Besatzung!$D$11:$D$22)&gt;=B61)),1)+(Besatzung!$F$11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J61="x")*((G61-IFERROR(H61,0))/IFERROR(COUNTIF(J61:U61,"x"),1)+(Besatzung!$F$11="x")*IFERROR(H61,0)/IFERROR(SUMPRODUCT((J61:U61="x")*(Besatzung!$F$11:$F$22="x")),1))),(IF(COUNTIF(J61:U61,"x")=0,IF(Besatzung!$B$11&lt;&gt;"",1,0),(J61="x"))*(G61-IFERROR(H61,0))/IFERROR(IF(COUNTIF(J61:U61,"x")=0,COUNTA(Besatzung!$B$11:$B$22),COUNTIF(J61:U61,"x")),1)+IF(COUNTIF(J61:U61,"x")=0,(Besatzung!$F$11="x"),(J61="x")*(Besatzung!$F$11="x"))*IFERROR(H61,0)/IFERROR(IF(COUNTIF(J61:U61,"x")=0,SUMPRODUCT((Besatzung!$B$11:$B$22&lt;&gt;"")*(Besatzung!$F$11:$F$22="x")),SUMPRODUCT((J61:U61="x")*(Besatzung!$F$11:$F$22="x"))),1))))),0))))</f>
        <v/>
      </c>
      <c r="W61" s="106">
        <f>IF(C61="Gutschrift","",IF(G61="","",IF(Besatzung!$B$12="","",IFERROR(IF(I61="Zeitanteilig",(Besatzung!$G$12*(G61-IFERROR(H61,0))+((Besatzung!$B$12&lt;&gt;"")*IF(B61="",1,(IF(Besatzung!$C$12="",Besatzung!$B$5,Besatzung!$C$12)&lt;=B61)*(IF(Besatzung!$D$12="",Besatzung!$B$6,Besatzung!$D$12)&gt;=B61)))*(Besatzung!$F$12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$12&lt;&gt;"")*IF(B61="",1,(IF(Besatzung!$C$12="",Besatzung!$B$5,Besatzung!$C$12)&lt;=B61)*(IF(Besatzung!$D$12="",Besatzung!$B$6,Besatzung!$D$12)&gt;=B61)))*((G61-IFERROR(H61,0))/IFERROR(SUMPRODUCT((Besatzung!$B$11:$B$22&lt;&gt;"")*(IF(Besatzung!$C$11:$C$22="",Besatzung!$B$5,Besatzung!$C$11:$C$22)&lt;=B61)*(IF(Besatzung!$D$11:$D$22="",Besatzung!$B$6,Besatzung!$D$11:$D$22)&gt;=B61)),1)+(Besatzung!$F$12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K61="x")*((G61-IFERROR(H61,0))/IFERROR(COUNTIF(J61:U61,"x"),1)+(Besatzung!$F$12="x")*IFERROR(H61,0)/IFERROR(SUMPRODUCT((J61:U61="x")*(Besatzung!$F$11:$F$22="x")),1))),(IF(COUNTIF(J61:U61,"x")=0,IF(Besatzung!$B$12&lt;&gt;"",1,0),(K61="x"))*(G61-IFERROR(H61,0))/IFERROR(IF(COUNTIF(J61:U61,"x")=0,COUNTA(Besatzung!$B$11:$B$22),COUNTIF(J61:U61,"x")),1)+IF(COUNTIF(J61:U61,"x")=0,(Besatzung!$F$12="x"),(K61="x")*(Besatzung!$F$12="x"))*IFERROR(H61,0)/IFERROR(IF(COUNTIF(J61:U61,"x")=0,SUMPRODUCT((Besatzung!$B$11:$B$22&lt;&gt;"")*(Besatzung!$F$11:$F$22="x")),SUMPRODUCT((J61:U61="x")*(Besatzung!$F$11:$F$22="x"))),1))))),0))))</f>
        <v/>
      </c>
      <c r="X61" s="106">
        <f>IF(C61="Gutschrift","",IF(G61="","",IF(Besatzung!$B$13="","",IFERROR(IF(I61="Zeitanteilig",(Besatzung!$G$13*(G61-IFERROR(H61,0))+((Besatzung!$B$13&lt;&gt;"")*IF(B61="",1,(IF(Besatzung!$C$13="",Besatzung!$B$5,Besatzung!$C$13)&lt;=B61)*(IF(Besatzung!$D$13="",Besatzung!$B$6,Besatzung!$D$13)&gt;=B61)))*(Besatzung!$F$13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$13&lt;&gt;"")*IF(B61="",1,(IF(Besatzung!$C$13="",Besatzung!$B$5,Besatzung!$C$13)&lt;=B61)*(IF(Besatzung!$D$13="",Besatzung!$B$6,Besatzung!$D$13)&gt;=B61)))*((G61-IFERROR(H61,0))/IFERROR(SUMPRODUCT((Besatzung!$B$11:$B$22&lt;&gt;"")*(IF(Besatzung!$C$11:$C$22="",Besatzung!$B$5,Besatzung!$C$11:$C$22)&lt;=B61)*(IF(Besatzung!$D$11:$D$22="",Besatzung!$B$6,Besatzung!$D$11:$D$22)&gt;=B61)),1)+(Besatzung!$F$13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K61="x")*((G61-IFERROR(H61,0))/IFERROR(COUNTIF(J61:U61,"x"),1)+(Besatzung!$F$13="x")*IFERROR(H61,0)/IFERROR(SUMPRODUCT((J61:U61="x")*(Besatzung!$F$11:$F$22="x")),1))),(IF(COUNTIF(J61:U61,"x")=0,IF(Besatzung!$B$13&lt;&gt;"",1,0),(K61="x"))*(G61-IFERROR(H61,0))/IFERROR(IF(COUNTIF(J61:U61,"x")=0,COUNTA(Besatzung!$B$11:$B$22),COUNTIF(J61:U61,"x")),1)+IF(COUNTIF(J61:U61,"x")=0,(Besatzung!$F$13="x"),(K61="x")*(Besatzung!$F$13="x"))*IFERROR(H61,0)/IFERROR(IF(COUNTIF(J61:U61,"x")=0,SUMPRODUCT((Besatzung!$B$11:$B$22&lt;&gt;"")*(Besatzung!$F$11:$F$22="x")),SUMPRODUCT((J61:U61="x")*(Besatzung!$F$11:$F$22="x"))),1))))),0))))</f>
        <v/>
      </c>
      <c r="Y61" s="106">
        <f>IF(C61="Gutschrift","",IF(G61="","",IF(Besatzung!$B$14="","",IFERROR(IF(I61="Zeitanteilig",(Besatzung!$G$14*(G61-IFERROR(H61,0))+((Besatzung!$B$14&lt;&gt;"")*IF(B61="",1,(IF(Besatzung!$C$14="",Besatzung!$B$5,Besatzung!$C$14)&lt;=B61)*(IF(Besatzung!$D$14="",Besatzung!$B$6,Besatzung!$D$14)&gt;=B61)))*(Besatzung!$F$14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$14&lt;&gt;"")*IF(B61="",1,(IF(Besatzung!$C$14="",Besatzung!$B$5,Besatzung!$C$14)&lt;=B61)*(IF(Besatzung!$D$14="",Besatzung!$B$6,Besatzung!$D$14)&gt;=B61)))*((G61-IFERROR(H61,0))/IFERROR(SUMPRODUCT((Besatzung!$B$11:$B$22&lt;&gt;"")*(IF(Besatzung!$C$11:$C$22="",Besatzung!$B$5,Besatzung!$C$11:$C$22)&lt;=B61)*(IF(Besatzung!$D$11:$D$22="",Besatzung!$B$6,Besatzung!$D$11:$D$22)&gt;=B61)),1)+(Besatzung!$F$14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M61="x")*((G61-IFERROR(H61,0))/IFERROR(COUNTIF(J61:U61,"x"),1)+(Besatzung!$F$14="x")*IFERROR(H61,0)/IFERROR(SUMPRODUCT((J61:U61="x")*(Besatzung!$F$11:$F$22="x")),1))),(IF(COUNTIF(J61:U61,"x")=0,IF(Besatzung!$B$14&lt;&gt;"",1,0),(M61="x"))*(G61-IFERROR(H61,0))/IFERROR(IF(COUNTIF(J61:U61,"x")=0,COUNTA(Besatzung!$B$11:$B$22),COUNTIF(J61:U61,"x")),1)+IF(COUNTIF(J61:U61,"x")=0,(Besatzung!$F$14="x"),(M61="x")*(Besatzung!$F$14="x"))*IFERROR(H61,0)/IFERROR(IF(COUNTIF(J61:U61,"x")=0,SUMPRODUCT((Besatzung!$B$11:$B$22&lt;&gt;"")*(Besatzung!$F$11:$F$22="x")),SUMPRODUCT((J61:U61="x")*(Besatzung!$F$11:$F$22="x"))),1))))),0))))</f>
        <v/>
      </c>
      <c r="Z61" s="106">
        <f>IF(C61="Gutschrift","",IF(G61="","",IF(Besatzung!$B$13="","",IFERROR(IF(I61="Zeitanteilig",(Besatzung!$G$15*(G61-IFERROR(H61,0))+((Besatzung!$B$13&lt;&gt;"")*IF(B61="",1,(IF(Besatzung!$C$15="",Besatzung!$B$5,Besatzung!$C$15)&lt;=B61)*(IF(Besatzung!$D$15="",Besatzung!$B$6,Besatzung!$D$15)&gt;=B61)))*(Besatzung!$F$15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$13&lt;&gt;"")*IF(B61="",1,(IF(Besatzung!$C$15="",Besatzung!$B$5,Besatzung!$C$15)&lt;=B61)*(IF(Besatzung!$D$15="",Besatzung!$B$6,Besatzung!$D$15)&gt;=B61)))*((G61-IFERROR(H61,0))/IFERROR(SUMPRODUCT((Besatzung!$B$11:$B$22&lt;&gt;"")*(IF(Besatzung!$C$11:$C$22="",Besatzung!$B$5,Besatzung!$C$11:$C$22)&lt;=B61)*(IF(Besatzung!$D$11:$D$22="",Besatzung!$B$6,Besatzung!$D$11:$D$22)&gt;=B61)),1)+(Besatzung!$F$15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N61="x")*((G61-IFERROR(H61,0))/IFERROR(COUNTIF(J61:U61,"x"),1)+(Besatzung!$F$15="x")*IFERROR(H61,0)/IFERROR(SUMPRODUCT((J61:U61="x")*(Besatzung!$F$11:$F$22="x")),1))),(IF(COUNTIF(J61:U61,"x")=0,IF(Besatzung!$B$13&lt;&gt;"",1,0),(N61="x"))*(G61-IFERROR(H61,0))/IFERROR(IF(COUNTIF(J61:U61,"x")=0,COUNTA(Besatzung!$B$11:$B$22),COUNTIF(J61:U61,"x")),1)+IF(COUNTIF(J61:U61,"x")=0,(Besatzung!$F$15="x"),(N61="x")*(Besatzung!$F$15="x"))*IFERROR(H61,0)/IFERROR(IF(COUNTIF(J61:U61,"x")=0,SUMPRODUCT((Besatzung!$B$11:$B$22&lt;&gt;"")*(Besatzung!$F$11:$F$22="x")),SUMPRODUCT((J61:U61="x")*(Besatzung!$F$11:$F$22="x"))),1))))),0))))</f>
        <v/>
      </c>
      <c r="AA61" s="106">
        <f>IF(C61="Gutschrift","",IF(G61="","",IF(Besatzung!$B$15="","",IFERROR(IF(I61="Zeitanteilig",(Besatzung!$G$16*(G61-IFERROR(H61,0))+((Besatzung!$B$15&lt;&gt;"")*IF(B61="",1,(IF(Besatzung!$C$16="",Besatzung!$B$5,Besatzung!$C$16)&lt;=B61)*(IF(Besatzung!$D$16="",Besatzung!$B$6,Besatzung!$D$16)&gt;=B61)))*(Besatzung!$F$16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$15&lt;&gt;"")*IF(B61="",1,(IF(Besatzung!$C$16="",Besatzung!$B$5,Besatzung!$C$16)&lt;=B61)*(IF(Besatzung!$D$16="",Besatzung!$B$6,Besatzung!$D$16)&gt;=B61)))*((G61-IFERROR(H61,0))/IFERROR(SUMPRODUCT((Besatzung!$B$11:$B$22&lt;&gt;"")*(IF(Besatzung!$C$11:$C$22="",Besatzung!$B$5,Besatzung!$C$11:$C$22)&lt;=B61)*(IF(Besatzung!$D$11:$D$22="",Besatzung!$B$6,Besatzung!$D$11:$D$22)&gt;=B61)),1)+(Besatzung!$F$16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O61="x")*((G61-IFERROR(H61,0))/IFERROR(COUNTIF(J61:U61,"x"),1)+(Besatzung!$F$16="x")*IFERROR(H61,0)/IFERROR(SUMPRODUCT((J61:U61="x")*(Besatzung!$F$11:$F$22="x")),1))),(IF(COUNTIF(J61:U61,"x")=0,IF(Besatzung!$B$15&lt;&gt;"",1,0),(O61="x"))*(G61-IFERROR(H61,0))/IFERROR(IF(COUNTIF(J61:U61,"x")=0,COUNTA(Besatzung!$B$11:$B$22),COUNTIF(J61:U61,"x")),1)+IF(COUNTIF(J61:U61,"x")=0,(Besatzung!$F$16="x"),(O61="x")*(Besatzung!$F$16="x"))*IFERROR(H61,0)/IFERROR(IF(COUNTIF(J61:U61,"x")=0,SUMPRODUCT((Besatzung!$B$11:$B$22&lt;&gt;"")*(Besatzung!$F$11:$F$22="x")),SUMPRODUCT((J61:U61="x")*(Besatzung!$F$11:$F$22="x"))),1))))),0))))</f>
        <v/>
      </c>
      <c r="AB61" s="106">
        <f>IF(C61="Gutschrift","",IF(G61="","",IF(Besatzung!$B$17="","",IFERROR(IF(I61="Zeitanteilig",(Besatzung!$G$17*(G61-IFERROR(H61,0))+((Besatzung!$B$17&lt;&gt;"")*IF(B61="",1,(IF(Besatzung!$C$17="",Besatzung!$B$5,Besatzung!$C$17)&lt;=B61)*(IF(Besatzung!$D$17="",Besatzung!$B$6,Besatzung!$D$17)&gt;=B61)))*(Besatzung!$F$17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$17&lt;&gt;"")*IF(B61="",1,(IF(Besatzung!$C$17="",Besatzung!$B$5,Besatzung!$C$17)&lt;=B61)*(IF(Besatzung!$D$17="",Besatzung!$B$6,Besatzung!$D$17)&gt;=B61)))*((G61-IFERROR(H61,0))/IFERROR(SUMPRODUCT((Besatzung!$B$11:$B$22&lt;&gt;"")*(IF(Besatzung!$C$11:$C$22="",Besatzung!$B$5,Besatzung!$C$11:$C$22)&lt;=B61)*(IF(Besatzung!$D$11:$D$22="",Besatzung!$B$6,Besatzung!$D$11:$D$22)&gt;=B61)),1)+(Besatzung!$F$17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P61="x")*((G61-IFERROR(H61,0))/IFERROR(COUNTIF(J61:U61,"x"),1)+(Besatzung!$F$17="x")*IFERROR(H61,0)/IFERROR(SUMPRODUCT((J61:U61="x")*(Besatzung!$F$11:$F$22="x")),1))),(IF(COUNTIF(J61:U61,"x")=0,IF(Besatzung!$B$17&lt;&gt;"",1,0),(P61="x"))*(G61-IFERROR(H61,0))/IFERROR(IF(COUNTIF(J61:U61,"x")=0,COUNTA(Besatzung!$B$11:$B$22),COUNTIF(J61:U61,"x")),1)+IF(COUNTIF(J61:U61,"x")=0,(Besatzung!$F$17="x"),(P61="x")*(Besatzung!$F$17="x"))*IFERROR(H61,0)/IFERROR(IF(COUNTIF(J61:U61,"x")=0,SUMPRODUCT((Besatzung!$B$11:$B$22&lt;&gt;"")*(Besatzung!$F$11:$F$22="x")),SUMPRODUCT((J61:U61="x")*(Besatzung!$F$11:$F$22="x"))),1))))),0))))</f>
        <v/>
      </c>
      <c r="AC61" s="106">
        <f>IF(C61="Gutschrift","",IF(G61="","",IF(Besatzung!$B$18="","",IFERROR(IF(I61="Zeitanteilig",(Besatzung!$G$18*(G61-IFERROR(H61,0))+((Besatzung!$B$18&lt;&gt;"")*IF(B61="",1,(IF(Besatzung!$C$18="",Besatzung!$B$5,Besatzung!$C$18)&lt;=B61)*(IF(Besatzung!$D$18="",Besatzung!$B$6,Besatzung!$D$18)&gt;=B61)))*(Besatzung!$F$18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$18&lt;&gt;"")*IF(B61="",1,(IF(Besatzung!$C$18="",Besatzung!$B$5,Besatzung!$C$18)&lt;=B61)*(IF(Besatzung!$D$18="",Besatzung!$B$6,Besatzung!$D$18)&gt;=B61)))*((G61-IFERROR(H61,0))/IFERROR(SUMPRODUCT((Besatzung!$B$11:$B$22&lt;&gt;"")*(IF(Besatzung!$C$11:$C$22="",Besatzung!$B$5,Besatzung!$C$11:$C$22)&lt;=B61)*(IF(Besatzung!$D$11:$D$22="",Besatzung!$B$6,Besatzung!$D$11:$D$22)&gt;=B61)),1)+(Besatzung!$F$18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Q61="x")*((G61-IFERROR(H61,0))/IFERROR(COUNTIF(J61:U61,"x"),1)+(Besatzung!$F$18="x")*IFERROR(H61,0)/IFERROR(SUMPRODUCT((J61:U61="x")*(Besatzung!$F$11:$F$22="x")),1))),(IF(COUNTIF(J61:U61,"x")=0,IF(Besatzung!$B$18&lt;&gt;"",1,0),(Q61="x"))*(G61-IFERROR(H61,0))/IFERROR(IF(COUNTIF(J61:U61,"x")=0,COUNTA(Besatzung!$B$11:$B$22),COUNTIF(J61:U61,"x")),1)+IF(COUNTIF(J61:U61,"x")=0,(Besatzung!$F$18="x"),(Q61="x")*(Besatzung!$F$18="x"))*IFERROR(H61,0)/IFERROR(IF(COUNTIF(J61:U61,"x")=0,SUMPRODUCT((Besatzung!$B$11:$B$22&lt;&gt;"")*(Besatzung!$F$11:$F$22="x")),SUMPRODUCT((J61:U61="x")*(Besatzung!$F$11:$F$22="x"))),1))))),0))))</f>
        <v/>
      </c>
      <c r="AD61" s="106">
        <f>IF(C61="Gutschrift","",IF(G61="","",IF(Besatzung!$B$19="","",IFERROR(IF(I61="Zeitanteilig",(Besatzung!$G$19*(G61-IFERROR(H61,0))+((Besatzung!$B$19&lt;&gt;"")*IF(B61="",1,(IF(Besatzung!$C$19="",Besatzung!$B$5,Besatzung!$C$19)&lt;=B61)*(IF(Besatzung!$D$19="",Besatzung!$B$6,Besatzung!$D$19)&gt;=B61)))*(Besatzung!$F$19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$19&lt;&gt;"")*IF(B61="",1,(IF(Besatzung!$C$19="",Besatzung!$B$5,Besatzung!$C$19)&lt;=B61)*(IF(Besatzung!$D$19="",Besatzung!$B$6,Besatzung!$D$19)&gt;=B61)))*((G61-IFERROR(H61,0))/IFERROR(SUMPRODUCT((Besatzung!$B$11:$B$22&lt;&gt;"")*(IF(Besatzung!$C$11:$C$22="",Besatzung!$B$5,Besatzung!$C$11:$C$22)&lt;=B61)*(IF(Besatzung!$D$11:$D$22="",Besatzung!$B$6,Besatzung!$D$11:$D$22)&gt;=B61)),1)+(Besatzung!$F$19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R61="x")*((G61-IFERROR(H61,0))/IFERROR(COUNTIF(J61:U61,"x"),1)+(Besatzung!$F$19="x")*IFERROR(H61,0)/IFERROR(SUMPRODUCT((J61:U61="x")*(Besatzung!$F$11:$F$22="x")),1))),(IF(COUNTIF(J61:U61,"x")=0,IF(Besatzung!$B$19&lt;&gt;"",1,0),(R61="x"))*(G61-IFERROR(H61,0))/IFERROR(IF(COUNTIF(J61:U61,"x")=0,COUNTA(Besatzung!$B$11:$B$22),COUNTIF(J61:U61,"x")),1)+IF(COUNTIF(J61:U61,"x")=0,(Besatzung!$F$19="x"),(R61="x")*(Besatzung!$F$19="x"))*IFERROR(H61,0)/IFERROR(IF(COUNTIF(J61:U61,"x")=0,SUMPRODUCT((Besatzung!$B$11:$B$22&lt;&gt;"")*(Besatzung!$F$11:$F$22="x")),SUMPRODUCT((J61:U61="x")*(Besatzung!$F$11:$F$22="x"))),1))))),0))))</f>
        <v/>
      </c>
      <c r="AE61" s="106">
        <f>IF(C61="Gutschrift","",IF(G61="","",IF(Besatzung!$B$20="","",IFERROR(IF(I61="Zeitanteilig",(Besatzung!$G$20*(G61-IFERROR(H61,0))+((Besatzung!$B$20&lt;&gt;"")*IF(B61="",1,(IF(Besatzung!$C$20="",Besatzung!$B$5,Besatzung!$C$20)&lt;=B61)*(IF(Besatzung!$D$20="",Besatzung!$B$6,Besatzung!$D$20)&gt;=B61)))*(Besatzung!$F$20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$20&lt;&gt;"")*IF(B61="",1,(IF(Besatzung!$C$20="",Besatzung!$B$5,Besatzung!$C$20)&lt;=B61)*(IF(Besatzung!$D$20="",Besatzung!$B$6,Besatzung!$D$20)&gt;=B61)))*((G61-IFERROR(H61,0))/IFERROR(SUMPRODUCT((Besatzung!$B$11:$B$22&lt;&gt;"")*(IF(Besatzung!$C$11:$C$22="",Besatzung!$B$5,Besatzung!$C$11:$C$22)&lt;=B61)*(IF(Besatzung!$D$11:$D$22="",Besatzung!$B$6,Besatzung!$D$11:$D$22)&gt;=B61)),1)+(Besatzung!$F$20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S61="x")*((G61-IFERROR(H61,0))/IFERROR(COUNTIF(J61:U61,"x"),1)+(Besatzung!$F$20="x")*IFERROR(H61,0)/IFERROR(SUMPRODUCT((J61:U61="x")*(Besatzung!$F$11:$F$22="x")),1))),(IF(COUNTIF(J61:U61,"x")=0,IF(Besatzung!$B$20&lt;&gt;"",1,0),(S61="x"))*(G61-IFERROR(H61,0))/IFERROR(IF(COUNTIF(J61:U61,"x")=0,COUNTA(Besatzung!$B$11:$B$22),COUNTIF(J61:U61,"x")),1)+IF(COUNTIF(J61:U61,"x")=0,(Besatzung!$F$20="x"),(S61="x")*(Besatzung!$F$20="x"))*IFERROR(H61,0)/IFERROR(IF(COUNTIF(J61:U61,"x")=0,SUMPRODUCT((Besatzung!$B$11:$B$22&lt;&gt;"")*(Besatzung!$F$11:$F$22="x")),SUMPRODUCT((J61:U61="x")*(Besatzung!$F$11:$F$22="x"))),1))))),0))))</f>
        <v/>
      </c>
      <c r="AF61" s="106">
        <f>IF(C61="Gutschrift","",IF(G61="","",IF(Besatzung!$B$21="","",IFERROR(IF(I61="Zeitanteilig",(Besatzung!$G$21*(G61-IFERROR(H61,0))+((Besatzung!$B$21&lt;&gt;"")*IF(B61="",1,(IF(Besatzung!$C$21="",Besatzung!$B$5,Besatzung!$C$21)&lt;=B61)*(IF(Besatzung!$D$21="",Besatzung!$B$6,Besatzung!$D$21)&gt;=B61)))*(Besatzung!$F$21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$21&lt;&gt;"")*IF(B61="",1,(IF(Besatzung!$C$21="",Besatzung!$B$5,Besatzung!$C$21)&lt;=B61)*(IF(Besatzung!$D$21="",Besatzung!$B$6,Besatzung!$D$21)&gt;=B61)))*((G61-IFERROR(H61,0))/IFERROR(SUMPRODUCT((Besatzung!$B$11:$B$22&lt;&gt;"")*(IF(Besatzung!$C$11:$C$22="",Besatzung!$B$5,Besatzung!$C$11:$C$22)&lt;=B61)*(IF(Besatzung!$D$11:$D$22="",Besatzung!$B$6,Besatzung!$D$11:$D$22)&gt;=B61)),1)+(Besatzung!$F$21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T61="x")*((G61-IFERROR(H61,0))/IFERROR(COUNTIF(J61:U61,"x"),1)+(Besatzung!$F$21="x")*IFERROR(H61,0)/IFERROR(SUMPRODUCT((J61:U61="x")*(Besatzung!$F$11:$F$22="x")),1))),(IF(COUNTIF(J61:U61,"x")=0,IF(Besatzung!$B$21&lt;&gt;"",1,0),(T61="x"))*(G61-IFERROR(H61,0))/IFERROR(IF(COUNTIF(J61:U61,"x")=0,COUNTA(Besatzung!$B$11:$B$22),COUNTIF(J61:U61,"x")),1)+IF(COUNTIF(J61:U61,"x")=0,(Besatzung!$F$21="x"),(T61="x")*(Besatzung!$F$21="x"))*IFERROR(H61,0)/IFERROR(IF(COUNTIF(J61:U61,"x")=0,SUMPRODUCT((Besatzung!$B$11:$B$22&lt;&gt;"")*(Besatzung!$F$11:$F$22="x")),SUMPRODUCT((J61:U61="x")*(Besatzung!$F$11:$F$22="x"))),1))))),0))))</f>
        <v/>
      </c>
      <c r="AG61" s="106">
        <f>IF(C61="Gutschrift","",IF(G61="","",IF(Besatzung!$B$22="","",IFERROR(IF(I61="Zeitanteilig",(Besatzung!$G$22*(G61-IFERROR(H61,0))+((Besatzung!$B$22&lt;&gt;"")*IF(B61="",1,(IF(Besatzung!$C$22="",Besatzung!$B$5,Besatzung!$C$22)&lt;=B61)*(IF(Besatzung!$D$22="",Besatzung!$B$6,Besatzung!$D$22)&gt;=B61)))*(Besatzung!$F$22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$22&lt;&gt;"")*IF(B61="",1,(IF(Besatzung!$C$22="",Besatzung!$B$5,Besatzung!$C$22)&lt;=B61)*(IF(Besatzung!$D$22="",Besatzung!$B$6,Besatzung!$D$22)&gt;=B61)))*((G61-IFERROR(H61,0))/IFERROR(SUMPRODUCT((Besatzung!$B$11:$B$22&lt;&gt;"")*(IF(Besatzung!$C$11:$C$22="",Besatzung!$B$5,Besatzung!$C$11:$C$22)&lt;=B61)*(IF(Besatzung!$D$11:$D$22="",Besatzung!$B$6,Besatzung!$D$11:$D$22)&gt;=B61)),1)+(Besatzung!$F$22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U61="x")*((G61-IFERROR(H61,0))/IFERROR(COUNTIF(J61:U61,"x"),1)+(Besatzung!$F$22="x")*IFERROR(H61,0)/IFERROR(SUMPRODUCT((J61:U61="x")*(Besatzung!$F$11:$F$22="x")),1))),(IF(COUNTIF(J61:U61,"x")=0,IF(Besatzung!$B$22&lt;&gt;"",1,0),(U61="x"))*(G61-IFERROR(H61,0))/IFERROR(IF(COUNTIF(J61:U61,"x")=0,COUNTA(Besatzung!$B$11:$B$22),COUNTIF(J61:U61,"x")),1)+IF(COUNTIF(J61:U61,"x")=0,(Besatzung!$F$22="x"),(U61="x")*(Besatzung!$F$22="x"))*IFERROR(H61,0)/IFERROR(IF(COUNTIF(J61:U61,"x")=0,SUMPRODUCT((Besatzung!$B$11:$B$22&lt;&gt;"")*(Besatzung!$F$11:$F$22="x")),SUMPRODUCT((J61:U61="x")*(Besatzung!$F$11:$F$22="x"))),1))))),0))))</f>
        <v/>
      </c>
      <c r="AH61" s="107" t="n"/>
      <c r="AI61" s="107" t="n"/>
    </row>
    <row r="62" ht="21.75" customHeight="1" s="182">
      <c r="A62" s="97">
        <f>IF(AND(D62="",C62=""),"",59)</f>
        <v/>
      </c>
      <c r="B62" s="56" t="n"/>
      <c r="C62" s="98" t="n"/>
      <c r="D62" s="99" t="n"/>
      <c r="E62" s="100" t="n"/>
      <c r="F62" s="101" t="n"/>
      <c r="G62" s="102" t="n"/>
      <c r="H62" s="103" t="n"/>
      <c r="I62" s="104" t="n"/>
      <c r="J62" s="105" t="n"/>
      <c r="K62" s="105" t="n"/>
      <c r="L62" s="105" t="n"/>
      <c r="M62" s="105" t="n"/>
      <c r="N62" s="105" t="n"/>
      <c r="O62" s="105" t="n"/>
      <c r="P62" s="105" t="n"/>
      <c r="Q62" s="105" t="n"/>
      <c r="R62" s="105" t="n"/>
      <c r="S62" s="105" t="n"/>
      <c r="T62" s="105" t="n"/>
      <c r="U62" s="105" t="n"/>
      <c r="V62" s="106">
        <f>IF(C62="Gutschrift","",IF(G62="","",IF(Besatzung!$B$11="","",IFERROR(IF(I62="Zeitanteilig",(Besatzung!$G$11*(G62-IFERROR(H62,0))+((Besatzung!$B$11&lt;&gt;"")*IF(B62="",1,(IF(Besatzung!$C$11="",Besatzung!$B$5,Besatzung!$C$11)&lt;=B62)*(IF(Besatzung!$D$11="",Besatzung!$B$6,Besatzung!$D$11)&gt;=B62)))*(Besatzung!$F$11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$11&lt;&gt;"")*IF(B62="",1,(IF(Besatzung!$C$11="",Besatzung!$B$5,Besatzung!$C$11)&lt;=B62)*(IF(Besatzung!$D$11="",Besatzung!$B$6,Besatzung!$D$11)&gt;=B62)))*((G62-IFERROR(H62,0))/IFERROR(SUMPRODUCT((Besatzung!$B$11:$B$22&lt;&gt;"")*(IF(Besatzung!$C$11:$C$22="",Besatzung!$B$5,Besatzung!$C$11:$C$22)&lt;=B62)*(IF(Besatzung!$D$11:$D$22="",Besatzung!$B$6,Besatzung!$D$11:$D$22)&gt;=B62)),1)+(Besatzung!$F$11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J62="x")*((G62-IFERROR(H62,0))/IFERROR(COUNTIF(J62:U62,"x"),1)+(Besatzung!$F$11="x")*IFERROR(H62,0)/IFERROR(SUMPRODUCT((J62:U62="x")*(Besatzung!$F$11:$F$22="x")),1))),(IF(COUNTIF(J62:U62,"x")=0,IF(Besatzung!$B$11&lt;&gt;"",1,0),(J62="x"))*(G62-IFERROR(H62,0))/IFERROR(IF(COUNTIF(J62:U62,"x")=0,COUNTA(Besatzung!$B$11:$B$22),COUNTIF(J62:U62,"x")),1)+IF(COUNTIF(J62:U62,"x")=0,(Besatzung!$F$11="x"),(J62="x")*(Besatzung!$F$11="x"))*IFERROR(H62,0)/IFERROR(IF(COUNTIF(J62:U62,"x")=0,SUMPRODUCT((Besatzung!$B$11:$B$22&lt;&gt;"")*(Besatzung!$F$11:$F$22="x")),SUMPRODUCT((J62:U62="x")*(Besatzung!$F$11:$F$22="x"))),1))))),0))))</f>
        <v/>
      </c>
      <c r="W62" s="106">
        <f>IF(C62="Gutschrift","",IF(G62="","",IF(Besatzung!$B$12="","",IFERROR(IF(I62="Zeitanteilig",(Besatzung!$G$12*(G62-IFERROR(H62,0))+((Besatzung!$B$12&lt;&gt;"")*IF(B62="",1,(IF(Besatzung!$C$12="",Besatzung!$B$5,Besatzung!$C$12)&lt;=B62)*(IF(Besatzung!$D$12="",Besatzung!$B$6,Besatzung!$D$12)&gt;=B62)))*(Besatzung!$F$12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$12&lt;&gt;"")*IF(B62="",1,(IF(Besatzung!$C$12="",Besatzung!$B$5,Besatzung!$C$12)&lt;=B62)*(IF(Besatzung!$D$12="",Besatzung!$B$6,Besatzung!$D$12)&gt;=B62)))*((G62-IFERROR(H62,0))/IFERROR(SUMPRODUCT((Besatzung!$B$11:$B$22&lt;&gt;"")*(IF(Besatzung!$C$11:$C$22="",Besatzung!$B$5,Besatzung!$C$11:$C$22)&lt;=B62)*(IF(Besatzung!$D$11:$D$22="",Besatzung!$B$6,Besatzung!$D$11:$D$22)&gt;=B62)),1)+(Besatzung!$F$12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K62="x")*((G62-IFERROR(H62,0))/IFERROR(COUNTIF(J62:U62,"x"),1)+(Besatzung!$F$12="x")*IFERROR(H62,0)/IFERROR(SUMPRODUCT((J62:U62="x")*(Besatzung!$F$11:$F$22="x")),1))),(IF(COUNTIF(J62:U62,"x")=0,IF(Besatzung!$B$12&lt;&gt;"",1,0),(K62="x"))*(G62-IFERROR(H62,0))/IFERROR(IF(COUNTIF(J62:U62,"x")=0,COUNTA(Besatzung!$B$11:$B$22),COUNTIF(J62:U62,"x")),1)+IF(COUNTIF(J62:U62,"x")=0,(Besatzung!$F$12="x"),(K62="x")*(Besatzung!$F$12="x"))*IFERROR(H62,0)/IFERROR(IF(COUNTIF(J62:U62,"x")=0,SUMPRODUCT((Besatzung!$B$11:$B$22&lt;&gt;"")*(Besatzung!$F$11:$F$22="x")),SUMPRODUCT((J62:U62="x")*(Besatzung!$F$11:$F$22="x"))),1))))),0))))</f>
        <v/>
      </c>
      <c r="X62" s="106">
        <f>IF(C62="Gutschrift","",IF(G62="","",IF(Besatzung!$B$13="","",IFERROR(IF(I62="Zeitanteilig",(Besatzung!$G$13*(G62-IFERROR(H62,0))+((Besatzung!$B$13&lt;&gt;"")*IF(B62="",1,(IF(Besatzung!$C$13="",Besatzung!$B$5,Besatzung!$C$13)&lt;=B62)*(IF(Besatzung!$D$13="",Besatzung!$B$6,Besatzung!$D$13)&gt;=B62)))*(Besatzung!$F$13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$13&lt;&gt;"")*IF(B62="",1,(IF(Besatzung!$C$13="",Besatzung!$B$5,Besatzung!$C$13)&lt;=B62)*(IF(Besatzung!$D$13="",Besatzung!$B$6,Besatzung!$D$13)&gt;=B62)))*((G62-IFERROR(H62,0))/IFERROR(SUMPRODUCT((Besatzung!$B$11:$B$22&lt;&gt;"")*(IF(Besatzung!$C$11:$C$22="",Besatzung!$B$5,Besatzung!$C$11:$C$22)&lt;=B62)*(IF(Besatzung!$D$11:$D$22="",Besatzung!$B$6,Besatzung!$D$11:$D$22)&gt;=B62)),1)+(Besatzung!$F$13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K62="x")*((G62-IFERROR(H62,0))/IFERROR(COUNTIF(J62:U62,"x"),1)+(Besatzung!$F$13="x")*IFERROR(H62,0)/IFERROR(SUMPRODUCT((J62:U62="x")*(Besatzung!$F$11:$F$22="x")),1))),(IF(COUNTIF(J62:U62,"x")=0,IF(Besatzung!$B$13&lt;&gt;"",1,0),(K62="x"))*(G62-IFERROR(H62,0))/IFERROR(IF(COUNTIF(J62:U62,"x")=0,COUNTA(Besatzung!$B$11:$B$22),COUNTIF(J62:U62,"x")),1)+IF(COUNTIF(J62:U62,"x")=0,(Besatzung!$F$13="x"),(K62="x")*(Besatzung!$F$13="x"))*IFERROR(H62,0)/IFERROR(IF(COUNTIF(J62:U62,"x")=0,SUMPRODUCT((Besatzung!$B$11:$B$22&lt;&gt;"")*(Besatzung!$F$11:$F$22="x")),SUMPRODUCT((J62:U62="x")*(Besatzung!$F$11:$F$22="x"))),1))))),0))))</f>
        <v/>
      </c>
      <c r="Y62" s="106">
        <f>IF(C62="Gutschrift","",IF(G62="","",IF(Besatzung!$B$14="","",IFERROR(IF(I62="Zeitanteilig",(Besatzung!$G$14*(G62-IFERROR(H62,0))+((Besatzung!$B$14&lt;&gt;"")*IF(B62="",1,(IF(Besatzung!$C$14="",Besatzung!$B$5,Besatzung!$C$14)&lt;=B62)*(IF(Besatzung!$D$14="",Besatzung!$B$6,Besatzung!$D$14)&gt;=B62)))*(Besatzung!$F$14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$14&lt;&gt;"")*IF(B62="",1,(IF(Besatzung!$C$14="",Besatzung!$B$5,Besatzung!$C$14)&lt;=B62)*(IF(Besatzung!$D$14="",Besatzung!$B$6,Besatzung!$D$14)&gt;=B62)))*((G62-IFERROR(H62,0))/IFERROR(SUMPRODUCT((Besatzung!$B$11:$B$22&lt;&gt;"")*(IF(Besatzung!$C$11:$C$22="",Besatzung!$B$5,Besatzung!$C$11:$C$22)&lt;=B62)*(IF(Besatzung!$D$11:$D$22="",Besatzung!$B$6,Besatzung!$D$11:$D$22)&gt;=B62)),1)+(Besatzung!$F$14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M62="x")*((G62-IFERROR(H62,0))/IFERROR(COUNTIF(J62:U62,"x"),1)+(Besatzung!$F$14="x")*IFERROR(H62,0)/IFERROR(SUMPRODUCT((J62:U62="x")*(Besatzung!$F$11:$F$22="x")),1))),(IF(COUNTIF(J62:U62,"x")=0,IF(Besatzung!$B$14&lt;&gt;"",1,0),(M62="x"))*(G62-IFERROR(H62,0))/IFERROR(IF(COUNTIF(J62:U62,"x")=0,COUNTA(Besatzung!$B$11:$B$22),COUNTIF(J62:U62,"x")),1)+IF(COUNTIF(J62:U62,"x")=0,(Besatzung!$F$14="x"),(M62="x")*(Besatzung!$F$14="x"))*IFERROR(H62,0)/IFERROR(IF(COUNTIF(J62:U62,"x")=0,SUMPRODUCT((Besatzung!$B$11:$B$22&lt;&gt;"")*(Besatzung!$F$11:$F$22="x")),SUMPRODUCT((J62:U62="x")*(Besatzung!$F$11:$F$22="x"))),1))))),0))))</f>
        <v/>
      </c>
      <c r="Z62" s="106">
        <f>IF(C62="Gutschrift","",IF(G62="","",IF(Besatzung!$B$13="","",IFERROR(IF(I62="Zeitanteilig",(Besatzung!$G$15*(G62-IFERROR(H62,0))+((Besatzung!$B$13&lt;&gt;"")*IF(B62="",1,(IF(Besatzung!$C$15="",Besatzung!$B$5,Besatzung!$C$15)&lt;=B62)*(IF(Besatzung!$D$15="",Besatzung!$B$6,Besatzung!$D$15)&gt;=B62)))*(Besatzung!$F$15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$13&lt;&gt;"")*IF(B62="",1,(IF(Besatzung!$C$15="",Besatzung!$B$5,Besatzung!$C$15)&lt;=B62)*(IF(Besatzung!$D$15="",Besatzung!$B$6,Besatzung!$D$15)&gt;=B62)))*((G62-IFERROR(H62,0))/IFERROR(SUMPRODUCT((Besatzung!$B$11:$B$22&lt;&gt;"")*(IF(Besatzung!$C$11:$C$22="",Besatzung!$B$5,Besatzung!$C$11:$C$22)&lt;=B62)*(IF(Besatzung!$D$11:$D$22="",Besatzung!$B$6,Besatzung!$D$11:$D$22)&gt;=B62)),1)+(Besatzung!$F$15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N62="x")*((G62-IFERROR(H62,0))/IFERROR(COUNTIF(J62:U62,"x"),1)+(Besatzung!$F$15="x")*IFERROR(H62,0)/IFERROR(SUMPRODUCT((J62:U62="x")*(Besatzung!$F$11:$F$22="x")),1))),(IF(COUNTIF(J62:U62,"x")=0,IF(Besatzung!$B$13&lt;&gt;"",1,0),(N62="x"))*(G62-IFERROR(H62,0))/IFERROR(IF(COUNTIF(J62:U62,"x")=0,COUNTA(Besatzung!$B$11:$B$22),COUNTIF(J62:U62,"x")),1)+IF(COUNTIF(J62:U62,"x")=0,(Besatzung!$F$15="x"),(N62="x")*(Besatzung!$F$15="x"))*IFERROR(H62,0)/IFERROR(IF(COUNTIF(J62:U62,"x")=0,SUMPRODUCT((Besatzung!$B$11:$B$22&lt;&gt;"")*(Besatzung!$F$11:$F$22="x")),SUMPRODUCT((J62:U62="x")*(Besatzung!$F$11:$F$22="x"))),1))))),0))))</f>
        <v/>
      </c>
      <c r="AA62" s="106">
        <f>IF(C62="Gutschrift","",IF(G62="","",IF(Besatzung!$B$15="","",IFERROR(IF(I62="Zeitanteilig",(Besatzung!$G$16*(G62-IFERROR(H62,0))+((Besatzung!$B$15&lt;&gt;"")*IF(B62="",1,(IF(Besatzung!$C$16="",Besatzung!$B$5,Besatzung!$C$16)&lt;=B62)*(IF(Besatzung!$D$16="",Besatzung!$B$6,Besatzung!$D$16)&gt;=B62)))*(Besatzung!$F$16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$15&lt;&gt;"")*IF(B62="",1,(IF(Besatzung!$C$16="",Besatzung!$B$5,Besatzung!$C$16)&lt;=B62)*(IF(Besatzung!$D$16="",Besatzung!$B$6,Besatzung!$D$16)&gt;=B62)))*((G62-IFERROR(H62,0))/IFERROR(SUMPRODUCT((Besatzung!$B$11:$B$22&lt;&gt;"")*(IF(Besatzung!$C$11:$C$22="",Besatzung!$B$5,Besatzung!$C$11:$C$22)&lt;=B62)*(IF(Besatzung!$D$11:$D$22="",Besatzung!$B$6,Besatzung!$D$11:$D$22)&gt;=B62)),1)+(Besatzung!$F$16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O62="x")*((G62-IFERROR(H62,0))/IFERROR(COUNTIF(J62:U62,"x"),1)+(Besatzung!$F$16="x")*IFERROR(H62,0)/IFERROR(SUMPRODUCT((J62:U62="x")*(Besatzung!$F$11:$F$22="x")),1))),(IF(COUNTIF(J62:U62,"x")=0,IF(Besatzung!$B$15&lt;&gt;"",1,0),(O62="x"))*(G62-IFERROR(H62,0))/IFERROR(IF(COUNTIF(J62:U62,"x")=0,COUNTA(Besatzung!$B$11:$B$22),COUNTIF(J62:U62,"x")),1)+IF(COUNTIF(J62:U62,"x")=0,(Besatzung!$F$16="x"),(O62="x")*(Besatzung!$F$16="x"))*IFERROR(H62,0)/IFERROR(IF(COUNTIF(J62:U62,"x")=0,SUMPRODUCT((Besatzung!$B$11:$B$22&lt;&gt;"")*(Besatzung!$F$11:$F$22="x")),SUMPRODUCT((J62:U62="x")*(Besatzung!$F$11:$F$22="x"))),1))))),0))))</f>
        <v/>
      </c>
      <c r="AB62" s="106">
        <f>IF(C62="Gutschrift","",IF(G62="","",IF(Besatzung!$B$17="","",IFERROR(IF(I62="Zeitanteilig",(Besatzung!$G$17*(G62-IFERROR(H62,0))+((Besatzung!$B$17&lt;&gt;"")*IF(B62="",1,(IF(Besatzung!$C$17="",Besatzung!$B$5,Besatzung!$C$17)&lt;=B62)*(IF(Besatzung!$D$17="",Besatzung!$B$6,Besatzung!$D$17)&gt;=B62)))*(Besatzung!$F$17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$17&lt;&gt;"")*IF(B62="",1,(IF(Besatzung!$C$17="",Besatzung!$B$5,Besatzung!$C$17)&lt;=B62)*(IF(Besatzung!$D$17="",Besatzung!$B$6,Besatzung!$D$17)&gt;=B62)))*((G62-IFERROR(H62,0))/IFERROR(SUMPRODUCT((Besatzung!$B$11:$B$22&lt;&gt;"")*(IF(Besatzung!$C$11:$C$22="",Besatzung!$B$5,Besatzung!$C$11:$C$22)&lt;=B62)*(IF(Besatzung!$D$11:$D$22="",Besatzung!$B$6,Besatzung!$D$11:$D$22)&gt;=B62)),1)+(Besatzung!$F$17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P62="x")*((G62-IFERROR(H62,0))/IFERROR(COUNTIF(J62:U62,"x"),1)+(Besatzung!$F$17="x")*IFERROR(H62,0)/IFERROR(SUMPRODUCT((J62:U62="x")*(Besatzung!$F$11:$F$22="x")),1))),(IF(COUNTIF(J62:U62,"x")=0,IF(Besatzung!$B$17&lt;&gt;"",1,0),(P62="x"))*(G62-IFERROR(H62,0))/IFERROR(IF(COUNTIF(J62:U62,"x")=0,COUNTA(Besatzung!$B$11:$B$22),COUNTIF(J62:U62,"x")),1)+IF(COUNTIF(J62:U62,"x")=0,(Besatzung!$F$17="x"),(P62="x")*(Besatzung!$F$17="x"))*IFERROR(H62,0)/IFERROR(IF(COUNTIF(J62:U62,"x")=0,SUMPRODUCT((Besatzung!$B$11:$B$22&lt;&gt;"")*(Besatzung!$F$11:$F$22="x")),SUMPRODUCT((J62:U62="x")*(Besatzung!$F$11:$F$22="x"))),1))))),0))))</f>
        <v/>
      </c>
      <c r="AC62" s="106">
        <f>IF(C62="Gutschrift","",IF(G62="","",IF(Besatzung!$B$18="","",IFERROR(IF(I62="Zeitanteilig",(Besatzung!$G$18*(G62-IFERROR(H62,0))+((Besatzung!$B$18&lt;&gt;"")*IF(B62="",1,(IF(Besatzung!$C$18="",Besatzung!$B$5,Besatzung!$C$18)&lt;=B62)*(IF(Besatzung!$D$18="",Besatzung!$B$6,Besatzung!$D$18)&gt;=B62)))*(Besatzung!$F$18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$18&lt;&gt;"")*IF(B62="",1,(IF(Besatzung!$C$18="",Besatzung!$B$5,Besatzung!$C$18)&lt;=B62)*(IF(Besatzung!$D$18="",Besatzung!$B$6,Besatzung!$D$18)&gt;=B62)))*((G62-IFERROR(H62,0))/IFERROR(SUMPRODUCT((Besatzung!$B$11:$B$22&lt;&gt;"")*(IF(Besatzung!$C$11:$C$22="",Besatzung!$B$5,Besatzung!$C$11:$C$22)&lt;=B62)*(IF(Besatzung!$D$11:$D$22="",Besatzung!$B$6,Besatzung!$D$11:$D$22)&gt;=B62)),1)+(Besatzung!$F$18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Q62="x")*((G62-IFERROR(H62,0))/IFERROR(COUNTIF(J62:U62,"x"),1)+(Besatzung!$F$18="x")*IFERROR(H62,0)/IFERROR(SUMPRODUCT((J62:U62="x")*(Besatzung!$F$11:$F$22="x")),1))),(IF(COUNTIF(J62:U62,"x")=0,IF(Besatzung!$B$18&lt;&gt;"",1,0),(Q62="x"))*(G62-IFERROR(H62,0))/IFERROR(IF(COUNTIF(J62:U62,"x")=0,COUNTA(Besatzung!$B$11:$B$22),COUNTIF(J62:U62,"x")),1)+IF(COUNTIF(J62:U62,"x")=0,(Besatzung!$F$18="x"),(Q62="x")*(Besatzung!$F$18="x"))*IFERROR(H62,0)/IFERROR(IF(COUNTIF(J62:U62,"x")=0,SUMPRODUCT((Besatzung!$B$11:$B$22&lt;&gt;"")*(Besatzung!$F$11:$F$22="x")),SUMPRODUCT((J62:U62="x")*(Besatzung!$F$11:$F$22="x"))),1))))),0))))</f>
        <v/>
      </c>
      <c r="AD62" s="106">
        <f>IF(C62="Gutschrift","",IF(G62="","",IF(Besatzung!$B$19="","",IFERROR(IF(I62="Zeitanteilig",(Besatzung!$G$19*(G62-IFERROR(H62,0))+((Besatzung!$B$19&lt;&gt;"")*IF(B62="",1,(IF(Besatzung!$C$19="",Besatzung!$B$5,Besatzung!$C$19)&lt;=B62)*(IF(Besatzung!$D$19="",Besatzung!$B$6,Besatzung!$D$19)&gt;=B62)))*(Besatzung!$F$19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$19&lt;&gt;"")*IF(B62="",1,(IF(Besatzung!$C$19="",Besatzung!$B$5,Besatzung!$C$19)&lt;=B62)*(IF(Besatzung!$D$19="",Besatzung!$B$6,Besatzung!$D$19)&gt;=B62)))*((G62-IFERROR(H62,0))/IFERROR(SUMPRODUCT((Besatzung!$B$11:$B$22&lt;&gt;"")*(IF(Besatzung!$C$11:$C$22="",Besatzung!$B$5,Besatzung!$C$11:$C$22)&lt;=B62)*(IF(Besatzung!$D$11:$D$22="",Besatzung!$B$6,Besatzung!$D$11:$D$22)&gt;=B62)),1)+(Besatzung!$F$19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R62="x")*((G62-IFERROR(H62,0))/IFERROR(COUNTIF(J62:U62,"x"),1)+(Besatzung!$F$19="x")*IFERROR(H62,0)/IFERROR(SUMPRODUCT((J62:U62="x")*(Besatzung!$F$11:$F$22="x")),1))),(IF(COUNTIF(J62:U62,"x")=0,IF(Besatzung!$B$19&lt;&gt;"",1,0),(R62="x"))*(G62-IFERROR(H62,0))/IFERROR(IF(COUNTIF(J62:U62,"x")=0,COUNTA(Besatzung!$B$11:$B$22),COUNTIF(J62:U62,"x")),1)+IF(COUNTIF(J62:U62,"x")=0,(Besatzung!$F$19="x"),(R62="x")*(Besatzung!$F$19="x"))*IFERROR(H62,0)/IFERROR(IF(COUNTIF(J62:U62,"x")=0,SUMPRODUCT((Besatzung!$B$11:$B$22&lt;&gt;"")*(Besatzung!$F$11:$F$22="x")),SUMPRODUCT((J62:U62="x")*(Besatzung!$F$11:$F$22="x"))),1))))),0))))</f>
        <v/>
      </c>
      <c r="AE62" s="106">
        <f>IF(C62="Gutschrift","",IF(G62="","",IF(Besatzung!$B$20="","",IFERROR(IF(I62="Zeitanteilig",(Besatzung!$G$20*(G62-IFERROR(H62,0))+((Besatzung!$B$20&lt;&gt;"")*IF(B62="",1,(IF(Besatzung!$C$20="",Besatzung!$B$5,Besatzung!$C$20)&lt;=B62)*(IF(Besatzung!$D$20="",Besatzung!$B$6,Besatzung!$D$20)&gt;=B62)))*(Besatzung!$F$20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$20&lt;&gt;"")*IF(B62="",1,(IF(Besatzung!$C$20="",Besatzung!$B$5,Besatzung!$C$20)&lt;=B62)*(IF(Besatzung!$D$20="",Besatzung!$B$6,Besatzung!$D$20)&gt;=B62)))*((G62-IFERROR(H62,0))/IFERROR(SUMPRODUCT((Besatzung!$B$11:$B$22&lt;&gt;"")*(IF(Besatzung!$C$11:$C$22="",Besatzung!$B$5,Besatzung!$C$11:$C$22)&lt;=B62)*(IF(Besatzung!$D$11:$D$22="",Besatzung!$B$6,Besatzung!$D$11:$D$22)&gt;=B62)),1)+(Besatzung!$F$20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S62="x")*((G62-IFERROR(H62,0))/IFERROR(COUNTIF(J62:U62,"x"),1)+(Besatzung!$F$20="x")*IFERROR(H62,0)/IFERROR(SUMPRODUCT((J62:U62="x")*(Besatzung!$F$11:$F$22="x")),1))),(IF(COUNTIF(J62:U62,"x")=0,IF(Besatzung!$B$20&lt;&gt;"",1,0),(S62="x"))*(G62-IFERROR(H62,0))/IFERROR(IF(COUNTIF(J62:U62,"x")=0,COUNTA(Besatzung!$B$11:$B$22),COUNTIF(J62:U62,"x")),1)+IF(COUNTIF(J62:U62,"x")=0,(Besatzung!$F$20="x"),(S62="x")*(Besatzung!$F$20="x"))*IFERROR(H62,0)/IFERROR(IF(COUNTIF(J62:U62,"x")=0,SUMPRODUCT((Besatzung!$B$11:$B$22&lt;&gt;"")*(Besatzung!$F$11:$F$22="x")),SUMPRODUCT((J62:U62="x")*(Besatzung!$F$11:$F$22="x"))),1))))),0))))</f>
        <v/>
      </c>
      <c r="AF62" s="106">
        <f>IF(C62="Gutschrift","",IF(G62="","",IF(Besatzung!$B$21="","",IFERROR(IF(I62="Zeitanteilig",(Besatzung!$G$21*(G62-IFERROR(H62,0))+((Besatzung!$B$21&lt;&gt;"")*IF(B62="",1,(IF(Besatzung!$C$21="",Besatzung!$B$5,Besatzung!$C$21)&lt;=B62)*(IF(Besatzung!$D$21="",Besatzung!$B$6,Besatzung!$D$21)&gt;=B62)))*(Besatzung!$F$21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$21&lt;&gt;"")*IF(B62="",1,(IF(Besatzung!$C$21="",Besatzung!$B$5,Besatzung!$C$21)&lt;=B62)*(IF(Besatzung!$D$21="",Besatzung!$B$6,Besatzung!$D$21)&gt;=B62)))*((G62-IFERROR(H62,0))/IFERROR(SUMPRODUCT((Besatzung!$B$11:$B$22&lt;&gt;"")*(IF(Besatzung!$C$11:$C$22="",Besatzung!$B$5,Besatzung!$C$11:$C$22)&lt;=B62)*(IF(Besatzung!$D$11:$D$22="",Besatzung!$B$6,Besatzung!$D$11:$D$22)&gt;=B62)),1)+(Besatzung!$F$21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T62="x")*((G62-IFERROR(H62,0))/IFERROR(COUNTIF(J62:U62,"x"),1)+(Besatzung!$F$21="x")*IFERROR(H62,0)/IFERROR(SUMPRODUCT((J62:U62="x")*(Besatzung!$F$11:$F$22="x")),1))),(IF(COUNTIF(J62:U62,"x")=0,IF(Besatzung!$B$21&lt;&gt;"",1,0),(T62="x"))*(G62-IFERROR(H62,0))/IFERROR(IF(COUNTIF(J62:U62,"x")=0,COUNTA(Besatzung!$B$11:$B$22),COUNTIF(J62:U62,"x")),1)+IF(COUNTIF(J62:U62,"x")=0,(Besatzung!$F$21="x"),(T62="x")*(Besatzung!$F$21="x"))*IFERROR(H62,0)/IFERROR(IF(COUNTIF(J62:U62,"x")=0,SUMPRODUCT((Besatzung!$B$11:$B$22&lt;&gt;"")*(Besatzung!$F$11:$F$22="x")),SUMPRODUCT((J62:U62="x")*(Besatzung!$F$11:$F$22="x"))),1))))),0))))</f>
        <v/>
      </c>
      <c r="AG62" s="106">
        <f>IF(C62="Gutschrift","",IF(G62="","",IF(Besatzung!$B$22="","",IFERROR(IF(I62="Zeitanteilig",(Besatzung!$G$22*(G62-IFERROR(H62,0))+((Besatzung!$B$22&lt;&gt;"")*IF(B62="",1,(IF(Besatzung!$C$22="",Besatzung!$B$5,Besatzung!$C$22)&lt;=B62)*(IF(Besatzung!$D$22="",Besatzung!$B$6,Besatzung!$D$22)&gt;=B62)))*(Besatzung!$F$22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$22&lt;&gt;"")*IF(B62="",1,(IF(Besatzung!$C$22="",Besatzung!$B$5,Besatzung!$C$22)&lt;=B62)*(IF(Besatzung!$D$22="",Besatzung!$B$6,Besatzung!$D$22)&gt;=B62)))*((G62-IFERROR(H62,0))/IFERROR(SUMPRODUCT((Besatzung!$B$11:$B$22&lt;&gt;"")*(IF(Besatzung!$C$11:$C$22="",Besatzung!$B$5,Besatzung!$C$11:$C$22)&lt;=B62)*(IF(Besatzung!$D$11:$D$22="",Besatzung!$B$6,Besatzung!$D$11:$D$22)&gt;=B62)),1)+(Besatzung!$F$22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U62="x")*((G62-IFERROR(H62,0))/IFERROR(COUNTIF(J62:U62,"x"),1)+(Besatzung!$F$22="x")*IFERROR(H62,0)/IFERROR(SUMPRODUCT((J62:U62="x")*(Besatzung!$F$11:$F$22="x")),1))),(IF(COUNTIF(J62:U62,"x")=0,IF(Besatzung!$B$22&lt;&gt;"",1,0),(U62="x"))*(G62-IFERROR(H62,0))/IFERROR(IF(COUNTIF(J62:U62,"x")=0,COUNTA(Besatzung!$B$11:$B$22),COUNTIF(J62:U62,"x")),1)+IF(COUNTIF(J62:U62,"x")=0,(Besatzung!$F$22="x"),(U62="x")*(Besatzung!$F$22="x"))*IFERROR(H62,0)/IFERROR(IF(COUNTIF(J62:U62,"x")=0,SUMPRODUCT((Besatzung!$B$11:$B$22&lt;&gt;"")*(Besatzung!$F$11:$F$22="x")),SUMPRODUCT((J62:U62="x")*(Besatzung!$F$11:$F$22="x"))),1))))),0))))</f>
        <v/>
      </c>
      <c r="AH62" s="107" t="n"/>
      <c r="AI62" s="107" t="n"/>
    </row>
    <row r="63" ht="21.75" customHeight="1" s="182">
      <c r="A63" s="97">
        <f>IF(AND(D63="",C63=""),"",60)</f>
        <v/>
      </c>
      <c r="B63" s="63" t="n"/>
      <c r="C63" s="108" t="n"/>
      <c r="D63" s="109" t="n"/>
      <c r="E63" s="110" t="n"/>
      <c r="F63" s="111" t="n"/>
      <c r="G63" s="112" t="n"/>
      <c r="H63" s="113" t="n"/>
      <c r="I63" s="114" t="n"/>
      <c r="J63" s="115" t="n"/>
      <c r="K63" s="115" t="n"/>
      <c r="L63" s="115" t="n"/>
      <c r="M63" s="115" t="n"/>
      <c r="N63" s="115" t="n"/>
      <c r="O63" s="115" t="n"/>
      <c r="P63" s="115" t="n"/>
      <c r="Q63" s="115" t="n"/>
      <c r="R63" s="115" t="n"/>
      <c r="S63" s="115" t="n"/>
      <c r="T63" s="115" t="n"/>
      <c r="U63" s="115" t="n"/>
      <c r="V63" s="106">
        <f>IF(C63="Gutschrift","",IF(G63="","",IF(Besatzung!$B$11="","",IFERROR(IF(I63="Zeitanteilig",(Besatzung!$G$11*(G63-IFERROR(H63,0))+((Besatzung!$B$11&lt;&gt;"")*IF(B63="",1,(IF(Besatzung!$C$11="",Besatzung!$B$5,Besatzung!$C$11)&lt;=B63)*(IF(Besatzung!$D$11="",Besatzung!$B$6,Besatzung!$D$11)&gt;=B63)))*(Besatzung!$F$11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$11&lt;&gt;"")*IF(B63="",1,(IF(Besatzung!$C$11="",Besatzung!$B$5,Besatzung!$C$11)&lt;=B63)*(IF(Besatzung!$D$11="",Besatzung!$B$6,Besatzung!$D$11)&gt;=B63)))*((G63-IFERROR(H63,0))/IFERROR(SUMPRODUCT((Besatzung!$B$11:$B$22&lt;&gt;"")*(IF(Besatzung!$C$11:$C$22="",Besatzung!$B$5,Besatzung!$C$11:$C$22)&lt;=B63)*(IF(Besatzung!$D$11:$D$22="",Besatzung!$B$6,Besatzung!$D$11:$D$22)&gt;=B63)),1)+(Besatzung!$F$11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J63="x")*((G63-IFERROR(H63,0))/IFERROR(COUNTIF(J63:U63,"x"),1)+(Besatzung!$F$11="x")*IFERROR(H63,0)/IFERROR(SUMPRODUCT((J63:U63="x")*(Besatzung!$F$11:$F$22="x")),1))),(IF(COUNTIF(J63:U63,"x")=0,IF(Besatzung!$B$11&lt;&gt;"",1,0),(J63="x"))*(G63-IFERROR(H63,0))/IFERROR(IF(COUNTIF(J63:U63,"x")=0,COUNTA(Besatzung!$B$11:$B$22),COUNTIF(J63:U63,"x")),1)+IF(COUNTIF(J63:U63,"x")=0,(Besatzung!$F$11="x"),(J63="x")*(Besatzung!$F$11="x"))*IFERROR(H63,0)/IFERROR(IF(COUNTIF(J63:U63,"x")=0,SUMPRODUCT((Besatzung!$B$11:$B$22&lt;&gt;"")*(Besatzung!$F$11:$F$22="x")),SUMPRODUCT((J63:U63="x")*(Besatzung!$F$11:$F$22="x"))),1))))),0))))</f>
        <v/>
      </c>
      <c r="W63" s="106">
        <f>IF(C63="Gutschrift","",IF(G63="","",IF(Besatzung!$B$12="","",IFERROR(IF(I63="Zeitanteilig",(Besatzung!$G$12*(G63-IFERROR(H63,0))+((Besatzung!$B$12&lt;&gt;"")*IF(B63="",1,(IF(Besatzung!$C$12="",Besatzung!$B$5,Besatzung!$C$12)&lt;=B63)*(IF(Besatzung!$D$12="",Besatzung!$B$6,Besatzung!$D$12)&gt;=B63)))*(Besatzung!$F$12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$12&lt;&gt;"")*IF(B63="",1,(IF(Besatzung!$C$12="",Besatzung!$B$5,Besatzung!$C$12)&lt;=B63)*(IF(Besatzung!$D$12="",Besatzung!$B$6,Besatzung!$D$12)&gt;=B63)))*((G63-IFERROR(H63,0))/IFERROR(SUMPRODUCT((Besatzung!$B$11:$B$22&lt;&gt;"")*(IF(Besatzung!$C$11:$C$22="",Besatzung!$B$5,Besatzung!$C$11:$C$22)&lt;=B63)*(IF(Besatzung!$D$11:$D$22="",Besatzung!$B$6,Besatzung!$D$11:$D$22)&gt;=B63)),1)+(Besatzung!$F$12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K63="x")*((G63-IFERROR(H63,0))/IFERROR(COUNTIF(J63:U63,"x"),1)+(Besatzung!$F$12="x")*IFERROR(H63,0)/IFERROR(SUMPRODUCT((J63:U63="x")*(Besatzung!$F$11:$F$22="x")),1))),(IF(COUNTIF(J63:U63,"x")=0,IF(Besatzung!$B$12&lt;&gt;"",1,0),(K63="x"))*(G63-IFERROR(H63,0))/IFERROR(IF(COUNTIF(J63:U63,"x")=0,COUNTA(Besatzung!$B$11:$B$22),COUNTIF(J63:U63,"x")),1)+IF(COUNTIF(J63:U63,"x")=0,(Besatzung!$F$12="x"),(K63="x")*(Besatzung!$F$12="x"))*IFERROR(H63,0)/IFERROR(IF(COUNTIF(J63:U63,"x")=0,SUMPRODUCT((Besatzung!$B$11:$B$22&lt;&gt;"")*(Besatzung!$F$11:$F$22="x")),SUMPRODUCT((J63:U63="x")*(Besatzung!$F$11:$F$22="x"))),1))))),0))))</f>
        <v/>
      </c>
      <c r="X63" s="106">
        <f>IF(C63="Gutschrift","",IF(G63="","",IF(Besatzung!$B$13="","",IFERROR(IF(I63="Zeitanteilig",(Besatzung!$G$13*(G63-IFERROR(H63,0))+((Besatzung!$B$13&lt;&gt;"")*IF(B63="",1,(IF(Besatzung!$C$13="",Besatzung!$B$5,Besatzung!$C$13)&lt;=B63)*(IF(Besatzung!$D$13="",Besatzung!$B$6,Besatzung!$D$13)&gt;=B63)))*(Besatzung!$F$13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$13&lt;&gt;"")*IF(B63="",1,(IF(Besatzung!$C$13="",Besatzung!$B$5,Besatzung!$C$13)&lt;=B63)*(IF(Besatzung!$D$13="",Besatzung!$B$6,Besatzung!$D$13)&gt;=B63)))*((G63-IFERROR(H63,0))/IFERROR(SUMPRODUCT((Besatzung!$B$11:$B$22&lt;&gt;"")*(IF(Besatzung!$C$11:$C$22="",Besatzung!$B$5,Besatzung!$C$11:$C$22)&lt;=B63)*(IF(Besatzung!$D$11:$D$22="",Besatzung!$B$6,Besatzung!$D$11:$D$22)&gt;=B63)),1)+(Besatzung!$F$13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K63="x")*((G63-IFERROR(H63,0))/IFERROR(COUNTIF(J63:U63,"x"),1)+(Besatzung!$F$13="x")*IFERROR(H63,0)/IFERROR(SUMPRODUCT((J63:U63="x")*(Besatzung!$F$11:$F$22="x")),1))),(IF(COUNTIF(J63:U63,"x")=0,IF(Besatzung!$B$13&lt;&gt;"",1,0),(K63="x"))*(G63-IFERROR(H63,0))/IFERROR(IF(COUNTIF(J63:U63,"x")=0,COUNTA(Besatzung!$B$11:$B$22),COUNTIF(J63:U63,"x")),1)+IF(COUNTIF(J63:U63,"x")=0,(Besatzung!$F$13="x"),(K63="x")*(Besatzung!$F$13="x"))*IFERROR(H63,0)/IFERROR(IF(COUNTIF(J63:U63,"x")=0,SUMPRODUCT((Besatzung!$B$11:$B$22&lt;&gt;"")*(Besatzung!$F$11:$F$22="x")),SUMPRODUCT((J63:U63="x")*(Besatzung!$F$11:$F$22="x"))),1))))),0))))</f>
        <v/>
      </c>
      <c r="Y63" s="106">
        <f>IF(C63="Gutschrift","",IF(G63="","",IF(Besatzung!$B$14="","",IFERROR(IF(I63="Zeitanteilig",(Besatzung!$G$14*(G63-IFERROR(H63,0))+((Besatzung!$B$14&lt;&gt;"")*IF(B63="",1,(IF(Besatzung!$C$14="",Besatzung!$B$5,Besatzung!$C$14)&lt;=B63)*(IF(Besatzung!$D$14="",Besatzung!$B$6,Besatzung!$D$14)&gt;=B63)))*(Besatzung!$F$14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$14&lt;&gt;"")*IF(B63="",1,(IF(Besatzung!$C$14="",Besatzung!$B$5,Besatzung!$C$14)&lt;=B63)*(IF(Besatzung!$D$14="",Besatzung!$B$6,Besatzung!$D$14)&gt;=B63)))*((G63-IFERROR(H63,0))/IFERROR(SUMPRODUCT((Besatzung!$B$11:$B$22&lt;&gt;"")*(IF(Besatzung!$C$11:$C$22="",Besatzung!$B$5,Besatzung!$C$11:$C$22)&lt;=B63)*(IF(Besatzung!$D$11:$D$22="",Besatzung!$B$6,Besatzung!$D$11:$D$22)&gt;=B63)),1)+(Besatzung!$F$14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M63="x")*((G63-IFERROR(H63,0))/IFERROR(COUNTIF(J63:U63,"x"),1)+(Besatzung!$F$14="x")*IFERROR(H63,0)/IFERROR(SUMPRODUCT((J63:U63="x")*(Besatzung!$F$11:$F$22="x")),1))),(IF(COUNTIF(J63:U63,"x")=0,IF(Besatzung!$B$14&lt;&gt;"",1,0),(M63="x"))*(G63-IFERROR(H63,0))/IFERROR(IF(COUNTIF(J63:U63,"x")=0,COUNTA(Besatzung!$B$11:$B$22),COUNTIF(J63:U63,"x")),1)+IF(COUNTIF(J63:U63,"x")=0,(Besatzung!$F$14="x"),(M63="x")*(Besatzung!$F$14="x"))*IFERROR(H63,0)/IFERROR(IF(COUNTIF(J63:U63,"x")=0,SUMPRODUCT((Besatzung!$B$11:$B$22&lt;&gt;"")*(Besatzung!$F$11:$F$22="x")),SUMPRODUCT((J63:U63="x")*(Besatzung!$F$11:$F$22="x"))),1))))),0))))</f>
        <v/>
      </c>
      <c r="Z63" s="106">
        <f>IF(C63="Gutschrift","",IF(G63="","",IF(Besatzung!$B$13="","",IFERROR(IF(I63="Zeitanteilig",(Besatzung!$G$15*(G63-IFERROR(H63,0))+((Besatzung!$B$13&lt;&gt;"")*IF(B63="",1,(IF(Besatzung!$C$15="",Besatzung!$B$5,Besatzung!$C$15)&lt;=B63)*(IF(Besatzung!$D$15="",Besatzung!$B$6,Besatzung!$D$15)&gt;=B63)))*(Besatzung!$F$15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$13&lt;&gt;"")*IF(B63="",1,(IF(Besatzung!$C$15="",Besatzung!$B$5,Besatzung!$C$15)&lt;=B63)*(IF(Besatzung!$D$15="",Besatzung!$B$6,Besatzung!$D$15)&gt;=B63)))*((G63-IFERROR(H63,0))/IFERROR(SUMPRODUCT((Besatzung!$B$11:$B$22&lt;&gt;"")*(IF(Besatzung!$C$11:$C$22="",Besatzung!$B$5,Besatzung!$C$11:$C$22)&lt;=B63)*(IF(Besatzung!$D$11:$D$22="",Besatzung!$B$6,Besatzung!$D$11:$D$22)&gt;=B63)),1)+(Besatzung!$F$15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N63="x")*((G63-IFERROR(H63,0))/IFERROR(COUNTIF(J63:U63,"x"),1)+(Besatzung!$F$15="x")*IFERROR(H63,0)/IFERROR(SUMPRODUCT((J63:U63="x")*(Besatzung!$F$11:$F$22="x")),1))),(IF(COUNTIF(J63:U63,"x")=0,IF(Besatzung!$B$13&lt;&gt;"",1,0),(N63="x"))*(G63-IFERROR(H63,0))/IFERROR(IF(COUNTIF(J63:U63,"x")=0,COUNTA(Besatzung!$B$11:$B$22),COUNTIF(J63:U63,"x")),1)+IF(COUNTIF(J63:U63,"x")=0,(Besatzung!$F$15="x"),(N63="x")*(Besatzung!$F$15="x"))*IFERROR(H63,0)/IFERROR(IF(COUNTIF(J63:U63,"x")=0,SUMPRODUCT((Besatzung!$B$11:$B$22&lt;&gt;"")*(Besatzung!$F$11:$F$22="x")),SUMPRODUCT((J63:U63="x")*(Besatzung!$F$11:$F$22="x"))),1))))),0))))</f>
        <v/>
      </c>
      <c r="AA63" s="106">
        <f>IF(C63="Gutschrift","",IF(G63="","",IF(Besatzung!$B$15="","",IFERROR(IF(I63="Zeitanteilig",(Besatzung!$G$16*(G63-IFERROR(H63,0))+((Besatzung!$B$15&lt;&gt;"")*IF(B63="",1,(IF(Besatzung!$C$16="",Besatzung!$B$5,Besatzung!$C$16)&lt;=B63)*(IF(Besatzung!$D$16="",Besatzung!$B$6,Besatzung!$D$16)&gt;=B63)))*(Besatzung!$F$16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$15&lt;&gt;"")*IF(B63="",1,(IF(Besatzung!$C$16="",Besatzung!$B$5,Besatzung!$C$16)&lt;=B63)*(IF(Besatzung!$D$16="",Besatzung!$B$6,Besatzung!$D$16)&gt;=B63)))*((G63-IFERROR(H63,0))/IFERROR(SUMPRODUCT((Besatzung!$B$11:$B$22&lt;&gt;"")*(IF(Besatzung!$C$11:$C$22="",Besatzung!$B$5,Besatzung!$C$11:$C$22)&lt;=B63)*(IF(Besatzung!$D$11:$D$22="",Besatzung!$B$6,Besatzung!$D$11:$D$22)&gt;=B63)),1)+(Besatzung!$F$16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O63="x")*((G63-IFERROR(H63,0))/IFERROR(COUNTIF(J63:U63,"x"),1)+(Besatzung!$F$16="x")*IFERROR(H63,0)/IFERROR(SUMPRODUCT((J63:U63="x")*(Besatzung!$F$11:$F$22="x")),1))),(IF(COUNTIF(J63:U63,"x")=0,IF(Besatzung!$B$15&lt;&gt;"",1,0),(O63="x"))*(G63-IFERROR(H63,0))/IFERROR(IF(COUNTIF(J63:U63,"x")=0,COUNTA(Besatzung!$B$11:$B$22),COUNTIF(J63:U63,"x")),1)+IF(COUNTIF(J63:U63,"x")=0,(Besatzung!$F$16="x"),(O63="x")*(Besatzung!$F$16="x"))*IFERROR(H63,0)/IFERROR(IF(COUNTIF(J63:U63,"x")=0,SUMPRODUCT((Besatzung!$B$11:$B$22&lt;&gt;"")*(Besatzung!$F$11:$F$22="x")),SUMPRODUCT((J63:U63="x")*(Besatzung!$F$11:$F$22="x"))),1))))),0))))</f>
        <v/>
      </c>
      <c r="AB63" s="106">
        <f>IF(C63="Gutschrift","",IF(G63="","",IF(Besatzung!$B$17="","",IFERROR(IF(I63="Zeitanteilig",(Besatzung!$G$17*(G63-IFERROR(H63,0))+((Besatzung!$B$17&lt;&gt;"")*IF(B63="",1,(IF(Besatzung!$C$17="",Besatzung!$B$5,Besatzung!$C$17)&lt;=B63)*(IF(Besatzung!$D$17="",Besatzung!$B$6,Besatzung!$D$17)&gt;=B63)))*(Besatzung!$F$17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$17&lt;&gt;"")*IF(B63="",1,(IF(Besatzung!$C$17="",Besatzung!$B$5,Besatzung!$C$17)&lt;=B63)*(IF(Besatzung!$D$17="",Besatzung!$B$6,Besatzung!$D$17)&gt;=B63)))*((G63-IFERROR(H63,0))/IFERROR(SUMPRODUCT((Besatzung!$B$11:$B$22&lt;&gt;"")*(IF(Besatzung!$C$11:$C$22="",Besatzung!$B$5,Besatzung!$C$11:$C$22)&lt;=B63)*(IF(Besatzung!$D$11:$D$22="",Besatzung!$B$6,Besatzung!$D$11:$D$22)&gt;=B63)),1)+(Besatzung!$F$17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P63="x")*((G63-IFERROR(H63,0))/IFERROR(COUNTIF(J63:U63,"x"),1)+(Besatzung!$F$17="x")*IFERROR(H63,0)/IFERROR(SUMPRODUCT((J63:U63="x")*(Besatzung!$F$11:$F$22="x")),1))),(IF(COUNTIF(J63:U63,"x")=0,IF(Besatzung!$B$17&lt;&gt;"",1,0),(P63="x"))*(G63-IFERROR(H63,0))/IFERROR(IF(COUNTIF(J63:U63,"x")=0,COUNTA(Besatzung!$B$11:$B$22),COUNTIF(J63:U63,"x")),1)+IF(COUNTIF(J63:U63,"x")=0,(Besatzung!$F$17="x"),(P63="x")*(Besatzung!$F$17="x"))*IFERROR(H63,0)/IFERROR(IF(COUNTIF(J63:U63,"x")=0,SUMPRODUCT((Besatzung!$B$11:$B$22&lt;&gt;"")*(Besatzung!$F$11:$F$22="x")),SUMPRODUCT((J63:U63="x")*(Besatzung!$F$11:$F$22="x"))),1))))),0))))</f>
        <v/>
      </c>
      <c r="AC63" s="106">
        <f>IF(C63="Gutschrift","",IF(G63="","",IF(Besatzung!$B$18="","",IFERROR(IF(I63="Zeitanteilig",(Besatzung!$G$18*(G63-IFERROR(H63,0))+((Besatzung!$B$18&lt;&gt;"")*IF(B63="",1,(IF(Besatzung!$C$18="",Besatzung!$B$5,Besatzung!$C$18)&lt;=B63)*(IF(Besatzung!$D$18="",Besatzung!$B$6,Besatzung!$D$18)&gt;=B63)))*(Besatzung!$F$18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$18&lt;&gt;"")*IF(B63="",1,(IF(Besatzung!$C$18="",Besatzung!$B$5,Besatzung!$C$18)&lt;=B63)*(IF(Besatzung!$D$18="",Besatzung!$B$6,Besatzung!$D$18)&gt;=B63)))*((G63-IFERROR(H63,0))/IFERROR(SUMPRODUCT((Besatzung!$B$11:$B$22&lt;&gt;"")*(IF(Besatzung!$C$11:$C$22="",Besatzung!$B$5,Besatzung!$C$11:$C$22)&lt;=B63)*(IF(Besatzung!$D$11:$D$22="",Besatzung!$B$6,Besatzung!$D$11:$D$22)&gt;=B63)),1)+(Besatzung!$F$18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Q63="x")*((G63-IFERROR(H63,0))/IFERROR(COUNTIF(J63:U63,"x"),1)+(Besatzung!$F$18="x")*IFERROR(H63,0)/IFERROR(SUMPRODUCT((J63:U63="x")*(Besatzung!$F$11:$F$22="x")),1))),(IF(COUNTIF(J63:U63,"x")=0,IF(Besatzung!$B$18&lt;&gt;"",1,0),(Q63="x"))*(G63-IFERROR(H63,0))/IFERROR(IF(COUNTIF(J63:U63,"x")=0,COUNTA(Besatzung!$B$11:$B$22),COUNTIF(J63:U63,"x")),1)+IF(COUNTIF(J63:U63,"x")=0,(Besatzung!$F$18="x"),(Q63="x")*(Besatzung!$F$18="x"))*IFERROR(H63,0)/IFERROR(IF(COUNTIF(J63:U63,"x")=0,SUMPRODUCT((Besatzung!$B$11:$B$22&lt;&gt;"")*(Besatzung!$F$11:$F$22="x")),SUMPRODUCT((J63:U63="x")*(Besatzung!$F$11:$F$22="x"))),1))))),0))))</f>
        <v/>
      </c>
      <c r="AD63" s="106">
        <f>IF(C63="Gutschrift","",IF(G63="","",IF(Besatzung!$B$19="","",IFERROR(IF(I63="Zeitanteilig",(Besatzung!$G$19*(G63-IFERROR(H63,0))+((Besatzung!$B$19&lt;&gt;"")*IF(B63="",1,(IF(Besatzung!$C$19="",Besatzung!$B$5,Besatzung!$C$19)&lt;=B63)*(IF(Besatzung!$D$19="",Besatzung!$B$6,Besatzung!$D$19)&gt;=B63)))*(Besatzung!$F$19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$19&lt;&gt;"")*IF(B63="",1,(IF(Besatzung!$C$19="",Besatzung!$B$5,Besatzung!$C$19)&lt;=B63)*(IF(Besatzung!$D$19="",Besatzung!$B$6,Besatzung!$D$19)&gt;=B63)))*((G63-IFERROR(H63,0))/IFERROR(SUMPRODUCT((Besatzung!$B$11:$B$22&lt;&gt;"")*(IF(Besatzung!$C$11:$C$22="",Besatzung!$B$5,Besatzung!$C$11:$C$22)&lt;=B63)*(IF(Besatzung!$D$11:$D$22="",Besatzung!$B$6,Besatzung!$D$11:$D$22)&gt;=B63)),1)+(Besatzung!$F$19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R63="x")*((G63-IFERROR(H63,0))/IFERROR(COUNTIF(J63:U63,"x"),1)+(Besatzung!$F$19="x")*IFERROR(H63,0)/IFERROR(SUMPRODUCT((J63:U63="x")*(Besatzung!$F$11:$F$22="x")),1))),(IF(COUNTIF(J63:U63,"x")=0,IF(Besatzung!$B$19&lt;&gt;"",1,0),(R63="x"))*(G63-IFERROR(H63,0))/IFERROR(IF(COUNTIF(J63:U63,"x")=0,COUNTA(Besatzung!$B$11:$B$22),COUNTIF(J63:U63,"x")),1)+IF(COUNTIF(J63:U63,"x")=0,(Besatzung!$F$19="x"),(R63="x")*(Besatzung!$F$19="x"))*IFERROR(H63,0)/IFERROR(IF(COUNTIF(J63:U63,"x")=0,SUMPRODUCT((Besatzung!$B$11:$B$22&lt;&gt;"")*(Besatzung!$F$11:$F$22="x")),SUMPRODUCT((J63:U63="x")*(Besatzung!$F$11:$F$22="x"))),1))))),0))))</f>
        <v/>
      </c>
      <c r="AE63" s="106">
        <f>IF(C63="Gutschrift","",IF(G63="","",IF(Besatzung!$B$20="","",IFERROR(IF(I63="Zeitanteilig",(Besatzung!$G$20*(G63-IFERROR(H63,0))+((Besatzung!$B$20&lt;&gt;"")*IF(B63="",1,(IF(Besatzung!$C$20="",Besatzung!$B$5,Besatzung!$C$20)&lt;=B63)*(IF(Besatzung!$D$20="",Besatzung!$B$6,Besatzung!$D$20)&gt;=B63)))*(Besatzung!$F$20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$20&lt;&gt;"")*IF(B63="",1,(IF(Besatzung!$C$20="",Besatzung!$B$5,Besatzung!$C$20)&lt;=B63)*(IF(Besatzung!$D$20="",Besatzung!$B$6,Besatzung!$D$20)&gt;=B63)))*((G63-IFERROR(H63,0))/IFERROR(SUMPRODUCT((Besatzung!$B$11:$B$22&lt;&gt;"")*(IF(Besatzung!$C$11:$C$22="",Besatzung!$B$5,Besatzung!$C$11:$C$22)&lt;=B63)*(IF(Besatzung!$D$11:$D$22="",Besatzung!$B$6,Besatzung!$D$11:$D$22)&gt;=B63)),1)+(Besatzung!$F$20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S63="x")*((G63-IFERROR(H63,0))/IFERROR(COUNTIF(J63:U63,"x"),1)+(Besatzung!$F$20="x")*IFERROR(H63,0)/IFERROR(SUMPRODUCT((J63:U63="x")*(Besatzung!$F$11:$F$22="x")),1))),(IF(COUNTIF(J63:U63,"x")=0,IF(Besatzung!$B$20&lt;&gt;"",1,0),(S63="x"))*(G63-IFERROR(H63,0))/IFERROR(IF(COUNTIF(J63:U63,"x")=0,COUNTA(Besatzung!$B$11:$B$22),COUNTIF(J63:U63,"x")),1)+IF(COUNTIF(J63:U63,"x")=0,(Besatzung!$F$20="x"),(S63="x")*(Besatzung!$F$20="x"))*IFERROR(H63,0)/IFERROR(IF(COUNTIF(J63:U63,"x")=0,SUMPRODUCT((Besatzung!$B$11:$B$22&lt;&gt;"")*(Besatzung!$F$11:$F$22="x")),SUMPRODUCT((J63:U63="x")*(Besatzung!$F$11:$F$22="x"))),1))))),0))))</f>
        <v/>
      </c>
      <c r="AF63" s="106">
        <f>IF(C63="Gutschrift","",IF(G63="","",IF(Besatzung!$B$21="","",IFERROR(IF(I63="Zeitanteilig",(Besatzung!$G$21*(G63-IFERROR(H63,0))+((Besatzung!$B$21&lt;&gt;"")*IF(B63="",1,(IF(Besatzung!$C$21="",Besatzung!$B$5,Besatzung!$C$21)&lt;=B63)*(IF(Besatzung!$D$21="",Besatzung!$B$6,Besatzung!$D$21)&gt;=B63)))*(Besatzung!$F$21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$21&lt;&gt;"")*IF(B63="",1,(IF(Besatzung!$C$21="",Besatzung!$B$5,Besatzung!$C$21)&lt;=B63)*(IF(Besatzung!$D$21="",Besatzung!$B$6,Besatzung!$D$21)&gt;=B63)))*((G63-IFERROR(H63,0))/IFERROR(SUMPRODUCT((Besatzung!$B$11:$B$22&lt;&gt;"")*(IF(Besatzung!$C$11:$C$22="",Besatzung!$B$5,Besatzung!$C$11:$C$22)&lt;=B63)*(IF(Besatzung!$D$11:$D$22="",Besatzung!$B$6,Besatzung!$D$11:$D$22)&gt;=B63)),1)+(Besatzung!$F$21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T63="x")*((G63-IFERROR(H63,0))/IFERROR(COUNTIF(J63:U63,"x"),1)+(Besatzung!$F$21="x")*IFERROR(H63,0)/IFERROR(SUMPRODUCT((J63:U63="x")*(Besatzung!$F$11:$F$22="x")),1))),(IF(COUNTIF(J63:U63,"x")=0,IF(Besatzung!$B$21&lt;&gt;"",1,0),(T63="x"))*(G63-IFERROR(H63,0))/IFERROR(IF(COUNTIF(J63:U63,"x")=0,COUNTA(Besatzung!$B$11:$B$22),COUNTIF(J63:U63,"x")),1)+IF(COUNTIF(J63:U63,"x")=0,(Besatzung!$F$21="x"),(T63="x")*(Besatzung!$F$21="x"))*IFERROR(H63,0)/IFERROR(IF(COUNTIF(J63:U63,"x")=0,SUMPRODUCT((Besatzung!$B$11:$B$22&lt;&gt;"")*(Besatzung!$F$11:$F$22="x")),SUMPRODUCT((J63:U63="x")*(Besatzung!$F$11:$F$22="x"))),1))))),0))))</f>
        <v/>
      </c>
      <c r="AG63" s="106">
        <f>IF(C63="Gutschrift","",IF(G63="","",IF(Besatzung!$B$22="","",IFERROR(IF(I63="Zeitanteilig",(Besatzung!$G$22*(G63-IFERROR(H63,0))+((Besatzung!$B$22&lt;&gt;"")*IF(B63="",1,(IF(Besatzung!$C$22="",Besatzung!$B$5,Besatzung!$C$22)&lt;=B63)*(IF(Besatzung!$D$22="",Besatzung!$B$6,Besatzung!$D$22)&gt;=B63)))*(Besatzung!$F$22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$22&lt;&gt;"")*IF(B63="",1,(IF(Besatzung!$C$22="",Besatzung!$B$5,Besatzung!$C$22)&lt;=B63)*(IF(Besatzung!$D$22="",Besatzung!$B$6,Besatzung!$D$22)&gt;=B63)))*((G63-IFERROR(H63,0))/IFERROR(SUMPRODUCT((Besatzung!$B$11:$B$22&lt;&gt;"")*(IF(Besatzung!$C$11:$C$22="",Besatzung!$B$5,Besatzung!$C$11:$C$22)&lt;=B63)*(IF(Besatzung!$D$11:$D$22="",Besatzung!$B$6,Besatzung!$D$11:$D$22)&gt;=B63)),1)+(Besatzung!$F$22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U63="x")*((G63-IFERROR(H63,0))/IFERROR(COUNTIF(J63:U63,"x"),1)+(Besatzung!$F$22="x")*IFERROR(H63,0)/IFERROR(SUMPRODUCT((J63:U63="x")*(Besatzung!$F$11:$F$22="x")),1))),(IF(COUNTIF(J63:U63,"x")=0,IF(Besatzung!$B$22&lt;&gt;"",1,0),(U63="x"))*(G63-IFERROR(H63,0))/IFERROR(IF(COUNTIF(J63:U63,"x")=0,COUNTA(Besatzung!$B$11:$B$22),COUNTIF(J63:U63,"x")),1)+IF(COUNTIF(J63:U63,"x")=0,(Besatzung!$F$22="x"),(U63="x")*(Besatzung!$F$22="x"))*IFERROR(H63,0)/IFERROR(IF(COUNTIF(J63:U63,"x")=0,SUMPRODUCT((Besatzung!$B$11:$B$22&lt;&gt;"")*(Besatzung!$F$11:$F$22="x")),SUMPRODUCT((J63:U63="x")*(Besatzung!$F$11:$F$22="x"))),1))))),0))))</f>
        <v/>
      </c>
      <c r="AH63" s="107" t="n"/>
      <c r="AI63" s="107" t="n"/>
    </row>
    <row r="64" ht="21.75" customHeight="1" s="182">
      <c r="A64" s="97">
        <f>IF(AND(D64="",C64=""),"",61)</f>
        <v/>
      </c>
      <c r="B64" s="56" t="n"/>
      <c r="C64" s="98" t="n"/>
      <c r="D64" s="99" t="n"/>
      <c r="E64" s="100" t="n"/>
      <c r="F64" s="101" t="n"/>
      <c r="G64" s="102" t="n"/>
      <c r="H64" s="103" t="n"/>
      <c r="I64" s="104" t="n"/>
      <c r="J64" s="105" t="n"/>
      <c r="K64" s="105" t="n"/>
      <c r="L64" s="105" t="n"/>
      <c r="M64" s="105" t="n"/>
      <c r="N64" s="105" t="n"/>
      <c r="O64" s="105" t="n"/>
      <c r="P64" s="105" t="n"/>
      <c r="Q64" s="105" t="n"/>
      <c r="R64" s="105" t="n"/>
      <c r="S64" s="105" t="n"/>
      <c r="T64" s="105" t="n"/>
      <c r="U64" s="105" t="n"/>
      <c r="V64" s="106">
        <f>IF(C64="Gutschrift","",IF(G64="","",IF(Besatzung!$B$11="","",IFERROR(IF(I64="Zeitanteilig",(Besatzung!$G$11*(G64-IFERROR(H64,0))+((Besatzung!$B$11&lt;&gt;"")*IF(B64="",1,(IF(Besatzung!$C$11="",Besatzung!$B$5,Besatzung!$C$11)&lt;=B64)*(IF(Besatzung!$D$11="",Besatzung!$B$6,Besatzung!$D$11)&gt;=B64)))*(Besatzung!$F$11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$11&lt;&gt;"")*IF(B64="",1,(IF(Besatzung!$C$11="",Besatzung!$B$5,Besatzung!$C$11)&lt;=B64)*(IF(Besatzung!$D$11="",Besatzung!$B$6,Besatzung!$D$11)&gt;=B64)))*((G64-IFERROR(H64,0))/IFERROR(SUMPRODUCT((Besatzung!$B$11:$B$22&lt;&gt;"")*(IF(Besatzung!$C$11:$C$22="",Besatzung!$B$5,Besatzung!$C$11:$C$22)&lt;=B64)*(IF(Besatzung!$D$11:$D$22="",Besatzung!$B$6,Besatzung!$D$11:$D$22)&gt;=B64)),1)+(Besatzung!$F$11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J64="x")*((G64-IFERROR(H64,0))/IFERROR(COUNTIF(J64:U64,"x"),1)+(Besatzung!$F$11="x")*IFERROR(H64,0)/IFERROR(SUMPRODUCT((J64:U64="x")*(Besatzung!$F$11:$F$22="x")),1))),(IF(COUNTIF(J64:U64,"x")=0,IF(Besatzung!$B$11&lt;&gt;"",1,0),(J64="x"))*(G64-IFERROR(H64,0))/IFERROR(IF(COUNTIF(J64:U64,"x")=0,COUNTA(Besatzung!$B$11:$B$22),COUNTIF(J64:U64,"x")),1)+IF(COUNTIF(J64:U64,"x")=0,(Besatzung!$F$11="x"),(J64="x")*(Besatzung!$F$11="x"))*IFERROR(H64,0)/IFERROR(IF(COUNTIF(J64:U64,"x")=0,SUMPRODUCT((Besatzung!$B$11:$B$22&lt;&gt;"")*(Besatzung!$F$11:$F$22="x")),SUMPRODUCT((J64:U64="x")*(Besatzung!$F$11:$F$22="x"))),1))))),0))))</f>
        <v/>
      </c>
      <c r="W64" s="106">
        <f>IF(C64="Gutschrift","",IF(G64="","",IF(Besatzung!$B$12="","",IFERROR(IF(I64="Zeitanteilig",(Besatzung!$G$12*(G64-IFERROR(H64,0))+((Besatzung!$B$12&lt;&gt;"")*IF(B64="",1,(IF(Besatzung!$C$12="",Besatzung!$B$5,Besatzung!$C$12)&lt;=B64)*(IF(Besatzung!$D$12="",Besatzung!$B$6,Besatzung!$D$12)&gt;=B64)))*(Besatzung!$F$12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$12&lt;&gt;"")*IF(B64="",1,(IF(Besatzung!$C$12="",Besatzung!$B$5,Besatzung!$C$12)&lt;=B64)*(IF(Besatzung!$D$12="",Besatzung!$B$6,Besatzung!$D$12)&gt;=B64)))*((G64-IFERROR(H64,0))/IFERROR(SUMPRODUCT((Besatzung!$B$11:$B$22&lt;&gt;"")*(IF(Besatzung!$C$11:$C$22="",Besatzung!$B$5,Besatzung!$C$11:$C$22)&lt;=B64)*(IF(Besatzung!$D$11:$D$22="",Besatzung!$B$6,Besatzung!$D$11:$D$22)&gt;=B64)),1)+(Besatzung!$F$12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K64="x")*((G64-IFERROR(H64,0))/IFERROR(COUNTIF(J64:U64,"x"),1)+(Besatzung!$F$12="x")*IFERROR(H64,0)/IFERROR(SUMPRODUCT((J64:U64="x")*(Besatzung!$F$11:$F$22="x")),1))),(IF(COUNTIF(J64:U64,"x")=0,IF(Besatzung!$B$12&lt;&gt;"",1,0),(K64="x"))*(G64-IFERROR(H64,0))/IFERROR(IF(COUNTIF(J64:U64,"x")=0,COUNTA(Besatzung!$B$11:$B$22),COUNTIF(J64:U64,"x")),1)+IF(COUNTIF(J64:U64,"x")=0,(Besatzung!$F$12="x"),(K64="x")*(Besatzung!$F$12="x"))*IFERROR(H64,0)/IFERROR(IF(COUNTIF(J64:U64,"x")=0,SUMPRODUCT((Besatzung!$B$11:$B$22&lt;&gt;"")*(Besatzung!$F$11:$F$22="x")),SUMPRODUCT((J64:U64="x")*(Besatzung!$F$11:$F$22="x"))),1))))),0))))</f>
        <v/>
      </c>
      <c r="X64" s="106">
        <f>IF(C64="Gutschrift","",IF(G64="","",IF(Besatzung!$B$13="","",IFERROR(IF(I64="Zeitanteilig",(Besatzung!$G$13*(G64-IFERROR(H64,0))+((Besatzung!$B$13&lt;&gt;"")*IF(B64="",1,(IF(Besatzung!$C$13="",Besatzung!$B$5,Besatzung!$C$13)&lt;=B64)*(IF(Besatzung!$D$13="",Besatzung!$B$6,Besatzung!$D$13)&gt;=B64)))*(Besatzung!$F$13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$13&lt;&gt;"")*IF(B64="",1,(IF(Besatzung!$C$13="",Besatzung!$B$5,Besatzung!$C$13)&lt;=B64)*(IF(Besatzung!$D$13="",Besatzung!$B$6,Besatzung!$D$13)&gt;=B64)))*((G64-IFERROR(H64,0))/IFERROR(SUMPRODUCT((Besatzung!$B$11:$B$22&lt;&gt;"")*(IF(Besatzung!$C$11:$C$22="",Besatzung!$B$5,Besatzung!$C$11:$C$22)&lt;=B64)*(IF(Besatzung!$D$11:$D$22="",Besatzung!$B$6,Besatzung!$D$11:$D$22)&gt;=B64)),1)+(Besatzung!$F$13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K64="x")*((G64-IFERROR(H64,0))/IFERROR(COUNTIF(J64:U64,"x"),1)+(Besatzung!$F$13="x")*IFERROR(H64,0)/IFERROR(SUMPRODUCT((J64:U64="x")*(Besatzung!$F$11:$F$22="x")),1))),(IF(COUNTIF(J64:U64,"x")=0,IF(Besatzung!$B$13&lt;&gt;"",1,0),(K64="x"))*(G64-IFERROR(H64,0))/IFERROR(IF(COUNTIF(J64:U64,"x")=0,COUNTA(Besatzung!$B$11:$B$22),COUNTIF(J64:U64,"x")),1)+IF(COUNTIF(J64:U64,"x")=0,(Besatzung!$F$13="x"),(K64="x")*(Besatzung!$F$13="x"))*IFERROR(H64,0)/IFERROR(IF(COUNTIF(J64:U64,"x")=0,SUMPRODUCT((Besatzung!$B$11:$B$22&lt;&gt;"")*(Besatzung!$F$11:$F$22="x")),SUMPRODUCT((J64:U64="x")*(Besatzung!$F$11:$F$22="x"))),1))))),0))))</f>
        <v/>
      </c>
      <c r="Y64" s="106">
        <f>IF(C64="Gutschrift","",IF(G64="","",IF(Besatzung!$B$14="","",IFERROR(IF(I64="Zeitanteilig",(Besatzung!$G$14*(G64-IFERROR(H64,0))+((Besatzung!$B$14&lt;&gt;"")*IF(B64="",1,(IF(Besatzung!$C$14="",Besatzung!$B$5,Besatzung!$C$14)&lt;=B64)*(IF(Besatzung!$D$14="",Besatzung!$B$6,Besatzung!$D$14)&gt;=B64)))*(Besatzung!$F$14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$14&lt;&gt;"")*IF(B64="",1,(IF(Besatzung!$C$14="",Besatzung!$B$5,Besatzung!$C$14)&lt;=B64)*(IF(Besatzung!$D$14="",Besatzung!$B$6,Besatzung!$D$14)&gt;=B64)))*((G64-IFERROR(H64,0))/IFERROR(SUMPRODUCT((Besatzung!$B$11:$B$22&lt;&gt;"")*(IF(Besatzung!$C$11:$C$22="",Besatzung!$B$5,Besatzung!$C$11:$C$22)&lt;=B64)*(IF(Besatzung!$D$11:$D$22="",Besatzung!$B$6,Besatzung!$D$11:$D$22)&gt;=B64)),1)+(Besatzung!$F$14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M64="x")*((G64-IFERROR(H64,0))/IFERROR(COUNTIF(J64:U64,"x"),1)+(Besatzung!$F$14="x")*IFERROR(H64,0)/IFERROR(SUMPRODUCT((J64:U64="x")*(Besatzung!$F$11:$F$22="x")),1))),(IF(COUNTIF(J64:U64,"x")=0,IF(Besatzung!$B$14&lt;&gt;"",1,0),(M64="x"))*(G64-IFERROR(H64,0))/IFERROR(IF(COUNTIF(J64:U64,"x")=0,COUNTA(Besatzung!$B$11:$B$22),COUNTIF(J64:U64,"x")),1)+IF(COUNTIF(J64:U64,"x")=0,(Besatzung!$F$14="x"),(M64="x")*(Besatzung!$F$14="x"))*IFERROR(H64,0)/IFERROR(IF(COUNTIF(J64:U64,"x")=0,SUMPRODUCT((Besatzung!$B$11:$B$22&lt;&gt;"")*(Besatzung!$F$11:$F$22="x")),SUMPRODUCT((J64:U64="x")*(Besatzung!$F$11:$F$22="x"))),1))))),0))))</f>
        <v/>
      </c>
      <c r="Z64" s="106">
        <f>IF(C64="Gutschrift","",IF(G64="","",IF(Besatzung!$B$13="","",IFERROR(IF(I64="Zeitanteilig",(Besatzung!$G$15*(G64-IFERROR(H64,0))+((Besatzung!$B$13&lt;&gt;"")*IF(B64="",1,(IF(Besatzung!$C$15="",Besatzung!$B$5,Besatzung!$C$15)&lt;=B64)*(IF(Besatzung!$D$15="",Besatzung!$B$6,Besatzung!$D$15)&gt;=B64)))*(Besatzung!$F$15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$13&lt;&gt;"")*IF(B64="",1,(IF(Besatzung!$C$15="",Besatzung!$B$5,Besatzung!$C$15)&lt;=B64)*(IF(Besatzung!$D$15="",Besatzung!$B$6,Besatzung!$D$15)&gt;=B64)))*((G64-IFERROR(H64,0))/IFERROR(SUMPRODUCT((Besatzung!$B$11:$B$22&lt;&gt;"")*(IF(Besatzung!$C$11:$C$22="",Besatzung!$B$5,Besatzung!$C$11:$C$22)&lt;=B64)*(IF(Besatzung!$D$11:$D$22="",Besatzung!$B$6,Besatzung!$D$11:$D$22)&gt;=B64)),1)+(Besatzung!$F$15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N64="x")*((G64-IFERROR(H64,0))/IFERROR(COUNTIF(J64:U64,"x"),1)+(Besatzung!$F$15="x")*IFERROR(H64,0)/IFERROR(SUMPRODUCT((J64:U64="x")*(Besatzung!$F$11:$F$22="x")),1))),(IF(COUNTIF(J64:U64,"x")=0,IF(Besatzung!$B$13&lt;&gt;"",1,0),(N64="x"))*(G64-IFERROR(H64,0))/IFERROR(IF(COUNTIF(J64:U64,"x")=0,COUNTA(Besatzung!$B$11:$B$22),COUNTIF(J64:U64,"x")),1)+IF(COUNTIF(J64:U64,"x")=0,(Besatzung!$F$15="x"),(N64="x")*(Besatzung!$F$15="x"))*IFERROR(H64,0)/IFERROR(IF(COUNTIF(J64:U64,"x")=0,SUMPRODUCT((Besatzung!$B$11:$B$22&lt;&gt;"")*(Besatzung!$F$11:$F$22="x")),SUMPRODUCT((J64:U64="x")*(Besatzung!$F$11:$F$22="x"))),1))))),0))))</f>
        <v/>
      </c>
      <c r="AA64" s="106">
        <f>IF(C64="Gutschrift","",IF(G64="","",IF(Besatzung!$B$15="","",IFERROR(IF(I64="Zeitanteilig",(Besatzung!$G$16*(G64-IFERROR(H64,0))+((Besatzung!$B$15&lt;&gt;"")*IF(B64="",1,(IF(Besatzung!$C$16="",Besatzung!$B$5,Besatzung!$C$16)&lt;=B64)*(IF(Besatzung!$D$16="",Besatzung!$B$6,Besatzung!$D$16)&gt;=B64)))*(Besatzung!$F$16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$15&lt;&gt;"")*IF(B64="",1,(IF(Besatzung!$C$16="",Besatzung!$B$5,Besatzung!$C$16)&lt;=B64)*(IF(Besatzung!$D$16="",Besatzung!$B$6,Besatzung!$D$16)&gt;=B64)))*((G64-IFERROR(H64,0))/IFERROR(SUMPRODUCT((Besatzung!$B$11:$B$22&lt;&gt;"")*(IF(Besatzung!$C$11:$C$22="",Besatzung!$B$5,Besatzung!$C$11:$C$22)&lt;=B64)*(IF(Besatzung!$D$11:$D$22="",Besatzung!$B$6,Besatzung!$D$11:$D$22)&gt;=B64)),1)+(Besatzung!$F$16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O64="x")*((G64-IFERROR(H64,0))/IFERROR(COUNTIF(J64:U64,"x"),1)+(Besatzung!$F$16="x")*IFERROR(H64,0)/IFERROR(SUMPRODUCT((J64:U64="x")*(Besatzung!$F$11:$F$22="x")),1))),(IF(COUNTIF(J64:U64,"x")=0,IF(Besatzung!$B$15&lt;&gt;"",1,0),(O64="x"))*(G64-IFERROR(H64,0))/IFERROR(IF(COUNTIF(J64:U64,"x")=0,COUNTA(Besatzung!$B$11:$B$22),COUNTIF(J64:U64,"x")),1)+IF(COUNTIF(J64:U64,"x")=0,(Besatzung!$F$16="x"),(O64="x")*(Besatzung!$F$16="x"))*IFERROR(H64,0)/IFERROR(IF(COUNTIF(J64:U64,"x")=0,SUMPRODUCT((Besatzung!$B$11:$B$22&lt;&gt;"")*(Besatzung!$F$11:$F$22="x")),SUMPRODUCT((J64:U64="x")*(Besatzung!$F$11:$F$22="x"))),1))))),0))))</f>
        <v/>
      </c>
      <c r="AB64" s="106">
        <f>IF(C64="Gutschrift","",IF(G64="","",IF(Besatzung!$B$17="","",IFERROR(IF(I64="Zeitanteilig",(Besatzung!$G$17*(G64-IFERROR(H64,0))+((Besatzung!$B$17&lt;&gt;"")*IF(B64="",1,(IF(Besatzung!$C$17="",Besatzung!$B$5,Besatzung!$C$17)&lt;=B64)*(IF(Besatzung!$D$17="",Besatzung!$B$6,Besatzung!$D$17)&gt;=B64)))*(Besatzung!$F$17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$17&lt;&gt;"")*IF(B64="",1,(IF(Besatzung!$C$17="",Besatzung!$B$5,Besatzung!$C$17)&lt;=B64)*(IF(Besatzung!$D$17="",Besatzung!$B$6,Besatzung!$D$17)&gt;=B64)))*((G64-IFERROR(H64,0))/IFERROR(SUMPRODUCT((Besatzung!$B$11:$B$22&lt;&gt;"")*(IF(Besatzung!$C$11:$C$22="",Besatzung!$B$5,Besatzung!$C$11:$C$22)&lt;=B64)*(IF(Besatzung!$D$11:$D$22="",Besatzung!$B$6,Besatzung!$D$11:$D$22)&gt;=B64)),1)+(Besatzung!$F$17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P64="x")*((G64-IFERROR(H64,0))/IFERROR(COUNTIF(J64:U64,"x"),1)+(Besatzung!$F$17="x")*IFERROR(H64,0)/IFERROR(SUMPRODUCT((J64:U64="x")*(Besatzung!$F$11:$F$22="x")),1))),(IF(COUNTIF(J64:U64,"x")=0,IF(Besatzung!$B$17&lt;&gt;"",1,0),(P64="x"))*(G64-IFERROR(H64,0))/IFERROR(IF(COUNTIF(J64:U64,"x")=0,COUNTA(Besatzung!$B$11:$B$22),COUNTIF(J64:U64,"x")),1)+IF(COUNTIF(J64:U64,"x")=0,(Besatzung!$F$17="x"),(P64="x")*(Besatzung!$F$17="x"))*IFERROR(H64,0)/IFERROR(IF(COUNTIF(J64:U64,"x")=0,SUMPRODUCT((Besatzung!$B$11:$B$22&lt;&gt;"")*(Besatzung!$F$11:$F$22="x")),SUMPRODUCT((J64:U64="x")*(Besatzung!$F$11:$F$22="x"))),1))))),0))))</f>
        <v/>
      </c>
      <c r="AC64" s="106">
        <f>IF(C64="Gutschrift","",IF(G64="","",IF(Besatzung!$B$18="","",IFERROR(IF(I64="Zeitanteilig",(Besatzung!$G$18*(G64-IFERROR(H64,0))+((Besatzung!$B$18&lt;&gt;"")*IF(B64="",1,(IF(Besatzung!$C$18="",Besatzung!$B$5,Besatzung!$C$18)&lt;=B64)*(IF(Besatzung!$D$18="",Besatzung!$B$6,Besatzung!$D$18)&gt;=B64)))*(Besatzung!$F$18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$18&lt;&gt;"")*IF(B64="",1,(IF(Besatzung!$C$18="",Besatzung!$B$5,Besatzung!$C$18)&lt;=B64)*(IF(Besatzung!$D$18="",Besatzung!$B$6,Besatzung!$D$18)&gt;=B64)))*((G64-IFERROR(H64,0))/IFERROR(SUMPRODUCT((Besatzung!$B$11:$B$22&lt;&gt;"")*(IF(Besatzung!$C$11:$C$22="",Besatzung!$B$5,Besatzung!$C$11:$C$22)&lt;=B64)*(IF(Besatzung!$D$11:$D$22="",Besatzung!$B$6,Besatzung!$D$11:$D$22)&gt;=B64)),1)+(Besatzung!$F$18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Q64="x")*((G64-IFERROR(H64,0))/IFERROR(COUNTIF(J64:U64,"x"),1)+(Besatzung!$F$18="x")*IFERROR(H64,0)/IFERROR(SUMPRODUCT((J64:U64="x")*(Besatzung!$F$11:$F$22="x")),1))),(IF(COUNTIF(J64:U64,"x")=0,IF(Besatzung!$B$18&lt;&gt;"",1,0),(Q64="x"))*(G64-IFERROR(H64,0))/IFERROR(IF(COUNTIF(J64:U64,"x")=0,COUNTA(Besatzung!$B$11:$B$22),COUNTIF(J64:U64,"x")),1)+IF(COUNTIF(J64:U64,"x")=0,(Besatzung!$F$18="x"),(Q64="x")*(Besatzung!$F$18="x"))*IFERROR(H64,0)/IFERROR(IF(COUNTIF(J64:U64,"x")=0,SUMPRODUCT((Besatzung!$B$11:$B$22&lt;&gt;"")*(Besatzung!$F$11:$F$22="x")),SUMPRODUCT((J64:U64="x")*(Besatzung!$F$11:$F$22="x"))),1))))),0))))</f>
        <v/>
      </c>
      <c r="AD64" s="106">
        <f>IF(C64="Gutschrift","",IF(G64="","",IF(Besatzung!$B$19="","",IFERROR(IF(I64="Zeitanteilig",(Besatzung!$G$19*(G64-IFERROR(H64,0))+((Besatzung!$B$19&lt;&gt;"")*IF(B64="",1,(IF(Besatzung!$C$19="",Besatzung!$B$5,Besatzung!$C$19)&lt;=B64)*(IF(Besatzung!$D$19="",Besatzung!$B$6,Besatzung!$D$19)&gt;=B64)))*(Besatzung!$F$19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$19&lt;&gt;"")*IF(B64="",1,(IF(Besatzung!$C$19="",Besatzung!$B$5,Besatzung!$C$19)&lt;=B64)*(IF(Besatzung!$D$19="",Besatzung!$B$6,Besatzung!$D$19)&gt;=B64)))*((G64-IFERROR(H64,0))/IFERROR(SUMPRODUCT((Besatzung!$B$11:$B$22&lt;&gt;"")*(IF(Besatzung!$C$11:$C$22="",Besatzung!$B$5,Besatzung!$C$11:$C$22)&lt;=B64)*(IF(Besatzung!$D$11:$D$22="",Besatzung!$B$6,Besatzung!$D$11:$D$22)&gt;=B64)),1)+(Besatzung!$F$19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R64="x")*((G64-IFERROR(H64,0))/IFERROR(COUNTIF(J64:U64,"x"),1)+(Besatzung!$F$19="x")*IFERROR(H64,0)/IFERROR(SUMPRODUCT((J64:U64="x")*(Besatzung!$F$11:$F$22="x")),1))),(IF(COUNTIF(J64:U64,"x")=0,IF(Besatzung!$B$19&lt;&gt;"",1,0),(R64="x"))*(G64-IFERROR(H64,0))/IFERROR(IF(COUNTIF(J64:U64,"x")=0,COUNTA(Besatzung!$B$11:$B$22),COUNTIF(J64:U64,"x")),1)+IF(COUNTIF(J64:U64,"x")=0,(Besatzung!$F$19="x"),(R64="x")*(Besatzung!$F$19="x"))*IFERROR(H64,0)/IFERROR(IF(COUNTIF(J64:U64,"x")=0,SUMPRODUCT((Besatzung!$B$11:$B$22&lt;&gt;"")*(Besatzung!$F$11:$F$22="x")),SUMPRODUCT((J64:U64="x")*(Besatzung!$F$11:$F$22="x"))),1))))),0))))</f>
        <v/>
      </c>
      <c r="AE64" s="106">
        <f>IF(C64="Gutschrift","",IF(G64="","",IF(Besatzung!$B$20="","",IFERROR(IF(I64="Zeitanteilig",(Besatzung!$G$20*(G64-IFERROR(H64,0))+((Besatzung!$B$20&lt;&gt;"")*IF(B64="",1,(IF(Besatzung!$C$20="",Besatzung!$B$5,Besatzung!$C$20)&lt;=B64)*(IF(Besatzung!$D$20="",Besatzung!$B$6,Besatzung!$D$20)&gt;=B64)))*(Besatzung!$F$20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$20&lt;&gt;"")*IF(B64="",1,(IF(Besatzung!$C$20="",Besatzung!$B$5,Besatzung!$C$20)&lt;=B64)*(IF(Besatzung!$D$20="",Besatzung!$B$6,Besatzung!$D$20)&gt;=B64)))*((G64-IFERROR(H64,0))/IFERROR(SUMPRODUCT((Besatzung!$B$11:$B$22&lt;&gt;"")*(IF(Besatzung!$C$11:$C$22="",Besatzung!$B$5,Besatzung!$C$11:$C$22)&lt;=B64)*(IF(Besatzung!$D$11:$D$22="",Besatzung!$B$6,Besatzung!$D$11:$D$22)&gt;=B64)),1)+(Besatzung!$F$20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S64="x")*((G64-IFERROR(H64,0))/IFERROR(COUNTIF(J64:U64,"x"),1)+(Besatzung!$F$20="x")*IFERROR(H64,0)/IFERROR(SUMPRODUCT((J64:U64="x")*(Besatzung!$F$11:$F$22="x")),1))),(IF(COUNTIF(J64:U64,"x")=0,IF(Besatzung!$B$20&lt;&gt;"",1,0),(S64="x"))*(G64-IFERROR(H64,0))/IFERROR(IF(COUNTIF(J64:U64,"x")=0,COUNTA(Besatzung!$B$11:$B$22),COUNTIF(J64:U64,"x")),1)+IF(COUNTIF(J64:U64,"x")=0,(Besatzung!$F$20="x"),(S64="x")*(Besatzung!$F$20="x"))*IFERROR(H64,0)/IFERROR(IF(COUNTIF(J64:U64,"x")=0,SUMPRODUCT((Besatzung!$B$11:$B$22&lt;&gt;"")*(Besatzung!$F$11:$F$22="x")),SUMPRODUCT((J64:U64="x")*(Besatzung!$F$11:$F$22="x"))),1))))),0))))</f>
        <v/>
      </c>
      <c r="AF64" s="106">
        <f>IF(C64="Gutschrift","",IF(G64="","",IF(Besatzung!$B$21="","",IFERROR(IF(I64="Zeitanteilig",(Besatzung!$G$21*(G64-IFERROR(H64,0))+((Besatzung!$B$21&lt;&gt;"")*IF(B64="",1,(IF(Besatzung!$C$21="",Besatzung!$B$5,Besatzung!$C$21)&lt;=B64)*(IF(Besatzung!$D$21="",Besatzung!$B$6,Besatzung!$D$21)&gt;=B64)))*(Besatzung!$F$21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$21&lt;&gt;"")*IF(B64="",1,(IF(Besatzung!$C$21="",Besatzung!$B$5,Besatzung!$C$21)&lt;=B64)*(IF(Besatzung!$D$21="",Besatzung!$B$6,Besatzung!$D$21)&gt;=B64)))*((G64-IFERROR(H64,0))/IFERROR(SUMPRODUCT((Besatzung!$B$11:$B$22&lt;&gt;"")*(IF(Besatzung!$C$11:$C$22="",Besatzung!$B$5,Besatzung!$C$11:$C$22)&lt;=B64)*(IF(Besatzung!$D$11:$D$22="",Besatzung!$B$6,Besatzung!$D$11:$D$22)&gt;=B64)),1)+(Besatzung!$F$21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T64="x")*((G64-IFERROR(H64,0))/IFERROR(COUNTIF(J64:U64,"x"),1)+(Besatzung!$F$21="x")*IFERROR(H64,0)/IFERROR(SUMPRODUCT((J64:U64="x")*(Besatzung!$F$11:$F$22="x")),1))),(IF(COUNTIF(J64:U64,"x")=0,IF(Besatzung!$B$21&lt;&gt;"",1,0),(T64="x"))*(G64-IFERROR(H64,0))/IFERROR(IF(COUNTIF(J64:U64,"x")=0,COUNTA(Besatzung!$B$11:$B$22),COUNTIF(J64:U64,"x")),1)+IF(COUNTIF(J64:U64,"x")=0,(Besatzung!$F$21="x"),(T64="x")*(Besatzung!$F$21="x"))*IFERROR(H64,0)/IFERROR(IF(COUNTIF(J64:U64,"x")=0,SUMPRODUCT((Besatzung!$B$11:$B$22&lt;&gt;"")*(Besatzung!$F$11:$F$22="x")),SUMPRODUCT((J64:U64="x")*(Besatzung!$F$11:$F$22="x"))),1))))),0))))</f>
        <v/>
      </c>
      <c r="AG64" s="106">
        <f>IF(C64="Gutschrift","",IF(G64="","",IF(Besatzung!$B$22="","",IFERROR(IF(I64="Zeitanteilig",(Besatzung!$G$22*(G64-IFERROR(H64,0))+((Besatzung!$B$22&lt;&gt;"")*IF(B64="",1,(IF(Besatzung!$C$22="",Besatzung!$B$5,Besatzung!$C$22)&lt;=B64)*(IF(Besatzung!$D$22="",Besatzung!$B$6,Besatzung!$D$22)&gt;=B64)))*(Besatzung!$F$22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$22&lt;&gt;"")*IF(B64="",1,(IF(Besatzung!$C$22="",Besatzung!$B$5,Besatzung!$C$22)&lt;=B64)*(IF(Besatzung!$D$22="",Besatzung!$B$6,Besatzung!$D$22)&gt;=B64)))*((G64-IFERROR(H64,0))/IFERROR(SUMPRODUCT((Besatzung!$B$11:$B$22&lt;&gt;"")*(IF(Besatzung!$C$11:$C$22="",Besatzung!$B$5,Besatzung!$C$11:$C$22)&lt;=B64)*(IF(Besatzung!$D$11:$D$22="",Besatzung!$B$6,Besatzung!$D$11:$D$22)&gt;=B64)),1)+(Besatzung!$F$22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U64="x")*((G64-IFERROR(H64,0))/IFERROR(COUNTIF(J64:U64,"x"),1)+(Besatzung!$F$22="x")*IFERROR(H64,0)/IFERROR(SUMPRODUCT((J64:U64="x")*(Besatzung!$F$11:$F$22="x")),1))),(IF(COUNTIF(J64:U64,"x")=0,IF(Besatzung!$B$22&lt;&gt;"",1,0),(U64="x"))*(G64-IFERROR(H64,0))/IFERROR(IF(COUNTIF(J64:U64,"x")=0,COUNTA(Besatzung!$B$11:$B$22),COUNTIF(J64:U64,"x")),1)+IF(COUNTIF(J64:U64,"x")=0,(Besatzung!$F$22="x"),(U64="x")*(Besatzung!$F$22="x"))*IFERROR(H64,0)/IFERROR(IF(COUNTIF(J64:U64,"x")=0,SUMPRODUCT((Besatzung!$B$11:$B$22&lt;&gt;"")*(Besatzung!$F$11:$F$22="x")),SUMPRODUCT((J64:U64="x")*(Besatzung!$F$11:$F$22="x"))),1))))),0))))</f>
        <v/>
      </c>
      <c r="AH64" s="107" t="n"/>
      <c r="AI64" s="107" t="n"/>
    </row>
    <row r="65" ht="21.75" customHeight="1" s="182">
      <c r="A65" s="97">
        <f>IF(AND(D65="",C65=""),"",62)</f>
        <v/>
      </c>
      <c r="B65" s="63" t="n"/>
      <c r="C65" s="108" t="n"/>
      <c r="D65" s="109" t="n"/>
      <c r="E65" s="110" t="n"/>
      <c r="F65" s="111" t="n"/>
      <c r="G65" s="112" t="n"/>
      <c r="H65" s="113" t="n"/>
      <c r="I65" s="114" t="n"/>
      <c r="J65" s="115" t="n"/>
      <c r="K65" s="115" t="n"/>
      <c r="L65" s="115" t="n"/>
      <c r="M65" s="115" t="n"/>
      <c r="N65" s="115" t="n"/>
      <c r="O65" s="115" t="n"/>
      <c r="P65" s="115" t="n"/>
      <c r="Q65" s="115" t="n"/>
      <c r="R65" s="115" t="n"/>
      <c r="S65" s="115" t="n"/>
      <c r="T65" s="115" t="n"/>
      <c r="U65" s="115" t="n"/>
      <c r="V65" s="106">
        <f>IF(C65="Gutschrift","",IF(G65="","",IF(Besatzung!$B$11="","",IFERROR(IF(I65="Zeitanteilig",(Besatzung!$G$11*(G65-IFERROR(H65,0))+((Besatzung!$B$11&lt;&gt;"")*IF(B65="",1,(IF(Besatzung!$C$11="",Besatzung!$B$5,Besatzung!$C$11)&lt;=B65)*(IF(Besatzung!$D$11="",Besatzung!$B$6,Besatzung!$D$11)&gt;=B65)))*(Besatzung!$F$11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$11&lt;&gt;"")*IF(B65="",1,(IF(Besatzung!$C$11="",Besatzung!$B$5,Besatzung!$C$11)&lt;=B65)*(IF(Besatzung!$D$11="",Besatzung!$B$6,Besatzung!$D$11)&gt;=B65)))*((G65-IFERROR(H65,0))/IFERROR(SUMPRODUCT((Besatzung!$B$11:$B$22&lt;&gt;"")*(IF(Besatzung!$C$11:$C$22="",Besatzung!$B$5,Besatzung!$C$11:$C$22)&lt;=B65)*(IF(Besatzung!$D$11:$D$22="",Besatzung!$B$6,Besatzung!$D$11:$D$22)&gt;=B65)),1)+(Besatzung!$F$11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J65="x")*((G65-IFERROR(H65,0))/IFERROR(COUNTIF(J65:U65,"x"),1)+(Besatzung!$F$11="x")*IFERROR(H65,0)/IFERROR(SUMPRODUCT((J65:U65="x")*(Besatzung!$F$11:$F$22="x")),1))),(IF(COUNTIF(J65:U65,"x")=0,IF(Besatzung!$B$11&lt;&gt;"",1,0),(J65="x"))*(G65-IFERROR(H65,0))/IFERROR(IF(COUNTIF(J65:U65,"x")=0,COUNTA(Besatzung!$B$11:$B$22),COUNTIF(J65:U65,"x")),1)+IF(COUNTIF(J65:U65,"x")=0,(Besatzung!$F$11="x"),(J65="x")*(Besatzung!$F$11="x"))*IFERROR(H65,0)/IFERROR(IF(COUNTIF(J65:U65,"x")=0,SUMPRODUCT((Besatzung!$B$11:$B$22&lt;&gt;"")*(Besatzung!$F$11:$F$22="x")),SUMPRODUCT((J65:U65="x")*(Besatzung!$F$11:$F$22="x"))),1))))),0))))</f>
        <v/>
      </c>
      <c r="W65" s="106">
        <f>IF(C65="Gutschrift","",IF(G65="","",IF(Besatzung!$B$12="","",IFERROR(IF(I65="Zeitanteilig",(Besatzung!$G$12*(G65-IFERROR(H65,0))+((Besatzung!$B$12&lt;&gt;"")*IF(B65="",1,(IF(Besatzung!$C$12="",Besatzung!$B$5,Besatzung!$C$12)&lt;=B65)*(IF(Besatzung!$D$12="",Besatzung!$B$6,Besatzung!$D$12)&gt;=B65)))*(Besatzung!$F$12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$12&lt;&gt;"")*IF(B65="",1,(IF(Besatzung!$C$12="",Besatzung!$B$5,Besatzung!$C$12)&lt;=B65)*(IF(Besatzung!$D$12="",Besatzung!$B$6,Besatzung!$D$12)&gt;=B65)))*((G65-IFERROR(H65,0))/IFERROR(SUMPRODUCT((Besatzung!$B$11:$B$22&lt;&gt;"")*(IF(Besatzung!$C$11:$C$22="",Besatzung!$B$5,Besatzung!$C$11:$C$22)&lt;=B65)*(IF(Besatzung!$D$11:$D$22="",Besatzung!$B$6,Besatzung!$D$11:$D$22)&gt;=B65)),1)+(Besatzung!$F$12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K65="x")*((G65-IFERROR(H65,0))/IFERROR(COUNTIF(J65:U65,"x"),1)+(Besatzung!$F$12="x")*IFERROR(H65,0)/IFERROR(SUMPRODUCT((J65:U65="x")*(Besatzung!$F$11:$F$22="x")),1))),(IF(COUNTIF(J65:U65,"x")=0,IF(Besatzung!$B$12&lt;&gt;"",1,0),(K65="x"))*(G65-IFERROR(H65,0))/IFERROR(IF(COUNTIF(J65:U65,"x")=0,COUNTA(Besatzung!$B$11:$B$22),COUNTIF(J65:U65,"x")),1)+IF(COUNTIF(J65:U65,"x")=0,(Besatzung!$F$12="x"),(K65="x")*(Besatzung!$F$12="x"))*IFERROR(H65,0)/IFERROR(IF(COUNTIF(J65:U65,"x")=0,SUMPRODUCT((Besatzung!$B$11:$B$22&lt;&gt;"")*(Besatzung!$F$11:$F$22="x")),SUMPRODUCT((J65:U65="x")*(Besatzung!$F$11:$F$22="x"))),1))))),0))))</f>
        <v/>
      </c>
      <c r="X65" s="106">
        <f>IF(C65="Gutschrift","",IF(G65="","",IF(Besatzung!$B$13="","",IFERROR(IF(I65="Zeitanteilig",(Besatzung!$G$13*(G65-IFERROR(H65,0))+((Besatzung!$B$13&lt;&gt;"")*IF(B65="",1,(IF(Besatzung!$C$13="",Besatzung!$B$5,Besatzung!$C$13)&lt;=B65)*(IF(Besatzung!$D$13="",Besatzung!$B$6,Besatzung!$D$13)&gt;=B65)))*(Besatzung!$F$13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$13&lt;&gt;"")*IF(B65="",1,(IF(Besatzung!$C$13="",Besatzung!$B$5,Besatzung!$C$13)&lt;=B65)*(IF(Besatzung!$D$13="",Besatzung!$B$6,Besatzung!$D$13)&gt;=B65)))*((G65-IFERROR(H65,0))/IFERROR(SUMPRODUCT((Besatzung!$B$11:$B$22&lt;&gt;"")*(IF(Besatzung!$C$11:$C$22="",Besatzung!$B$5,Besatzung!$C$11:$C$22)&lt;=B65)*(IF(Besatzung!$D$11:$D$22="",Besatzung!$B$6,Besatzung!$D$11:$D$22)&gt;=B65)),1)+(Besatzung!$F$13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K65="x")*((G65-IFERROR(H65,0))/IFERROR(COUNTIF(J65:U65,"x"),1)+(Besatzung!$F$13="x")*IFERROR(H65,0)/IFERROR(SUMPRODUCT((J65:U65="x")*(Besatzung!$F$11:$F$22="x")),1))),(IF(COUNTIF(J65:U65,"x")=0,IF(Besatzung!$B$13&lt;&gt;"",1,0),(K65="x"))*(G65-IFERROR(H65,0))/IFERROR(IF(COUNTIF(J65:U65,"x")=0,COUNTA(Besatzung!$B$11:$B$22),COUNTIF(J65:U65,"x")),1)+IF(COUNTIF(J65:U65,"x")=0,(Besatzung!$F$13="x"),(K65="x")*(Besatzung!$F$13="x"))*IFERROR(H65,0)/IFERROR(IF(COUNTIF(J65:U65,"x")=0,SUMPRODUCT((Besatzung!$B$11:$B$22&lt;&gt;"")*(Besatzung!$F$11:$F$22="x")),SUMPRODUCT((J65:U65="x")*(Besatzung!$F$11:$F$22="x"))),1))))),0))))</f>
        <v/>
      </c>
      <c r="Y65" s="106">
        <f>IF(C65="Gutschrift","",IF(G65="","",IF(Besatzung!$B$14="","",IFERROR(IF(I65="Zeitanteilig",(Besatzung!$G$14*(G65-IFERROR(H65,0))+((Besatzung!$B$14&lt;&gt;"")*IF(B65="",1,(IF(Besatzung!$C$14="",Besatzung!$B$5,Besatzung!$C$14)&lt;=B65)*(IF(Besatzung!$D$14="",Besatzung!$B$6,Besatzung!$D$14)&gt;=B65)))*(Besatzung!$F$14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$14&lt;&gt;"")*IF(B65="",1,(IF(Besatzung!$C$14="",Besatzung!$B$5,Besatzung!$C$14)&lt;=B65)*(IF(Besatzung!$D$14="",Besatzung!$B$6,Besatzung!$D$14)&gt;=B65)))*((G65-IFERROR(H65,0))/IFERROR(SUMPRODUCT((Besatzung!$B$11:$B$22&lt;&gt;"")*(IF(Besatzung!$C$11:$C$22="",Besatzung!$B$5,Besatzung!$C$11:$C$22)&lt;=B65)*(IF(Besatzung!$D$11:$D$22="",Besatzung!$B$6,Besatzung!$D$11:$D$22)&gt;=B65)),1)+(Besatzung!$F$14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M65="x")*((G65-IFERROR(H65,0))/IFERROR(COUNTIF(J65:U65,"x"),1)+(Besatzung!$F$14="x")*IFERROR(H65,0)/IFERROR(SUMPRODUCT((J65:U65="x")*(Besatzung!$F$11:$F$22="x")),1))),(IF(COUNTIF(J65:U65,"x")=0,IF(Besatzung!$B$14&lt;&gt;"",1,0),(M65="x"))*(G65-IFERROR(H65,0))/IFERROR(IF(COUNTIF(J65:U65,"x")=0,COUNTA(Besatzung!$B$11:$B$22),COUNTIF(J65:U65,"x")),1)+IF(COUNTIF(J65:U65,"x")=0,(Besatzung!$F$14="x"),(M65="x")*(Besatzung!$F$14="x"))*IFERROR(H65,0)/IFERROR(IF(COUNTIF(J65:U65,"x")=0,SUMPRODUCT((Besatzung!$B$11:$B$22&lt;&gt;"")*(Besatzung!$F$11:$F$22="x")),SUMPRODUCT((J65:U65="x")*(Besatzung!$F$11:$F$22="x"))),1))))),0))))</f>
        <v/>
      </c>
      <c r="Z65" s="106">
        <f>IF(C65="Gutschrift","",IF(G65="","",IF(Besatzung!$B$13="","",IFERROR(IF(I65="Zeitanteilig",(Besatzung!$G$15*(G65-IFERROR(H65,0))+((Besatzung!$B$13&lt;&gt;"")*IF(B65="",1,(IF(Besatzung!$C$15="",Besatzung!$B$5,Besatzung!$C$15)&lt;=B65)*(IF(Besatzung!$D$15="",Besatzung!$B$6,Besatzung!$D$15)&gt;=B65)))*(Besatzung!$F$15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$13&lt;&gt;"")*IF(B65="",1,(IF(Besatzung!$C$15="",Besatzung!$B$5,Besatzung!$C$15)&lt;=B65)*(IF(Besatzung!$D$15="",Besatzung!$B$6,Besatzung!$D$15)&gt;=B65)))*((G65-IFERROR(H65,0))/IFERROR(SUMPRODUCT((Besatzung!$B$11:$B$22&lt;&gt;"")*(IF(Besatzung!$C$11:$C$22="",Besatzung!$B$5,Besatzung!$C$11:$C$22)&lt;=B65)*(IF(Besatzung!$D$11:$D$22="",Besatzung!$B$6,Besatzung!$D$11:$D$22)&gt;=B65)),1)+(Besatzung!$F$15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N65="x")*((G65-IFERROR(H65,0))/IFERROR(COUNTIF(J65:U65,"x"),1)+(Besatzung!$F$15="x")*IFERROR(H65,0)/IFERROR(SUMPRODUCT((J65:U65="x")*(Besatzung!$F$11:$F$22="x")),1))),(IF(COUNTIF(J65:U65,"x")=0,IF(Besatzung!$B$13&lt;&gt;"",1,0),(N65="x"))*(G65-IFERROR(H65,0))/IFERROR(IF(COUNTIF(J65:U65,"x")=0,COUNTA(Besatzung!$B$11:$B$22),COUNTIF(J65:U65,"x")),1)+IF(COUNTIF(J65:U65,"x")=0,(Besatzung!$F$15="x"),(N65="x")*(Besatzung!$F$15="x"))*IFERROR(H65,0)/IFERROR(IF(COUNTIF(J65:U65,"x")=0,SUMPRODUCT((Besatzung!$B$11:$B$22&lt;&gt;"")*(Besatzung!$F$11:$F$22="x")),SUMPRODUCT((J65:U65="x")*(Besatzung!$F$11:$F$22="x"))),1))))),0))))</f>
        <v/>
      </c>
      <c r="AA65" s="106">
        <f>IF(C65="Gutschrift","",IF(G65="","",IF(Besatzung!$B$15="","",IFERROR(IF(I65="Zeitanteilig",(Besatzung!$G$16*(G65-IFERROR(H65,0))+((Besatzung!$B$15&lt;&gt;"")*IF(B65="",1,(IF(Besatzung!$C$16="",Besatzung!$B$5,Besatzung!$C$16)&lt;=B65)*(IF(Besatzung!$D$16="",Besatzung!$B$6,Besatzung!$D$16)&gt;=B65)))*(Besatzung!$F$16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$15&lt;&gt;"")*IF(B65="",1,(IF(Besatzung!$C$16="",Besatzung!$B$5,Besatzung!$C$16)&lt;=B65)*(IF(Besatzung!$D$16="",Besatzung!$B$6,Besatzung!$D$16)&gt;=B65)))*((G65-IFERROR(H65,0))/IFERROR(SUMPRODUCT((Besatzung!$B$11:$B$22&lt;&gt;"")*(IF(Besatzung!$C$11:$C$22="",Besatzung!$B$5,Besatzung!$C$11:$C$22)&lt;=B65)*(IF(Besatzung!$D$11:$D$22="",Besatzung!$B$6,Besatzung!$D$11:$D$22)&gt;=B65)),1)+(Besatzung!$F$16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O65="x")*((G65-IFERROR(H65,0))/IFERROR(COUNTIF(J65:U65,"x"),1)+(Besatzung!$F$16="x")*IFERROR(H65,0)/IFERROR(SUMPRODUCT((J65:U65="x")*(Besatzung!$F$11:$F$22="x")),1))),(IF(COUNTIF(J65:U65,"x")=0,IF(Besatzung!$B$15&lt;&gt;"",1,0),(O65="x"))*(G65-IFERROR(H65,0))/IFERROR(IF(COUNTIF(J65:U65,"x")=0,COUNTA(Besatzung!$B$11:$B$22),COUNTIF(J65:U65,"x")),1)+IF(COUNTIF(J65:U65,"x")=0,(Besatzung!$F$16="x"),(O65="x")*(Besatzung!$F$16="x"))*IFERROR(H65,0)/IFERROR(IF(COUNTIF(J65:U65,"x")=0,SUMPRODUCT((Besatzung!$B$11:$B$22&lt;&gt;"")*(Besatzung!$F$11:$F$22="x")),SUMPRODUCT((J65:U65="x")*(Besatzung!$F$11:$F$22="x"))),1))))),0))))</f>
        <v/>
      </c>
      <c r="AB65" s="106">
        <f>IF(C65="Gutschrift","",IF(G65="","",IF(Besatzung!$B$17="","",IFERROR(IF(I65="Zeitanteilig",(Besatzung!$G$17*(G65-IFERROR(H65,0))+((Besatzung!$B$17&lt;&gt;"")*IF(B65="",1,(IF(Besatzung!$C$17="",Besatzung!$B$5,Besatzung!$C$17)&lt;=B65)*(IF(Besatzung!$D$17="",Besatzung!$B$6,Besatzung!$D$17)&gt;=B65)))*(Besatzung!$F$17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$17&lt;&gt;"")*IF(B65="",1,(IF(Besatzung!$C$17="",Besatzung!$B$5,Besatzung!$C$17)&lt;=B65)*(IF(Besatzung!$D$17="",Besatzung!$B$6,Besatzung!$D$17)&gt;=B65)))*((G65-IFERROR(H65,0))/IFERROR(SUMPRODUCT((Besatzung!$B$11:$B$22&lt;&gt;"")*(IF(Besatzung!$C$11:$C$22="",Besatzung!$B$5,Besatzung!$C$11:$C$22)&lt;=B65)*(IF(Besatzung!$D$11:$D$22="",Besatzung!$B$6,Besatzung!$D$11:$D$22)&gt;=B65)),1)+(Besatzung!$F$17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P65="x")*((G65-IFERROR(H65,0))/IFERROR(COUNTIF(J65:U65,"x"),1)+(Besatzung!$F$17="x")*IFERROR(H65,0)/IFERROR(SUMPRODUCT((J65:U65="x")*(Besatzung!$F$11:$F$22="x")),1))),(IF(COUNTIF(J65:U65,"x")=0,IF(Besatzung!$B$17&lt;&gt;"",1,0),(P65="x"))*(G65-IFERROR(H65,0))/IFERROR(IF(COUNTIF(J65:U65,"x")=0,COUNTA(Besatzung!$B$11:$B$22),COUNTIF(J65:U65,"x")),1)+IF(COUNTIF(J65:U65,"x")=0,(Besatzung!$F$17="x"),(P65="x")*(Besatzung!$F$17="x"))*IFERROR(H65,0)/IFERROR(IF(COUNTIF(J65:U65,"x")=0,SUMPRODUCT((Besatzung!$B$11:$B$22&lt;&gt;"")*(Besatzung!$F$11:$F$22="x")),SUMPRODUCT((J65:U65="x")*(Besatzung!$F$11:$F$22="x"))),1))))),0))))</f>
        <v/>
      </c>
      <c r="AC65" s="106">
        <f>IF(C65="Gutschrift","",IF(G65="","",IF(Besatzung!$B$18="","",IFERROR(IF(I65="Zeitanteilig",(Besatzung!$G$18*(G65-IFERROR(H65,0))+((Besatzung!$B$18&lt;&gt;"")*IF(B65="",1,(IF(Besatzung!$C$18="",Besatzung!$B$5,Besatzung!$C$18)&lt;=B65)*(IF(Besatzung!$D$18="",Besatzung!$B$6,Besatzung!$D$18)&gt;=B65)))*(Besatzung!$F$18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$18&lt;&gt;"")*IF(B65="",1,(IF(Besatzung!$C$18="",Besatzung!$B$5,Besatzung!$C$18)&lt;=B65)*(IF(Besatzung!$D$18="",Besatzung!$B$6,Besatzung!$D$18)&gt;=B65)))*((G65-IFERROR(H65,0))/IFERROR(SUMPRODUCT((Besatzung!$B$11:$B$22&lt;&gt;"")*(IF(Besatzung!$C$11:$C$22="",Besatzung!$B$5,Besatzung!$C$11:$C$22)&lt;=B65)*(IF(Besatzung!$D$11:$D$22="",Besatzung!$B$6,Besatzung!$D$11:$D$22)&gt;=B65)),1)+(Besatzung!$F$18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Q65="x")*((G65-IFERROR(H65,0))/IFERROR(COUNTIF(J65:U65,"x"),1)+(Besatzung!$F$18="x")*IFERROR(H65,0)/IFERROR(SUMPRODUCT((J65:U65="x")*(Besatzung!$F$11:$F$22="x")),1))),(IF(COUNTIF(J65:U65,"x")=0,IF(Besatzung!$B$18&lt;&gt;"",1,0),(Q65="x"))*(G65-IFERROR(H65,0))/IFERROR(IF(COUNTIF(J65:U65,"x")=0,COUNTA(Besatzung!$B$11:$B$22),COUNTIF(J65:U65,"x")),1)+IF(COUNTIF(J65:U65,"x")=0,(Besatzung!$F$18="x"),(Q65="x")*(Besatzung!$F$18="x"))*IFERROR(H65,0)/IFERROR(IF(COUNTIF(J65:U65,"x")=0,SUMPRODUCT((Besatzung!$B$11:$B$22&lt;&gt;"")*(Besatzung!$F$11:$F$22="x")),SUMPRODUCT((J65:U65="x")*(Besatzung!$F$11:$F$22="x"))),1))))),0))))</f>
        <v/>
      </c>
      <c r="AD65" s="106">
        <f>IF(C65="Gutschrift","",IF(G65="","",IF(Besatzung!$B$19="","",IFERROR(IF(I65="Zeitanteilig",(Besatzung!$G$19*(G65-IFERROR(H65,0))+((Besatzung!$B$19&lt;&gt;"")*IF(B65="",1,(IF(Besatzung!$C$19="",Besatzung!$B$5,Besatzung!$C$19)&lt;=B65)*(IF(Besatzung!$D$19="",Besatzung!$B$6,Besatzung!$D$19)&gt;=B65)))*(Besatzung!$F$19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$19&lt;&gt;"")*IF(B65="",1,(IF(Besatzung!$C$19="",Besatzung!$B$5,Besatzung!$C$19)&lt;=B65)*(IF(Besatzung!$D$19="",Besatzung!$B$6,Besatzung!$D$19)&gt;=B65)))*((G65-IFERROR(H65,0))/IFERROR(SUMPRODUCT((Besatzung!$B$11:$B$22&lt;&gt;"")*(IF(Besatzung!$C$11:$C$22="",Besatzung!$B$5,Besatzung!$C$11:$C$22)&lt;=B65)*(IF(Besatzung!$D$11:$D$22="",Besatzung!$B$6,Besatzung!$D$11:$D$22)&gt;=B65)),1)+(Besatzung!$F$19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R65="x")*((G65-IFERROR(H65,0))/IFERROR(COUNTIF(J65:U65,"x"),1)+(Besatzung!$F$19="x")*IFERROR(H65,0)/IFERROR(SUMPRODUCT((J65:U65="x")*(Besatzung!$F$11:$F$22="x")),1))),(IF(COUNTIF(J65:U65,"x")=0,IF(Besatzung!$B$19&lt;&gt;"",1,0),(R65="x"))*(G65-IFERROR(H65,0))/IFERROR(IF(COUNTIF(J65:U65,"x")=0,COUNTA(Besatzung!$B$11:$B$22),COUNTIF(J65:U65,"x")),1)+IF(COUNTIF(J65:U65,"x")=0,(Besatzung!$F$19="x"),(R65="x")*(Besatzung!$F$19="x"))*IFERROR(H65,0)/IFERROR(IF(COUNTIF(J65:U65,"x")=0,SUMPRODUCT((Besatzung!$B$11:$B$22&lt;&gt;"")*(Besatzung!$F$11:$F$22="x")),SUMPRODUCT((J65:U65="x")*(Besatzung!$F$11:$F$22="x"))),1))))),0))))</f>
        <v/>
      </c>
      <c r="AE65" s="106">
        <f>IF(C65="Gutschrift","",IF(G65="","",IF(Besatzung!$B$20="","",IFERROR(IF(I65="Zeitanteilig",(Besatzung!$G$20*(G65-IFERROR(H65,0))+((Besatzung!$B$20&lt;&gt;"")*IF(B65="",1,(IF(Besatzung!$C$20="",Besatzung!$B$5,Besatzung!$C$20)&lt;=B65)*(IF(Besatzung!$D$20="",Besatzung!$B$6,Besatzung!$D$20)&gt;=B65)))*(Besatzung!$F$20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$20&lt;&gt;"")*IF(B65="",1,(IF(Besatzung!$C$20="",Besatzung!$B$5,Besatzung!$C$20)&lt;=B65)*(IF(Besatzung!$D$20="",Besatzung!$B$6,Besatzung!$D$20)&gt;=B65)))*((G65-IFERROR(H65,0))/IFERROR(SUMPRODUCT((Besatzung!$B$11:$B$22&lt;&gt;"")*(IF(Besatzung!$C$11:$C$22="",Besatzung!$B$5,Besatzung!$C$11:$C$22)&lt;=B65)*(IF(Besatzung!$D$11:$D$22="",Besatzung!$B$6,Besatzung!$D$11:$D$22)&gt;=B65)),1)+(Besatzung!$F$20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S65="x")*((G65-IFERROR(H65,0))/IFERROR(COUNTIF(J65:U65,"x"),1)+(Besatzung!$F$20="x")*IFERROR(H65,0)/IFERROR(SUMPRODUCT((J65:U65="x")*(Besatzung!$F$11:$F$22="x")),1))),(IF(COUNTIF(J65:U65,"x")=0,IF(Besatzung!$B$20&lt;&gt;"",1,0),(S65="x"))*(G65-IFERROR(H65,0))/IFERROR(IF(COUNTIF(J65:U65,"x")=0,COUNTA(Besatzung!$B$11:$B$22),COUNTIF(J65:U65,"x")),1)+IF(COUNTIF(J65:U65,"x")=0,(Besatzung!$F$20="x"),(S65="x")*(Besatzung!$F$20="x"))*IFERROR(H65,0)/IFERROR(IF(COUNTIF(J65:U65,"x")=0,SUMPRODUCT((Besatzung!$B$11:$B$22&lt;&gt;"")*(Besatzung!$F$11:$F$22="x")),SUMPRODUCT((J65:U65="x")*(Besatzung!$F$11:$F$22="x"))),1))))),0))))</f>
        <v/>
      </c>
      <c r="AF65" s="106">
        <f>IF(C65="Gutschrift","",IF(G65="","",IF(Besatzung!$B$21="","",IFERROR(IF(I65="Zeitanteilig",(Besatzung!$G$21*(G65-IFERROR(H65,0))+((Besatzung!$B$21&lt;&gt;"")*IF(B65="",1,(IF(Besatzung!$C$21="",Besatzung!$B$5,Besatzung!$C$21)&lt;=B65)*(IF(Besatzung!$D$21="",Besatzung!$B$6,Besatzung!$D$21)&gt;=B65)))*(Besatzung!$F$21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$21&lt;&gt;"")*IF(B65="",1,(IF(Besatzung!$C$21="",Besatzung!$B$5,Besatzung!$C$21)&lt;=B65)*(IF(Besatzung!$D$21="",Besatzung!$B$6,Besatzung!$D$21)&gt;=B65)))*((G65-IFERROR(H65,0))/IFERROR(SUMPRODUCT((Besatzung!$B$11:$B$22&lt;&gt;"")*(IF(Besatzung!$C$11:$C$22="",Besatzung!$B$5,Besatzung!$C$11:$C$22)&lt;=B65)*(IF(Besatzung!$D$11:$D$22="",Besatzung!$B$6,Besatzung!$D$11:$D$22)&gt;=B65)),1)+(Besatzung!$F$21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T65="x")*((G65-IFERROR(H65,0))/IFERROR(COUNTIF(J65:U65,"x"),1)+(Besatzung!$F$21="x")*IFERROR(H65,0)/IFERROR(SUMPRODUCT((J65:U65="x")*(Besatzung!$F$11:$F$22="x")),1))),(IF(COUNTIF(J65:U65,"x")=0,IF(Besatzung!$B$21&lt;&gt;"",1,0),(T65="x"))*(G65-IFERROR(H65,0))/IFERROR(IF(COUNTIF(J65:U65,"x")=0,COUNTA(Besatzung!$B$11:$B$22),COUNTIF(J65:U65,"x")),1)+IF(COUNTIF(J65:U65,"x")=0,(Besatzung!$F$21="x"),(T65="x")*(Besatzung!$F$21="x"))*IFERROR(H65,0)/IFERROR(IF(COUNTIF(J65:U65,"x")=0,SUMPRODUCT((Besatzung!$B$11:$B$22&lt;&gt;"")*(Besatzung!$F$11:$F$22="x")),SUMPRODUCT((J65:U65="x")*(Besatzung!$F$11:$F$22="x"))),1))))),0))))</f>
        <v/>
      </c>
      <c r="AG65" s="106">
        <f>IF(C65="Gutschrift","",IF(G65="","",IF(Besatzung!$B$22="","",IFERROR(IF(I65="Zeitanteilig",(Besatzung!$G$22*(G65-IFERROR(H65,0))+((Besatzung!$B$22&lt;&gt;"")*IF(B65="",1,(IF(Besatzung!$C$22="",Besatzung!$B$5,Besatzung!$C$22)&lt;=B65)*(IF(Besatzung!$D$22="",Besatzung!$B$6,Besatzung!$D$22)&gt;=B65)))*(Besatzung!$F$22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$22&lt;&gt;"")*IF(B65="",1,(IF(Besatzung!$C$22="",Besatzung!$B$5,Besatzung!$C$22)&lt;=B65)*(IF(Besatzung!$D$22="",Besatzung!$B$6,Besatzung!$D$22)&gt;=B65)))*((G65-IFERROR(H65,0))/IFERROR(SUMPRODUCT((Besatzung!$B$11:$B$22&lt;&gt;"")*(IF(Besatzung!$C$11:$C$22="",Besatzung!$B$5,Besatzung!$C$11:$C$22)&lt;=B65)*(IF(Besatzung!$D$11:$D$22="",Besatzung!$B$6,Besatzung!$D$11:$D$22)&gt;=B65)),1)+(Besatzung!$F$22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U65="x")*((G65-IFERROR(H65,0))/IFERROR(COUNTIF(J65:U65,"x"),1)+(Besatzung!$F$22="x")*IFERROR(H65,0)/IFERROR(SUMPRODUCT((J65:U65="x")*(Besatzung!$F$11:$F$22="x")),1))),(IF(COUNTIF(J65:U65,"x")=0,IF(Besatzung!$B$22&lt;&gt;"",1,0),(U65="x"))*(G65-IFERROR(H65,0))/IFERROR(IF(COUNTIF(J65:U65,"x")=0,COUNTA(Besatzung!$B$11:$B$22),COUNTIF(J65:U65,"x")),1)+IF(COUNTIF(J65:U65,"x")=0,(Besatzung!$F$22="x"),(U65="x")*(Besatzung!$F$22="x"))*IFERROR(H65,0)/IFERROR(IF(COUNTIF(J65:U65,"x")=0,SUMPRODUCT((Besatzung!$B$11:$B$22&lt;&gt;"")*(Besatzung!$F$11:$F$22="x")),SUMPRODUCT((J65:U65="x")*(Besatzung!$F$11:$F$22="x"))),1))))),0))))</f>
        <v/>
      </c>
      <c r="AH65" s="107" t="n"/>
      <c r="AI65" s="107" t="n"/>
    </row>
    <row r="66" ht="21.75" customHeight="1" s="182">
      <c r="A66" s="97">
        <f>IF(AND(D66="",C66=""),"",63)</f>
        <v/>
      </c>
      <c r="B66" s="56" t="n"/>
      <c r="C66" s="98" t="n"/>
      <c r="D66" s="99" t="n"/>
      <c r="E66" s="100" t="n"/>
      <c r="F66" s="101" t="n"/>
      <c r="G66" s="102" t="n"/>
      <c r="H66" s="103" t="n"/>
      <c r="I66" s="104" t="n"/>
      <c r="J66" s="105" t="n"/>
      <c r="K66" s="105" t="n"/>
      <c r="L66" s="105" t="n"/>
      <c r="M66" s="105" t="n"/>
      <c r="N66" s="105" t="n"/>
      <c r="O66" s="105" t="n"/>
      <c r="P66" s="105" t="n"/>
      <c r="Q66" s="105" t="n"/>
      <c r="R66" s="105" t="n"/>
      <c r="S66" s="105" t="n"/>
      <c r="T66" s="105" t="n"/>
      <c r="U66" s="105" t="n"/>
      <c r="V66" s="106">
        <f>IF(C66="Gutschrift","",IF(G66="","",IF(Besatzung!$B$11="","",IFERROR(IF(I66="Zeitanteilig",(Besatzung!$G$11*(G66-IFERROR(H66,0))+((Besatzung!$B$11&lt;&gt;"")*IF(B66="",1,(IF(Besatzung!$C$11="",Besatzung!$B$5,Besatzung!$C$11)&lt;=B66)*(IF(Besatzung!$D$11="",Besatzung!$B$6,Besatzung!$D$11)&gt;=B66)))*(Besatzung!$F$11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$11&lt;&gt;"")*IF(B66="",1,(IF(Besatzung!$C$11="",Besatzung!$B$5,Besatzung!$C$11)&lt;=B66)*(IF(Besatzung!$D$11="",Besatzung!$B$6,Besatzung!$D$11)&gt;=B66)))*((G66-IFERROR(H66,0))/IFERROR(SUMPRODUCT((Besatzung!$B$11:$B$22&lt;&gt;"")*(IF(Besatzung!$C$11:$C$22="",Besatzung!$B$5,Besatzung!$C$11:$C$22)&lt;=B66)*(IF(Besatzung!$D$11:$D$22="",Besatzung!$B$6,Besatzung!$D$11:$D$22)&gt;=B66)),1)+(Besatzung!$F$11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J66="x")*((G66-IFERROR(H66,0))/IFERROR(COUNTIF(J66:U66,"x"),1)+(Besatzung!$F$11="x")*IFERROR(H66,0)/IFERROR(SUMPRODUCT((J66:U66="x")*(Besatzung!$F$11:$F$22="x")),1))),(IF(COUNTIF(J66:U66,"x")=0,IF(Besatzung!$B$11&lt;&gt;"",1,0),(J66="x"))*(G66-IFERROR(H66,0))/IFERROR(IF(COUNTIF(J66:U66,"x")=0,COUNTA(Besatzung!$B$11:$B$22),COUNTIF(J66:U66,"x")),1)+IF(COUNTIF(J66:U66,"x")=0,(Besatzung!$F$11="x"),(J66="x")*(Besatzung!$F$11="x"))*IFERROR(H66,0)/IFERROR(IF(COUNTIF(J66:U66,"x")=0,SUMPRODUCT((Besatzung!$B$11:$B$22&lt;&gt;"")*(Besatzung!$F$11:$F$22="x")),SUMPRODUCT((J66:U66="x")*(Besatzung!$F$11:$F$22="x"))),1))))),0))))</f>
        <v/>
      </c>
      <c r="W66" s="106">
        <f>IF(C66="Gutschrift","",IF(G66="","",IF(Besatzung!$B$12="","",IFERROR(IF(I66="Zeitanteilig",(Besatzung!$G$12*(G66-IFERROR(H66,0))+((Besatzung!$B$12&lt;&gt;"")*IF(B66="",1,(IF(Besatzung!$C$12="",Besatzung!$B$5,Besatzung!$C$12)&lt;=B66)*(IF(Besatzung!$D$12="",Besatzung!$B$6,Besatzung!$D$12)&gt;=B66)))*(Besatzung!$F$12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$12&lt;&gt;"")*IF(B66="",1,(IF(Besatzung!$C$12="",Besatzung!$B$5,Besatzung!$C$12)&lt;=B66)*(IF(Besatzung!$D$12="",Besatzung!$B$6,Besatzung!$D$12)&gt;=B66)))*((G66-IFERROR(H66,0))/IFERROR(SUMPRODUCT((Besatzung!$B$11:$B$22&lt;&gt;"")*(IF(Besatzung!$C$11:$C$22="",Besatzung!$B$5,Besatzung!$C$11:$C$22)&lt;=B66)*(IF(Besatzung!$D$11:$D$22="",Besatzung!$B$6,Besatzung!$D$11:$D$22)&gt;=B66)),1)+(Besatzung!$F$12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K66="x")*((G66-IFERROR(H66,0))/IFERROR(COUNTIF(J66:U66,"x"),1)+(Besatzung!$F$12="x")*IFERROR(H66,0)/IFERROR(SUMPRODUCT((J66:U66="x")*(Besatzung!$F$11:$F$22="x")),1))),(IF(COUNTIF(J66:U66,"x")=0,IF(Besatzung!$B$12&lt;&gt;"",1,0),(K66="x"))*(G66-IFERROR(H66,0))/IFERROR(IF(COUNTIF(J66:U66,"x")=0,COUNTA(Besatzung!$B$11:$B$22),COUNTIF(J66:U66,"x")),1)+IF(COUNTIF(J66:U66,"x")=0,(Besatzung!$F$12="x"),(K66="x")*(Besatzung!$F$12="x"))*IFERROR(H66,0)/IFERROR(IF(COUNTIF(J66:U66,"x")=0,SUMPRODUCT((Besatzung!$B$11:$B$22&lt;&gt;"")*(Besatzung!$F$11:$F$22="x")),SUMPRODUCT((J66:U66="x")*(Besatzung!$F$11:$F$22="x"))),1))))),0))))</f>
        <v/>
      </c>
      <c r="X66" s="106">
        <f>IF(C66="Gutschrift","",IF(G66="","",IF(Besatzung!$B$13="","",IFERROR(IF(I66="Zeitanteilig",(Besatzung!$G$13*(G66-IFERROR(H66,0))+((Besatzung!$B$13&lt;&gt;"")*IF(B66="",1,(IF(Besatzung!$C$13="",Besatzung!$B$5,Besatzung!$C$13)&lt;=B66)*(IF(Besatzung!$D$13="",Besatzung!$B$6,Besatzung!$D$13)&gt;=B66)))*(Besatzung!$F$13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$13&lt;&gt;"")*IF(B66="",1,(IF(Besatzung!$C$13="",Besatzung!$B$5,Besatzung!$C$13)&lt;=B66)*(IF(Besatzung!$D$13="",Besatzung!$B$6,Besatzung!$D$13)&gt;=B66)))*((G66-IFERROR(H66,0))/IFERROR(SUMPRODUCT((Besatzung!$B$11:$B$22&lt;&gt;"")*(IF(Besatzung!$C$11:$C$22="",Besatzung!$B$5,Besatzung!$C$11:$C$22)&lt;=B66)*(IF(Besatzung!$D$11:$D$22="",Besatzung!$B$6,Besatzung!$D$11:$D$22)&gt;=B66)),1)+(Besatzung!$F$13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K66="x")*((G66-IFERROR(H66,0))/IFERROR(COUNTIF(J66:U66,"x"),1)+(Besatzung!$F$13="x")*IFERROR(H66,0)/IFERROR(SUMPRODUCT((J66:U66="x")*(Besatzung!$F$11:$F$22="x")),1))),(IF(COUNTIF(J66:U66,"x")=0,IF(Besatzung!$B$13&lt;&gt;"",1,0),(K66="x"))*(G66-IFERROR(H66,0))/IFERROR(IF(COUNTIF(J66:U66,"x")=0,COUNTA(Besatzung!$B$11:$B$22),COUNTIF(J66:U66,"x")),1)+IF(COUNTIF(J66:U66,"x")=0,(Besatzung!$F$13="x"),(K66="x")*(Besatzung!$F$13="x"))*IFERROR(H66,0)/IFERROR(IF(COUNTIF(J66:U66,"x")=0,SUMPRODUCT((Besatzung!$B$11:$B$22&lt;&gt;"")*(Besatzung!$F$11:$F$22="x")),SUMPRODUCT((J66:U66="x")*(Besatzung!$F$11:$F$22="x"))),1))))),0))))</f>
        <v/>
      </c>
      <c r="Y66" s="106">
        <f>IF(C66="Gutschrift","",IF(G66="","",IF(Besatzung!$B$14="","",IFERROR(IF(I66="Zeitanteilig",(Besatzung!$G$14*(G66-IFERROR(H66,0))+((Besatzung!$B$14&lt;&gt;"")*IF(B66="",1,(IF(Besatzung!$C$14="",Besatzung!$B$5,Besatzung!$C$14)&lt;=B66)*(IF(Besatzung!$D$14="",Besatzung!$B$6,Besatzung!$D$14)&gt;=B66)))*(Besatzung!$F$14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$14&lt;&gt;"")*IF(B66="",1,(IF(Besatzung!$C$14="",Besatzung!$B$5,Besatzung!$C$14)&lt;=B66)*(IF(Besatzung!$D$14="",Besatzung!$B$6,Besatzung!$D$14)&gt;=B66)))*((G66-IFERROR(H66,0))/IFERROR(SUMPRODUCT((Besatzung!$B$11:$B$22&lt;&gt;"")*(IF(Besatzung!$C$11:$C$22="",Besatzung!$B$5,Besatzung!$C$11:$C$22)&lt;=B66)*(IF(Besatzung!$D$11:$D$22="",Besatzung!$B$6,Besatzung!$D$11:$D$22)&gt;=B66)),1)+(Besatzung!$F$14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M66="x")*((G66-IFERROR(H66,0))/IFERROR(COUNTIF(J66:U66,"x"),1)+(Besatzung!$F$14="x")*IFERROR(H66,0)/IFERROR(SUMPRODUCT((J66:U66="x")*(Besatzung!$F$11:$F$22="x")),1))),(IF(COUNTIF(J66:U66,"x")=0,IF(Besatzung!$B$14&lt;&gt;"",1,0),(M66="x"))*(G66-IFERROR(H66,0))/IFERROR(IF(COUNTIF(J66:U66,"x")=0,COUNTA(Besatzung!$B$11:$B$22),COUNTIF(J66:U66,"x")),1)+IF(COUNTIF(J66:U66,"x")=0,(Besatzung!$F$14="x"),(M66="x")*(Besatzung!$F$14="x"))*IFERROR(H66,0)/IFERROR(IF(COUNTIF(J66:U66,"x")=0,SUMPRODUCT((Besatzung!$B$11:$B$22&lt;&gt;"")*(Besatzung!$F$11:$F$22="x")),SUMPRODUCT((J66:U66="x")*(Besatzung!$F$11:$F$22="x"))),1))))),0))))</f>
        <v/>
      </c>
      <c r="Z66" s="106">
        <f>IF(C66="Gutschrift","",IF(G66="","",IF(Besatzung!$B$13="","",IFERROR(IF(I66="Zeitanteilig",(Besatzung!$G$15*(G66-IFERROR(H66,0))+((Besatzung!$B$13&lt;&gt;"")*IF(B66="",1,(IF(Besatzung!$C$15="",Besatzung!$B$5,Besatzung!$C$15)&lt;=B66)*(IF(Besatzung!$D$15="",Besatzung!$B$6,Besatzung!$D$15)&gt;=B66)))*(Besatzung!$F$15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$13&lt;&gt;"")*IF(B66="",1,(IF(Besatzung!$C$15="",Besatzung!$B$5,Besatzung!$C$15)&lt;=B66)*(IF(Besatzung!$D$15="",Besatzung!$B$6,Besatzung!$D$15)&gt;=B66)))*((G66-IFERROR(H66,0))/IFERROR(SUMPRODUCT((Besatzung!$B$11:$B$22&lt;&gt;"")*(IF(Besatzung!$C$11:$C$22="",Besatzung!$B$5,Besatzung!$C$11:$C$22)&lt;=B66)*(IF(Besatzung!$D$11:$D$22="",Besatzung!$B$6,Besatzung!$D$11:$D$22)&gt;=B66)),1)+(Besatzung!$F$15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N66="x")*((G66-IFERROR(H66,0))/IFERROR(COUNTIF(J66:U66,"x"),1)+(Besatzung!$F$15="x")*IFERROR(H66,0)/IFERROR(SUMPRODUCT((J66:U66="x")*(Besatzung!$F$11:$F$22="x")),1))),(IF(COUNTIF(J66:U66,"x")=0,IF(Besatzung!$B$13&lt;&gt;"",1,0),(N66="x"))*(G66-IFERROR(H66,0))/IFERROR(IF(COUNTIF(J66:U66,"x")=0,COUNTA(Besatzung!$B$11:$B$22),COUNTIF(J66:U66,"x")),1)+IF(COUNTIF(J66:U66,"x")=0,(Besatzung!$F$15="x"),(N66="x")*(Besatzung!$F$15="x"))*IFERROR(H66,0)/IFERROR(IF(COUNTIF(J66:U66,"x")=0,SUMPRODUCT((Besatzung!$B$11:$B$22&lt;&gt;"")*(Besatzung!$F$11:$F$22="x")),SUMPRODUCT((J66:U66="x")*(Besatzung!$F$11:$F$22="x"))),1))))),0))))</f>
        <v/>
      </c>
      <c r="AA66" s="106">
        <f>IF(C66="Gutschrift","",IF(G66="","",IF(Besatzung!$B$15="","",IFERROR(IF(I66="Zeitanteilig",(Besatzung!$G$16*(G66-IFERROR(H66,0))+((Besatzung!$B$15&lt;&gt;"")*IF(B66="",1,(IF(Besatzung!$C$16="",Besatzung!$B$5,Besatzung!$C$16)&lt;=B66)*(IF(Besatzung!$D$16="",Besatzung!$B$6,Besatzung!$D$16)&gt;=B66)))*(Besatzung!$F$16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$15&lt;&gt;"")*IF(B66="",1,(IF(Besatzung!$C$16="",Besatzung!$B$5,Besatzung!$C$16)&lt;=B66)*(IF(Besatzung!$D$16="",Besatzung!$B$6,Besatzung!$D$16)&gt;=B66)))*((G66-IFERROR(H66,0))/IFERROR(SUMPRODUCT((Besatzung!$B$11:$B$22&lt;&gt;"")*(IF(Besatzung!$C$11:$C$22="",Besatzung!$B$5,Besatzung!$C$11:$C$22)&lt;=B66)*(IF(Besatzung!$D$11:$D$22="",Besatzung!$B$6,Besatzung!$D$11:$D$22)&gt;=B66)),1)+(Besatzung!$F$16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O66="x")*((G66-IFERROR(H66,0))/IFERROR(COUNTIF(J66:U66,"x"),1)+(Besatzung!$F$16="x")*IFERROR(H66,0)/IFERROR(SUMPRODUCT((J66:U66="x")*(Besatzung!$F$11:$F$22="x")),1))),(IF(COUNTIF(J66:U66,"x")=0,IF(Besatzung!$B$15&lt;&gt;"",1,0),(O66="x"))*(G66-IFERROR(H66,0))/IFERROR(IF(COUNTIF(J66:U66,"x")=0,COUNTA(Besatzung!$B$11:$B$22),COUNTIF(J66:U66,"x")),1)+IF(COUNTIF(J66:U66,"x")=0,(Besatzung!$F$16="x"),(O66="x")*(Besatzung!$F$16="x"))*IFERROR(H66,0)/IFERROR(IF(COUNTIF(J66:U66,"x")=0,SUMPRODUCT((Besatzung!$B$11:$B$22&lt;&gt;"")*(Besatzung!$F$11:$F$22="x")),SUMPRODUCT((J66:U66="x")*(Besatzung!$F$11:$F$22="x"))),1))))),0))))</f>
        <v/>
      </c>
      <c r="AB66" s="106">
        <f>IF(C66="Gutschrift","",IF(G66="","",IF(Besatzung!$B$17="","",IFERROR(IF(I66="Zeitanteilig",(Besatzung!$G$17*(G66-IFERROR(H66,0))+((Besatzung!$B$17&lt;&gt;"")*IF(B66="",1,(IF(Besatzung!$C$17="",Besatzung!$B$5,Besatzung!$C$17)&lt;=B66)*(IF(Besatzung!$D$17="",Besatzung!$B$6,Besatzung!$D$17)&gt;=B66)))*(Besatzung!$F$17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$17&lt;&gt;"")*IF(B66="",1,(IF(Besatzung!$C$17="",Besatzung!$B$5,Besatzung!$C$17)&lt;=B66)*(IF(Besatzung!$D$17="",Besatzung!$B$6,Besatzung!$D$17)&gt;=B66)))*((G66-IFERROR(H66,0))/IFERROR(SUMPRODUCT((Besatzung!$B$11:$B$22&lt;&gt;"")*(IF(Besatzung!$C$11:$C$22="",Besatzung!$B$5,Besatzung!$C$11:$C$22)&lt;=B66)*(IF(Besatzung!$D$11:$D$22="",Besatzung!$B$6,Besatzung!$D$11:$D$22)&gt;=B66)),1)+(Besatzung!$F$17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P66="x")*((G66-IFERROR(H66,0))/IFERROR(COUNTIF(J66:U66,"x"),1)+(Besatzung!$F$17="x")*IFERROR(H66,0)/IFERROR(SUMPRODUCT((J66:U66="x")*(Besatzung!$F$11:$F$22="x")),1))),(IF(COUNTIF(J66:U66,"x")=0,IF(Besatzung!$B$17&lt;&gt;"",1,0),(P66="x"))*(G66-IFERROR(H66,0))/IFERROR(IF(COUNTIF(J66:U66,"x")=0,COUNTA(Besatzung!$B$11:$B$22),COUNTIF(J66:U66,"x")),1)+IF(COUNTIF(J66:U66,"x")=0,(Besatzung!$F$17="x"),(P66="x")*(Besatzung!$F$17="x"))*IFERROR(H66,0)/IFERROR(IF(COUNTIF(J66:U66,"x")=0,SUMPRODUCT((Besatzung!$B$11:$B$22&lt;&gt;"")*(Besatzung!$F$11:$F$22="x")),SUMPRODUCT((J66:U66="x")*(Besatzung!$F$11:$F$22="x"))),1))))),0))))</f>
        <v/>
      </c>
      <c r="AC66" s="106">
        <f>IF(C66="Gutschrift","",IF(G66="","",IF(Besatzung!$B$18="","",IFERROR(IF(I66="Zeitanteilig",(Besatzung!$G$18*(G66-IFERROR(H66,0))+((Besatzung!$B$18&lt;&gt;"")*IF(B66="",1,(IF(Besatzung!$C$18="",Besatzung!$B$5,Besatzung!$C$18)&lt;=B66)*(IF(Besatzung!$D$18="",Besatzung!$B$6,Besatzung!$D$18)&gt;=B66)))*(Besatzung!$F$18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$18&lt;&gt;"")*IF(B66="",1,(IF(Besatzung!$C$18="",Besatzung!$B$5,Besatzung!$C$18)&lt;=B66)*(IF(Besatzung!$D$18="",Besatzung!$B$6,Besatzung!$D$18)&gt;=B66)))*((G66-IFERROR(H66,0))/IFERROR(SUMPRODUCT((Besatzung!$B$11:$B$22&lt;&gt;"")*(IF(Besatzung!$C$11:$C$22="",Besatzung!$B$5,Besatzung!$C$11:$C$22)&lt;=B66)*(IF(Besatzung!$D$11:$D$22="",Besatzung!$B$6,Besatzung!$D$11:$D$22)&gt;=B66)),1)+(Besatzung!$F$18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Q66="x")*((G66-IFERROR(H66,0))/IFERROR(COUNTIF(J66:U66,"x"),1)+(Besatzung!$F$18="x")*IFERROR(H66,0)/IFERROR(SUMPRODUCT((J66:U66="x")*(Besatzung!$F$11:$F$22="x")),1))),(IF(COUNTIF(J66:U66,"x")=0,IF(Besatzung!$B$18&lt;&gt;"",1,0),(Q66="x"))*(G66-IFERROR(H66,0))/IFERROR(IF(COUNTIF(J66:U66,"x")=0,COUNTA(Besatzung!$B$11:$B$22),COUNTIF(J66:U66,"x")),1)+IF(COUNTIF(J66:U66,"x")=0,(Besatzung!$F$18="x"),(Q66="x")*(Besatzung!$F$18="x"))*IFERROR(H66,0)/IFERROR(IF(COUNTIF(J66:U66,"x")=0,SUMPRODUCT((Besatzung!$B$11:$B$22&lt;&gt;"")*(Besatzung!$F$11:$F$22="x")),SUMPRODUCT((J66:U66="x")*(Besatzung!$F$11:$F$22="x"))),1))))),0))))</f>
        <v/>
      </c>
      <c r="AD66" s="106">
        <f>IF(C66="Gutschrift","",IF(G66="","",IF(Besatzung!$B$19="","",IFERROR(IF(I66="Zeitanteilig",(Besatzung!$G$19*(G66-IFERROR(H66,0))+((Besatzung!$B$19&lt;&gt;"")*IF(B66="",1,(IF(Besatzung!$C$19="",Besatzung!$B$5,Besatzung!$C$19)&lt;=B66)*(IF(Besatzung!$D$19="",Besatzung!$B$6,Besatzung!$D$19)&gt;=B66)))*(Besatzung!$F$19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$19&lt;&gt;"")*IF(B66="",1,(IF(Besatzung!$C$19="",Besatzung!$B$5,Besatzung!$C$19)&lt;=B66)*(IF(Besatzung!$D$19="",Besatzung!$B$6,Besatzung!$D$19)&gt;=B66)))*((G66-IFERROR(H66,0))/IFERROR(SUMPRODUCT((Besatzung!$B$11:$B$22&lt;&gt;"")*(IF(Besatzung!$C$11:$C$22="",Besatzung!$B$5,Besatzung!$C$11:$C$22)&lt;=B66)*(IF(Besatzung!$D$11:$D$22="",Besatzung!$B$6,Besatzung!$D$11:$D$22)&gt;=B66)),1)+(Besatzung!$F$19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R66="x")*((G66-IFERROR(H66,0))/IFERROR(COUNTIF(J66:U66,"x"),1)+(Besatzung!$F$19="x")*IFERROR(H66,0)/IFERROR(SUMPRODUCT((J66:U66="x")*(Besatzung!$F$11:$F$22="x")),1))),(IF(COUNTIF(J66:U66,"x")=0,IF(Besatzung!$B$19&lt;&gt;"",1,0),(R66="x"))*(G66-IFERROR(H66,0))/IFERROR(IF(COUNTIF(J66:U66,"x")=0,COUNTA(Besatzung!$B$11:$B$22),COUNTIF(J66:U66,"x")),1)+IF(COUNTIF(J66:U66,"x")=0,(Besatzung!$F$19="x"),(R66="x")*(Besatzung!$F$19="x"))*IFERROR(H66,0)/IFERROR(IF(COUNTIF(J66:U66,"x")=0,SUMPRODUCT((Besatzung!$B$11:$B$22&lt;&gt;"")*(Besatzung!$F$11:$F$22="x")),SUMPRODUCT((J66:U66="x")*(Besatzung!$F$11:$F$22="x"))),1))))),0))))</f>
        <v/>
      </c>
      <c r="AE66" s="106">
        <f>IF(C66="Gutschrift","",IF(G66="","",IF(Besatzung!$B$20="","",IFERROR(IF(I66="Zeitanteilig",(Besatzung!$G$20*(G66-IFERROR(H66,0))+((Besatzung!$B$20&lt;&gt;"")*IF(B66="",1,(IF(Besatzung!$C$20="",Besatzung!$B$5,Besatzung!$C$20)&lt;=B66)*(IF(Besatzung!$D$20="",Besatzung!$B$6,Besatzung!$D$20)&gt;=B66)))*(Besatzung!$F$20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$20&lt;&gt;"")*IF(B66="",1,(IF(Besatzung!$C$20="",Besatzung!$B$5,Besatzung!$C$20)&lt;=B66)*(IF(Besatzung!$D$20="",Besatzung!$B$6,Besatzung!$D$20)&gt;=B66)))*((G66-IFERROR(H66,0))/IFERROR(SUMPRODUCT((Besatzung!$B$11:$B$22&lt;&gt;"")*(IF(Besatzung!$C$11:$C$22="",Besatzung!$B$5,Besatzung!$C$11:$C$22)&lt;=B66)*(IF(Besatzung!$D$11:$D$22="",Besatzung!$B$6,Besatzung!$D$11:$D$22)&gt;=B66)),1)+(Besatzung!$F$20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S66="x")*((G66-IFERROR(H66,0))/IFERROR(COUNTIF(J66:U66,"x"),1)+(Besatzung!$F$20="x")*IFERROR(H66,0)/IFERROR(SUMPRODUCT((J66:U66="x")*(Besatzung!$F$11:$F$22="x")),1))),(IF(COUNTIF(J66:U66,"x")=0,IF(Besatzung!$B$20&lt;&gt;"",1,0),(S66="x"))*(G66-IFERROR(H66,0))/IFERROR(IF(COUNTIF(J66:U66,"x")=0,COUNTA(Besatzung!$B$11:$B$22),COUNTIF(J66:U66,"x")),1)+IF(COUNTIF(J66:U66,"x")=0,(Besatzung!$F$20="x"),(S66="x")*(Besatzung!$F$20="x"))*IFERROR(H66,0)/IFERROR(IF(COUNTIF(J66:U66,"x")=0,SUMPRODUCT((Besatzung!$B$11:$B$22&lt;&gt;"")*(Besatzung!$F$11:$F$22="x")),SUMPRODUCT((J66:U66="x")*(Besatzung!$F$11:$F$22="x"))),1))))),0))))</f>
        <v/>
      </c>
      <c r="AF66" s="106">
        <f>IF(C66="Gutschrift","",IF(G66="","",IF(Besatzung!$B$21="","",IFERROR(IF(I66="Zeitanteilig",(Besatzung!$G$21*(G66-IFERROR(H66,0))+((Besatzung!$B$21&lt;&gt;"")*IF(B66="",1,(IF(Besatzung!$C$21="",Besatzung!$B$5,Besatzung!$C$21)&lt;=B66)*(IF(Besatzung!$D$21="",Besatzung!$B$6,Besatzung!$D$21)&gt;=B66)))*(Besatzung!$F$21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$21&lt;&gt;"")*IF(B66="",1,(IF(Besatzung!$C$21="",Besatzung!$B$5,Besatzung!$C$21)&lt;=B66)*(IF(Besatzung!$D$21="",Besatzung!$B$6,Besatzung!$D$21)&gt;=B66)))*((G66-IFERROR(H66,0))/IFERROR(SUMPRODUCT((Besatzung!$B$11:$B$22&lt;&gt;"")*(IF(Besatzung!$C$11:$C$22="",Besatzung!$B$5,Besatzung!$C$11:$C$22)&lt;=B66)*(IF(Besatzung!$D$11:$D$22="",Besatzung!$B$6,Besatzung!$D$11:$D$22)&gt;=B66)),1)+(Besatzung!$F$21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T66="x")*((G66-IFERROR(H66,0))/IFERROR(COUNTIF(J66:U66,"x"),1)+(Besatzung!$F$21="x")*IFERROR(H66,0)/IFERROR(SUMPRODUCT((J66:U66="x")*(Besatzung!$F$11:$F$22="x")),1))),(IF(COUNTIF(J66:U66,"x")=0,IF(Besatzung!$B$21&lt;&gt;"",1,0),(T66="x"))*(G66-IFERROR(H66,0))/IFERROR(IF(COUNTIF(J66:U66,"x")=0,COUNTA(Besatzung!$B$11:$B$22),COUNTIF(J66:U66,"x")),1)+IF(COUNTIF(J66:U66,"x")=0,(Besatzung!$F$21="x"),(T66="x")*(Besatzung!$F$21="x"))*IFERROR(H66,0)/IFERROR(IF(COUNTIF(J66:U66,"x")=0,SUMPRODUCT((Besatzung!$B$11:$B$22&lt;&gt;"")*(Besatzung!$F$11:$F$22="x")),SUMPRODUCT((J66:U66="x")*(Besatzung!$F$11:$F$22="x"))),1))))),0))))</f>
        <v/>
      </c>
      <c r="AG66" s="106">
        <f>IF(C66="Gutschrift","",IF(G66="","",IF(Besatzung!$B$22="","",IFERROR(IF(I66="Zeitanteilig",(Besatzung!$G$22*(G66-IFERROR(H66,0))+((Besatzung!$B$22&lt;&gt;"")*IF(B66="",1,(IF(Besatzung!$C$22="",Besatzung!$B$5,Besatzung!$C$22)&lt;=B66)*(IF(Besatzung!$D$22="",Besatzung!$B$6,Besatzung!$D$22)&gt;=B66)))*(Besatzung!$F$22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$22&lt;&gt;"")*IF(B66="",1,(IF(Besatzung!$C$22="",Besatzung!$B$5,Besatzung!$C$22)&lt;=B66)*(IF(Besatzung!$D$22="",Besatzung!$B$6,Besatzung!$D$22)&gt;=B66)))*((G66-IFERROR(H66,0))/IFERROR(SUMPRODUCT((Besatzung!$B$11:$B$22&lt;&gt;"")*(IF(Besatzung!$C$11:$C$22="",Besatzung!$B$5,Besatzung!$C$11:$C$22)&lt;=B66)*(IF(Besatzung!$D$11:$D$22="",Besatzung!$B$6,Besatzung!$D$11:$D$22)&gt;=B66)),1)+(Besatzung!$F$22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U66="x")*((G66-IFERROR(H66,0))/IFERROR(COUNTIF(J66:U66,"x"),1)+(Besatzung!$F$22="x")*IFERROR(H66,0)/IFERROR(SUMPRODUCT((J66:U66="x")*(Besatzung!$F$11:$F$22="x")),1))),(IF(COUNTIF(J66:U66,"x")=0,IF(Besatzung!$B$22&lt;&gt;"",1,0),(U66="x"))*(G66-IFERROR(H66,0))/IFERROR(IF(COUNTIF(J66:U66,"x")=0,COUNTA(Besatzung!$B$11:$B$22),COUNTIF(J66:U66,"x")),1)+IF(COUNTIF(J66:U66,"x")=0,(Besatzung!$F$22="x"),(U66="x")*(Besatzung!$F$22="x"))*IFERROR(H66,0)/IFERROR(IF(COUNTIF(J66:U66,"x")=0,SUMPRODUCT((Besatzung!$B$11:$B$22&lt;&gt;"")*(Besatzung!$F$11:$F$22="x")),SUMPRODUCT((J66:U66="x")*(Besatzung!$F$11:$F$22="x"))),1))))),0))))</f>
        <v/>
      </c>
      <c r="AH66" s="107" t="n"/>
      <c r="AI66" s="107" t="n"/>
    </row>
    <row r="67" ht="21.75" customHeight="1" s="182">
      <c r="A67" s="97">
        <f>IF(AND(D67="",C67=""),"",64)</f>
        <v/>
      </c>
      <c r="B67" s="63" t="n"/>
      <c r="C67" s="108" t="n"/>
      <c r="D67" s="109" t="n"/>
      <c r="E67" s="110" t="n"/>
      <c r="F67" s="111" t="n"/>
      <c r="G67" s="112" t="n"/>
      <c r="H67" s="113" t="n"/>
      <c r="I67" s="114" t="n"/>
      <c r="J67" s="115" t="n"/>
      <c r="K67" s="115" t="n"/>
      <c r="L67" s="115" t="n"/>
      <c r="M67" s="115" t="n"/>
      <c r="N67" s="115" t="n"/>
      <c r="O67" s="115" t="n"/>
      <c r="P67" s="115" t="n"/>
      <c r="Q67" s="115" t="n"/>
      <c r="R67" s="115" t="n"/>
      <c r="S67" s="115" t="n"/>
      <c r="T67" s="115" t="n"/>
      <c r="U67" s="115" t="n"/>
      <c r="V67" s="106">
        <f>IF(C67="Gutschrift","",IF(G67="","",IF(Besatzung!$B$11="","",IFERROR(IF(I67="Zeitanteilig",(Besatzung!$G$11*(G67-IFERROR(H67,0))+((Besatzung!$B$11&lt;&gt;"")*IF(B67="",1,(IF(Besatzung!$C$11="",Besatzung!$B$5,Besatzung!$C$11)&lt;=B67)*(IF(Besatzung!$D$11="",Besatzung!$B$6,Besatzung!$D$11)&gt;=B67)))*(Besatzung!$F$11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$11&lt;&gt;"")*IF(B67="",1,(IF(Besatzung!$C$11="",Besatzung!$B$5,Besatzung!$C$11)&lt;=B67)*(IF(Besatzung!$D$11="",Besatzung!$B$6,Besatzung!$D$11)&gt;=B67)))*((G67-IFERROR(H67,0))/IFERROR(SUMPRODUCT((Besatzung!$B$11:$B$22&lt;&gt;"")*(IF(Besatzung!$C$11:$C$22="",Besatzung!$B$5,Besatzung!$C$11:$C$22)&lt;=B67)*(IF(Besatzung!$D$11:$D$22="",Besatzung!$B$6,Besatzung!$D$11:$D$22)&gt;=B67)),1)+(Besatzung!$F$11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J67="x")*((G67-IFERROR(H67,0))/IFERROR(COUNTIF(J67:U67,"x"),1)+(Besatzung!$F$11="x")*IFERROR(H67,0)/IFERROR(SUMPRODUCT((J67:U67="x")*(Besatzung!$F$11:$F$22="x")),1))),(IF(COUNTIF(J67:U67,"x")=0,IF(Besatzung!$B$11&lt;&gt;"",1,0),(J67="x"))*(G67-IFERROR(H67,0))/IFERROR(IF(COUNTIF(J67:U67,"x")=0,COUNTA(Besatzung!$B$11:$B$22),COUNTIF(J67:U67,"x")),1)+IF(COUNTIF(J67:U67,"x")=0,(Besatzung!$F$11="x"),(J67="x")*(Besatzung!$F$11="x"))*IFERROR(H67,0)/IFERROR(IF(COUNTIF(J67:U67,"x")=0,SUMPRODUCT((Besatzung!$B$11:$B$22&lt;&gt;"")*(Besatzung!$F$11:$F$22="x")),SUMPRODUCT((J67:U67="x")*(Besatzung!$F$11:$F$22="x"))),1))))),0))))</f>
        <v/>
      </c>
      <c r="W67" s="106">
        <f>IF(C67="Gutschrift","",IF(G67="","",IF(Besatzung!$B$12="","",IFERROR(IF(I67="Zeitanteilig",(Besatzung!$G$12*(G67-IFERROR(H67,0))+((Besatzung!$B$12&lt;&gt;"")*IF(B67="",1,(IF(Besatzung!$C$12="",Besatzung!$B$5,Besatzung!$C$12)&lt;=B67)*(IF(Besatzung!$D$12="",Besatzung!$B$6,Besatzung!$D$12)&gt;=B67)))*(Besatzung!$F$12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$12&lt;&gt;"")*IF(B67="",1,(IF(Besatzung!$C$12="",Besatzung!$B$5,Besatzung!$C$12)&lt;=B67)*(IF(Besatzung!$D$12="",Besatzung!$B$6,Besatzung!$D$12)&gt;=B67)))*((G67-IFERROR(H67,0))/IFERROR(SUMPRODUCT((Besatzung!$B$11:$B$22&lt;&gt;"")*(IF(Besatzung!$C$11:$C$22="",Besatzung!$B$5,Besatzung!$C$11:$C$22)&lt;=B67)*(IF(Besatzung!$D$11:$D$22="",Besatzung!$B$6,Besatzung!$D$11:$D$22)&gt;=B67)),1)+(Besatzung!$F$12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K67="x")*((G67-IFERROR(H67,0))/IFERROR(COUNTIF(J67:U67,"x"),1)+(Besatzung!$F$12="x")*IFERROR(H67,0)/IFERROR(SUMPRODUCT((J67:U67="x")*(Besatzung!$F$11:$F$22="x")),1))),(IF(COUNTIF(J67:U67,"x")=0,IF(Besatzung!$B$12&lt;&gt;"",1,0),(K67="x"))*(G67-IFERROR(H67,0))/IFERROR(IF(COUNTIF(J67:U67,"x")=0,COUNTA(Besatzung!$B$11:$B$22),COUNTIF(J67:U67,"x")),1)+IF(COUNTIF(J67:U67,"x")=0,(Besatzung!$F$12="x"),(K67="x")*(Besatzung!$F$12="x"))*IFERROR(H67,0)/IFERROR(IF(COUNTIF(J67:U67,"x")=0,SUMPRODUCT((Besatzung!$B$11:$B$22&lt;&gt;"")*(Besatzung!$F$11:$F$22="x")),SUMPRODUCT((J67:U67="x")*(Besatzung!$F$11:$F$22="x"))),1))))),0))))</f>
        <v/>
      </c>
      <c r="X67" s="106">
        <f>IF(C67="Gutschrift","",IF(G67="","",IF(Besatzung!$B$13="","",IFERROR(IF(I67="Zeitanteilig",(Besatzung!$G$13*(G67-IFERROR(H67,0))+((Besatzung!$B$13&lt;&gt;"")*IF(B67="",1,(IF(Besatzung!$C$13="",Besatzung!$B$5,Besatzung!$C$13)&lt;=B67)*(IF(Besatzung!$D$13="",Besatzung!$B$6,Besatzung!$D$13)&gt;=B67)))*(Besatzung!$F$13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$13&lt;&gt;"")*IF(B67="",1,(IF(Besatzung!$C$13="",Besatzung!$B$5,Besatzung!$C$13)&lt;=B67)*(IF(Besatzung!$D$13="",Besatzung!$B$6,Besatzung!$D$13)&gt;=B67)))*((G67-IFERROR(H67,0))/IFERROR(SUMPRODUCT((Besatzung!$B$11:$B$22&lt;&gt;"")*(IF(Besatzung!$C$11:$C$22="",Besatzung!$B$5,Besatzung!$C$11:$C$22)&lt;=B67)*(IF(Besatzung!$D$11:$D$22="",Besatzung!$B$6,Besatzung!$D$11:$D$22)&gt;=B67)),1)+(Besatzung!$F$13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K67="x")*((G67-IFERROR(H67,0))/IFERROR(COUNTIF(J67:U67,"x"),1)+(Besatzung!$F$13="x")*IFERROR(H67,0)/IFERROR(SUMPRODUCT((J67:U67="x")*(Besatzung!$F$11:$F$22="x")),1))),(IF(COUNTIF(J67:U67,"x")=0,IF(Besatzung!$B$13&lt;&gt;"",1,0),(K67="x"))*(G67-IFERROR(H67,0))/IFERROR(IF(COUNTIF(J67:U67,"x")=0,COUNTA(Besatzung!$B$11:$B$22),COUNTIF(J67:U67,"x")),1)+IF(COUNTIF(J67:U67,"x")=0,(Besatzung!$F$13="x"),(K67="x")*(Besatzung!$F$13="x"))*IFERROR(H67,0)/IFERROR(IF(COUNTIF(J67:U67,"x")=0,SUMPRODUCT((Besatzung!$B$11:$B$22&lt;&gt;"")*(Besatzung!$F$11:$F$22="x")),SUMPRODUCT((J67:U67="x")*(Besatzung!$F$11:$F$22="x"))),1))))),0))))</f>
        <v/>
      </c>
      <c r="Y67" s="106">
        <f>IF(C67="Gutschrift","",IF(G67="","",IF(Besatzung!$B$14="","",IFERROR(IF(I67="Zeitanteilig",(Besatzung!$G$14*(G67-IFERROR(H67,0))+((Besatzung!$B$14&lt;&gt;"")*IF(B67="",1,(IF(Besatzung!$C$14="",Besatzung!$B$5,Besatzung!$C$14)&lt;=B67)*(IF(Besatzung!$D$14="",Besatzung!$B$6,Besatzung!$D$14)&gt;=B67)))*(Besatzung!$F$14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$14&lt;&gt;"")*IF(B67="",1,(IF(Besatzung!$C$14="",Besatzung!$B$5,Besatzung!$C$14)&lt;=B67)*(IF(Besatzung!$D$14="",Besatzung!$B$6,Besatzung!$D$14)&gt;=B67)))*((G67-IFERROR(H67,0))/IFERROR(SUMPRODUCT((Besatzung!$B$11:$B$22&lt;&gt;"")*(IF(Besatzung!$C$11:$C$22="",Besatzung!$B$5,Besatzung!$C$11:$C$22)&lt;=B67)*(IF(Besatzung!$D$11:$D$22="",Besatzung!$B$6,Besatzung!$D$11:$D$22)&gt;=B67)),1)+(Besatzung!$F$14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M67="x")*((G67-IFERROR(H67,0))/IFERROR(COUNTIF(J67:U67,"x"),1)+(Besatzung!$F$14="x")*IFERROR(H67,0)/IFERROR(SUMPRODUCT((J67:U67="x")*(Besatzung!$F$11:$F$22="x")),1))),(IF(COUNTIF(J67:U67,"x")=0,IF(Besatzung!$B$14&lt;&gt;"",1,0),(M67="x"))*(G67-IFERROR(H67,0))/IFERROR(IF(COUNTIF(J67:U67,"x")=0,COUNTA(Besatzung!$B$11:$B$22),COUNTIF(J67:U67,"x")),1)+IF(COUNTIF(J67:U67,"x")=0,(Besatzung!$F$14="x"),(M67="x")*(Besatzung!$F$14="x"))*IFERROR(H67,0)/IFERROR(IF(COUNTIF(J67:U67,"x")=0,SUMPRODUCT((Besatzung!$B$11:$B$22&lt;&gt;"")*(Besatzung!$F$11:$F$22="x")),SUMPRODUCT((J67:U67="x")*(Besatzung!$F$11:$F$22="x"))),1))))),0))))</f>
        <v/>
      </c>
      <c r="Z67" s="106">
        <f>IF(C67="Gutschrift","",IF(G67="","",IF(Besatzung!$B$13="","",IFERROR(IF(I67="Zeitanteilig",(Besatzung!$G$15*(G67-IFERROR(H67,0))+((Besatzung!$B$13&lt;&gt;"")*IF(B67="",1,(IF(Besatzung!$C$15="",Besatzung!$B$5,Besatzung!$C$15)&lt;=B67)*(IF(Besatzung!$D$15="",Besatzung!$B$6,Besatzung!$D$15)&gt;=B67)))*(Besatzung!$F$15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$13&lt;&gt;"")*IF(B67="",1,(IF(Besatzung!$C$15="",Besatzung!$B$5,Besatzung!$C$15)&lt;=B67)*(IF(Besatzung!$D$15="",Besatzung!$B$6,Besatzung!$D$15)&gt;=B67)))*((G67-IFERROR(H67,0))/IFERROR(SUMPRODUCT((Besatzung!$B$11:$B$22&lt;&gt;"")*(IF(Besatzung!$C$11:$C$22="",Besatzung!$B$5,Besatzung!$C$11:$C$22)&lt;=B67)*(IF(Besatzung!$D$11:$D$22="",Besatzung!$B$6,Besatzung!$D$11:$D$22)&gt;=B67)),1)+(Besatzung!$F$15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N67="x")*((G67-IFERROR(H67,0))/IFERROR(COUNTIF(J67:U67,"x"),1)+(Besatzung!$F$15="x")*IFERROR(H67,0)/IFERROR(SUMPRODUCT((J67:U67="x")*(Besatzung!$F$11:$F$22="x")),1))),(IF(COUNTIF(J67:U67,"x")=0,IF(Besatzung!$B$13&lt;&gt;"",1,0),(N67="x"))*(G67-IFERROR(H67,0))/IFERROR(IF(COUNTIF(J67:U67,"x")=0,COUNTA(Besatzung!$B$11:$B$22),COUNTIF(J67:U67,"x")),1)+IF(COUNTIF(J67:U67,"x")=0,(Besatzung!$F$15="x"),(N67="x")*(Besatzung!$F$15="x"))*IFERROR(H67,0)/IFERROR(IF(COUNTIF(J67:U67,"x")=0,SUMPRODUCT((Besatzung!$B$11:$B$22&lt;&gt;"")*(Besatzung!$F$11:$F$22="x")),SUMPRODUCT((J67:U67="x")*(Besatzung!$F$11:$F$22="x"))),1))))),0))))</f>
        <v/>
      </c>
      <c r="AA67" s="106">
        <f>IF(C67="Gutschrift","",IF(G67="","",IF(Besatzung!$B$15="","",IFERROR(IF(I67="Zeitanteilig",(Besatzung!$G$16*(G67-IFERROR(H67,0))+((Besatzung!$B$15&lt;&gt;"")*IF(B67="",1,(IF(Besatzung!$C$16="",Besatzung!$B$5,Besatzung!$C$16)&lt;=B67)*(IF(Besatzung!$D$16="",Besatzung!$B$6,Besatzung!$D$16)&gt;=B67)))*(Besatzung!$F$16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$15&lt;&gt;"")*IF(B67="",1,(IF(Besatzung!$C$16="",Besatzung!$B$5,Besatzung!$C$16)&lt;=B67)*(IF(Besatzung!$D$16="",Besatzung!$B$6,Besatzung!$D$16)&gt;=B67)))*((G67-IFERROR(H67,0))/IFERROR(SUMPRODUCT((Besatzung!$B$11:$B$22&lt;&gt;"")*(IF(Besatzung!$C$11:$C$22="",Besatzung!$B$5,Besatzung!$C$11:$C$22)&lt;=B67)*(IF(Besatzung!$D$11:$D$22="",Besatzung!$B$6,Besatzung!$D$11:$D$22)&gt;=B67)),1)+(Besatzung!$F$16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O67="x")*((G67-IFERROR(H67,0))/IFERROR(COUNTIF(J67:U67,"x"),1)+(Besatzung!$F$16="x")*IFERROR(H67,0)/IFERROR(SUMPRODUCT((J67:U67="x")*(Besatzung!$F$11:$F$22="x")),1))),(IF(COUNTIF(J67:U67,"x")=0,IF(Besatzung!$B$15&lt;&gt;"",1,0),(O67="x"))*(G67-IFERROR(H67,0))/IFERROR(IF(COUNTIF(J67:U67,"x")=0,COUNTA(Besatzung!$B$11:$B$22),COUNTIF(J67:U67,"x")),1)+IF(COUNTIF(J67:U67,"x")=0,(Besatzung!$F$16="x"),(O67="x")*(Besatzung!$F$16="x"))*IFERROR(H67,0)/IFERROR(IF(COUNTIF(J67:U67,"x")=0,SUMPRODUCT((Besatzung!$B$11:$B$22&lt;&gt;"")*(Besatzung!$F$11:$F$22="x")),SUMPRODUCT((J67:U67="x")*(Besatzung!$F$11:$F$22="x"))),1))))),0))))</f>
        <v/>
      </c>
      <c r="AB67" s="106">
        <f>IF(C67="Gutschrift","",IF(G67="","",IF(Besatzung!$B$17="","",IFERROR(IF(I67="Zeitanteilig",(Besatzung!$G$17*(G67-IFERROR(H67,0))+((Besatzung!$B$17&lt;&gt;"")*IF(B67="",1,(IF(Besatzung!$C$17="",Besatzung!$B$5,Besatzung!$C$17)&lt;=B67)*(IF(Besatzung!$D$17="",Besatzung!$B$6,Besatzung!$D$17)&gt;=B67)))*(Besatzung!$F$17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$17&lt;&gt;"")*IF(B67="",1,(IF(Besatzung!$C$17="",Besatzung!$B$5,Besatzung!$C$17)&lt;=B67)*(IF(Besatzung!$D$17="",Besatzung!$B$6,Besatzung!$D$17)&gt;=B67)))*((G67-IFERROR(H67,0))/IFERROR(SUMPRODUCT((Besatzung!$B$11:$B$22&lt;&gt;"")*(IF(Besatzung!$C$11:$C$22="",Besatzung!$B$5,Besatzung!$C$11:$C$22)&lt;=B67)*(IF(Besatzung!$D$11:$D$22="",Besatzung!$B$6,Besatzung!$D$11:$D$22)&gt;=B67)),1)+(Besatzung!$F$17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P67="x")*((G67-IFERROR(H67,0))/IFERROR(COUNTIF(J67:U67,"x"),1)+(Besatzung!$F$17="x")*IFERROR(H67,0)/IFERROR(SUMPRODUCT((J67:U67="x")*(Besatzung!$F$11:$F$22="x")),1))),(IF(COUNTIF(J67:U67,"x")=0,IF(Besatzung!$B$17&lt;&gt;"",1,0),(P67="x"))*(G67-IFERROR(H67,0))/IFERROR(IF(COUNTIF(J67:U67,"x")=0,COUNTA(Besatzung!$B$11:$B$22),COUNTIF(J67:U67,"x")),1)+IF(COUNTIF(J67:U67,"x")=0,(Besatzung!$F$17="x"),(P67="x")*(Besatzung!$F$17="x"))*IFERROR(H67,0)/IFERROR(IF(COUNTIF(J67:U67,"x")=0,SUMPRODUCT((Besatzung!$B$11:$B$22&lt;&gt;"")*(Besatzung!$F$11:$F$22="x")),SUMPRODUCT((J67:U67="x")*(Besatzung!$F$11:$F$22="x"))),1))))),0))))</f>
        <v/>
      </c>
      <c r="AC67" s="106">
        <f>IF(C67="Gutschrift","",IF(G67="","",IF(Besatzung!$B$18="","",IFERROR(IF(I67="Zeitanteilig",(Besatzung!$G$18*(G67-IFERROR(H67,0))+((Besatzung!$B$18&lt;&gt;"")*IF(B67="",1,(IF(Besatzung!$C$18="",Besatzung!$B$5,Besatzung!$C$18)&lt;=B67)*(IF(Besatzung!$D$18="",Besatzung!$B$6,Besatzung!$D$18)&gt;=B67)))*(Besatzung!$F$18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$18&lt;&gt;"")*IF(B67="",1,(IF(Besatzung!$C$18="",Besatzung!$B$5,Besatzung!$C$18)&lt;=B67)*(IF(Besatzung!$D$18="",Besatzung!$B$6,Besatzung!$D$18)&gt;=B67)))*((G67-IFERROR(H67,0))/IFERROR(SUMPRODUCT((Besatzung!$B$11:$B$22&lt;&gt;"")*(IF(Besatzung!$C$11:$C$22="",Besatzung!$B$5,Besatzung!$C$11:$C$22)&lt;=B67)*(IF(Besatzung!$D$11:$D$22="",Besatzung!$B$6,Besatzung!$D$11:$D$22)&gt;=B67)),1)+(Besatzung!$F$18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Q67="x")*((G67-IFERROR(H67,0))/IFERROR(COUNTIF(J67:U67,"x"),1)+(Besatzung!$F$18="x")*IFERROR(H67,0)/IFERROR(SUMPRODUCT((J67:U67="x")*(Besatzung!$F$11:$F$22="x")),1))),(IF(COUNTIF(J67:U67,"x")=0,IF(Besatzung!$B$18&lt;&gt;"",1,0),(Q67="x"))*(G67-IFERROR(H67,0))/IFERROR(IF(COUNTIF(J67:U67,"x")=0,COUNTA(Besatzung!$B$11:$B$22),COUNTIF(J67:U67,"x")),1)+IF(COUNTIF(J67:U67,"x")=0,(Besatzung!$F$18="x"),(Q67="x")*(Besatzung!$F$18="x"))*IFERROR(H67,0)/IFERROR(IF(COUNTIF(J67:U67,"x")=0,SUMPRODUCT((Besatzung!$B$11:$B$22&lt;&gt;"")*(Besatzung!$F$11:$F$22="x")),SUMPRODUCT((J67:U67="x")*(Besatzung!$F$11:$F$22="x"))),1))))),0))))</f>
        <v/>
      </c>
      <c r="AD67" s="106">
        <f>IF(C67="Gutschrift","",IF(G67="","",IF(Besatzung!$B$19="","",IFERROR(IF(I67="Zeitanteilig",(Besatzung!$G$19*(G67-IFERROR(H67,0))+((Besatzung!$B$19&lt;&gt;"")*IF(B67="",1,(IF(Besatzung!$C$19="",Besatzung!$B$5,Besatzung!$C$19)&lt;=B67)*(IF(Besatzung!$D$19="",Besatzung!$B$6,Besatzung!$D$19)&gt;=B67)))*(Besatzung!$F$19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$19&lt;&gt;"")*IF(B67="",1,(IF(Besatzung!$C$19="",Besatzung!$B$5,Besatzung!$C$19)&lt;=B67)*(IF(Besatzung!$D$19="",Besatzung!$B$6,Besatzung!$D$19)&gt;=B67)))*((G67-IFERROR(H67,0))/IFERROR(SUMPRODUCT((Besatzung!$B$11:$B$22&lt;&gt;"")*(IF(Besatzung!$C$11:$C$22="",Besatzung!$B$5,Besatzung!$C$11:$C$22)&lt;=B67)*(IF(Besatzung!$D$11:$D$22="",Besatzung!$B$6,Besatzung!$D$11:$D$22)&gt;=B67)),1)+(Besatzung!$F$19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R67="x")*((G67-IFERROR(H67,0))/IFERROR(COUNTIF(J67:U67,"x"),1)+(Besatzung!$F$19="x")*IFERROR(H67,0)/IFERROR(SUMPRODUCT((J67:U67="x")*(Besatzung!$F$11:$F$22="x")),1))),(IF(COUNTIF(J67:U67,"x")=0,IF(Besatzung!$B$19&lt;&gt;"",1,0),(R67="x"))*(G67-IFERROR(H67,0))/IFERROR(IF(COUNTIF(J67:U67,"x")=0,COUNTA(Besatzung!$B$11:$B$22),COUNTIF(J67:U67,"x")),1)+IF(COUNTIF(J67:U67,"x")=0,(Besatzung!$F$19="x"),(R67="x")*(Besatzung!$F$19="x"))*IFERROR(H67,0)/IFERROR(IF(COUNTIF(J67:U67,"x")=0,SUMPRODUCT((Besatzung!$B$11:$B$22&lt;&gt;"")*(Besatzung!$F$11:$F$22="x")),SUMPRODUCT((J67:U67="x")*(Besatzung!$F$11:$F$22="x"))),1))))),0))))</f>
        <v/>
      </c>
      <c r="AE67" s="106">
        <f>IF(C67="Gutschrift","",IF(G67="","",IF(Besatzung!$B$20="","",IFERROR(IF(I67="Zeitanteilig",(Besatzung!$G$20*(G67-IFERROR(H67,0))+((Besatzung!$B$20&lt;&gt;"")*IF(B67="",1,(IF(Besatzung!$C$20="",Besatzung!$B$5,Besatzung!$C$20)&lt;=B67)*(IF(Besatzung!$D$20="",Besatzung!$B$6,Besatzung!$D$20)&gt;=B67)))*(Besatzung!$F$20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$20&lt;&gt;"")*IF(B67="",1,(IF(Besatzung!$C$20="",Besatzung!$B$5,Besatzung!$C$20)&lt;=B67)*(IF(Besatzung!$D$20="",Besatzung!$B$6,Besatzung!$D$20)&gt;=B67)))*((G67-IFERROR(H67,0))/IFERROR(SUMPRODUCT((Besatzung!$B$11:$B$22&lt;&gt;"")*(IF(Besatzung!$C$11:$C$22="",Besatzung!$B$5,Besatzung!$C$11:$C$22)&lt;=B67)*(IF(Besatzung!$D$11:$D$22="",Besatzung!$B$6,Besatzung!$D$11:$D$22)&gt;=B67)),1)+(Besatzung!$F$20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S67="x")*((G67-IFERROR(H67,0))/IFERROR(COUNTIF(J67:U67,"x"),1)+(Besatzung!$F$20="x")*IFERROR(H67,0)/IFERROR(SUMPRODUCT((J67:U67="x")*(Besatzung!$F$11:$F$22="x")),1))),(IF(COUNTIF(J67:U67,"x")=0,IF(Besatzung!$B$20&lt;&gt;"",1,0),(S67="x"))*(G67-IFERROR(H67,0))/IFERROR(IF(COUNTIF(J67:U67,"x")=0,COUNTA(Besatzung!$B$11:$B$22),COUNTIF(J67:U67,"x")),1)+IF(COUNTIF(J67:U67,"x")=0,(Besatzung!$F$20="x"),(S67="x")*(Besatzung!$F$20="x"))*IFERROR(H67,0)/IFERROR(IF(COUNTIF(J67:U67,"x")=0,SUMPRODUCT((Besatzung!$B$11:$B$22&lt;&gt;"")*(Besatzung!$F$11:$F$22="x")),SUMPRODUCT((J67:U67="x")*(Besatzung!$F$11:$F$22="x"))),1))))),0))))</f>
        <v/>
      </c>
      <c r="AF67" s="106">
        <f>IF(C67="Gutschrift","",IF(G67="","",IF(Besatzung!$B$21="","",IFERROR(IF(I67="Zeitanteilig",(Besatzung!$G$21*(G67-IFERROR(H67,0))+((Besatzung!$B$21&lt;&gt;"")*IF(B67="",1,(IF(Besatzung!$C$21="",Besatzung!$B$5,Besatzung!$C$21)&lt;=B67)*(IF(Besatzung!$D$21="",Besatzung!$B$6,Besatzung!$D$21)&gt;=B67)))*(Besatzung!$F$21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$21&lt;&gt;"")*IF(B67="",1,(IF(Besatzung!$C$21="",Besatzung!$B$5,Besatzung!$C$21)&lt;=B67)*(IF(Besatzung!$D$21="",Besatzung!$B$6,Besatzung!$D$21)&gt;=B67)))*((G67-IFERROR(H67,0))/IFERROR(SUMPRODUCT((Besatzung!$B$11:$B$22&lt;&gt;"")*(IF(Besatzung!$C$11:$C$22="",Besatzung!$B$5,Besatzung!$C$11:$C$22)&lt;=B67)*(IF(Besatzung!$D$11:$D$22="",Besatzung!$B$6,Besatzung!$D$11:$D$22)&gt;=B67)),1)+(Besatzung!$F$21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T67="x")*((G67-IFERROR(H67,0))/IFERROR(COUNTIF(J67:U67,"x"),1)+(Besatzung!$F$21="x")*IFERROR(H67,0)/IFERROR(SUMPRODUCT((J67:U67="x")*(Besatzung!$F$11:$F$22="x")),1))),(IF(COUNTIF(J67:U67,"x")=0,IF(Besatzung!$B$21&lt;&gt;"",1,0),(T67="x"))*(G67-IFERROR(H67,0))/IFERROR(IF(COUNTIF(J67:U67,"x")=0,COUNTA(Besatzung!$B$11:$B$22),COUNTIF(J67:U67,"x")),1)+IF(COUNTIF(J67:U67,"x")=0,(Besatzung!$F$21="x"),(T67="x")*(Besatzung!$F$21="x"))*IFERROR(H67,0)/IFERROR(IF(COUNTIF(J67:U67,"x")=0,SUMPRODUCT((Besatzung!$B$11:$B$22&lt;&gt;"")*(Besatzung!$F$11:$F$22="x")),SUMPRODUCT((J67:U67="x")*(Besatzung!$F$11:$F$22="x"))),1))))),0))))</f>
        <v/>
      </c>
      <c r="AG67" s="106">
        <f>IF(C67="Gutschrift","",IF(G67="","",IF(Besatzung!$B$22="","",IFERROR(IF(I67="Zeitanteilig",(Besatzung!$G$22*(G67-IFERROR(H67,0))+((Besatzung!$B$22&lt;&gt;"")*IF(B67="",1,(IF(Besatzung!$C$22="",Besatzung!$B$5,Besatzung!$C$22)&lt;=B67)*(IF(Besatzung!$D$22="",Besatzung!$B$6,Besatzung!$D$22)&gt;=B67)))*(Besatzung!$F$22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$22&lt;&gt;"")*IF(B67="",1,(IF(Besatzung!$C$22="",Besatzung!$B$5,Besatzung!$C$22)&lt;=B67)*(IF(Besatzung!$D$22="",Besatzung!$B$6,Besatzung!$D$22)&gt;=B67)))*((G67-IFERROR(H67,0))/IFERROR(SUMPRODUCT((Besatzung!$B$11:$B$22&lt;&gt;"")*(IF(Besatzung!$C$11:$C$22="",Besatzung!$B$5,Besatzung!$C$11:$C$22)&lt;=B67)*(IF(Besatzung!$D$11:$D$22="",Besatzung!$B$6,Besatzung!$D$11:$D$22)&gt;=B67)),1)+(Besatzung!$F$22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U67="x")*((G67-IFERROR(H67,0))/IFERROR(COUNTIF(J67:U67,"x"),1)+(Besatzung!$F$22="x")*IFERROR(H67,0)/IFERROR(SUMPRODUCT((J67:U67="x")*(Besatzung!$F$11:$F$22="x")),1))),(IF(COUNTIF(J67:U67,"x")=0,IF(Besatzung!$B$22&lt;&gt;"",1,0),(U67="x"))*(G67-IFERROR(H67,0))/IFERROR(IF(COUNTIF(J67:U67,"x")=0,COUNTA(Besatzung!$B$11:$B$22),COUNTIF(J67:U67,"x")),1)+IF(COUNTIF(J67:U67,"x")=0,(Besatzung!$F$22="x"),(U67="x")*(Besatzung!$F$22="x"))*IFERROR(H67,0)/IFERROR(IF(COUNTIF(J67:U67,"x")=0,SUMPRODUCT((Besatzung!$B$11:$B$22&lt;&gt;"")*(Besatzung!$F$11:$F$22="x")),SUMPRODUCT((J67:U67="x")*(Besatzung!$F$11:$F$22="x"))),1))))),0))))</f>
        <v/>
      </c>
      <c r="AH67" s="107" t="n"/>
      <c r="AI67" s="107" t="n"/>
    </row>
    <row r="68" ht="21.75" customHeight="1" s="182">
      <c r="A68" s="97">
        <f>IF(AND(D68="",C68=""),"",65)</f>
        <v/>
      </c>
      <c r="B68" s="56" t="n"/>
      <c r="C68" s="98" t="n"/>
      <c r="D68" s="99" t="n"/>
      <c r="E68" s="100" t="n"/>
      <c r="F68" s="101" t="n"/>
      <c r="G68" s="102" t="n"/>
      <c r="H68" s="103" t="n"/>
      <c r="I68" s="104" t="n"/>
      <c r="J68" s="105" t="n"/>
      <c r="K68" s="105" t="n"/>
      <c r="L68" s="105" t="n"/>
      <c r="M68" s="105" t="n"/>
      <c r="N68" s="105" t="n"/>
      <c r="O68" s="105" t="n"/>
      <c r="P68" s="105" t="n"/>
      <c r="Q68" s="105" t="n"/>
      <c r="R68" s="105" t="n"/>
      <c r="S68" s="105" t="n"/>
      <c r="T68" s="105" t="n"/>
      <c r="U68" s="105" t="n"/>
      <c r="V68" s="106">
        <f>IF(C68="Gutschrift","",IF(G68="","",IF(Besatzung!$B$11="","",IFERROR(IF(I68="Zeitanteilig",(Besatzung!$G$11*(G68-IFERROR(H68,0))+((Besatzung!$B$11&lt;&gt;"")*IF(B68="",1,(IF(Besatzung!$C$11="",Besatzung!$B$5,Besatzung!$C$11)&lt;=B68)*(IF(Besatzung!$D$11="",Besatzung!$B$6,Besatzung!$D$11)&gt;=B68)))*(Besatzung!$F$11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$11&lt;&gt;"")*IF(B68="",1,(IF(Besatzung!$C$11="",Besatzung!$B$5,Besatzung!$C$11)&lt;=B68)*(IF(Besatzung!$D$11="",Besatzung!$B$6,Besatzung!$D$11)&gt;=B68)))*((G68-IFERROR(H68,0))/IFERROR(SUMPRODUCT((Besatzung!$B$11:$B$22&lt;&gt;"")*(IF(Besatzung!$C$11:$C$22="",Besatzung!$B$5,Besatzung!$C$11:$C$22)&lt;=B68)*(IF(Besatzung!$D$11:$D$22="",Besatzung!$B$6,Besatzung!$D$11:$D$22)&gt;=B68)),1)+(Besatzung!$F$11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J68="x")*((G68-IFERROR(H68,0))/IFERROR(COUNTIF(J68:U68,"x"),1)+(Besatzung!$F$11="x")*IFERROR(H68,0)/IFERROR(SUMPRODUCT((J68:U68="x")*(Besatzung!$F$11:$F$22="x")),1))),(IF(COUNTIF(J68:U68,"x")=0,IF(Besatzung!$B$11&lt;&gt;"",1,0),(J68="x"))*(G68-IFERROR(H68,0))/IFERROR(IF(COUNTIF(J68:U68,"x")=0,COUNTA(Besatzung!$B$11:$B$22),COUNTIF(J68:U68,"x")),1)+IF(COUNTIF(J68:U68,"x")=0,(Besatzung!$F$11="x"),(J68="x")*(Besatzung!$F$11="x"))*IFERROR(H68,0)/IFERROR(IF(COUNTIF(J68:U68,"x")=0,SUMPRODUCT((Besatzung!$B$11:$B$22&lt;&gt;"")*(Besatzung!$F$11:$F$22="x")),SUMPRODUCT((J68:U68="x")*(Besatzung!$F$11:$F$22="x"))),1))))),0))))</f>
        <v/>
      </c>
      <c r="W68" s="106">
        <f>IF(C68="Gutschrift","",IF(G68="","",IF(Besatzung!$B$12="","",IFERROR(IF(I68="Zeitanteilig",(Besatzung!$G$12*(G68-IFERROR(H68,0))+((Besatzung!$B$12&lt;&gt;"")*IF(B68="",1,(IF(Besatzung!$C$12="",Besatzung!$B$5,Besatzung!$C$12)&lt;=B68)*(IF(Besatzung!$D$12="",Besatzung!$B$6,Besatzung!$D$12)&gt;=B68)))*(Besatzung!$F$12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$12&lt;&gt;"")*IF(B68="",1,(IF(Besatzung!$C$12="",Besatzung!$B$5,Besatzung!$C$12)&lt;=B68)*(IF(Besatzung!$D$12="",Besatzung!$B$6,Besatzung!$D$12)&gt;=B68)))*((G68-IFERROR(H68,0))/IFERROR(SUMPRODUCT((Besatzung!$B$11:$B$22&lt;&gt;"")*(IF(Besatzung!$C$11:$C$22="",Besatzung!$B$5,Besatzung!$C$11:$C$22)&lt;=B68)*(IF(Besatzung!$D$11:$D$22="",Besatzung!$B$6,Besatzung!$D$11:$D$22)&gt;=B68)),1)+(Besatzung!$F$12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K68="x")*((G68-IFERROR(H68,0))/IFERROR(COUNTIF(J68:U68,"x"),1)+(Besatzung!$F$12="x")*IFERROR(H68,0)/IFERROR(SUMPRODUCT((J68:U68="x")*(Besatzung!$F$11:$F$22="x")),1))),(IF(COUNTIF(J68:U68,"x")=0,IF(Besatzung!$B$12&lt;&gt;"",1,0),(K68="x"))*(G68-IFERROR(H68,0))/IFERROR(IF(COUNTIF(J68:U68,"x")=0,COUNTA(Besatzung!$B$11:$B$22),COUNTIF(J68:U68,"x")),1)+IF(COUNTIF(J68:U68,"x")=0,(Besatzung!$F$12="x"),(K68="x")*(Besatzung!$F$12="x"))*IFERROR(H68,0)/IFERROR(IF(COUNTIF(J68:U68,"x")=0,SUMPRODUCT((Besatzung!$B$11:$B$22&lt;&gt;"")*(Besatzung!$F$11:$F$22="x")),SUMPRODUCT((J68:U68="x")*(Besatzung!$F$11:$F$22="x"))),1))))),0))))</f>
        <v/>
      </c>
      <c r="X68" s="106">
        <f>IF(C68="Gutschrift","",IF(G68="","",IF(Besatzung!$B$13="","",IFERROR(IF(I68="Zeitanteilig",(Besatzung!$G$13*(G68-IFERROR(H68,0))+((Besatzung!$B$13&lt;&gt;"")*IF(B68="",1,(IF(Besatzung!$C$13="",Besatzung!$B$5,Besatzung!$C$13)&lt;=B68)*(IF(Besatzung!$D$13="",Besatzung!$B$6,Besatzung!$D$13)&gt;=B68)))*(Besatzung!$F$13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$13&lt;&gt;"")*IF(B68="",1,(IF(Besatzung!$C$13="",Besatzung!$B$5,Besatzung!$C$13)&lt;=B68)*(IF(Besatzung!$D$13="",Besatzung!$B$6,Besatzung!$D$13)&gt;=B68)))*((G68-IFERROR(H68,0))/IFERROR(SUMPRODUCT((Besatzung!$B$11:$B$22&lt;&gt;"")*(IF(Besatzung!$C$11:$C$22="",Besatzung!$B$5,Besatzung!$C$11:$C$22)&lt;=B68)*(IF(Besatzung!$D$11:$D$22="",Besatzung!$B$6,Besatzung!$D$11:$D$22)&gt;=B68)),1)+(Besatzung!$F$13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K68="x")*((G68-IFERROR(H68,0))/IFERROR(COUNTIF(J68:U68,"x"),1)+(Besatzung!$F$13="x")*IFERROR(H68,0)/IFERROR(SUMPRODUCT((J68:U68="x")*(Besatzung!$F$11:$F$22="x")),1))),(IF(COUNTIF(J68:U68,"x")=0,IF(Besatzung!$B$13&lt;&gt;"",1,0),(K68="x"))*(G68-IFERROR(H68,0))/IFERROR(IF(COUNTIF(J68:U68,"x")=0,COUNTA(Besatzung!$B$11:$B$22),COUNTIF(J68:U68,"x")),1)+IF(COUNTIF(J68:U68,"x")=0,(Besatzung!$F$13="x"),(K68="x")*(Besatzung!$F$13="x"))*IFERROR(H68,0)/IFERROR(IF(COUNTIF(J68:U68,"x")=0,SUMPRODUCT((Besatzung!$B$11:$B$22&lt;&gt;"")*(Besatzung!$F$11:$F$22="x")),SUMPRODUCT((J68:U68="x")*(Besatzung!$F$11:$F$22="x"))),1))))),0))))</f>
        <v/>
      </c>
      <c r="Y68" s="106">
        <f>IF(C68="Gutschrift","",IF(G68="","",IF(Besatzung!$B$14="","",IFERROR(IF(I68="Zeitanteilig",(Besatzung!$G$14*(G68-IFERROR(H68,0))+((Besatzung!$B$14&lt;&gt;"")*IF(B68="",1,(IF(Besatzung!$C$14="",Besatzung!$B$5,Besatzung!$C$14)&lt;=B68)*(IF(Besatzung!$D$14="",Besatzung!$B$6,Besatzung!$D$14)&gt;=B68)))*(Besatzung!$F$14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$14&lt;&gt;"")*IF(B68="",1,(IF(Besatzung!$C$14="",Besatzung!$B$5,Besatzung!$C$14)&lt;=B68)*(IF(Besatzung!$D$14="",Besatzung!$B$6,Besatzung!$D$14)&gt;=B68)))*((G68-IFERROR(H68,0))/IFERROR(SUMPRODUCT((Besatzung!$B$11:$B$22&lt;&gt;"")*(IF(Besatzung!$C$11:$C$22="",Besatzung!$B$5,Besatzung!$C$11:$C$22)&lt;=B68)*(IF(Besatzung!$D$11:$D$22="",Besatzung!$B$6,Besatzung!$D$11:$D$22)&gt;=B68)),1)+(Besatzung!$F$14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M68="x")*((G68-IFERROR(H68,0))/IFERROR(COUNTIF(J68:U68,"x"),1)+(Besatzung!$F$14="x")*IFERROR(H68,0)/IFERROR(SUMPRODUCT((J68:U68="x")*(Besatzung!$F$11:$F$22="x")),1))),(IF(COUNTIF(J68:U68,"x")=0,IF(Besatzung!$B$14&lt;&gt;"",1,0),(M68="x"))*(G68-IFERROR(H68,0))/IFERROR(IF(COUNTIF(J68:U68,"x")=0,COUNTA(Besatzung!$B$11:$B$22),COUNTIF(J68:U68,"x")),1)+IF(COUNTIF(J68:U68,"x")=0,(Besatzung!$F$14="x"),(M68="x")*(Besatzung!$F$14="x"))*IFERROR(H68,0)/IFERROR(IF(COUNTIF(J68:U68,"x")=0,SUMPRODUCT((Besatzung!$B$11:$B$22&lt;&gt;"")*(Besatzung!$F$11:$F$22="x")),SUMPRODUCT((J68:U68="x")*(Besatzung!$F$11:$F$22="x"))),1))))),0))))</f>
        <v/>
      </c>
      <c r="Z68" s="106">
        <f>IF(C68="Gutschrift","",IF(G68="","",IF(Besatzung!$B$13="","",IFERROR(IF(I68="Zeitanteilig",(Besatzung!$G$15*(G68-IFERROR(H68,0))+((Besatzung!$B$13&lt;&gt;"")*IF(B68="",1,(IF(Besatzung!$C$15="",Besatzung!$B$5,Besatzung!$C$15)&lt;=B68)*(IF(Besatzung!$D$15="",Besatzung!$B$6,Besatzung!$D$15)&gt;=B68)))*(Besatzung!$F$15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$13&lt;&gt;"")*IF(B68="",1,(IF(Besatzung!$C$15="",Besatzung!$B$5,Besatzung!$C$15)&lt;=B68)*(IF(Besatzung!$D$15="",Besatzung!$B$6,Besatzung!$D$15)&gt;=B68)))*((G68-IFERROR(H68,0))/IFERROR(SUMPRODUCT((Besatzung!$B$11:$B$22&lt;&gt;"")*(IF(Besatzung!$C$11:$C$22="",Besatzung!$B$5,Besatzung!$C$11:$C$22)&lt;=B68)*(IF(Besatzung!$D$11:$D$22="",Besatzung!$B$6,Besatzung!$D$11:$D$22)&gt;=B68)),1)+(Besatzung!$F$15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N68="x")*((G68-IFERROR(H68,0))/IFERROR(COUNTIF(J68:U68,"x"),1)+(Besatzung!$F$15="x")*IFERROR(H68,0)/IFERROR(SUMPRODUCT((J68:U68="x")*(Besatzung!$F$11:$F$22="x")),1))),(IF(COUNTIF(J68:U68,"x")=0,IF(Besatzung!$B$13&lt;&gt;"",1,0),(N68="x"))*(G68-IFERROR(H68,0))/IFERROR(IF(COUNTIF(J68:U68,"x")=0,COUNTA(Besatzung!$B$11:$B$22),COUNTIF(J68:U68,"x")),1)+IF(COUNTIF(J68:U68,"x")=0,(Besatzung!$F$15="x"),(N68="x")*(Besatzung!$F$15="x"))*IFERROR(H68,0)/IFERROR(IF(COUNTIF(J68:U68,"x")=0,SUMPRODUCT((Besatzung!$B$11:$B$22&lt;&gt;"")*(Besatzung!$F$11:$F$22="x")),SUMPRODUCT((J68:U68="x")*(Besatzung!$F$11:$F$22="x"))),1))))),0))))</f>
        <v/>
      </c>
      <c r="AA68" s="106">
        <f>IF(C68="Gutschrift","",IF(G68="","",IF(Besatzung!$B$15="","",IFERROR(IF(I68="Zeitanteilig",(Besatzung!$G$16*(G68-IFERROR(H68,0))+((Besatzung!$B$15&lt;&gt;"")*IF(B68="",1,(IF(Besatzung!$C$16="",Besatzung!$B$5,Besatzung!$C$16)&lt;=B68)*(IF(Besatzung!$D$16="",Besatzung!$B$6,Besatzung!$D$16)&gt;=B68)))*(Besatzung!$F$16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$15&lt;&gt;"")*IF(B68="",1,(IF(Besatzung!$C$16="",Besatzung!$B$5,Besatzung!$C$16)&lt;=B68)*(IF(Besatzung!$D$16="",Besatzung!$B$6,Besatzung!$D$16)&gt;=B68)))*((G68-IFERROR(H68,0))/IFERROR(SUMPRODUCT((Besatzung!$B$11:$B$22&lt;&gt;"")*(IF(Besatzung!$C$11:$C$22="",Besatzung!$B$5,Besatzung!$C$11:$C$22)&lt;=B68)*(IF(Besatzung!$D$11:$D$22="",Besatzung!$B$6,Besatzung!$D$11:$D$22)&gt;=B68)),1)+(Besatzung!$F$16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O68="x")*((G68-IFERROR(H68,0))/IFERROR(COUNTIF(J68:U68,"x"),1)+(Besatzung!$F$16="x")*IFERROR(H68,0)/IFERROR(SUMPRODUCT((J68:U68="x")*(Besatzung!$F$11:$F$22="x")),1))),(IF(COUNTIF(J68:U68,"x")=0,IF(Besatzung!$B$15&lt;&gt;"",1,0),(O68="x"))*(G68-IFERROR(H68,0))/IFERROR(IF(COUNTIF(J68:U68,"x")=0,COUNTA(Besatzung!$B$11:$B$22),COUNTIF(J68:U68,"x")),1)+IF(COUNTIF(J68:U68,"x")=0,(Besatzung!$F$16="x"),(O68="x")*(Besatzung!$F$16="x"))*IFERROR(H68,0)/IFERROR(IF(COUNTIF(J68:U68,"x")=0,SUMPRODUCT((Besatzung!$B$11:$B$22&lt;&gt;"")*(Besatzung!$F$11:$F$22="x")),SUMPRODUCT((J68:U68="x")*(Besatzung!$F$11:$F$22="x"))),1))))),0))))</f>
        <v/>
      </c>
      <c r="AB68" s="106">
        <f>IF(C68="Gutschrift","",IF(G68="","",IF(Besatzung!$B$17="","",IFERROR(IF(I68="Zeitanteilig",(Besatzung!$G$17*(G68-IFERROR(H68,0))+((Besatzung!$B$17&lt;&gt;"")*IF(B68="",1,(IF(Besatzung!$C$17="",Besatzung!$B$5,Besatzung!$C$17)&lt;=B68)*(IF(Besatzung!$D$17="",Besatzung!$B$6,Besatzung!$D$17)&gt;=B68)))*(Besatzung!$F$17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$17&lt;&gt;"")*IF(B68="",1,(IF(Besatzung!$C$17="",Besatzung!$B$5,Besatzung!$C$17)&lt;=B68)*(IF(Besatzung!$D$17="",Besatzung!$B$6,Besatzung!$D$17)&gt;=B68)))*((G68-IFERROR(H68,0))/IFERROR(SUMPRODUCT((Besatzung!$B$11:$B$22&lt;&gt;"")*(IF(Besatzung!$C$11:$C$22="",Besatzung!$B$5,Besatzung!$C$11:$C$22)&lt;=B68)*(IF(Besatzung!$D$11:$D$22="",Besatzung!$B$6,Besatzung!$D$11:$D$22)&gt;=B68)),1)+(Besatzung!$F$17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P68="x")*((G68-IFERROR(H68,0))/IFERROR(COUNTIF(J68:U68,"x"),1)+(Besatzung!$F$17="x")*IFERROR(H68,0)/IFERROR(SUMPRODUCT((J68:U68="x")*(Besatzung!$F$11:$F$22="x")),1))),(IF(COUNTIF(J68:U68,"x")=0,IF(Besatzung!$B$17&lt;&gt;"",1,0),(P68="x"))*(G68-IFERROR(H68,0))/IFERROR(IF(COUNTIF(J68:U68,"x")=0,COUNTA(Besatzung!$B$11:$B$22),COUNTIF(J68:U68,"x")),1)+IF(COUNTIF(J68:U68,"x")=0,(Besatzung!$F$17="x"),(P68="x")*(Besatzung!$F$17="x"))*IFERROR(H68,0)/IFERROR(IF(COUNTIF(J68:U68,"x")=0,SUMPRODUCT((Besatzung!$B$11:$B$22&lt;&gt;"")*(Besatzung!$F$11:$F$22="x")),SUMPRODUCT((J68:U68="x")*(Besatzung!$F$11:$F$22="x"))),1))))),0))))</f>
        <v/>
      </c>
      <c r="AC68" s="106">
        <f>IF(C68="Gutschrift","",IF(G68="","",IF(Besatzung!$B$18="","",IFERROR(IF(I68="Zeitanteilig",(Besatzung!$G$18*(G68-IFERROR(H68,0))+((Besatzung!$B$18&lt;&gt;"")*IF(B68="",1,(IF(Besatzung!$C$18="",Besatzung!$B$5,Besatzung!$C$18)&lt;=B68)*(IF(Besatzung!$D$18="",Besatzung!$B$6,Besatzung!$D$18)&gt;=B68)))*(Besatzung!$F$18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$18&lt;&gt;"")*IF(B68="",1,(IF(Besatzung!$C$18="",Besatzung!$B$5,Besatzung!$C$18)&lt;=B68)*(IF(Besatzung!$D$18="",Besatzung!$B$6,Besatzung!$D$18)&gt;=B68)))*((G68-IFERROR(H68,0))/IFERROR(SUMPRODUCT((Besatzung!$B$11:$B$22&lt;&gt;"")*(IF(Besatzung!$C$11:$C$22="",Besatzung!$B$5,Besatzung!$C$11:$C$22)&lt;=B68)*(IF(Besatzung!$D$11:$D$22="",Besatzung!$B$6,Besatzung!$D$11:$D$22)&gt;=B68)),1)+(Besatzung!$F$18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Q68="x")*((G68-IFERROR(H68,0))/IFERROR(COUNTIF(J68:U68,"x"),1)+(Besatzung!$F$18="x")*IFERROR(H68,0)/IFERROR(SUMPRODUCT((J68:U68="x")*(Besatzung!$F$11:$F$22="x")),1))),(IF(COUNTIF(J68:U68,"x")=0,IF(Besatzung!$B$18&lt;&gt;"",1,0),(Q68="x"))*(G68-IFERROR(H68,0))/IFERROR(IF(COUNTIF(J68:U68,"x")=0,COUNTA(Besatzung!$B$11:$B$22),COUNTIF(J68:U68,"x")),1)+IF(COUNTIF(J68:U68,"x")=0,(Besatzung!$F$18="x"),(Q68="x")*(Besatzung!$F$18="x"))*IFERROR(H68,0)/IFERROR(IF(COUNTIF(J68:U68,"x")=0,SUMPRODUCT((Besatzung!$B$11:$B$22&lt;&gt;"")*(Besatzung!$F$11:$F$22="x")),SUMPRODUCT((J68:U68="x")*(Besatzung!$F$11:$F$22="x"))),1))))),0))))</f>
        <v/>
      </c>
      <c r="AD68" s="106">
        <f>IF(C68="Gutschrift","",IF(G68="","",IF(Besatzung!$B$19="","",IFERROR(IF(I68="Zeitanteilig",(Besatzung!$G$19*(G68-IFERROR(H68,0))+((Besatzung!$B$19&lt;&gt;"")*IF(B68="",1,(IF(Besatzung!$C$19="",Besatzung!$B$5,Besatzung!$C$19)&lt;=B68)*(IF(Besatzung!$D$19="",Besatzung!$B$6,Besatzung!$D$19)&gt;=B68)))*(Besatzung!$F$19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$19&lt;&gt;"")*IF(B68="",1,(IF(Besatzung!$C$19="",Besatzung!$B$5,Besatzung!$C$19)&lt;=B68)*(IF(Besatzung!$D$19="",Besatzung!$B$6,Besatzung!$D$19)&gt;=B68)))*((G68-IFERROR(H68,0))/IFERROR(SUMPRODUCT((Besatzung!$B$11:$B$22&lt;&gt;"")*(IF(Besatzung!$C$11:$C$22="",Besatzung!$B$5,Besatzung!$C$11:$C$22)&lt;=B68)*(IF(Besatzung!$D$11:$D$22="",Besatzung!$B$6,Besatzung!$D$11:$D$22)&gt;=B68)),1)+(Besatzung!$F$19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R68="x")*((G68-IFERROR(H68,0))/IFERROR(COUNTIF(J68:U68,"x"),1)+(Besatzung!$F$19="x")*IFERROR(H68,0)/IFERROR(SUMPRODUCT((J68:U68="x")*(Besatzung!$F$11:$F$22="x")),1))),(IF(COUNTIF(J68:U68,"x")=0,IF(Besatzung!$B$19&lt;&gt;"",1,0),(R68="x"))*(G68-IFERROR(H68,0))/IFERROR(IF(COUNTIF(J68:U68,"x")=0,COUNTA(Besatzung!$B$11:$B$22),COUNTIF(J68:U68,"x")),1)+IF(COUNTIF(J68:U68,"x")=0,(Besatzung!$F$19="x"),(R68="x")*(Besatzung!$F$19="x"))*IFERROR(H68,0)/IFERROR(IF(COUNTIF(J68:U68,"x")=0,SUMPRODUCT((Besatzung!$B$11:$B$22&lt;&gt;"")*(Besatzung!$F$11:$F$22="x")),SUMPRODUCT((J68:U68="x")*(Besatzung!$F$11:$F$22="x"))),1))))),0))))</f>
        <v/>
      </c>
      <c r="AE68" s="106">
        <f>IF(C68="Gutschrift","",IF(G68="","",IF(Besatzung!$B$20="","",IFERROR(IF(I68="Zeitanteilig",(Besatzung!$G$20*(G68-IFERROR(H68,0))+((Besatzung!$B$20&lt;&gt;"")*IF(B68="",1,(IF(Besatzung!$C$20="",Besatzung!$B$5,Besatzung!$C$20)&lt;=B68)*(IF(Besatzung!$D$20="",Besatzung!$B$6,Besatzung!$D$20)&gt;=B68)))*(Besatzung!$F$20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$20&lt;&gt;"")*IF(B68="",1,(IF(Besatzung!$C$20="",Besatzung!$B$5,Besatzung!$C$20)&lt;=B68)*(IF(Besatzung!$D$20="",Besatzung!$B$6,Besatzung!$D$20)&gt;=B68)))*((G68-IFERROR(H68,0))/IFERROR(SUMPRODUCT((Besatzung!$B$11:$B$22&lt;&gt;"")*(IF(Besatzung!$C$11:$C$22="",Besatzung!$B$5,Besatzung!$C$11:$C$22)&lt;=B68)*(IF(Besatzung!$D$11:$D$22="",Besatzung!$B$6,Besatzung!$D$11:$D$22)&gt;=B68)),1)+(Besatzung!$F$20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S68="x")*((G68-IFERROR(H68,0))/IFERROR(COUNTIF(J68:U68,"x"),1)+(Besatzung!$F$20="x")*IFERROR(H68,0)/IFERROR(SUMPRODUCT((J68:U68="x")*(Besatzung!$F$11:$F$22="x")),1))),(IF(COUNTIF(J68:U68,"x")=0,IF(Besatzung!$B$20&lt;&gt;"",1,0),(S68="x"))*(G68-IFERROR(H68,0))/IFERROR(IF(COUNTIF(J68:U68,"x")=0,COUNTA(Besatzung!$B$11:$B$22),COUNTIF(J68:U68,"x")),1)+IF(COUNTIF(J68:U68,"x")=0,(Besatzung!$F$20="x"),(S68="x")*(Besatzung!$F$20="x"))*IFERROR(H68,0)/IFERROR(IF(COUNTIF(J68:U68,"x")=0,SUMPRODUCT((Besatzung!$B$11:$B$22&lt;&gt;"")*(Besatzung!$F$11:$F$22="x")),SUMPRODUCT((J68:U68="x")*(Besatzung!$F$11:$F$22="x"))),1))))),0))))</f>
        <v/>
      </c>
      <c r="AF68" s="106">
        <f>IF(C68="Gutschrift","",IF(G68="","",IF(Besatzung!$B$21="","",IFERROR(IF(I68="Zeitanteilig",(Besatzung!$G$21*(G68-IFERROR(H68,0))+((Besatzung!$B$21&lt;&gt;"")*IF(B68="",1,(IF(Besatzung!$C$21="",Besatzung!$B$5,Besatzung!$C$21)&lt;=B68)*(IF(Besatzung!$D$21="",Besatzung!$B$6,Besatzung!$D$21)&gt;=B68)))*(Besatzung!$F$21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$21&lt;&gt;"")*IF(B68="",1,(IF(Besatzung!$C$21="",Besatzung!$B$5,Besatzung!$C$21)&lt;=B68)*(IF(Besatzung!$D$21="",Besatzung!$B$6,Besatzung!$D$21)&gt;=B68)))*((G68-IFERROR(H68,0))/IFERROR(SUMPRODUCT((Besatzung!$B$11:$B$22&lt;&gt;"")*(IF(Besatzung!$C$11:$C$22="",Besatzung!$B$5,Besatzung!$C$11:$C$22)&lt;=B68)*(IF(Besatzung!$D$11:$D$22="",Besatzung!$B$6,Besatzung!$D$11:$D$22)&gt;=B68)),1)+(Besatzung!$F$21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T68="x")*((G68-IFERROR(H68,0))/IFERROR(COUNTIF(J68:U68,"x"),1)+(Besatzung!$F$21="x")*IFERROR(H68,0)/IFERROR(SUMPRODUCT((J68:U68="x")*(Besatzung!$F$11:$F$22="x")),1))),(IF(COUNTIF(J68:U68,"x")=0,IF(Besatzung!$B$21&lt;&gt;"",1,0),(T68="x"))*(G68-IFERROR(H68,0))/IFERROR(IF(COUNTIF(J68:U68,"x")=0,COUNTA(Besatzung!$B$11:$B$22),COUNTIF(J68:U68,"x")),1)+IF(COUNTIF(J68:U68,"x")=0,(Besatzung!$F$21="x"),(T68="x")*(Besatzung!$F$21="x"))*IFERROR(H68,0)/IFERROR(IF(COUNTIF(J68:U68,"x")=0,SUMPRODUCT((Besatzung!$B$11:$B$22&lt;&gt;"")*(Besatzung!$F$11:$F$22="x")),SUMPRODUCT((J68:U68="x")*(Besatzung!$F$11:$F$22="x"))),1))))),0))))</f>
        <v/>
      </c>
      <c r="AG68" s="106">
        <f>IF(C68="Gutschrift","",IF(G68="","",IF(Besatzung!$B$22="","",IFERROR(IF(I68="Zeitanteilig",(Besatzung!$G$22*(G68-IFERROR(H68,0))+((Besatzung!$B$22&lt;&gt;"")*IF(B68="",1,(IF(Besatzung!$C$22="",Besatzung!$B$5,Besatzung!$C$22)&lt;=B68)*(IF(Besatzung!$D$22="",Besatzung!$B$6,Besatzung!$D$22)&gt;=B68)))*(Besatzung!$F$22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$22&lt;&gt;"")*IF(B68="",1,(IF(Besatzung!$C$22="",Besatzung!$B$5,Besatzung!$C$22)&lt;=B68)*(IF(Besatzung!$D$22="",Besatzung!$B$6,Besatzung!$D$22)&gt;=B68)))*((G68-IFERROR(H68,0))/IFERROR(SUMPRODUCT((Besatzung!$B$11:$B$22&lt;&gt;"")*(IF(Besatzung!$C$11:$C$22="",Besatzung!$B$5,Besatzung!$C$11:$C$22)&lt;=B68)*(IF(Besatzung!$D$11:$D$22="",Besatzung!$B$6,Besatzung!$D$11:$D$22)&gt;=B68)),1)+(Besatzung!$F$22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U68="x")*((G68-IFERROR(H68,0))/IFERROR(COUNTIF(J68:U68,"x"),1)+(Besatzung!$F$22="x")*IFERROR(H68,0)/IFERROR(SUMPRODUCT((J68:U68="x")*(Besatzung!$F$11:$F$22="x")),1))),(IF(COUNTIF(J68:U68,"x")=0,IF(Besatzung!$B$22&lt;&gt;"",1,0),(U68="x"))*(G68-IFERROR(H68,0))/IFERROR(IF(COUNTIF(J68:U68,"x")=0,COUNTA(Besatzung!$B$11:$B$22),COUNTIF(J68:U68,"x")),1)+IF(COUNTIF(J68:U68,"x")=0,(Besatzung!$F$22="x"),(U68="x")*(Besatzung!$F$22="x"))*IFERROR(H68,0)/IFERROR(IF(COUNTIF(J68:U68,"x")=0,SUMPRODUCT((Besatzung!$B$11:$B$22&lt;&gt;"")*(Besatzung!$F$11:$F$22="x")),SUMPRODUCT((J68:U68="x")*(Besatzung!$F$11:$F$22="x"))),1))))),0))))</f>
        <v/>
      </c>
      <c r="AH68" s="107" t="n"/>
      <c r="AI68" s="107" t="n"/>
    </row>
    <row r="69" ht="21.75" customHeight="1" s="182">
      <c r="A69" s="97">
        <f>IF(AND(D69="",C69=""),"",66)</f>
        <v/>
      </c>
      <c r="B69" s="63" t="n"/>
      <c r="C69" s="108" t="n"/>
      <c r="D69" s="109" t="n"/>
      <c r="E69" s="110" t="n"/>
      <c r="F69" s="111" t="n"/>
      <c r="G69" s="112" t="n"/>
      <c r="H69" s="113" t="n"/>
      <c r="I69" s="114" t="n"/>
      <c r="J69" s="115" t="n"/>
      <c r="K69" s="115" t="n"/>
      <c r="L69" s="115" t="n"/>
      <c r="M69" s="115" t="n"/>
      <c r="N69" s="115" t="n"/>
      <c r="O69" s="115" t="n"/>
      <c r="P69" s="115" t="n"/>
      <c r="Q69" s="115" t="n"/>
      <c r="R69" s="115" t="n"/>
      <c r="S69" s="115" t="n"/>
      <c r="T69" s="115" t="n"/>
      <c r="U69" s="115" t="n"/>
      <c r="V69" s="106">
        <f>IF(C69="Gutschrift","",IF(G69="","",IF(Besatzung!$B$11="","",IFERROR(IF(I69="Zeitanteilig",(Besatzung!$G$11*(G69-IFERROR(H69,0))+((Besatzung!$B$11&lt;&gt;"")*IF(B69="",1,(IF(Besatzung!$C$11="",Besatzung!$B$5,Besatzung!$C$11)&lt;=B69)*(IF(Besatzung!$D$11="",Besatzung!$B$6,Besatzung!$D$11)&gt;=B69)))*(Besatzung!$F$11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$11&lt;&gt;"")*IF(B69="",1,(IF(Besatzung!$C$11="",Besatzung!$B$5,Besatzung!$C$11)&lt;=B69)*(IF(Besatzung!$D$11="",Besatzung!$B$6,Besatzung!$D$11)&gt;=B69)))*((G69-IFERROR(H69,0))/IFERROR(SUMPRODUCT((Besatzung!$B$11:$B$22&lt;&gt;"")*(IF(Besatzung!$C$11:$C$22="",Besatzung!$B$5,Besatzung!$C$11:$C$22)&lt;=B69)*(IF(Besatzung!$D$11:$D$22="",Besatzung!$B$6,Besatzung!$D$11:$D$22)&gt;=B69)),1)+(Besatzung!$F$11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J69="x")*((G69-IFERROR(H69,0))/IFERROR(COUNTIF(J69:U69,"x"),1)+(Besatzung!$F$11="x")*IFERROR(H69,0)/IFERROR(SUMPRODUCT((J69:U69="x")*(Besatzung!$F$11:$F$22="x")),1))),(IF(COUNTIF(J69:U69,"x")=0,IF(Besatzung!$B$11&lt;&gt;"",1,0),(J69="x"))*(G69-IFERROR(H69,0))/IFERROR(IF(COUNTIF(J69:U69,"x")=0,COUNTA(Besatzung!$B$11:$B$22),COUNTIF(J69:U69,"x")),1)+IF(COUNTIF(J69:U69,"x")=0,(Besatzung!$F$11="x"),(J69="x")*(Besatzung!$F$11="x"))*IFERROR(H69,0)/IFERROR(IF(COUNTIF(J69:U69,"x")=0,SUMPRODUCT((Besatzung!$B$11:$B$22&lt;&gt;"")*(Besatzung!$F$11:$F$22="x")),SUMPRODUCT((J69:U69="x")*(Besatzung!$F$11:$F$22="x"))),1))))),0))))</f>
        <v/>
      </c>
      <c r="W69" s="106">
        <f>IF(C69="Gutschrift","",IF(G69="","",IF(Besatzung!$B$12="","",IFERROR(IF(I69="Zeitanteilig",(Besatzung!$G$12*(G69-IFERROR(H69,0))+((Besatzung!$B$12&lt;&gt;"")*IF(B69="",1,(IF(Besatzung!$C$12="",Besatzung!$B$5,Besatzung!$C$12)&lt;=B69)*(IF(Besatzung!$D$12="",Besatzung!$B$6,Besatzung!$D$12)&gt;=B69)))*(Besatzung!$F$12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$12&lt;&gt;"")*IF(B69="",1,(IF(Besatzung!$C$12="",Besatzung!$B$5,Besatzung!$C$12)&lt;=B69)*(IF(Besatzung!$D$12="",Besatzung!$B$6,Besatzung!$D$12)&gt;=B69)))*((G69-IFERROR(H69,0))/IFERROR(SUMPRODUCT((Besatzung!$B$11:$B$22&lt;&gt;"")*(IF(Besatzung!$C$11:$C$22="",Besatzung!$B$5,Besatzung!$C$11:$C$22)&lt;=B69)*(IF(Besatzung!$D$11:$D$22="",Besatzung!$B$6,Besatzung!$D$11:$D$22)&gt;=B69)),1)+(Besatzung!$F$12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K69="x")*((G69-IFERROR(H69,0))/IFERROR(COUNTIF(J69:U69,"x"),1)+(Besatzung!$F$12="x")*IFERROR(H69,0)/IFERROR(SUMPRODUCT((J69:U69="x")*(Besatzung!$F$11:$F$22="x")),1))),(IF(COUNTIF(J69:U69,"x")=0,IF(Besatzung!$B$12&lt;&gt;"",1,0),(K69="x"))*(G69-IFERROR(H69,0))/IFERROR(IF(COUNTIF(J69:U69,"x")=0,COUNTA(Besatzung!$B$11:$B$22),COUNTIF(J69:U69,"x")),1)+IF(COUNTIF(J69:U69,"x")=0,(Besatzung!$F$12="x"),(K69="x")*(Besatzung!$F$12="x"))*IFERROR(H69,0)/IFERROR(IF(COUNTIF(J69:U69,"x")=0,SUMPRODUCT((Besatzung!$B$11:$B$22&lt;&gt;"")*(Besatzung!$F$11:$F$22="x")),SUMPRODUCT((J69:U69="x")*(Besatzung!$F$11:$F$22="x"))),1))))),0))))</f>
        <v/>
      </c>
      <c r="X69" s="106">
        <f>IF(C69="Gutschrift","",IF(G69="","",IF(Besatzung!$B$13="","",IFERROR(IF(I69="Zeitanteilig",(Besatzung!$G$13*(G69-IFERROR(H69,0))+((Besatzung!$B$13&lt;&gt;"")*IF(B69="",1,(IF(Besatzung!$C$13="",Besatzung!$B$5,Besatzung!$C$13)&lt;=B69)*(IF(Besatzung!$D$13="",Besatzung!$B$6,Besatzung!$D$13)&gt;=B69)))*(Besatzung!$F$13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$13&lt;&gt;"")*IF(B69="",1,(IF(Besatzung!$C$13="",Besatzung!$B$5,Besatzung!$C$13)&lt;=B69)*(IF(Besatzung!$D$13="",Besatzung!$B$6,Besatzung!$D$13)&gt;=B69)))*((G69-IFERROR(H69,0))/IFERROR(SUMPRODUCT((Besatzung!$B$11:$B$22&lt;&gt;"")*(IF(Besatzung!$C$11:$C$22="",Besatzung!$B$5,Besatzung!$C$11:$C$22)&lt;=B69)*(IF(Besatzung!$D$11:$D$22="",Besatzung!$B$6,Besatzung!$D$11:$D$22)&gt;=B69)),1)+(Besatzung!$F$13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K69="x")*((G69-IFERROR(H69,0))/IFERROR(COUNTIF(J69:U69,"x"),1)+(Besatzung!$F$13="x")*IFERROR(H69,0)/IFERROR(SUMPRODUCT((J69:U69="x")*(Besatzung!$F$11:$F$22="x")),1))),(IF(COUNTIF(J69:U69,"x")=0,IF(Besatzung!$B$13&lt;&gt;"",1,0),(K69="x"))*(G69-IFERROR(H69,0))/IFERROR(IF(COUNTIF(J69:U69,"x")=0,COUNTA(Besatzung!$B$11:$B$22),COUNTIF(J69:U69,"x")),1)+IF(COUNTIF(J69:U69,"x")=0,(Besatzung!$F$13="x"),(K69="x")*(Besatzung!$F$13="x"))*IFERROR(H69,0)/IFERROR(IF(COUNTIF(J69:U69,"x")=0,SUMPRODUCT((Besatzung!$B$11:$B$22&lt;&gt;"")*(Besatzung!$F$11:$F$22="x")),SUMPRODUCT((J69:U69="x")*(Besatzung!$F$11:$F$22="x"))),1))))),0))))</f>
        <v/>
      </c>
      <c r="Y69" s="106">
        <f>IF(C69="Gutschrift","",IF(G69="","",IF(Besatzung!$B$14="","",IFERROR(IF(I69="Zeitanteilig",(Besatzung!$G$14*(G69-IFERROR(H69,0))+((Besatzung!$B$14&lt;&gt;"")*IF(B69="",1,(IF(Besatzung!$C$14="",Besatzung!$B$5,Besatzung!$C$14)&lt;=B69)*(IF(Besatzung!$D$14="",Besatzung!$B$6,Besatzung!$D$14)&gt;=B69)))*(Besatzung!$F$14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$14&lt;&gt;"")*IF(B69="",1,(IF(Besatzung!$C$14="",Besatzung!$B$5,Besatzung!$C$14)&lt;=B69)*(IF(Besatzung!$D$14="",Besatzung!$B$6,Besatzung!$D$14)&gt;=B69)))*((G69-IFERROR(H69,0))/IFERROR(SUMPRODUCT((Besatzung!$B$11:$B$22&lt;&gt;"")*(IF(Besatzung!$C$11:$C$22="",Besatzung!$B$5,Besatzung!$C$11:$C$22)&lt;=B69)*(IF(Besatzung!$D$11:$D$22="",Besatzung!$B$6,Besatzung!$D$11:$D$22)&gt;=B69)),1)+(Besatzung!$F$14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M69="x")*((G69-IFERROR(H69,0))/IFERROR(COUNTIF(J69:U69,"x"),1)+(Besatzung!$F$14="x")*IFERROR(H69,0)/IFERROR(SUMPRODUCT((J69:U69="x")*(Besatzung!$F$11:$F$22="x")),1))),(IF(COUNTIF(J69:U69,"x")=0,IF(Besatzung!$B$14&lt;&gt;"",1,0),(M69="x"))*(G69-IFERROR(H69,0))/IFERROR(IF(COUNTIF(J69:U69,"x")=0,COUNTA(Besatzung!$B$11:$B$22),COUNTIF(J69:U69,"x")),1)+IF(COUNTIF(J69:U69,"x")=0,(Besatzung!$F$14="x"),(M69="x")*(Besatzung!$F$14="x"))*IFERROR(H69,0)/IFERROR(IF(COUNTIF(J69:U69,"x")=0,SUMPRODUCT((Besatzung!$B$11:$B$22&lt;&gt;"")*(Besatzung!$F$11:$F$22="x")),SUMPRODUCT((J69:U69="x")*(Besatzung!$F$11:$F$22="x"))),1))))),0))))</f>
        <v/>
      </c>
      <c r="Z69" s="106">
        <f>IF(C69="Gutschrift","",IF(G69="","",IF(Besatzung!$B$13="","",IFERROR(IF(I69="Zeitanteilig",(Besatzung!$G$15*(G69-IFERROR(H69,0))+((Besatzung!$B$13&lt;&gt;"")*IF(B69="",1,(IF(Besatzung!$C$15="",Besatzung!$B$5,Besatzung!$C$15)&lt;=B69)*(IF(Besatzung!$D$15="",Besatzung!$B$6,Besatzung!$D$15)&gt;=B69)))*(Besatzung!$F$15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$13&lt;&gt;"")*IF(B69="",1,(IF(Besatzung!$C$15="",Besatzung!$B$5,Besatzung!$C$15)&lt;=B69)*(IF(Besatzung!$D$15="",Besatzung!$B$6,Besatzung!$D$15)&gt;=B69)))*((G69-IFERROR(H69,0))/IFERROR(SUMPRODUCT((Besatzung!$B$11:$B$22&lt;&gt;"")*(IF(Besatzung!$C$11:$C$22="",Besatzung!$B$5,Besatzung!$C$11:$C$22)&lt;=B69)*(IF(Besatzung!$D$11:$D$22="",Besatzung!$B$6,Besatzung!$D$11:$D$22)&gt;=B69)),1)+(Besatzung!$F$15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N69="x")*((G69-IFERROR(H69,0))/IFERROR(COUNTIF(J69:U69,"x"),1)+(Besatzung!$F$15="x")*IFERROR(H69,0)/IFERROR(SUMPRODUCT((J69:U69="x")*(Besatzung!$F$11:$F$22="x")),1))),(IF(COUNTIF(J69:U69,"x")=0,IF(Besatzung!$B$13&lt;&gt;"",1,0),(N69="x"))*(G69-IFERROR(H69,0))/IFERROR(IF(COUNTIF(J69:U69,"x")=0,COUNTA(Besatzung!$B$11:$B$22),COUNTIF(J69:U69,"x")),1)+IF(COUNTIF(J69:U69,"x")=0,(Besatzung!$F$15="x"),(N69="x")*(Besatzung!$F$15="x"))*IFERROR(H69,0)/IFERROR(IF(COUNTIF(J69:U69,"x")=0,SUMPRODUCT((Besatzung!$B$11:$B$22&lt;&gt;"")*(Besatzung!$F$11:$F$22="x")),SUMPRODUCT((J69:U69="x")*(Besatzung!$F$11:$F$22="x"))),1))))),0))))</f>
        <v/>
      </c>
      <c r="AA69" s="106">
        <f>IF(C69="Gutschrift","",IF(G69="","",IF(Besatzung!$B$15="","",IFERROR(IF(I69="Zeitanteilig",(Besatzung!$G$16*(G69-IFERROR(H69,0))+((Besatzung!$B$15&lt;&gt;"")*IF(B69="",1,(IF(Besatzung!$C$16="",Besatzung!$B$5,Besatzung!$C$16)&lt;=B69)*(IF(Besatzung!$D$16="",Besatzung!$B$6,Besatzung!$D$16)&gt;=B69)))*(Besatzung!$F$16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$15&lt;&gt;"")*IF(B69="",1,(IF(Besatzung!$C$16="",Besatzung!$B$5,Besatzung!$C$16)&lt;=B69)*(IF(Besatzung!$D$16="",Besatzung!$B$6,Besatzung!$D$16)&gt;=B69)))*((G69-IFERROR(H69,0))/IFERROR(SUMPRODUCT((Besatzung!$B$11:$B$22&lt;&gt;"")*(IF(Besatzung!$C$11:$C$22="",Besatzung!$B$5,Besatzung!$C$11:$C$22)&lt;=B69)*(IF(Besatzung!$D$11:$D$22="",Besatzung!$B$6,Besatzung!$D$11:$D$22)&gt;=B69)),1)+(Besatzung!$F$16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O69="x")*((G69-IFERROR(H69,0))/IFERROR(COUNTIF(J69:U69,"x"),1)+(Besatzung!$F$16="x")*IFERROR(H69,0)/IFERROR(SUMPRODUCT((J69:U69="x")*(Besatzung!$F$11:$F$22="x")),1))),(IF(COUNTIF(J69:U69,"x")=0,IF(Besatzung!$B$15&lt;&gt;"",1,0),(O69="x"))*(G69-IFERROR(H69,0))/IFERROR(IF(COUNTIF(J69:U69,"x")=0,COUNTA(Besatzung!$B$11:$B$22),COUNTIF(J69:U69,"x")),1)+IF(COUNTIF(J69:U69,"x")=0,(Besatzung!$F$16="x"),(O69="x")*(Besatzung!$F$16="x"))*IFERROR(H69,0)/IFERROR(IF(COUNTIF(J69:U69,"x")=0,SUMPRODUCT((Besatzung!$B$11:$B$22&lt;&gt;"")*(Besatzung!$F$11:$F$22="x")),SUMPRODUCT((J69:U69="x")*(Besatzung!$F$11:$F$22="x"))),1))))),0))))</f>
        <v/>
      </c>
      <c r="AB69" s="106">
        <f>IF(C69="Gutschrift","",IF(G69="","",IF(Besatzung!$B$17="","",IFERROR(IF(I69="Zeitanteilig",(Besatzung!$G$17*(G69-IFERROR(H69,0))+((Besatzung!$B$17&lt;&gt;"")*IF(B69="",1,(IF(Besatzung!$C$17="",Besatzung!$B$5,Besatzung!$C$17)&lt;=B69)*(IF(Besatzung!$D$17="",Besatzung!$B$6,Besatzung!$D$17)&gt;=B69)))*(Besatzung!$F$17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$17&lt;&gt;"")*IF(B69="",1,(IF(Besatzung!$C$17="",Besatzung!$B$5,Besatzung!$C$17)&lt;=B69)*(IF(Besatzung!$D$17="",Besatzung!$B$6,Besatzung!$D$17)&gt;=B69)))*((G69-IFERROR(H69,0))/IFERROR(SUMPRODUCT((Besatzung!$B$11:$B$22&lt;&gt;"")*(IF(Besatzung!$C$11:$C$22="",Besatzung!$B$5,Besatzung!$C$11:$C$22)&lt;=B69)*(IF(Besatzung!$D$11:$D$22="",Besatzung!$B$6,Besatzung!$D$11:$D$22)&gt;=B69)),1)+(Besatzung!$F$17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P69="x")*((G69-IFERROR(H69,0))/IFERROR(COUNTIF(J69:U69,"x"),1)+(Besatzung!$F$17="x")*IFERROR(H69,0)/IFERROR(SUMPRODUCT((J69:U69="x")*(Besatzung!$F$11:$F$22="x")),1))),(IF(COUNTIF(J69:U69,"x")=0,IF(Besatzung!$B$17&lt;&gt;"",1,0),(P69="x"))*(G69-IFERROR(H69,0))/IFERROR(IF(COUNTIF(J69:U69,"x")=0,COUNTA(Besatzung!$B$11:$B$22),COUNTIF(J69:U69,"x")),1)+IF(COUNTIF(J69:U69,"x")=0,(Besatzung!$F$17="x"),(P69="x")*(Besatzung!$F$17="x"))*IFERROR(H69,0)/IFERROR(IF(COUNTIF(J69:U69,"x")=0,SUMPRODUCT((Besatzung!$B$11:$B$22&lt;&gt;"")*(Besatzung!$F$11:$F$22="x")),SUMPRODUCT((J69:U69="x")*(Besatzung!$F$11:$F$22="x"))),1))))),0))))</f>
        <v/>
      </c>
      <c r="AC69" s="106">
        <f>IF(C69="Gutschrift","",IF(G69="","",IF(Besatzung!$B$18="","",IFERROR(IF(I69="Zeitanteilig",(Besatzung!$G$18*(G69-IFERROR(H69,0))+((Besatzung!$B$18&lt;&gt;"")*IF(B69="",1,(IF(Besatzung!$C$18="",Besatzung!$B$5,Besatzung!$C$18)&lt;=B69)*(IF(Besatzung!$D$18="",Besatzung!$B$6,Besatzung!$D$18)&gt;=B69)))*(Besatzung!$F$18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$18&lt;&gt;"")*IF(B69="",1,(IF(Besatzung!$C$18="",Besatzung!$B$5,Besatzung!$C$18)&lt;=B69)*(IF(Besatzung!$D$18="",Besatzung!$B$6,Besatzung!$D$18)&gt;=B69)))*((G69-IFERROR(H69,0))/IFERROR(SUMPRODUCT((Besatzung!$B$11:$B$22&lt;&gt;"")*(IF(Besatzung!$C$11:$C$22="",Besatzung!$B$5,Besatzung!$C$11:$C$22)&lt;=B69)*(IF(Besatzung!$D$11:$D$22="",Besatzung!$B$6,Besatzung!$D$11:$D$22)&gt;=B69)),1)+(Besatzung!$F$18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Q69="x")*((G69-IFERROR(H69,0))/IFERROR(COUNTIF(J69:U69,"x"),1)+(Besatzung!$F$18="x")*IFERROR(H69,0)/IFERROR(SUMPRODUCT((J69:U69="x")*(Besatzung!$F$11:$F$22="x")),1))),(IF(COUNTIF(J69:U69,"x")=0,IF(Besatzung!$B$18&lt;&gt;"",1,0),(Q69="x"))*(G69-IFERROR(H69,0))/IFERROR(IF(COUNTIF(J69:U69,"x")=0,COUNTA(Besatzung!$B$11:$B$22),COUNTIF(J69:U69,"x")),1)+IF(COUNTIF(J69:U69,"x")=0,(Besatzung!$F$18="x"),(Q69="x")*(Besatzung!$F$18="x"))*IFERROR(H69,0)/IFERROR(IF(COUNTIF(J69:U69,"x")=0,SUMPRODUCT((Besatzung!$B$11:$B$22&lt;&gt;"")*(Besatzung!$F$11:$F$22="x")),SUMPRODUCT((J69:U69="x")*(Besatzung!$F$11:$F$22="x"))),1))))),0))))</f>
        <v/>
      </c>
      <c r="AD69" s="106">
        <f>IF(C69="Gutschrift","",IF(G69="","",IF(Besatzung!$B$19="","",IFERROR(IF(I69="Zeitanteilig",(Besatzung!$G$19*(G69-IFERROR(H69,0))+((Besatzung!$B$19&lt;&gt;"")*IF(B69="",1,(IF(Besatzung!$C$19="",Besatzung!$B$5,Besatzung!$C$19)&lt;=B69)*(IF(Besatzung!$D$19="",Besatzung!$B$6,Besatzung!$D$19)&gt;=B69)))*(Besatzung!$F$19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$19&lt;&gt;"")*IF(B69="",1,(IF(Besatzung!$C$19="",Besatzung!$B$5,Besatzung!$C$19)&lt;=B69)*(IF(Besatzung!$D$19="",Besatzung!$B$6,Besatzung!$D$19)&gt;=B69)))*((G69-IFERROR(H69,0))/IFERROR(SUMPRODUCT((Besatzung!$B$11:$B$22&lt;&gt;"")*(IF(Besatzung!$C$11:$C$22="",Besatzung!$B$5,Besatzung!$C$11:$C$22)&lt;=B69)*(IF(Besatzung!$D$11:$D$22="",Besatzung!$B$6,Besatzung!$D$11:$D$22)&gt;=B69)),1)+(Besatzung!$F$19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R69="x")*((G69-IFERROR(H69,0))/IFERROR(COUNTIF(J69:U69,"x"),1)+(Besatzung!$F$19="x")*IFERROR(H69,0)/IFERROR(SUMPRODUCT((J69:U69="x")*(Besatzung!$F$11:$F$22="x")),1))),(IF(COUNTIF(J69:U69,"x")=0,IF(Besatzung!$B$19&lt;&gt;"",1,0),(R69="x"))*(G69-IFERROR(H69,0))/IFERROR(IF(COUNTIF(J69:U69,"x")=0,COUNTA(Besatzung!$B$11:$B$22),COUNTIF(J69:U69,"x")),1)+IF(COUNTIF(J69:U69,"x")=0,(Besatzung!$F$19="x"),(R69="x")*(Besatzung!$F$19="x"))*IFERROR(H69,0)/IFERROR(IF(COUNTIF(J69:U69,"x")=0,SUMPRODUCT((Besatzung!$B$11:$B$22&lt;&gt;"")*(Besatzung!$F$11:$F$22="x")),SUMPRODUCT((J69:U69="x")*(Besatzung!$F$11:$F$22="x"))),1))))),0))))</f>
        <v/>
      </c>
      <c r="AE69" s="106">
        <f>IF(C69="Gutschrift","",IF(G69="","",IF(Besatzung!$B$20="","",IFERROR(IF(I69="Zeitanteilig",(Besatzung!$G$20*(G69-IFERROR(H69,0))+((Besatzung!$B$20&lt;&gt;"")*IF(B69="",1,(IF(Besatzung!$C$20="",Besatzung!$B$5,Besatzung!$C$20)&lt;=B69)*(IF(Besatzung!$D$20="",Besatzung!$B$6,Besatzung!$D$20)&gt;=B69)))*(Besatzung!$F$20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$20&lt;&gt;"")*IF(B69="",1,(IF(Besatzung!$C$20="",Besatzung!$B$5,Besatzung!$C$20)&lt;=B69)*(IF(Besatzung!$D$20="",Besatzung!$B$6,Besatzung!$D$20)&gt;=B69)))*((G69-IFERROR(H69,0))/IFERROR(SUMPRODUCT((Besatzung!$B$11:$B$22&lt;&gt;"")*(IF(Besatzung!$C$11:$C$22="",Besatzung!$B$5,Besatzung!$C$11:$C$22)&lt;=B69)*(IF(Besatzung!$D$11:$D$22="",Besatzung!$B$6,Besatzung!$D$11:$D$22)&gt;=B69)),1)+(Besatzung!$F$20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S69="x")*((G69-IFERROR(H69,0))/IFERROR(COUNTIF(J69:U69,"x"),1)+(Besatzung!$F$20="x")*IFERROR(H69,0)/IFERROR(SUMPRODUCT((J69:U69="x")*(Besatzung!$F$11:$F$22="x")),1))),(IF(COUNTIF(J69:U69,"x")=0,IF(Besatzung!$B$20&lt;&gt;"",1,0),(S69="x"))*(G69-IFERROR(H69,0))/IFERROR(IF(COUNTIF(J69:U69,"x")=0,COUNTA(Besatzung!$B$11:$B$22),COUNTIF(J69:U69,"x")),1)+IF(COUNTIF(J69:U69,"x")=0,(Besatzung!$F$20="x"),(S69="x")*(Besatzung!$F$20="x"))*IFERROR(H69,0)/IFERROR(IF(COUNTIF(J69:U69,"x")=0,SUMPRODUCT((Besatzung!$B$11:$B$22&lt;&gt;"")*(Besatzung!$F$11:$F$22="x")),SUMPRODUCT((J69:U69="x")*(Besatzung!$F$11:$F$22="x"))),1))))),0))))</f>
        <v/>
      </c>
      <c r="AF69" s="106">
        <f>IF(C69="Gutschrift","",IF(G69="","",IF(Besatzung!$B$21="","",IFERROR(IF(I69="Zeitanteilig",(Besatzung!$G$21*(G69-IFERROR(H69,0))+((Besatzung!$B$21&lt;&gt;"")*IF(B69="",1,(IF(Besatzung!$C$21="",Besatzung!$B$5,Besatzung!$C$21)&lt;=B69)*(IF(Besatzung!$D$21="",Besatzung!$B$6,Besatzung!$D$21)&gt;=B69)))*(Besatzung!$F$21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$21&lt;&gt;"")*IF(B69="",1,(IF(Besatzung!$C$21="",Besatzung!$B$5,Besatzung!$C$21)&lt;=B69)*(IF(Besatzung!$D$21="",Besatzung!$B$6,Besatzung!$D$21)&gt;=B69)))*((G69-IFERROR(H69,0))/IFERROR(SUMPRODUCT((Besatzung!$B$11:$B$22&lt;&gt;"")*(IF(Besatzung!$C$11:$C$22="",Besatzung!$B$5,Besatzung!$C$11:$C$22)&lt;=B69)*(IF(Besatzung!$D$11:$D$22="",Besatzung!$B$6,Besatzung!$D$11:$D$22)&gt;=B69)),1)+(Besatzung!$F$21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T69="x")*((G69-IFERROR(H69,0))/IFERROR(COUNTIF(J69:U69,"x"),1)+(Besatzung!$F$21="x")*IFERROR(H69,0)/IFERROR(SUMPRODUCT((J69:U69="x")*(Besatzung!$F$11:$F$22="x")),1))),(IF(COUNTIF(J69:U69,"x")=0,IF(Besatzung!$B$21&lt;&gt;"",1,0),(T69="x"))*(G69-IFERROR(H69,0))/IFERROR(IF(COUNTIF(J69:U69,"x")=0,COUNTA(Besatzung!$B$11:$B$22),COUNTIF(J69:U69,"x")),1)+IF(COUNTIF(J69:U69,"x")=0,(Besatzung!$F$21="x"),(T69="x")*(Besatzung!$F$21="x"))*IFERROR(H69,0)/IFERROR(IF(COUNTIF(J69:U69,"x")=0,SUMPRODUCT((Besatzung!$B$11:$B$22&lt;&gt;"")*(Besatzung!$F$11:$F$22="x")),SUMPRODUCT((J69:U69="x")*(Besatzung!$F$11:$F$22="x"))),1))))),0))))</f>
        <v/>
      </c>
      <c r="AG69" s="106">
        <f>IF(C69="Gutschrift","",IF(G69="","",IF(Besatzung!$B$22="","",IFERROR(IF(I69="Zeitanteilig",(Besatzung!$G$22*(G69-IFERROR(H69,0))+((Besatzung!$B$22&lt;&gt;"")*IF(B69="",1,(IF(Besatzung!$C$22="",Besatzung!$B$5,Besatzung!$C$22)&lt;=B69)*(IF(Besatzung!$D$22="",Besatzung!$B$6,Besatzung!$D$22)&gt;=B69)))*(Besatzung!$F$22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$22&lt;&gt;"")*IF(B69="",1,(IF(Besatzung!$C$22="",Besatzung!$B$5,Besatzung!$C$22)&lt;=B69)*(IF(Besatzung!$D$22="",Besatzung!$B$6,Besatzung!$D$22)&gt;=B69)))*((G69-IFERROR(H69,0))/IFERROR(SUMPRODUCT((Besatzung!$B$11:$B$22&lt;&gt;"")*(IF(Besatzung!$C$11:$C$22="",Besatzung!$B$5,Besatzung!$C$11:$C$22)&lt;=B69)*(IF(Besatzung!$D$11:$D$22="",Besatzung!$B$6,Besatzung!$D$11:$D$22)&gt;=B69)),1)+(Besatzung!$F$22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U69="x")*((G69-IFERROR(H69,0))/IFERROR(COUNTIF(J69:U69,"x"),1)+(Besatzung!$F$22="x")*IFERROR(H69,0)/IFERROR(SUMPRODUCT((J69:U69="x")*(Besatzung!$F$11:$F$22="x")),1))),(IF(COUNTIF(J69:U69,"x")=0,IF(Besatzung!$B$22&lt;&gt;"",1,0),(U69="x"))*(G69-IFERROR(H69,0))/IFERROR(IF(COUNTIF(J69:U69,"x")=0,COUNTA(Besatzung!$B$11:$B$22),COUNTIF(J69:U69,"x")),1)+IF(COUNTIF(J69:U69,"x")=0,(Besatzung!$F$22="x"),(U69="x")*(Besatzung!$F$22="x"))*IFERROR(H69,0)/IFERROR(IF(COUNTIF(J69:U69,"x")=0,SUMPRODUCT((Besatzung!$B$11:$B$22&lt;&gt;"")*(Besatzung!$F$11:$F$22="x")),SUMPRODUCT((J69:U69="x")*(Besatzung!$F$11:$F$22="x"))),1))))),0))))</f>
        <v/>
      </c>
      <c r="AH69" s="107" t="n"/>
      <c r="AI69" s="107" t="n"/>
    </row>
    <row r="70" ht="21.75" customHeight="1" s="182">
      <c r="A70" s="97">
        <f>IF(AND(D70="",C70=""),"",67)</f>
        <v/>
      </c>
      <c r="B70" s="56" t="n"/>
      <c r="C70" s="98" t="n"/>
      <c r="D70" s="99" t="n"/>
      <c r="E70" s="100" t="n"/>
      <c r="F70" s="101" t="n"/>
      <c r="G70" s="102" t="n"/>
      <c r="H70" s="103" t="n"/>
      <c r="I70" s="104" t="n"/>
      <c r="J70" s="105" t="n"/>
      <c r="K70" s="105" t="n"/>
      <c r="L70" s="105" t="n"/>
      <c r="M70" s="105" t="n"/>
      <c r="N70" s="105" t="n"/>
      <c r="O70" s="105" t="n"/>
      <c r="P70" s="105" t="n"/>
      <c r="Q70" s="105" t="n"/>
      <c r="R70" s="105" t="n"/>
      <c r="S70" s="105" t="n"/>
      <c r="T70" s="105" t="n"/>
      <c r="U70" s="105" t="n"/>
      <c r="V70" s="106">
        <f>IF(C70="Gutschrift","",IF(G70="","",IF(Besatzung!$B$11="","",IFERROR(IF(I70="Zeitanteilig",(Besatzung!$G$11*(G70-IFERROR(H70,0))+((Besatzung!$B$11&lt;&gt;"")*IF(B70="",1,(IF(Besatzung!$C$11="",Besatzung!$B$5,Besatzung!$C$11)&lt;=B70)*(IF(Besatzung!$D$11="",Besatzung!$B$6,Besatzung!$D$11)&gt;=B70)))*(Besatzung!$F$11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$11&lt;&gt;"")*IF(B70="",1,(IF(Besatzung!$C$11="",Besatzung!$B$5,Besatzung!$C$11)&lt;=B70)*(IF(Besatzung!$D$11="",Besatzung!$B$6,Besatzung!$D$11)&gt;=B70)))*((G70-IFERROR(H70,0))/IFERROR(SUMPRODUCT((Besatzung!$B$11:$B$22&lt;&gt;"")*(IF(Besatzung!$C$11:$C$22="",Besatzung!$B$5,Besatzung!$C$11:$C$22)&lt;=B70)*(IF(Besatzung!$D$11:$D$22="",Besatzung!$B$6,Besatzung!$D$11:$D$22)&gt;=B70)),1)+(Besatzung!$F$11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J70="x")*((G70-IFERROR(H70,0))/IFERROR(COUNTIF(J70:U70,"x"),1)+(Besatzung!$F$11="x")*IFERROR(H70,0)/IFERROR(SUMPRODUCT((J70:U70="x")*(Besatzung!$F$11:$F$22="x")),1))),(IF(COUNTIF(J70:U70,"x")=0,IF(Besatzung!$B$11&lt;&gt;"",1,0),(J70="x"))*(G70-IFERROR(H70,0))/IFERROR(IF(COUNTIF(J70:U70,"x")=0,COUNTA(Besatzung!$B$11:$B$22),COUNTIF(J70:U70,"x")),1)+IF(COUNTIF(J70:U70,"x")=0,(Besatzung!$F$11="x"),(J70="x")*(Besatzung!$F$11="x"))*IFERROR(H70,0)/IFERROR(IF(COUNTIF(J70:U70,"x")=0,SUMPRODUCT((Besatzung!$B$11:$B$22&lt;&gt;"")*(Besatzung!$F$11:$F$22="x")),SUMPRODUCT((J70:U70="x")*(Besatzung!$F$11:$F$22="x"))),1))))),0))))</f>
        <v/>
      </c>
      <c r="W70" s="106">
        <f>IF(C70="Gutschrift","",IF(G70="","",IF(Besatzung!$B$12="","",IFERROR(IF(I70="Zeitanteilig",(Besatzung!$G$12*(G70-IFERROR(H70,0))+((Besatzung!$B$12&lt;&gt;"")*IF(B70="",1,(IF(Besatzung!$C$12="",Besatzung!$B$5,Besatzung!$C$12)&lt;=B70)*(IF(Besatzung!$D$12="",Besatzung!$B$6,Besatzung!$D$12)&gt;=B70)))*(Besatzung!$F$12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$12&lt;&gt;"")*IF(B70="",1,(IF(Besatzung!$C$12="",Besatzung!$B$5,Besatzung!$C$12)&lt;=B70)*(IF(Besatzung!$D$12="",Besatzung!$B$6,Besatzung!$D$12)&gt;=B70)))*((G70-IFERROR(H70,0))/IFERROR(SUMPRODUCT((Besatzung!$B$11:$B$22&lt;&gt;"")*(IF(Besatzung!$C$11:$C$22="",Besatzung!$B$5,Besatzung!$C$11:$C$22)&lt;=B70)*(IF(Besatzung!$D$11:$D$22="",Besatzung!$B$6,Besatzung!$D$11:$D$22)&gt;=B70)),1)+(Besatzung!$F$12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K70="x")*((G70-IFERROR(H70,0))/IFERROR(COUNTIF(J70:U70,"x"),1)+(Besatzung!$F$12="x")*IFERROR(H70,0)/IFERROR(SUMPRODUCT((J70:U70="x")*(Besatzung!$F$11:$F$22="x")),1))),(IF(COUNTIF(J70:U70,"x")=0,IF(Besatzung!$B$12&lt;&gt;"",1,0),(K70="x"))*(G70-IFERROR(H70,0))/IFERROR(IF(COUNTIF(J70:U70,"x")=0,COUNTA(Besatzung!$B$11:$B$22),COUNTIF(J70:U70,"x")),1)+IF(COUNTIF(J70:U70,"x")=0,(Besatzung!$F$12="x"),(K70="x")*(Besatzung!$F$12="x"))*IFERROR(H70,0)/IFERROR(IF(COUNTIF(J70:U70,"x")=0,SUMPRODUCT((Besatzung!$B$11:$B$22&lt;&gt;"")*(Besatzung!$F$11:$F$22="x")),SUMPRODUCT((J70:U70="x")*(Besatzung!$F$11:$F$22="x"))),1))))),0))))</f>
        <v/>
      </c>
      <c r="X70" s="106">
        <f>IF(C70="Gutschrift","",IF(G70="","",IF(Besatzung!$B$13="","",IFERROR(IF(I70="Zeitanteilig",(Besatzung!$G$13*(G70-IFERROR(H70,0))+((Besatzung!$B$13&lt;&gt;"")*IF(B70="",1,(IF(Besatzung!$C$13="",Besatzung!$B$5,Besatzung!$C$13)&lt;=B70)*(IF(Besatzung!$D$13="",Besatzung!$B$6,Besatzung!$D$13)&gt;=B70)))*(Besatzung!$F$13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$13&lt;&gt;"")*IF(B70="",1,(IF(Besatzung!$C$13="",Besatzung!$B$5,Besatzung!$C$13)&lt;=B70)*(IF(Besatzung!$D$13="",Besatzung!$B$6,Besatzung!$D$13)&gt;=B70)))*((G70-IFERROR(H70,0))/IFERROR(SUMPRODUCT((Besatzung!$B$11:$B$22&lt;&gt;"")*(IF(Besatzung!$C$11:$C$22="",Besatzung!$B$5,Besatzung!$C$11:$C$22)&lt;=B70)*(IF(Besatzung!$D$11:$D$22="",Besatzung!$B$6,Besatzung!$D$11:$D$22)&gt;=B70)),1)+(Besatzung!$F$13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K70="x")*((G70-IFERROR(H70,0))/IFERROR(COUNTIF(J70:U70,"x"),1)+(Besatzung!$F$13="x")*IFERROR(H70,0)/IFERROR(SUMPRODUCT((J70:U70="x")*(Besatzung!$F$11:$F$22="x")),1))),(IF(COUNTIF(J70:U70,"x")=0,IF(Besatzung!$B$13&lt;&gt;"",1,0),(K70="x"))*(G70-IFERROR(H70,0))/IFERROR(IF(COUNTIF(J70:U70,"x")=0,COUNTA(Besatzung!$B$11:$B$22),COUNTIF(J70:U70,"x")),1)+IF(COUNTIF(J70:U70,"x")=0,(Besatzung!$F$13="x"),(K70="x")*(Besatzung!$F$13="x"))*IFERROR(H70,0)/IFERROR(IF(COUNTIF(J70:U70,"x")=0,SUMPRODUCT((Besatzung!$B$11:$B$22&lt;&gt;"")*(Besatzung!$F$11:$F$22="x")),SUMPRODUCT((J70:U70="x")*(Besatzung!$F$11:$F$22="x"))),1))))),0))))</f>
        <v/>
      </c>
      <c r="Y70" s="106">
        <f>IF(C70="Gutschrift","",IF(G70="","",IF(Besatzung!$B$14="","",IFERROR(IF(I70="Zeitanteilig",(Besatzung!$G$14*(G70-IFERROR(H70,0))+((Besatzung!$B$14&lt;&gt;"")*IF(B70="",1,(IF(Besatzung!$C$14="",Besatzung!$B$5,Besatzung!$C$14)&lt;=B70)*(IF(Besatzung!$D$14="",Besatzung!$B$6,Besatzung!$D$14)&gt;=B70)))*(Besatzung!$F$14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$14&lt;&gt;"")*IF(B70="",1,(IF(Besatzung!$C$14="",Besatzung!$B$5,Besatzung!$C$14)&lt;=B70)*(IF(Besatzung!$D$14="",Besatzung!$B$6,Besatzung!$D$14)&gt;=B70)))*((G70-IFERROR(H70,0))/IFERROR(SUMPRODUCT((Besatzung!$B$11:$B$22&lt;&gt;"")*(IF(Besatzung!$C$11:$C$22="",Besatzung!$B$5,Besatzung!$C$11:$C$22)&lt;=B70)*(IF(Besatzung!$D$11:$D$22="",Besatzung!$B$6,Besatzung!$D$11:$D$22)&gt;=B70)),1)+(Besatzung!$F$14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M70="x")*((G70-IFERROR(H70,0))/IFERROR(COUNTIF(J70:U70,"x"),1)+(Besatzung!$F$14="x")*IFERROR(H70,0)/IFERROR(SUMPRODUCT((J70:U70="x")*(Besatzung!$F$11:$F$22="x")),1))),(IF(COUNTIF(J70:U70,"x")=0,IF(Besatzung!$B$14&lt;&gt;"",1,0),(M70="x"))*(G70-IFERROR(H70,0))/IFERROR(IF(COUNTIF(J70:U70,"x")=0,COUNTA(Besatzung!$B$11:$B$22),COUNTIF(J70:U70,"x")),1)+IF(COUNTIF(J70:U70,"x")=0,(Besatzung!$F$14="x"),(M70="x")*(Besatzung!$F$14="x"))*IFERROR(H70,0)/IFERROR(IF(COUNTIF(J70:U70,"x")=0,SUMPRODUCT((Besatzung!$B$11:$B$22&lt;&gt;"")*(Besatzung!$F$11:$F$22="x")),SUMPRODUCT((J70:U70="x")*(Besatzung!$F$11:$F$22="x"))),1))))),0))))</f>
        <v/>
      </c>
      <c r="Z70" s="106">
        <f>IF(C70="Gutschrift","",IF(G70="","",IF(Besatzung!$B$13="","",IFERROR(IF(I70="Zeitanteilig",(Besatzung!$G$15*(G70-IFERROR(H70,0))+((Besatzung!$B$13&lt;&gt;"")*IF(B70="",1,(IF(Besatzung!$C$15="",Besatzung!$B$5,Besatzung!$C$15)&lt;=B70)*(IF(Besatzung!$D$15="",Besatzung!$B$6,Besatzung!$D$15)&gt;=B70)))*(Besatzung!$F$15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$13&lt;&gt;"")*IF(B70="",1,(IF(Besatzung!$C$15="",Besatzung!$B$5,Besatzung!$C$15)&lt;=B70)*(IF(Besatzung!$D$15="",Besatzung!$B$6,Besatzung!$D$15)&gt;=B70)))*((G70-IFERROR(H70,0))/IFERROR(SUMPRODUCT((Besatzung!$B$11:$B$22&lt;&gt;"")*(IF(Besatzung!$C$11:$C$22="",Besatzung!$B$5,Besatzung!$C$11:$C$22)&lt;=B70)*(IF(Besatzung!$D$11:$D$22="",Besatzung!$B$6,Besatzung!$D$11:$D$22)&gt;=B70)),1)+(Besatzung!$F$15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N70="x")*((G70-IFERROR(H70,0))/IFERROR(COUNTIF(J70:U70,"x"),1)+(Besatzung!$F$15="x")*IFERROR(H70,0)/IFERROR(SUMPRODUCT((J70:U70="x")*(Besatzung!$F$11:$F$22="x")),1))),(IF(COUNTIF(J70:U70,"x")=0,IF(Besatzung!$B$13&lt;&gt;"",1,0),(N70="x"))*(G70-IFERROR(H70,0))/IFERROR(IF(COUNTIF(J70:U70,"x")=0,COUNTA(Besatzung!$B$11:$B$22),COUNTIF(J70:U70,"x")),1)+IF(COUNTIF(J70:U70,"x")=0,(Besatzung!$F$15="x"),(N70="x")*(Besatzung!$F$15="x"))*IFERROR(H70,0)/IFERROR(IF(COUNTIF(J70:U70,"x")=0,SUMPRODUCT((Besatzung!$B$11:$B$22&lt;&gt;"")*(Besatzung!$F$11:$F$22="x")),SUMPRODUCT((J70:U70="x")*(Besatzung!$F$11:$F$22="x"))),1))))),0))))</f>
        <v/>
      </c>
      <c r="AA70" s="106">
        <f>IF(C70="Gutschrift","",IF(G70="","",IF(Besatzung!$B$15="","",IFERROR(IF(I70="Zeitanteilig",(Besatzung!$G$16*(G70-IFERROR(H70,0))+((Besatzung!$B$15&lt;&gt;"")*IF(B70="",1,(IF(Besatzung!$C$16="",Besatzung!$B$5,Besatzung!$C$16)&lt;=B70)*(IF(Besatzung!$D$16="",Besatzung!$B$6,Besatzung!$D$16)&gt;=B70)))*(Besatzung!$F$16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$15&lt;&gt;"")*IF(B70="",1,(IF(Besatzung!$C$16="",Besatzung!$B$5,Besatzung!$C$16)&lt;=B70)*(IF(Besatzung!$D$16="",Besatzung!$B$6,Besatzung!$D$16)&gt;=B70)))*((G70-IFERROR(H70,0))/IFERROR(SUMPRODUCT((Besatzung!$B$11:$B$22&lt;&gt;"")*(IF(Besatzung!$C$11:$C$22="",Besatzung!$B$5,Besatzung!$C$11:$C$22)&lt;=B70)*(IF(Besatzung!$D$11:$D$22="",Besatzung!$B$6,Besatzung!$D$11:$D$22)&gt;=B70)),1)+(Besatzung!$F$16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O70="x")*((G70-IFERROR(H70,0))/IFERROR(COUNTIF(J70:U70,"x"),1)+(Besatzung!$F$16="x")*IFERROR(H70,0)/IFERROR(SUMPRODUCT((J70:U70="x")*(Besatzung!$F$11:$F$22="x")),1))),(IF(COUNTIF(J70:U70,"x")=0,IF(Besatzung!$B$15&lt;&gt;"",1,0),(O70="x"))*(G70-IFERROR(H70,0))/IFERROR(IF(COUNTIF(J70:U70,"x")=0,COUNTA(Besatzung!$B$11:$B$22),COUNTIF(J70:U70,"x")),1)+IF(COUNTIF(J70:U70,"x")=0,(Besatzung!$F$16="x"),(O70="x")*(Besatzung!$F$16="x"))*IFERROR(H70,0)/IFERROR(IF(COUNTIF(J70:U70,"x")=0,SUMPRODUCT((Besatzung!$B$11:$B$22&lt;&gt;"")*(Besatzung!$F$11:$F$22="x")),SUMPRODUCT((J70:U70="x")*(Besatzung!$F$11:$F$22="x"))),1))))),0))))</f>
        <v/>
      </c>
      <c r="AB70" s="106">
        <f>IF(C70="Gutschrift","",IF(G70="","",IF(Besatzung!$B$17="","",IFERROR(IF(I70="Zeitanteilig",(Besatzung!$G$17*(G70-IFERROR(H70,0))+((Besatzung!$B$17&lt;&gt;"")*IF(B70="",1,(IF(Besatzung!$C$17="",Besatzung!$B$5,Besatzung!$C$17)&lt;=B70)*(IF(Besatzung!$D$17="",Besatzung!$B$6,Besatzung!$D$17)&gt;=B70)))*(Besatzung!$F$17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$17&lt;&gt;"")*IF(B70="",1,(IF(Besatzung!$C$17="",Besatzung!$B$5,Besatzung!$C$17)&lt;=B70)*(IF(Besatzung!$D$17="",Besatzung!$B$6,Besatzung!$D$17)&gt;=B70)))*((G70-IFERROR(H70,0))/IFERROR(SUMPRODUCT((Besatzung!$B$11:$B$22&lt;&gt;"")*(IF(Besatzung!$C$11:$C$22="",Besatzung!$B$5,Besatzung!$C$11:$C$22)&lt;=B70)*(IF(Besatzung!$D$11:$D$22="",Besatzung!$B$6,Besatzung!$D$11:$D$22)&gt;=B70)),1)+(Besatzung!$F$17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P70="x")*((G70-IFERROR(H70,0))/IFERROR(COUNTIF(J70:U70,"x"),1)+(Besatzung!$F$17="x")*IFERROR(H70,0)/IFERROR(SUMPRODUCT((J70:U70="x")*(Besatzung!$F$11:$F$22="x")),1))),(IF(COUNTIF(J70:U70,"x")=0,IF(Besatzung!$B$17&lt;&gt;"",1,0),(P70="x"))*(G70-IFERROR(H70,0))/IFERROR(IF(COUNTIF(J70:U70,"x")=0,COUNTA(Besatzung!$B$11:$B$22),COUNTIF(J70:U70,"x")),1)+IF(COUNTIF(J70:U70,"x")=0,(Besatzung!$F$17="x"),(P70="x")*(Besatzung!$F$17="x"))*IFERROR(H70,0)/IFERROR(IF(COUNTIF(J70:U70,"x")=0,SUMPRODUCT((Besatzung!$B$11:$B$22&lt;&gt;"")*(Besatzung!$F$11:$F$22="x")),SUMPRODUCT((J70:U70="x")*(Besatzung!$F$11:$F$22="x"))),1))))),0))))</f>
        <v/>
      </c>
      <c r="AC70" s="106">
        <f>IF(C70="Gutschrift","",IF(G70="","",IF(Besatzung!$B$18="","",IFERROR(IF(I70="Zeitanteilig",(Besatzung!$G$18*(G70-IFERROR(H70,0))+((Besatzung!$B$18&lt;&gt;"")*IF(B70="",1,(IF(Besatzung!$C$18="",Besatzung!$B$5,Besatzung!$C$18)&lt;=B70)*(IF(Besatzung!$D$18="",Besatzung!$B$6,Besatzung!$D$18)&gt;=B70)))*(Besatzung!$F$18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$18&lt;&gt;"")*IF(B70="",1,(IF(Besatzung!$C$18="",Besatzung!$B$5,Besatzung!$C$18)&lt;=B70)*(IF(Besatzung!$D$18="",Besatzung!$B$6,Besatzung!$D$18)&gt;=B70)))*((G70-IFERROR(H70,0))/IFERROR(SUMPRODUCT((Besatzung!$B$11:$B$22&lt;&gt;"")*(IF(Besatzung!$C$11:$C$22="",Besatzung!$B$5,Besatzung!$C$11:$C$22)&lt;=B70)*(IF(Besatzung!$D$11:$D$22="",Besatzung!$B$6,Besatzung!$D$11:$D$22)&gt;=B70)),1)+(Besatzung!$F$18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Q70="x")*((G70-IFERROR(H70,0))/IFERROR(COUNTIF(J70:U70,"x"),1)+(Besatzung!$F$18="x")*IFERROR(H70,0)/IFERROR(SUMPRODUCT((J70:U70="x")*(Besatzung!$F$11:$F$22="x")),1))),(IF(COUNTIF(J70:U70,"x")=0,IF(Besatzung!$B$18&lt;&gt;"",1,0),(Q70="x"))*(G70-IFERROR(H70,0))/IFERROR(IF(COUNTIF(J70:U70,"x")=0,COUNTA(Besatzung!$B$11:$B$22),COUNTIF(J70:U70,"x")),1)+IF(COUNTIF(J70:U70,"x")=0,(Besatzung!$F$18="x"),(Q70="x")*(Besatzung!$F$18="x"))*IFERROR(H70,0)/IFERROR(IF(COUNTIF(J70:U70,"x")=0,SUMPRODUCT((Besatzung!$B$11:$B$22&lt;&gt;"")*(Besatzung!$F$11:$F$22="x")),SUMPRODUCT((J70:U70="x")*(Besatzung!$F$11:$F$22="x"))),1))))),0))))</f>
        <v/>
      </c>
      <c r="AD70" s="106">
        <f>IF(C70="Gutschrift","",IF(G70="","",IF(Besatzung!$B$19="","",IFERROR(IF(I70="Zeitanteilig",(Besatzung!$G$19*(G70-IFERROR(H70,0))+((Besatzung!$B$19&lt;&gt;"")*IF(B70="",1,(IF(Besatzung!$C$19="",Besatzung!$B$5,Besatzung!$C$19)&lt;=B70)*(IF(Besatzung!$D$19="",Besatzung!$B$6,Besatzung!$D$19)&gt;=B70)))*(Besatzung!$F$19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$19&lt;&gt;"")*IF(B70="",1,(IF(Besatzung!$C$19="",Besatzung!$B$5,Besatzung!$C$19)&lt;=B70)*(IF(Besatzung!$D$19="",Besatzung!$B$6,Besatzung!$D$19)&gt;=B70)))*((G70-IFERROR(H70,0))/IFERROR(SUMPRODUCT((Besatzung!$B$11:$B$22&lt;&gt;"")*(IF(Besatzung!$C$11:$C$22="",Besatzung!$B$5,Besatzung!$C$11:$C$22)&lt;=B70)*(IF(Besatzung!$D$11:$D$22="",Besatzung!$B$6,Besatzung!$D$11:$D$22)&gt;=B70)),1)+(Besatzung!$F$19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R70="x")*((G70-IFERROR(H70,0))/IFERROR(COUNTIF(J70:U70,"x"),1)+(Besatzung!$F$19="x")*IFERROR(H70,0)/IFERROR(SUMPRODUCT((J70:U70="x")*(Besatzung!$F$11:$F$22="x")),1))),(IF(COUNTIF(J70:U70,"x")=0,IF(Besatzung!$B$19&lt;&gt;"",1,0),(R70="x"))*(G70-IFERROR(H70,0))/IFERROR(IF(COUNTIF(J70:U70,"x")=0,COUNTA(Besatzung!$B$11:$B$22),COUNTIF(J70:U70,"x")),1)+IF(COUNTIF(J70:U70,"x")=0,(Besatzung!$F$19="x"),(R70="x")*(Besatzung!$F$19="x"))*IFERROR(H70,0)/IFERROR(IF(COUNTIF(J70:U70,"x")=0,SUMPRODUCT((Besatzung!$B$11:$B$22&lt;&gt;"")*(Besatzung!$F$11:$F$22="x")),SUMPRODUCT((J70:U70="x")*(Besatzung!$F$11:$F$22="x"))),1))))),0))))</f>
        <v/>
      </c>
      <c r="AE70" s="106">
        <f>IF(C70="Gutschrift","",IF(G70="","",IF(Besatzung!$B$20="","",IFERROR(IF(I70="Zeitanteilig",(Besatzung!$G$20*(G70-IFERROR(H70,0))+((Besatzung!$B$20&lt;&gt;"")*IF(B70="",1,(IF(Besatzung!$C$20="",Besatzung!$B$5,Besatzung!$C$20)&lt;=B70)*(IF(Besatzung!$D$20="",Besatzung!$B$6,Besatzung!$D$20)&gt;=B70)))*(Besatzung!$F$20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$20&lt;&gt;"")*IF(B70="",1,(IF(Besatzung!$C$20="",Besatzung!$B$5,Besatzung!$C$20)&lt;=B70)*(IF(Besatzung!$D$20="",Besatzung!$B$6,Besatzung!$D$20)&gt;=B70)))*((G70-IFERROR(H70,0))/IFERROR(SUMPRODUCT((Besatzung!$B$11:$B$22&lt;&gt;"")*(IF(Besatzung!$C$11:$C$22="",Besatzung!$B$5,Besatzung!$C$11:$C$22)&lt;=B70)*(IF(Besatzung!$D$11:$D$22="",Besatzung!$B$6,Besatzung!$D$11:$D$22)&gt;=B70)),1)+(Besatzung!$F$20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S70="x")*((G70-IFERROR(H70,0))/IFERROR(COUNTIF(J70:U70,"x"),1)+(Besatzung!$F$20="x")*IFERROR(H70,0)/IFERROR(SUMPRODUCT((J70:U70="x")*(Besatzung!$F$11:$F$22="x")),1))),(IF(COUNTIF(J70:U70,"x")=0,IF(Besatzung!$B$20&lt;&gt;"",1,0),(S70="x"))*(G70-IFERROR(H70,0))/IFERROR(IF(COUNTIF(J70:U70,"x")=0,COUNTA(Besatzung!$B$11:$B$22),COUNTIF(J70:U70,"x")),1)+IF(COUNTIF(J70:U70,"x")=0,(Besatzung!$F$20="x"),(S70="x")*(Besatzung!$F$20="x"))*IFERROR(H70,0)/IFERROR(IF(COUNTIF(J70:U70,"x")=0,SUMPRODUCT((Besatzung!$B$11:$B$22&lt;&gt;"")*(Besatzung!$F$11:$F$22="x")),SUMPRODUCT((J70:U70="x")*(Besatzung!$F$11:$F$22="x"))),1))))),0))))</f>
        <v/>
      </c>
      <c r="AF70" s="106">
        <f>IF(C70="Gutschrift","",IF(G70="","",IF(Besatzung!$B$21="","",IFERROR(IF(I70="Zeitanteilig",(Besatzung!$G$21*(G70-IFERROR(H70,0))+((Besatzung!$B$21&lt;&gt;"")*IF(B70="",1,(IF(Besatzung!$C$21="",Besatzung!$B$5,Besatzung!$C$21)&lt;=B70)*(IF(Besatzung!$D$21="",Besatzung!$B$6,Besatzung!$D$21)&gt;=B70)))*(Besatzung!$F$21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$21&lt;&gt;"")*IF(B70="",1,(IF(Besatzung!$C$21="",Besatzung!$B$5,Besatzung!$C$21)&lt;=B70)*(IF(Besatzung!$D$21="",Besatzung!$B$6,Besatzung!$D$21)&gt;=B70)))*((G70-IFERROR(H70,0))/IFERROR(SUMPRODUCT((Besatzung!$B$11:$B$22&lt;&gt;"")*(IF(Besatzung!$C$11:$C$22="",Besatzung!$B$5,Besatzung!$C$11:$C$22)&lt;=B70)*(IF(Besatzung!$D$11:$D$22="",Besatzung!$B$6,Besatzung!$D$11:$D$22)&gt;=B70)),1)+(Besatzung!$F$21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T70="x")*((G70-IFERROR(H70,0))/IFERROR(COUNTIF(J70:U70,"x"),1)+(Besatzung!$F$21="x")*IFERROR(H70,0)/IFERROR(SUMPRODUCT((J70:U70="x")*(Besatzung!$F$11:$F$22="x")),1))),(IF(COUNTIF(J70:U70,"x")=0,IF(Besatzung!$B$21&lt;&gt;"",1,0),(T70="x"))*(G70-IFERROR(H70,0))/IFERROR(IF(COUNTIF(J70:U70,"x")=0,COUNTA(Besatzung!$B$11:$B$22),COUNTIF(J70:U70,"x")),1)+IF(COUNTIF(J70:U70,"x")=0,(Besatzung!$F$21="x"),(T70="x")*(Besatzung!$F$21="x"))*IFERROR(H70,0)/IFERROR(IF(COUNTIF(J70:U70,"x")=0,SUMPRODUCT((Besatzung!$B$11:$B$22&lt;&gt;"")*(Besatzung!$F$11:$F$22="x")),SUMPRODUCT((J70:U70="x")*(Besatzung!$F$11:$F$22="x"))),1))))),0))))</f>
        <v/>
      </c>
      <c r="AG70" s="106">
        <f>IF(C70="Gutschrift","",IF(G70="","",IF(Besatzung!$B$22="","",IFERROR(IF(I70="Zeitanteilig",(Besatzung!$G$22*(G70-IFERROR(H70,0))+((Besatzung!$B$22&lt;&gt;"")*IF(B70="",1,(IF(Besatzung!$C$22="",Besatzung!$B$5,Besatzung!$C$22)&lt;=B70)*(IF(Besatzung!$D$22="",Besatzung!$B$6,Besatzung!$D$22)&gt;=B70)))*(Besatzung!$F$22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$22&lt;&gt;"")*IF(B70="",1,(IF(Besatzung!$C$22="",Besatzung!$B$5,Besatzung!$C$22)&lt;=B70)*(IF(Besatzung!$D$22="",Besatzung!$B$6,Besatzung!$D$22)&gt;=B70)))*((G70-IFERROR(H70,0))/IFERROR(SUMPRODUCT((Besatzung!$B$11:$B$22&lt;&gt;"")*(IF(Besatzung!$C$11:$C$22="",Besatzung!$B$5,Besatzung!$C$11:$C$22)&lt;=B70)*(IF(Besatzung!$D$11:$D$22="",Besatzung!$B$6,Besatzung!$D$11:$D$22)&gt;=B70)),1)+(Besatzung!$F$22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U70="x")*((G70-IFERROR(H70,0))/IFERROR(COUNTIF(J70:U70,"x"),1)+(Besatzung!$F$22="x")*IFERROR(H70,0)/IFERROR(SUMPRODUCT((J70:U70="x")*(Besatzung!$F$11:$F$22="x")),1))),(IF(COUNTIF(J70:U70,"x")=0,IF(Besatzung!$B$22&lt;&gt;"",1,0),(U70="x"))*(G70-IFERROR(H70,0))/IFERROR(IF(COUNTIF(J70:U70,"x")=0,COUNTA(Besatzung!$B$11:$B$22),COUNTIF(J70:U70,"x")),1)+IF(COUNTIF(J70:U70,"x")=0,(Besatzung!$F$22="x"),(U70="x")*(Besatzung!$F$22="x"))*IFERROR(H70,0)/IFERROR(IF(COUNTIF(J70:U70,"x")=0,SUMPRODUCT((Besatzung!$B$11:$B$22&lt;&gt;"")*(Besatzung!$F$11:$F$22="x")),SUMPRODUCT((J70:U70="x")*(Besatzung!$F$11:$F$22="x"))),1))))),0))))</f>
        <v/>
      </c>
      <c r="AH70" s="107" t="n"/>
      <c r="AI70" s="107" t="n"/>
    </row>
    <row r="71" ht="21.75" customHeight="1" s="182">
      <c r="A71" s="97">
        <f>IF(AND(D71="",C71=""),"",68)</f>
        <v/>
      </c>
      <c r="B71" s="63" t="n"/>
      <c r="C71" s="108" t="n"/>
      <c r="D71" s="109" t="n"/>
      <c r="E71" s="110" t="n"/>
      <c r="F71" s="111" t="n"/>
      <c r="G71" s="112" t="n"/>
      <c r="H71" s="113" t="n"/>
      <c r="I71" s="114" t="n"/>
      <c r="J71" s="115" t="n"/>
      <c r="K71" s="115" t="n"/>
      <c r="L71" s="115" t="n"/>
      <c r="M71" s="115" t="n"/>
      <c r="N71" s="115" t="n"/>
      <c r="O71" s="115" t="n"/>
      <c r="P71" s="115" t="n"/>
      <c r="Q71" s="115" t="n"/>
      <c r="R71" s="115" t="n"/>
      <c r="S71" s="115" t="n"/>
      <c r="T71" s="115" t="n"/>
      <c r="U71" s="115" t="n"/>
      <c r="V71" s="106">
        <f>IF(C71="Gutschrift","",IF(G71="","",IF(Besatzung!$B$11="","",IFERROR(IF(I71="Zeitanteilig",(Besatzung!$G$11*(G71-IFERROR(H71,0))+((Besatzung!$B$11&lt;&gt;"")*IF(B71="",1,(IF(Besatzung!$C$11="",Besatzung!$B$5,Besatzung!$C$11)&lt;=B71)*(IF(Besatzung!$D$11="",Besatzung!$B$6,Besatzung!$D$11)&gt;=B71)))*(Besatzung!$F$11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$11&lt;&gt;"")*IF(B71="",1,(IF(Besatzung!$C$11="",Besatzung!$B$5,Besatzung!$C$11)&lt;=B71)*(IF(Besatzung!$D$11="",Besatzung!$B$6,Besatzung!$D$11)&gt;=B71)))*((G71-IFERROR(H71,0))/IFERROR(SUMPRODUCT((Besatzung!$B$11:$B$22&lt;&gt;"")*(IF(Besatzung!$C$11:$C$22="",Besatzung!$B$5,Besatzung!$C$11:$C$22)&lt;=B71)*(IF(Besatzung!$D$11:$D$22="",Besatzung!$B$6,Besatzung!$D$11:$D$22)&gt;=B71)),1)+(Besatzung!$F$11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J71="x")*((G71-IFERROR(H71,0))/IFERROR(COUNTIF(J71:U71,"x"),1)+(Besatzung!$F$11="x")*IFERROR(H71,0)/IFERROR(SUMPRODUCT((J71:U71="x")*(Besatzung!$F$11:$F$22="x")),1))),(IF(COUNTIF(J71:U71,"x")=0,IF(Besatzung!$B$11&lt;&gt;"",1,0),(J71="x"))*(G71-IFERROR(H71,0))/IFERROR(IF(COUNTIF(J71:U71,"x")=0,COUNTA(Besatzung!$B$11:$B$22),COUNTIF(J71:U71,"x")),1)+IF(COUNTIF(J71:U71,"x")=0,(Besatzung!$F$11="x"),(J71="x")*(Besatzung!$F$11="x"))*IFERROR(H71,0)/IFERROR(IF(COUNTIF(J71:U71,"x")=0,SUMPRODUCT((Besatzung!$B$11:$B$22&lt;&gt;"")*(Besatzung!$F$11:$F$22="x")),SUMPRODUCT((J71:U71="x")*(Besatzung!$F$11:$F$22="x"))),1))))),0))))</f>
        <v/>
      </c>
      <c r="W71" s="106">
        <f>IF(C71="Gutschrift","",IF(G71="","",IF(Besatzung!$B$12="","",IFERROR(IF(I71="Zeitanteilig",(Besatzung!$G$12*(G71-IFERROR(H71,0))+((Besatzung!$B$12&lt;&gt;"")*IF(B71="",1,(IF(Besatzung!$C$12="",Besatzung!$B$5,Besatzung!$C$12)&lt;=B71)*(IF(Besatzung!$D$12="",Besatzung!$B$6,Besatzung!$D$12)&gt;=B71)))*(Besatzung!$F$12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$12&lt;&gt;"")*IF(B71="",1,(IF(Besatzung!$C$12="",Besatzung!$B$5,Besatzung!$C$12)&lt;=B71)*(IF(Besatzung!$D$12="",Besatzung!$B$6,Besatzung!$D$12)&gt;=B71)))*((G71-IFERROR(H71,0))/IFERROR(SUMPRODUCT((Besatzung!$B$11:$B$22&lt;&gt;"")*(IF(Besatzung!$C$11:$C$22="",Besatzung!$B$5,Besatzung!$C$11:$C$22)&lt;=B71)*(IF(Besatzung!$D$11:$D$22="",Besatzung!$B$6,Besatzung!$D$11:$D$22)&gt;=B71)),1)+(Besatzung!$F$12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K71="x")*((G71-IFERROR(H71,0))/IFERROR(COUNTIF(J71:U71,"x"),1)+(Besatzung!$F$12="x")*IFERROR(H71,0)/IFERROR(SUMPRODUCT((J71:U71="x")*(Besatzung!$F$11:$F$22="x")),1))),(IF(COUNTIF(J71:U71,"x")=0,IF(Besatzung!$B$12&lt;&gt;"",1,0),(K71="x"))*(G71-IFERROR(H71,0))/IFERROR(IF(COUNTIF(J71:U71,"x")=0,COUNTA(Besatzung!$B$11:$B$22),COUNTIF(J71:U71,"x")),1)+IF(COUNTIF(J71:U71,"x")=0,(Besatzung!$F$12="x"),(K71="x")*(Besatzung!$F$12="x"))*IFERROR(H71,0)/IFERROR(IF(COUNTIF(J71:U71,"x")=0,SUMPRODUCT((Besatzung!$B$11:$B$22&lt;&gt;"")*(Besatzung!$F$11:$F$22="x")),SUMPRODUCT((J71:U71="x")*(Besatzung!$F$11:$F$22="x"))),1))))),0))))</f>
        <v/>
      </c>
      <c r="X71" s="106">
        <f>IF(C71="Gutschrift","",IF(G71="","",IF(Besatzung!$B$13="","",IFERROR(IF(I71="Zeitanteilig",(Besatzung!$G$13*(G71-IFERROR(H71,0))+((Besatzung!$B$13&lt;&gt;"")*IF(B71="",1,(IF(Besatzung!$C$13="",Besatzung!$B$5,Besatzung!$C$13)&lt;=B71)*(IF(Besatzung!$D$13="",Besatzung!$B$6,Besatzung!$D$13)&gt;=B71)))*(Besatzung!$F$13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$13&lt;&gt;"")*IF(B71="",1,(IF(Besatzung!$C$13="",Besatzung!$B$5,Besatzung!$C$13)&lt;=B71)*(IF(Besatzung!$D$13="",Besatzung!$B$6,Besatzung!$D$13)&gt;=B71)))*((G71-IFERROR(H71,0))/IFERROR(SUMPRODUCT((Besatzung!$B$11:$B$22&lt;&gt;"")*(IF(Besatzung!$C$11:$C$22="",Besatzung!$B$5,Besatzung!$C$11:$C$22)&lt;=B71)*(IF(Besatzung!$D$11:$D$22="",Besatzung!$B$6,Besatzung!$D$11:$D$22)&gt;=B71)),1)+(Besatzung!$F$13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K71="x")*((G71-IFERROR(H71,0))/IFERROR(COUNTIF(J71:U71,"x"),1)+(Besatzung!$F$13="x")*IFERROR(H71,0)/IFERROR(SUMPRODUCT((J71:U71="x")*(Besatzung!$F$11:$F$22="x")),1))),(IF(COUNTIF(J71:U71,"x")=0,IF(Besatzung!$B$13&lt;&gt;"",1,0),(K71="x"))*(G71-IFERROR(H71,0))/IFERROR(IF(COUNTIF(J71:U71,"x")=0,COUNTA(Besatzung!$B$11:$B$22),COUNTIF(J71:U71,"x")),1)+IF(COUNTIF(J71:U71,"x")=0,(Besatzung!$F$13="x"),(K71="x")*(Besatzung!$F$13="x"))*IFERROR(H71,0)/IFERROR(IF(COUNTIF(J71:U71,"x")=0,SUMPRODUCT((Besatzung!$B$11:$B$22&lt;&gt;"")*(Besatzung!$F$11:$F$22="x")),SUMPRODUCT((J71:U71="x")*(Besatzung!$F$11:$F$22="x"))),1))))),0))))</f>
        <v/>
      </c>
      <c r="Y71" s="106">
        <f>IF(C71="Gutschrift","",IF(G71="","",IF(Besatzung!$B$14="","",IFERROR(IF(I71="Zeitanteilig",(Besatzung!$G$14*(G71-IFERROR(H71,0))+((Besatzung!$B$14&lt;&gt;"")*IF(B71="",1,(IF(Besatzung!$C$14="",Besatzung!$B$5,Besatzung!$C$14)&lt;=B71)*(IF(Besatzung!$D$14="",Besatzung!$B$6,Besatzung!$D$14)&gt;=B71)))*(Besatzung!$F$14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$14&lt;&gt;"")*IF(B71="",1,(IF(Besatzung!$C$14="",Besatzung!$B$5,Besatzung!$C$14)&lt;=B71)*(IF(Besatzung!$D$14="",Besatzung!$B$6,Besatzung!$D$14)&gt;=B71)))*((G71-IFERROR(H71,0))/IFERROR(SUMPRODUCT((Besatzung!$B$11:$B$22&lt;&gt;"")*(IF(Besatzung!$C$11:$C$22="",Besatzung!$B$5,Besatzung!$C$11:$C$22)&lt;=B71)*(IF(Besatzung!$D$11:$D$22="",Besatzung!$B$6,Besatzung!$D$11:$D$22)&gt;=B71)),1)+(Besatzung!$F$14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M71="x")*((G71-IFERROR(H71,0))/IFERROR(COUNTIF(J71:U71,"x"),1)+(Besatzung!$F$14="x")*IFERROR(H71,0)/IFERROR(SUMPRODUCT((J71:U71="x")*(Besatzung!$F$11:$F$22="x")),1))),(IF(COUNTIF(J71:U71,"x")=0,IF(Besatzung!$B$14&lt;&gt;"",1,0),(M71="x"))*(G71-IFERROR(H71,0))/IFERROR(IF(COUNTIF(J71:U71,"x")=0,COUNTA(Besatzung!$B$11:$B$22),COUNTIF(J71:U71,"x")),1)+IF(COUNTIF(J71:U71,"x")=0,(Besatzung!$F$14="x"),(M71="x")*(Besatzung!$F$14="x"))*IFERROR(H71,0)/IFERROR(IF(COUNTIF(J71:U71,"x")=0,SUMPRODUCT((Besatzung!$B$11:$B$22&lt;&gt;"")*(Besatzung!$F$11:$F$22="x")),SUMPRODUCT((J71:U71="x")*(Besatzung!$F$11:$F$22="x"))),1))))),0))))</f>
        <v/>
      </c>
      <c r="Z71" s="106">
        <f>IF(C71="Gutschrift","",IF(G71="","",IF(Besatzung!$B$13="","",IFERROR(IF(I71="Zeitanteilig",(Besatzung!$G$15*(G71-IFERROR(H71,0))+((Besatzung!$B$13&lt;&gt;"")*IF(B71="",1,(IF(Besatzung!$C$15="",Besatzung!$B$5,Besatzung!$C$15)&lt;=B71)*(IF(Besatzung!$D$15="",Besatzung!$B$6,Besatzung!$D$15)&gt;=B71)))*(Besatzung!$F$15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$13&lt;&gt;"")*IF(B71="",1,(IF(Besatzung!$C$15="",Besatzung!$B$5,Besatzung!$C$15)&lt;=B71)*(IF(Besatzung!$D$15="",Besatzung!$B$6,Besatzung!$D$15)&gt;=B71)))*((G71-IFERROR(H71,0))/IFERROR(SUMPRODUCT((Besatzung!$B$11:$B$22&lt;&gt;"")*(IF(Besatzung!$C$11:$C$22="",Besatzung!$B$5,Besatzung!$C$11:$C$22)&lt;=B71)*(IF(Besatzung!$D$11:$D$22="",Besatzung!$B$6,Besatzung!$D$11:$D$22)&gt;=B71)),1)+(Besatzung!$F$15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N71="x")*((G71-IFERROR(H71,0))/IFERROR(COUNTIF(J71:U71,"x"),1)+(Besatzung!$F$15="x")*IFERROR(H71,0)/IFERROR(SUMPRODUCT((J71:U71="x")*(Besatzung!$F$11:$F$22="x")),1))),(IF(COUNTIF(J71:U71,"x")=0,IF(Besatzung!$B$13&lt;&gt;"",1,0),(N71="x"))*(G71-IFERROR(H71,0))/IFERROR(IF(COUNTIF(J71:U71,"x")=0,COUNTA(Besatzung!$B$11:$B$22),COUNTIF(J71:U71,"x")),1)+IF(COUNTIF(J71:U71,"x")=0,(Besatzung!$F$15="x"),(N71="x")*(Besatzung!$F$15="x"))*IFERROR(H71,0)/IFERROR(IF(COUNTIF(J71:U71,"x")=0,SUMPRODUCT((Besatzung!$B$11:$B$22&lt;&gt;"")*(Besatzung!$F$11:$F$22="x")),SUMPRODUCT((J71:U71="x")*(Besatzung!$F$11:$F$22="x"))),1))))),0))))</f>
        <v/>
      </c>
      <c r="AA71" s="106">
        <f>IF(C71="Gutschrift","",IF(G71="","",IF(Besatzung!$B$15="","",IFERROR(IF(I71="Zeitanteilig",(Besatzung!$G$16*(G71-IFERROR(H71,0))+((Besatzung!$B$15&lt;&gt;"")*IF(B71="",1,(IF(Besatzung!$C$16="",Besatzung!$B$5,Besatzung!$C$16)&lt;=B71)*(IF(Besatzung!$D$16="",Besatzung!$B$6,Besatzung!$D$16)&gt;=B71)))*(Besatzung!$F$16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$15&lt;&gt;"")*IF(B71="",1,(IF(Besatzung!$C$16="",Besatzung!$B$5,Besatzung!$C$16)&lt;=B71)*(IF(Besatzung!$D$16="",Besatzung!$B$6,Besatzung!$D$16)&gt;=B71)))*((G71-IFERROR(H71,0))/IFERROR(SUMPRODUCT((Besatzung!$B$11:$B$22&lt;&gt;"")*(IF(Besatzung!$C$11:$C$22="",Besatzung!$B$5,Besatzung!$C$11:$C$22)&lt;=B71)*(IF(Besatzung!$D$11:$D$22="",Besatzung!$B$6,Besatzung!$D$11:$D$22)&gt;=B71)),1)+(Besatzung!$F$16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O71="x")*((G71-IFERROR(H71,0))/IFERROR(COUNTIF(J71:U71,"x"),1)+(Besatzung!$F$16="x")*IFERROR(H71,0)/IFERROR(SUMPRODUCT((J71:U71="x")*(Besatzung!$F$11:$F$22="x")),1))),(IF(COUNTIF(J71:U71,"x")=0,IF(Besatzung!$B$15&lt;&gt;"",1,0),(O71="x"))*(G71-IFERROR(H71,0))/IFERROR(IF(COUNTIF(J71:U71,"x")=0,COUNTA(Besatzung!$B$11:$B$22),COUNTIF(J71:U71,"x")),1)+IF(COUNTIF(J71:U71,"x")=0,(Besatzung!$F$16="x"),(O71="x")*(Besatzung!$F$16="x"))*IFERROR(H71,0)/IFERROR(IF(COUNTIF(J71:U71,"x")=0,SUMPRODUCT((Besatzung!$B$11:$B$22&lt;&gt;"")*(Besatzung!$F$11:$F$22="x")),SUMPRODUCT((J71:U71="x")*(Besatzung!$F$11:$F$22="x"))),1))))),0))))</f>
        <v/>
      </c>
      <c r="AB71" s="106">
        <f>IF(C71="Gutschrift","",IF(G71="","",IF(Besatzung!$B$17="","",IFERROR(IF(I71="Zeitanteilig",(Besatzung!$G$17*(G71-IFERROR(H71,0))+((Besatzung!$B$17&lt;&gt;"")*IF(B71="",1,(IF(Besatzung!$C$17="",Besatzung!$B$5,Besatzung!$C$17)&lt;=B71)*(IF(Besatzung!$D$17="",Besatzung!$B$6,Besatzung!$D$17)&gt;=B71)))*(Besatzung!$F$17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$17&lt;&gt;"")*IF(B71="",1,(IF(Besatzung!$C$17="",Besatzung!$B$5,Besatzung!$C$17)&lt;=B71)*(IF(Besatzung!$D$17="",Besatzung!$B$6,Besatzung!$D$17)&gt;=B71)))*((G71-IFERROR(H71,0))/IFERROR(SUMPRODUCT((Besatzung!$B$11:$B$22&lt;&gt;"")*(IF(Besatzung!$C$11:$C$22="",Besatzung!$B$5,Besatzung!$C$11:$C$22)&lt;=B71)*(IF(Besatzung!$D$11:$D$22="",Besatzung!$B$6,Besatzung!$D$11:$D$22)&gt;=B71)),1)+(Besatzung!$F$17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P71="x")*((G71-IFERROR(H71,0))/IFERROR(COUNTIF(J71:U71,"x"),1)+(Besatzung!$F$17="x")*IFERROR(H71,0)/IFERROR(SUMPRODUCT((J71:U71="x")*(Besatzung!$F$11:$F$22="x")),1))),(IF(COUNTIF(J71:U71,"x")=0,IF(Besatzung!$B$17&lt;&gt;"",1,0),(P71="x"))*(G71-IFERROR(H71,0))/IFERROR(IF(COUNTIF(J71:U71,"x")=0,COUNTA(Besatzung!$B$11:$B$22),COUNTIF(J71:U71,"x")),1)+IF(COUNTIF(J71:U71,"x")=0,(Besatzung!$F$17="x"),(P71="x")*(Besatzung!$F$17="x"))*IFERROR(H71,0)/IFERROR(IF(COUNTIF(J71:U71,"x")=0,SUMPRODUCT((Besatzung!$B$11:$B$22&lt;&gt;"")*(Besatzung!$F$11:$F$22="x")),SUMPRODUCT((J71:U71="x")*(Besatzung!$F$11:$F$22="x"))),1))))),0))))</f>
        <v/>
      </c>
      <c r="AC71" s="106">
        <f>IF(C71="Gutschrift","",IF(G71="","",IF(Besatzung!$B$18="","",IFERROR(IF(I71="Zeitanteilig",(Besatzung!$G$18*(G71-IFERROR(H71,0))+((Besatzung!$B$18&lt;&gt;"")*IF(B71="",1,(IF(Besatzung!$C$18="",Besatzung!$B$5,Besatzung!$C$18)&lt;=B71)*(IF(Besatzung!$D$18="",Besatzung!$B$6,Besatzung!$D$18)&gt;=B71)))*(Besatzung!$F$18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$18&lt;&gt;"")*IF(B71="",1,(IF(Besatzung!$C$18="",Besatzung!$B$5,Besatzung!$C$18)&lt;=B71)*(IF(Besatzung!$D$18="",Besatzung!$B$6,Besatzung!$D$18)&gt;=B71)))*((G71-IFERROR(H71,0))/IFERROR(SUMPRODUCT((Besatzung!$B$11:$B$22&lt;&gt;"")*(IF(Besatzung!$C$11:$C$22="",Besatzung!$B$5,Besatzung!$C$11:$C$22)&lt;=B71)*(IF(Besatzung!$D$11:$D$22="",Besatzung!$B$6,Besatzung!$D$11:$D$22)&gt;=B71)),1)+(Besatzung!$F$18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Q71="x")*((G71-IFERROR(H71,0))/IFERROR(COUNTIF(J71:U71,"x"),1)+(Besatzung!$F$18="x")*IFERROR(H71,0)/IFERROR(SUMPRODUCT((J71:U71="x")*(Besatzung!$F$11:$F$22="x")),1))),(IF(COUNTIF(J71:U71,"x")=0,IF(Besatzung!$B$18&lt;&gt;"",1,0),(Q71="x"))*(G71-IFERROR(H71,0))/IFERROR(IF(COUNTIF(J71:U71,"x")=0,COUNTA(Besatzung!$B$11:$B$22),COUNTIF(J71:U71,"x")),1)+IF(COUNTIF(J71:U71,"x")=0,(Besatzung!$F$18="x"),(Q71="x")*(Besatzung!$F$18="x"))*IFERROR(H71,0)/IFERROR(IF(COUNTIF(J71:U71,"x")=0,SUMPRODUCT((Besatzung!$B$11:$B$22&lt;&gt;"")*(Besatzung!$F$11:$F$22="x")),SUMPRODUCT((J71:U71="x")*(Besatzung!$F$11:$F$22="x"))),1))))),0))))</f>
        <v/>
      </c>
      <c r="AD71" s="106">
        <f>IF(C71="Gutschrift","",IF(G71="","",IF(Besatzung!$B$19="","",IFERROR(IF(I71="Zeitanteilig",(Besatzung!$G$19*(G71-IFERROR(H71,0))+((Besatzung!$B$19&lt;&gt;"")*IF(B71="",1,(IF(Besatzung!$C$19="",Besatzung!$B$5,Besatzung!$C$19)&lt;=B71)*(IF(Besatzung!$D$19="",Besatzung!$B$6,Besatzung!$D$19)&gt;=B71)))*(Besatzung!$F$19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$19&lt;&gt;"")*IF(B71="",1,(IF(Besatzung!$C$19="",Besatzung!$B$5,Besatzung!$C$19)&lt;=B71)*(IF(Besatzung!$D$19="",Besatzung!$B$6,Besatzung!$D$19)&gt;=B71)))*((G71-IFERROR(H71,0))/IFERROR(SUMPRODUCT((Besatzung!$B$11:$B$22&lt;&gt;"")*(IF(Besatzung!$C$11:$C$22="",Besatzung!$B$5,Besatzung!$C$11:$C$22)&lt;=B71)*(IF(Besatzung!$D$11:$D$22="",Besatzung!$B$6,Besatzung!$D$11:$D$22)&gt;=B71)),1)+(Besatzung!$F$19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R71="x")*((G71-IFERROR(H71,0))/IFERROR(COUNTIF(J71:U71,"x"),1)+(Besatzung!$F$19="x")*IFERROR(H71,0)/IFERROR(SUMPRODUCT((J71:U71="x")*(Besatzung!$F$11:$F$22="x")),1))),(IF(COUNTIF(J71:U71,"x")=0,IF(Besatzung!$B$19&lt;&gt;"",1,0),(R71="x"))*(G71-IFERROR(H71,0))/IFERROR(IF(COUNTIF(J71:U71,"x")=0,COUNTA(Besatzung!$B$11:$B$22),COUNTIF(J71:U71,"x")),1)+IF(COUNTIF(J71:U71,"x")=0,(Besatzung!$F$19="x"),(R71="x")*(Besatzung!$F$19="x"))*IFERROR(H71,0)/IFERROR(IF(COUNTIF(J71:U71,"x")=0,SUMPRODUCT((Besatzung!$B$11:$B$22&lt;&gt;"")*(Besatzung!$F$11:$F$22="x")),SUMPRODUCT((J71:U71="x")*(Besatzung!$F$11:$F$22="x"))),1))))),0))))</f>
        <v/>
      </c>
      <c r="AE71" s="106">
        <f>IF(C71="Gutschrift","",IF(G71="","",IF(Besatzung!$B$20="","",IFERROR(IF(I71="Zeitanteilig",(Besatzung!$G$20*(G71-IFERROR(H71,0))+((Besatzung!$B$20&lt;&gt;"")*IF(B71="",1,(IF(Besatzung!$C$20="",Besatzung!$B$5,Besatzung!$C$20)&lt;=B71)*(IF(Besatzung!$D$20="",Besatzung!$B$6,Besatzung!$D$20)&gt;=B71)))*(Besatzung!$F$20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$20&lt;&gt;"")*IF(B71="",1,(IF(Besatzung!$C$20="",Besatzung!$B$5,Besatzung!$C$20)&lt;=B71)*(IF(Besatzung!$D$20="",Besatzung!$B$6,Besatzung!$D$20)&gt;=B71)))*((G71-IFERROR(H71,0))/IFERROR(SUMPRODUCT((Besatzung!$B$11:$B$22&lt;&gt;"")*(IF(Besatzung!$C$11:$C$22="",Besatzung!$B$5,Besatzung!$C$11:$C$22)&lt;=B71)*(IF(Besatzung!$D$11:$D$22="",Besatzung!$B$6,Besatzung!$D$11:$D$22)&gt;=B71)),1)+(Besatzung!$F$20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S71="x")*((G71-IFERROR(H71,0))/IFERROR(COUNTIF(J71:U71,"x"),1)+(Besatzung!$F$20="x")*IFERROR(H71,0)/IFERROR(SUMPRODUCT((J71:U71="x")*(Besatzung!$F$11:$F$22="x")),1))),(IF(COUNTIF(J71:U71,"x")=0,IF(Besatzung!$B$20&lt;&gt;"",1,0),(S71="x"))*(G71-IFERROR(H71,0))/IFERROR(IF(COUNTIF(J71:U71,"x")=0,COUNTA(Besatzung!$B$11:$B$22),COUNTIF(J71:U71,"x")),1)+IF(COUNTIF(J71:U71,"x")=0,(Besatzung!$F$20="x"),(S71="x")*(Besatzung!$F$20="x"))*IFERROR(H71,0)/IFERROR(IF(COUNTIF(J71:U71,"x")=0,SUMPRODUCT((Besatzung!$B$11:$B$22&lt;&gt;"")*(Besatzung!$F$11:$F$22="x")),SUMPRODUCT((J71:U71="x")*(Besatzung!$F$11:$F$22="x"))),1))))),0))))</f>
        <v/>
      </c>
      <c r="AF71" s="106">
        <f>IF(C71="Gutschrift","",IF(G71="","",IF(Besatzung!$B$21="","",IFERROR(IF(I71="Zeitanteilig",(Besatzung!$G$21*(G71-IFERROR(H71,0))+((Besatzung!$B$21&lt;&gt;"")*IF(B71="",1,(IF(Besatzung!$C$21="",Besatzung!$B$5,Besatzung!$C$21)&lt;=B71)*(IF(Besatzung!$D$21="",Besatzung!$B$6,Besatzung!$D$21)&gt;=B71)))*(Besatzung!$F$21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$21&lt;&gt;"")*IF(B71="",1,(IF(Besatzung!$C$21="",Besatzung!$B$5,Besatzung!$C$21)&lt;=B71)*(IF(Besatzung!$D$21="",Besatzung!$B$6,Besatzung!$D$21)&gt;=B71)))*((G71-IFERROR(H71,0))/IFERROR(SUMPRODUCT((Besatzung!$B$11:$B$22&lt;&gt;"")*(IF(Besatzung!$C$11:$C$22="",Besatzung!$B$5,Besatzung!$C$11:$C$22)&lt;=B71)*(IF(Besatzung!$D$11:$D$22="",Besatzung!$B$6,Besatzung!$D$11:$D$22)&gt;=B71)),1)+(Besatzung!$F$21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T71="x")*((G71-IFERROR(H71,0))/IFERROR(COUNTIF(J71:U71,"x"),1)+(Besatzung!$F$21="x")*IFERROR(H71,0)/IFERROR(SUMPRODUCT((J71:U71="x")*(Besatzung!$F$11:$F$22="x")),1))),(IF(COUNTIF(J71:U71,"x")=0,IF(Besatzung!$B$21&lt;&gt;"",1,0),(T71="x"))*(G71-IFERROR(H71,0))/IFERROR(IF(COUNTIF(J71:U71,"x")=0,COUNTA(Besatzung!$B$11:$B$22),COUNTIF(J71:U71,"x")),1)+IF(COUNTIF(J71:U71,"x")=0,(Besatzung!$F$21="x"),(T71="x")*(Besatzung!$F$21="x"))*IFERROR(H71,0)/IFERROR(IF(COUNTIF(J71:U71,"x")=0,SUMPRODUCT((Besatzung!$B$11:$B$22&lt;&gt;"")*(Besatzung!$F$11:$F$22="x")),SUMPRODUCT((J71:U71="x")*(Besatzung!$F$11:$F$22="x"))),1))))),0))))</f>
        <v/>
      </c>
      <c r="AG71" s="106">
        <f>IF(C71="Gutschrift","",IF(G71="","",IF(Besatzung!$B$22="","",IFERROR(IF(I71="Zeitanteilig",(Besatzung!$G$22*(G71-IFERROR(H71,0))+((Besatzung!$B$22&lt;&gt;"")*IF(B71="",1,(IF(Besatzung!$C$22="",Besatzung!$B$5,Besatzung!$C$22)&lt;=B71)*(IF(Besatzung!$D$22="",Besatzung!$B$6,Besatzung!$D$22)&gt;=B71)))*(Besatzung!$F$22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$22&lt;&gt;"")*IF(B71="",1,(IF(Besatzung!$C$22="",Besatzung!$B$5,Besatzung!$C$22)&lt;=B71)*(IF(Besatzung!$D$22="",Besatzung!$B$6,Besatzung!$D$22)&gt;=B71)))*((G71-IFERROR(H71,0))/IFERROR(SUMPRODUCT((Besatzung!$B$11:$B$22&lt;&gt;"")*(IF(Besatzung!$C$11:$C$22="",Besatzung!$B$5,Besatzung!$C$11:$C$22)&lt;=B71)*(IF(Besatzung!$D$11:$D$22="",Besatzung!$B$6,Besatzung!$D$11:$D$22)&gt;=B71)),1)+(Besatzung!$F$22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U71="x")*((G71-IFERROR(H71,0))/IFERROR(COUNTIF(J71:U71,"x"),1)+(Besatzung!$F$22="x")*IFERROR(H71,0)/IFERROR(SUMPRODUCT((J71:U71="x")*(Besatzung!$F$11:$F$22="x")),1))),(IF(COUNTIF(J71:U71,"x")=0,IF(Besatzung!$B$22&lt;&gt;"",1,0),(U71="x"))*(G71-IFERROR(H71,0))/IFERROR(IF(COUNTIF(J71:U71,"x")=0,COUNTA(Besatzung!$B$11:$B$22),COUNTIF(J71:U71,"x")),1)+IF(COUNTIF(J71:U71,"x")=0,(Besatzung!$F$22="x"),(U71="x")*(Besatzung!$F$22="x"))*IFERROR(H71,0)/IFERROR(IF(COUNTIF(J71:U71,"x")=0,SUMPRODUCT((Besatzung!$B$11:$B$22&lt;&gt;"")*(Besatzung!$F$11:$F$22="x")),SUMPRODUCT((J71:U71="x")*(Besatzung!$F$11:$F$22="x"))),1))))),0))))</f>
        <v/>
      </c>
      <c r="AH71" s="107" t="n"/>
      <c r="AI71" s="107" t="n"/>
    </row>
    <row r="72" ht="21.75" customHeight="1" s="182">
      <c r="A72" s="97">
        <f>IF(AND(D72="",C72=""),"",69)</f>
        <v/>
      </c>
      <c r="B72" s="56" t="n"/>
      <c r="C72" s="98" t="n"/>
      <c r="D72" s="99" t="n"/>
      <c r="E72" s="100" t="n"/>
      <c r="F72" s="101" t="n"/>
      <c r="G72" s="102" t="n"/>
      <c r="H72" s="103" t="n"/>
      <c r="I72" s="104" t="n"/>
      <c r="J72" s="105" t="n"/>
      <c r="K72" s="105" t="n"/>
      <c r="L72" s="105" t="n"/>
      <c r="M72" s="105" t="n"/>
      <c r="N72" s="105" t="n"/>
      <c r="O72" s="105" t="n"/>
      <c r="P72" s="105" t="n"/>
      <c r="Q72" s="105" t="n"/>
      <c r="R72" s="105" t="n"/>
      <c r="S72" s="105" t="n"/>
      <c r="T72" s="105" t="n"/>
      <c r="U72" s="105" t="n"/>
      <c r="V72" s="106">
        <f>IF(C72="Gutschrift","",IF(G72="","",IF(Besatzung!$B$11="","",IFERROR(IF(I72="Zeitanteilig",(Besatzung!$G$11*(G72-IFERROR(H72,0))+((Besatzung!$B$11&lt;&gt;"")*IF(B72="",1,(IF(Besatzung!$C$11="",Besatzung!$B$5,Besatzung!$C$11)&lt;=B72)*(IF(Besatzung!$D$11="",Besatzung!$B$6,Besatzung!$D$11)&gt;=B72)))*(Besatzung!$F$11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$11&lt;&gt;"")*IF(B72="",1,(IF(Besatzung!$C$11="",Besatzung!$B$5,Besatzung!$C$11)&lt;=B72)*(IF(Besatzung!$D$11="",Besatzung!$B$6,Besatzung!$D$11)&gt;=B72)))*((G72-IFERROR(H72,0))/IFERROR(SUMPRODUCT((Besatzung!$B$11:$B$22&lt;&gt;"")*(IF(Besatzung!$C$11:$C$22="",Besatzung!$B$5,Besatzung!$C$11:$C$22)&lt;=B72)*(IF(Besatzung!$D$11:$D$22="",Besatzung!$B$6,Besatzung!$D$11:$D$22)&gt;=B72)),1)+(Besatzung!$F$11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J72="x")*((G72-IFERROR(H72,0))/IFERROR(COUNTIF(J72:U72,"x"),1)+(Besatzung!$F$11="x")*IFERROR(H72,0)/IFERROR(SUMPRODUCT((J72:U72="x")*(Besatzung!$F$11:$F$22="x")),1))),(IF(COUNTIF(J72:U72,"x")=0,IF(Besatzung!$B$11&lt;&gt;"",1,0),(J72="x"))*(G72-IFERROR(H72,0))/IFERROR(IF(COUNTIF(J72:U72,"x")=0,COUNTA(Besatzung!$B$11:$B$22),COUNTIF(J72:U72,"x")),1)+IF(COUNTIF(J72:U72,"x")=0,(Besatzung!$F$11="x"),(J72="x")*(Besatzung!$F$11="x"))*IFERROR(H72,0)/IFERROR(IF(COUNTIF(J72:U72,"x")=0,SUMPRODUCT((Besatzung!$B$11:$B$22&lt;&gt;"")*(Besatzung!$F$11:$F$22="x")),SUMPRODUCT((J72:U72="x")*(Besatzung!$F$11:$F$22="x"))),1))))),0))))</f>
        <v/>
      </c>
      <c r="W72" s="106">
        <f>IF(C72="Gutschrift","",IF(G72="","",IF(Besatzung!$B$12="","",IFERROR(IF(I72="Zeitanteilig",(Besatzung!$G$12*(G72-IFERROR(H72,0))+((Besatzung!$B$12&lt;&gt;"")*IF(B72="",1,(IF(Besatzung!$C$12="",Besatzung!$B$5,Besatzung!$C$12)&lt;=B72)*(IF(Besatzung!$D$12="",Besatzung!$B$6,Besatzung!$D$12)&gt;=B72)))*(Besatzung!$F$12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$12&lt;&gt;"")*IF(B72="",1,(IF(Besatzung!$C$12="",Besatzung!$B$5,Besatzung!$C$12)&lt;=B72)*(IF(Besatzung!$D$12="",Besatzung!$B$6,Besatzung!$D$12)&gt;=B72)))*((G72-IFERROR(H72,0))/IFERROR(SUMPRODUCT((Besatzung!$B$11:$B$22&lt;&gt;"")*(IF(Besatzung!$C$11:$C$22="",Besatzung!$B$5,Besatzung!$C$11:$C$22)&lt;=B72)*(IF(Besatzung!$D$11:$D$22="",Besatzung!$B$6,Besatzung!$D$11:$D$22)&gt;=B72)),1)+(Besatzung!$F$12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K72="x")*((G72-IFERROR(H72,0))/IFERROR(COUNTIF(J72:U72,"x"),1)+(Besatzung!$F$12="x")*IFERROR(H72,0)/IFERROR(SUMPRODUCT((J72:U72="x")*(Besatzung!$F$11:$F$22="x")),1))),(IF(COUNTIF(J72:U72,"x")=0,IF(Besatzung!$B$12&lt;&gt;"",1,0),(K72="x"))*(G72-IFERROR(H72,0))/IFERROR(IF(COUNTIF(J72:U72,"x")=0,COUNTA(Besatzung!$B$11:$B$22),COUNTIF(J72:U72,"x")),1)+IF(COUNTIF(J72:U72,"x")=0,(Besatzung!$F$12="x"),(K72="x")*(Besatzung!$F$12="x"))*IFERROR(H72,0)/IFERROR(IF(COUNTIF(J72:U72,"x")=0,SUMPRODUCT((Besatzung!$B$11:$B$22&lt;&gt;"")*(Besatzung!$F$11:$F$22="x")),SUMPRODUCT((J72:U72="x")*(Besatzung!$F$11:$F$22="x"))),1))))),0))))</f>
        <v/>
      </c>
      <c r="X72" s="106">
        <f>IF(C72="Gutschrift","",IF(G72="","",IF(Besatzung!$B$13="","",IFERROR(IF(I72="Zeitanteilig",(Besatzung!$G$13*(G72-IFERROR(H72,0))+((Besatzung!$B$13&lt;&gt;"")*IF(B72="",1,(IF(Besatzung!$C$13="",Besatzung!$B$5,Besatzung!$C$13)&lt;=B72)*(IF(Besatzung!$D$13="",Besatzung!$B$6,Besatzung!$D$13)&gt;=B72)))*(Besatzung!$F$13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$13&lt;&gt;"")*IF(B72="",1,(IF(Besatzung!$C$13="",Besatzung!$B$5,Besatzung!$C$13)&lt;=B72)*(IF(Besatzung!$D$13="",Besatzung!$B$6,Besatzung!$D$13)&gt;=B72)))*((G72-IFERROR(H72,0))/IFERROR(SUMPRODUCT((Besatzung!$B$11:$B$22&lt;&gt;"")*(IF(Besatzung!$C$11:$C$22="",Besatzung!$B$5,Besatzung!$C$11:$C$22)&lt;=B72)*(IF(Besatzung!$D$11:$D$22="",Besatzung!$B$6,Besatzung!$D$11:$D$22)&gt;=B72)),1)+(Besatzung!$F$13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K72="x")*((G72-IFERROR(H72,0))/IFERROR(COUNTIF(J72:U72,"x"),1)+(Besatzung!$F$13="x")*IFERROR(H72,0)/IFERROR(SUMPRODUCT((J72:U72="x")*(Besatzung!$F$11:$F$22="x")),1))),(IF(COUNTIF(J72:U72,"x")=0,IF(Besatzung!$B$13&lt;&gt;"",1,0),(K72="x"))*(G72-IFERROR(H72,0))/IFERROR(IF(COUNTIF(J72:U72,"x")=0,COUNTA(Besatzung!$B$11:$B$22),COUNTIF(J72:U72,"x")),1)+IF(COUNTIF(J72:U72,"x")=0,(Besatzung!$F$13="x"),(K72="x")*(Besatzung!$F$13="x"))*IFERROR(H72,0)/IFERROR(IF(COUNTIF(J72:U72,"x")=0,SUMPRODUCT((Besatzung!$B$11:$B$22&lt;&gt;"")*(Besatzung!$F$11:$F$22="x")),SUMPRODUCT((J72:U72="x")*(Besatzung!$F$11:$F$22="x"))),1))))),0))))</f>
        <v/>
      </c>
      <c r="Y72" s="106">
        <f>IF(C72="Gutschrift","",IF(G72="","",IF(Besatzung!$B$14="","",IFERROR(IF(I72="Zeitanteilig",(Besatzung!$G$14*(G72-IFERROR(H72,0))+((Besatzung!$B$14&lt;&gt;"")*IF(B72="",1,(IF(Besatzung!$C$14="",Besatzung!$B$5,Besatzung!$C$14)&lt;=B72)*(IF(Besatzung!$D$14="",Besatzung!$B$6,Besatzung!$D$14)&gt;=B72)))*(Besatzung!$F$14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$14&lt;&gt;"")*IF(B72="",1,(IF(Besatzung!$C$14="",Besatzung!$B$5,Besatzung!$C$14)&lt;=B72)*(IF(Besatzung!$D$14="",Besatzung!$B$6,Besatzung!$D$14)&gt;=B72)))*((G72-IFERROR(H72,0))/IFERROR(SUMPRODUCT((Besatzung!$B$11:$B$22&lt;&gt;"")*(IF(Besatzung!$C$11:$C$22="",Besatzung!$B$5,Besatzung!$C$11:$C$22)&lt;=B72)*(IF(Besatzung!$D$11:$D$22="",Besatzung!$B$6,Besatzung!$D$11:$D$22)&gt;=B72)),1)+(Besatzung!$F$14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M72="x")*((G72-IFERROR(H72,0))/IFERROR(COUNTIF(J72:U72,"x"),1)+(Besatzung!$F$14="x")*IFERROR(H72,0)/IFERROR(SUMPRODUCT((J72:U72="x")*(Besatzung!$F$11:$F$22="x")),1))),(IF(COUNTIF(J72:U72,"x")=0,IF(Besatzung!$B$14&lt;&gt;"",1,0),(M72="x"))*(G72-IFERROR(H72,0))/IFERROR(IF(COUNTIF(J72:U72,"x")=0,COUNTA(Besatzung!$B$11:$B$22),COUNTIF(J72:U72,"x")),1)+IF(COUNTIF(J72:U72,"x")=0,(Besatzung!$F$14="x"),(M72="x")*(Besatzung!$F$14="x"))*IFERROR(H72,0)/IFERROR(IF(COUNTIF(J72:U72,"x")=0,SUMPRODUCT((Besatzung!$B$11:$B$22&lt;&gt;"")*(Besatzung!$F$11:$F$22="x")),SUMPRODUCT((J72:U72="x")*(Besatzung!$F$11:$F$22="x"))),1))))),0))))</f>
        <v/>
      </c>
      <c r="Z72" s="106">
        <f>IF(C72="Gutschrift","",IF(G72="","",IF(Besatzung!$B$13="","",IFERROR(IF(I72="Zeitanteilig",(Besatzung!$G$15*(G72-IFERROR(H72,0))+((Besatzung!$B$13&lt;&gt;"")*IF(B72="",1,(IF(Besatzung!$C$15="",Besatzung!$B$5,Besatzung!$C$15)&lt;=B72)*(IF(Besatzung!$D$15="",Besatzung!$B$6,Besatzung!$D$15)&gt;=B72)))*(Besatzung!$F$15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$13&lt;&gt;"")*IF(B72="",1,(IF(Besatzung!$C$15="",Besatzung!$B$5,Besatzung!$C$15)&lt;=B72)*(IF(Besatzung!$D$15="",Besatzung!$B$6,Besatzung!$D$15)&gt;=B72)))*((G72-IFERROR(H72,0))/IFERROR(SUMPRODUCT((Besatzung!$B$11:$B$22&lt;&gt;"")*(IF(Besatzung!$C$11:$C$22="",Besatzung!$B$5,Besatzung!$C$11:$C$22)&lt;=B72)*(IF(Besatzung!$D$11:$D$22="",Besatzung!$B$6,Besatzung!$D$11:$D$22)&gt;=B72)),1)+(Besatzung!$F$15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N72="x")*((G72-IFERROR(H72,0))/IFERROR(COUNTIF(J72:U72,"x"),1)+(Besatzung!$F$15="x")*IFERROR(H72,0)/IFERROR(SUMPRODUCT((J72:U72="x")*(Besatzung!$F$11:$F$22="x")),1))),(IF(COUNTIF(J72:U72,"x")=0,IF(Besatzung!$B$13&lt;&gt;"",1,0),(N72="x"))*(G72-IFERROR(H72,0))/IFERROR(IF(COUNTIF(J72:U72,"x")=0,COUNTA(Besatzung!$B$11:$B$22),COUNTIF(J72:U72,"x")),1)+IF(COUNTIF(J72:U72,"x")=0,(Besatzung!$F$15="x"),(N72="x")*(Besatzung!$F$15="x"))*IFERROR(H72,0)/IFERROR(IF(COUNTIF(J72:U72,"x")=0,SUMPRODUCT((Besatzung!$B$11:$B$22&lt;&gt;"")*(Besatzung!$F$11:$F$22="x")),SUMPRODUCT((J72:U72="x")*(Besatzung!$F$11:$F$22="x"))),1))))),0))))</f>
        <v/>
      </c>
      <c r="AA72" s="106">
        <f>IF(C72="Gutschrift","",IF(G72="","",IF(Besatzung!$B$15="","",IFERROR(IF(I72="Zeitanteilig",(Besatzung!$G$16*(G72-IFERROR(H72,0))+((Besatzung!$B$15&lt;&gt;"")*IF(B72="",1,(IF(Besatzung!$C$16="",Besatzung!$B$5,Besatzung!$C$16)&lt;=B72)*(IF(Besatzung!$D$16="",Besatzung!$B$6,Besatzung!$D$16)&gt;=B72)))*(Besatzung!$F$16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$15&lt;&gt;"")*IF(B72="",1,(IF(Besatzung!$C$16="",Besatzung!$B$5,Besatzung!$C$16)&lt;=B72)*(IF(Besatzung!$D$16="",Besatzung!$B$6,Besatzung!$D$16)&gt;=B72)))*((G72-IFERROR(H72,0))/IFERROR(SUMPRODUCT((Besatzung!$B$11:$B$22&lt;&gt;"")*(IF(Besatzung!$C$11:$C$22="",Besatzung!$B$5,Besatzung!$C$11:$C$22)&lt;=B72)*(IF(Besatzung!$D$11:$D$22="",Besatzung!$B$6,Besatzung!$D$11:$D$22)&gt;=B72)),1)+(Besatzung!$F$16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O72="x")*((G72-IFERROR(H72,0))/IFERROR(COUNTIF(J72:U72,"x"),1)+(Besatzung!$F$16="x")*IFERROR(H72,0)/IFERROR(SUMPRODUCT((J72:U72="x")*(Besatzung!$F$11:$F$22="x")),1))),(IF(COUNTIF(J72:U72,"x")=0,IF(Besatzung!$B$15&lt;&gt;"",1,0),(O72="x"))*(G72-IFERROR(H72,0))/IFERROR(IF(COUNTIF(J72:U72,"x")=0,COUNTA(Besatzung!$B$11:$B$22),COUNTIF(J72:U72,"x")),1)+IF(COUNTIF(J72:U72,"x")=0,(Besatzung!$F$16="x"),(O72="x")*(Besatzung!$F$16="x"))*IFERROR(H72,0)/IFERROR(IF(COUNTIF(J72:U72,"x")=0,SUMPRODUCT((Besatzung!$B$11:$B$22&lt;&gt;"")*(Besatzung!$F$11:$F$22="x")),SUMPRODUCT((J72:U72="x")*(Besatzung!$F$11:$F$22="x"))),1))))),0))))</f>
        <v/>
      </c>
      <c r="AB72" s="106">
        <f>IF(C72="Gutschrift","",IF(G72="","",IF(Besatzung!$B$17="","",IFERROR(IF(I72="Zeitanteilig",(Besatzung!$G$17*(G72-IFERROR(H72,0))+((Besatzung!$B$17&lt;&gt;"")*IF(B72="",1,(IF(Besatzung!$C$17="",Besatzung!$B$5,Besatzung!$C$17)&lt;=B72)*(IF(Besatzung!$D$17="",Besatzung!$B$6,Besatzung!$D$17)&gt;=B72)))*(Besatzung!$F$17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$17&lt;&gt;"")*IF(B72="",1,(IF(Besatzung!$C$17="",Besatzung!$B$5,Besatzung!$C$17)&lt;=B72)*(IF(Besatzung!$D$17="",Besatzung!$B$6,Besatzung!$D$17)&gt;=B72)))*((G72-IFERROR(H72,0))/IFERROR(SUMPRODUCT((Besatzung!$B$11:$B$22&lt;&gt;"")*(IF(Besatzung!$C$11:$C$22="",Besatzung!$B$5,Besatzung!$C$11:$C$22)&lt;=B72)*(IF(Besatzung!$D$11:$D$22="",Besatzung!$B$6,Besatzung!$D$11:$D$22)&gt;=B72)),1)+(Besatzung!$F$17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P72="x")*((G72-IFERROR(H72,0))/IFERROR(COUNTIF(J72:U72,"x"),1)+(Besatzung!$F$17="x")*IFERROR(H72,0)/IFERROR(SUMPRODUCT((J72:U72="x")*(Besatzung!$F$11:$F$22="x")),1))),(IF(COUNTIF(J72:U72,"x")=0,IF(Besatzung!$B$17&lt;&gt;"",1,0),(P72="x"))*(G72-IFERROR(H72,0))/IFERROR(IF(COUNTIF(J72:U72,"x")=0,COUNTA(Besatzung!$B$11:$B$22),COUNTIF(J72:U72,"x")),1)+IF(COUNTIF(J72:U72,"x")=0,(Besatzung!$F$17="x"),(P72="x")*(Besatzung!$F$17="x"))*IFERROR(H72,0)/IFERROR(IF(COUNTIF(J72:U72,"x")=0,SUMPRODUCT((Besatzung!$B$11:$B$22&lt;&gt;"")*(Besatzung!$F$11:$F$22="x")),SUMPRODUCT((J72:U72="x")*(Besatzung!$F$11:$F$22="x"))),1))))),0))))</f>
        <v/>
      </c>
      <c r="AC72" s="106">
        <f>IF(C72="Gutschrift","",IF(G72="","",IF(Besatzung!$B$18="","",IFERROR(IF(I72="Zeitanteilig",(Besatzung!$G$18*(G72-IFERROR(H72,0))+((Besatzung!$B$18&lt;&gt;"")*IF(B72="",1,(IF(Besatzung!$C$18="",Besatzung!$B$5,Besatzung!$C$18)&lt;=B72)*(IF(Besatzung!$D$18="",Besatzung!$B$6,Besatzung!$D$18)&gt;=B72)))*(Besatzung!$F$18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$18&lt;&gt;"")*IF(B72="",1,(IF(Besatzung!$C$18="",Besatzung!$B$5,Besatzung!$C$18)&lt;=B72)*(IF(Besatzung!$D$18="",Besatzung!$B$6,Besatzung!$D$18)&gt;=B72)))*((G72-IFERROR(H72,0))/IFERROR(SUMPRODUCT((Besatzung!$B$11:$B$22&lt;&gt;"")*(IF(Besatzung!$C$11:$C$22="",Besatzung!$B$5,Besatzung!$C$11:$C$22)&lt;=B72)*(IF(Besatzung!$D$11:$D$22="",Besatzung!$B$6,Besatzung!$D$11:$D$22)&gt;=B72)),1)+(Besatzung!$F$18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Q72="x")*((G72-IFERROR(H72,0))/IFERROR(COUNTIF(J72:U72,"x"),1)+(Besatzung!$F$18="x")*IFERROR(H72,0)/IFERROR(SUMPRODUCT((J72:U72="x")*(Besatzung!$F$11:$F$22="x")),1))),(IF(COUNTIF(J72:U72,"x")=0,IF(Besatzung!$B$18&lt;&gt;"",1,0),(Q72="x"))*(G72-IFERROR(H72,0))/IFERROR(IF(COUNTIF(J72:U72,"x")=0,COUNTA(Besatzung!$B$11:$B$22),COUNTIF(J72:U72,"x")),1)+IF(COUNTIF(J72:U72,"x")=0,(Besatzung!$F$18="x"),(Q72="x")*(Besatzung!$F$18="x"))*IFERROR(H72,0)/IFERROR(IF(COUNTIF(J72:U72,"x")=0,SUMPRODUCT((Besatzung!$B$11:$B$22&lt;&gt;"")*(Besatzung!$F$11:$F$22="x")),SUMPRODUCT((J72:U72="x")*(Besatzung!$F$11:$F$22="x"))),1))))),0))))</f>
        <v/>
      </c>
      <c r="AD72" s="106">
        <f>IF(C72="Gutschrift","",IF(G72="","",IF(Besatzung!$B$19="","",IFERROR(IF(I72="Zeitanteilig",(Besatzung!$G$19*(G72-IFERROR(H72,0))+((Besatzung!$B$19&lt;&gt;"")*IF(B72="",1,(IF(Besatzung!$C$19="",Besatzung!$B$5,Besatzung!$C$19)&lt;=B72)*(IF(Besatzung!$D$19="",Besatzung!$B$6,Besatzung!$D$19)&gt;=B72)))*(Besatzung!$F$19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$19&lt;&gt;"")*IF(B72="",1,(IF(Besatzung!$C$19="",Besatzung!$B$5,Besatzung!$C$19)&lt;=B72)*(IF(Besatzung!$D$19="",Besatzung!$B$6,Besatzung!$D$19)&gt;=B72)))*((G72-IFERROR(H72,0))/IFERROR(SUMPRODUCT((Besatzung!$B$11:$B$22&lt;&gt;"")*(IF(Besatzung!$C$11:$C$22="",Besatzung!$B$5,Besatzung!$C$11:$C$22)&lt;=B72)*(IF(Besatzung!$D$11:$D$22="",Besatzung!$B$6,Besatzung!$D$11:$D$22)&gt;=B72)),1)+(Besatzung!$F$19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R72="x")*((G72-IFERROR(H72,0))/IFERROR(COUNTIF(J72:U72,"x"),1)+(Besatzung!$F$19="x")*IFERROR(H72,0)/IFERROR(SUMPRODUCT((J72:U72="x")*(Besatzung!$F$11:$F$22="x")),1))),(IF(COUNTIF(J72:U72,"x")=0,IF(Besatzung!$B$19&lt;&gt;"",1,0),(R72="x"))*(G72-IFERROR(H72,0))/IFERROR(IF(COUNTIF(J72:U72,"x")=0,COUNTA(Besatzung!$B$11:$B$22),COUNTIF(J72:U72,"x")),1)+IF(COUNTIF(J72:U72,"x")=0,(Besatzung!$F$19="x"),(R72="x")*(Besatzung!$F$19="x"))*IFERROR(H72,0)/IFERROR(IF(COUNTIF(J72:U72,"x")=0,SUMPRODUCT((Besatzung!$B$11:$B$22&lt;&gt;"")*(Besatzung!$F$11:$F$22="x")),SUMPRODUCT((J72:U72="x")*(Besatzung!$F$11:$F$22="x"))),1))))),0))))</f>
        <v/>
      </c>
      <c r="AE72" s="106">
        <f>IF(C72="Gutschrift","",IF(G72="","",IF(Besatzung!$B$20="","",IFERROR(IF(I72="Zeitanteilig",(Besatzung!$G$20*(G72-IFERROR(H72,0))+((Besatzung!$B$20&lt;&gt;"")*IF(B72="",1,(IF(Besatzung!$C$20="",Besatzung!$B$5,Besatzung!$C$20)&lt;=B72)*(IF(Besatzung!$D$20="",Besatzung!$B$6,Besatzung!$D$20)&gt;=B72)))*(Besatzung!$F$20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$20&lt;&gt;"")*IF(B72="",1,(IF(Besatzung!$C$20="",Besatzung!$B$5,Besatzung!$C$20)&lt;=B72)*(IF(Besatzung!$D$20="",Besatzung!$B$6,Besatzung!$D$20)&gt;=B72)))*((G72-IFERROR(H72,0))/IFERROR(SUMPRODUCT((Besatzung!$B$11:$B$22&lt;&gt;"")*(IF(Besatzung!$C$11:$C$22="",Besatzung!$B$5,Besatzung!$C$11:$C$22)&lt;=B72)*(IF(Besatzung!$D$11:$D$22="",Besatzung!$B$6,Besatzung!$D$11:$D$22)&gt;=B72)),1)+(Besatzung!$F$20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S72="x")*((G72-IFERROR(H72,0))/IFERROR(COUNTIF(J72:U72,"x"),1)+(Besatzung!$F$20="x")*IFERROR(H72,0)/IFERROR(SUMPRODUCT((J72:U72="x")*(Besatzung!$F$11:$F$22="x")),1))),(IF(COUNTIF(J72:U72,"x")=0,IF(Besatzung!$B$20&lt;&gt;"",1,0),(S72="x"))*(G72-IFERROR(H72,0))/IFERROR(IF(COUNTIF(J72:U72,"x")=0,COUNTA(Besatzung!$B$11:$B$22),COUNTIF(J72:U72,"x")),1)+IF(COUNTIF(J72:U72,"x")=0,(Besatzung!$F$20="x"),(S72="x")*(Besatzung!$F$20="x"))*IFERROR(H72,0)/IFERROR(IF(COUNTIF(J72:U72,"x")=0,SUMPRODUCT((Besatzung!$B$11:$B$22&lt;&gt;"")*(Besatzung!$F$11:$F$22="x")),SUMPRODUCT((J72:U72="x")*(Besatzung!$F$11:$F$22="x"))),1))))),0))))</f>
        <v/>
      </c>
      <c r="AF72" s="106">
        <f>IF(C72="Gutschrift","",IF(G72="","",IF(Besatzung!$B$21="","",IFERROR(IF(I72="Zeitanteilig",(Besatzung!$G$21*(G72-IFERROR(H72,0))+((Besatzung!$B$21&lt;&gt;"")*IF(B72="",1,(IF(Besatzung!$C$21="",Besatzung!$B$5,Besatzung!$C$21)&lt;=B72)*(IF(Besatzung!$D$21="",Besatzung!$B$6,Besatzung!$D$21)&gt;=B72)))*(Besatzung!$F$21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$21&lt;&gt;"")*IF(B72="",1,(IF(Besatzung!$C$21="",Besatzung!$B$5,Besatzung!$C$21)&lt;=B72)*(IF(Besatzung!$D$21="",Besatzung!$B$6,Besatzung!$D$21)&gt;=B72)))*((G72-IFERROR(H72,0))/IFERROR(SUMPRODUCT((Besatzung!$B$11:$B$22&lt;&gt;"")*(IF(Besatzung!$C$11:$C$22="",Besatzung!$B$5,Besatzung!$C$11:$C$22)&lt;=B72)*(IF(Besatzung!$D$11:$D$22="",Besatzung!$B$6,Besatzung!$D$11:$D$22)&gt;=B72)),1)+(Besatzung!$F$21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T72="x")*((G72-IFERROR(H72,0))/IFERROR(COUNTIF(J72:U72,"x"),1)+(Besatzung!$F$21="x")*IFERROR(H72,0)/IFERROR(SUMPRODUCT((J72:U72="x")*(Besatzung!$F$11:$F$22="x")),1))),(IF(COUNTIF(J72:U72,"x")=0,IF(Besatzung!$B$21&lt;&gt;"",1,0),(T72="x"))*(G72-IFERROR(H72,0))/IFERROR(IF(COUNTIF(J72:U72,"x")=0,COUNTA(Besatzung!$B$11:$B$22),COUNTIF(J72:U72,"x")),1)+IF(COUNTIF(J72:U72,"x")=0,(Besatzung!$F$21="x"),(T72="x")*(Besatzung!$F$21="x"))*IFERROR(H72,0)/IFERROR(IF(COUNTIF(J72:U72,"x")=0,SUMPRODUCT((Besatzung!$B$11:$B$22&lt;&gt;"")*(Besatzung!$F$11:$F$22="x")),SUMPRODUCT((J72:U72="x")*(Besatzung!$F$11:$F$22="x"))),1))))),0))))</f>
        <v/>
      </c>
      <c r="AG72" s="106">
        <f>IF(C72="Gutschrift","",IF(G72="","",IF(Besatzung!$B$22="","",IFERROR(IF(I72="Zeitanteilig",(Besatzung!$G$22*(G72-IFERROR(H72,0))+((Besatzung!$B$22&lt;&gt;"")*IF(B72="",1,(IF(Besatzung!$C$22="",Besatzung!$B$5,Besatzung!$C$22)&lt;=B72)*(IF(Besatzung!$D$22="",Besatzung!$B$6,Besatzung!$D$22)&gt;=B72)))*(Besatzung!$F$22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$22&lt;&gt;"")*IF(B72="",1,(IF(Besatzung!$C$22="",Besatzung!$B$5,Besatzung!$C$22)&lt;=B72)*(IF(Besatzung!$D$22="",Besatzung!$B$6,Besatzung!$D$22)&gt;=B72)))*((G72-IFERROR(H72,0))/IFERROR(SUMPRODUCT((Besatzung!$B$11:$B$22&lt;&gt;"")*(IF(Besatzung!$C$11:$C$22="",Besatzung!$B$5,Besatzung!$C$11:$C$22)&lt;=B72)*(IF(Besatzung!$D$11:$D$22="",Besatzung!$B$6,Besatzung!$D$11:$D$22)&gt;=B72)),1)+(Besatzung!$F$22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U72="x")*((G72-IFERROR(H72,0))/IFERROR(COUNTIF(J72:U72,"x"),1)+(Besatzung!$F$22="x")*IFERROR(H72,0)/IFERROR(SUMPRODUCT((J72:U72="x")*(Besatzung!$F$11:$F$22="x")),1))),(IF(COUNTIF(J72:U72,"x")=0,IF(Besatzung!$B$22&lt;&gt;"",1,0),(U72="x"))*(G72-IFERROR(H72,0))/IFERROR(IF(COUNTIF(J72:U72,"x")=0,COUNTA(Besatzung!$B$11:$B$22),COUNTIF(J72:U72,"x")),1)+IF(COUNTIF(J72:U72,"x")=0,(Besatzung!$F$22="x"),(U72="x")*(Besatzung!$F$22="x"))*IFERROR(H72,0)/IFERROR(IF(COUNTIF(J72:U72,"x")=0,SUMPRODUCT((Besatzung!$B$11:$B$22&lt;&gt;"")*(Besatzung!$F$11:$F$22="x")),SUMPRODUCT((J72:U72="x")*(Besatzung!$F$11:$F$22="x"))),1))))),0))))</f>
        <v/>
      </c>
      <c r="AH72" s="107" t="n"/>
      <c r="AI72" s="107" t="n"/>
    </row>
    <row r="73" ht="21.75" customHeight="1" s="182">
      <c r="A73" s="97">
        <f>IF(AND(D73="",C73=""),"",70)</f>
        <v/>
      </c>
      <c r="B73" s="63" t="n"/>
      <c r="C73" s="108" t="n"/>
      <c r="D73" s="109" t="n"/>
      <c r="E73" s="110" t="n"/>
      <c r="F73" s="111" t="n"/>
      <c r="G73" s="112" t="n"/>
      <c r="H73" s="113" t="n"/>
      <c r="I73" s="114" t="n"/>
      <c r="J73" s="115" t="n"/>
      <c r="K73" s="115" t="n"/>
      <c r="L73" s="115" t="n"/>
      <c r="M73" s="115" t="n"/>
      <c r="N73" s="115" t="n"/>
      <c r="O73" s="115" t="n"/>
      <c r="P73" s="115" t="n"/>
      <c r="Q73" s="115" t="n"/>
      <c r="R73" s="115" t="n"/>
      <c r="S73" s="115" t="n"/>
      <c r="T73" s="115" t="n"/>
      <c r="U73" s="115" t="n"/>
      <c r="V73" s="106">
        <f>IF(C73="Gutschrift","",IF(G73="","",IF(Besatzung!$B$11="","",IFERROR(IF(I73="Zeitanteilig",(Besatzung!$G$11*(G73-IFERROR(H73,0))+((Besatzung!$B$11&lt;&gt;"")*IF(B73="",1,(IF(Besatzung!$C$11="",Besatzung!$B$5,Besatzung!$C$11)&lt;=B73)*(IF(Besatzung!$D$11="",Besatzung!$B$6,Besatzung!$D$11)&gt;=B73)))*(Besatzung!$F$11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$11&lt;&gt;"")*IF(B73="",1,(IF(Besatzung!$C$11="",Besatzung!$B$5,Besatzung!$C$11)&lt;=B73)*(IF(Besatzung!$D$11="",Besatzung!$B$6,Besatzung!$D$11)&gt;=B73)))*((G73-IFERROR(H73,0))/IFERROR(SUMPRODUCT((Besatzung!$B$11:$B$22&lt;&gt;"")*(IF(Besatzung!$C$11:$C$22="",Besatzung!$B$5,Besatzung!$C$11:$C$22)&lt;=B73)*(IF(Besatzung!$D$11:$D$22="",Besatzung!$B$6,Besatzung!$D$11:$D$22)&gt;=B73)),1)+(Besatzung!$F$11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J73="x")*((G73-IFERROR(H73,0))/IFERROR(COUNTIF(J73:U73,"x"),1)+(Besatzung!$F$11="x")*IFERROR(H73,0)/IFERROR(SUMPRODUCT((J73:U73="x")*(Besatzung!$F$11:$F$22="x")),1))),(IF(COUNTIF(J73:U73,"x")=0,IF(Besatzung!$B$11&lt;&gt;"",1,0),(J73="x"))*(G73-IFERROR(H73,0))/IFERROR(IF(COUNTIF(J73:U73,"x")=0,COUNTA(Besatzung!$B$11:$B$22),COUNTIF(J73:U73,"x")),1)+IF(COUNTIF(J73:U73,"x")=0,(Besatzung!$F$11="x"),(J73="x")*(Besatzung!$F$11="x"))*IFERROR(H73,0)/IFERROR(IF(COUNTIF(J73:U73,"x")=0,SUMPRODUCT((Besatzung!$B$11:$B$22&lt;&gt;"")*(Besatzung!$F$11:$F$22="x")),SUMPRODUCT((J73:U73="x")*(Besatzung!$F$11:$F$22="x"))),1))))),0))))</f>
        <v/>
      </c>
      <c r="W73" s="106">
        <f>IF(C73="Gutschrift","",IF(G73="","",IF(Besatzung!$B$12="","",IFERROR(IF(I73="Zeitanteilig",(Besatzung!$G$12*(G73-IFERROR(H73,0))+((Besatzung!$B$12&lt;&gt;"")*IF(B73="",1,(IF(Besatzung!$C$12="",Besatzung!$B$5,Besatzung!$C$12)&lt;=B73)*(IF(Besatzung!$D$12="",Besatzung!$B$6,Besatzung!$D$12)&gt;=B73)))*(Besatzung!$F$12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$12&lt;&gt;"")*IF(B73="",1,(IF(Besatzung!$C$12="",Besatzung!$B$5,Besatzung!$C$12)&lt;=B73)*(IF(Besatzung!$D$12="",Besatzung!$B$6,Besatzung!$D$12)&gt;=B73)))*((G73-IFERROR(H73,0))/IFERROR(SUMPRODUCT((Besatzung!$B$11:$B$22&lt;&gt;"")*(IF(Besatzung!$C$11:$C$22="",Besatzung!$B$5,Besatzung!$C$11:$C$22)&lt;=B73)*(IF(Besatzung!$D$11:$D$22="",Besatzung!$B$6,Besatzung!$D$11:$D$22)&gt;=B73)),1)+(Besatzung!$F$12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K73="x")*((G73-IFERROR(H73,0))/IFERROR(COUNTIF(J73:U73,"x"),1)+(Besatzung!$F$12="x")*IFERROR(H73,0)/IFERROR(SUMPRODUCT((J73:U73="x")*(Besatzung!$F$11:$F$22="x")),1))),(IF(COUNTIF(J73:U73,"x")=0,IF(Besatzung!$B$12&lt;&gt;"",1,0),(K73="x"))*(G73-IFERROR(H73,0))/IFERROR(IF(COUNTIF(J73:U73,"x")=0,COUNTA(Besatzung!$B$11:$B$22),COUNTIF(J73:U73,"x")),1)+IF(COUNTIF(J73:U73,"x")=0,(Besatzung!$F$12="x"),(K73="x")*(Besatzung!$F$12="x"))*IFERROR(H73,0)/IFERROR(IF(COUNTIF(J73:U73,"x")=0,SUMPRODUCT((Besatzung!$B$11:$B$22&lt;&gt;"")*(Besatzung!$F$11:$F$22="x")),SUMPRODUCT((J73:U73="x")*(Besatzung!$F$11:$F$22="x"))),1))))),0))))</f>
        <v/>
      </c>
      <c r="X73" s="106">
        <f>IF(C73="Gutschrift","",IF(G73="","",IF(Besatzung!$B$13="","",IFERROR(IF(I73="Zeitanteilig",(Besatzung!$G$13*(G73-IFERROR(H73,0))+((Besatzung!$B$13&lt;&gt;"")*IF(B73="",1,(IF(Besatzung!$C$13="",Besatzung!$B$5,Besatzung!$C$13)&lt;=B73)*(IF(Besatzung!$D$13="",Besatzung!$B$6,Besatzung!$D$13)&gt;=B73)))*(Besatzung!$F$13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$13&lt;&gt;"")*IF(B73="",1,(IF(Besatzung!$C$13="",Besatzung!$B$5,Besatzung!$C$13)&lt;=B73)*(IF(Besatzung!$D$13="",Besatzung!$B$6,Besatzung!$D$13)&gt;=B73)))*((G73-IFERROR(H73,0))/IFERROR(SUMPRODUCT((Besatzung!$B$11:$B$22&lt;&gt;"")*(IF(Besatzung!$C$11:$C$22="",Besatzung!$B$5,Besatzung!$C$11:$C$22)&lt;=B73)*(IF(Besatzung!$D$11:$D$22="",Besatzung!$B$6,Besatzung!$D$11:$D$22)&gt;=B73)),1)+(Besatzung!$F$13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K73="x")*((G73-IFERROR(H73,0))/IFERROR(COUNTIF(J73:U73,"x"),1)+(Besatzung!$F$13="x")*IFERROR(H73,0)/IFERROR(SUMPRODUCT((J73:U73="x")*(Besatzung!$F$11:$F$22="x")),1))),(IF(COUNTIF(J73:U73,"x")=0,IF(Besatzung!$B$13&lt;&gt;"",1,0),(K73="x"))*(G73-IFERROR(H73,0))/IFERROR(IF(COUNTIF(J73:U73,"x")=0,COUNTA(Besatzung!$B$11:$B$22),COUNTIF(J73:U73,"x")),1)+IF(COUNTIF(J73:U73,"x")=0,(Besatzung!$F$13="x"),(K73="x")*(Besatzung!$F$13="x"))*IFERROR(H73,0)/IFERROR(IF(COUNTIF(J73:U73,"x")=0,SUMPRODUCT((Besatzung!$B$11:$B$22&lt;&gt;"")*(Besatzung!$F$11:$F$22="x")),SUMPRODUCT((J73:U73="x")*(Besatzung!$F$11:$F$22="x"))),1))))),0))))</f>
        <v/>
      </c>
      <c r="Y73" s="106">
        <f>IF(C73="Gutschrift","",IF(G73="","",IF(Besatzung!$B$14="","",IFERROR(IF(I73="Zeitanteilig",(Besatzung!$G$14*(G73-IFERROR(H73,0))+((Besatzung!$B$14&lt;&gt;"")*IF(B73="",1,(IF(Besatzung!$C$14="",Besatzung!$B$5,Besatzung!$C$14)&lt;=B73)*(IF(Besatzung!$D$14="",Besatzung!$B$6,Besatzung!$D$14)&gt;=B73)))*(Besatzung!$F$14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$14&lt;&gt;"")*IF(B73="",1,(IF(Besatzung!$C$14="",Besatzung!$B$5,Besatzung!$C$14)&lt;=B73)*(IF(Besatzung!$D$14="",Besatzung!$B$6,Besatzung!$D$14)&gt;=B73)))*((G73-IFERROR(H73,0))/IFERROR(SUMPRODUCT((Besatzung!$B$11:$B$22&lt;&gt;"")*(IF(Besatzung!$C$11:$C$22="",Besatzung!$B$5,Besatzung!$C$11:$C$22)&lt;=B73)*(IF(Besatzung!$D$11:$D$22="",Besatzung!$B$6,Besatzung!$D$11:$D$22)&gt;=B73)),1)+(Besatzung!$F$14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M73="x")*((G73-IFERROR(H73,0))/IFERROR(COUNTIF(J73:U73,"x"),1)+(Besatzung!$F$14="x")*IFERROR(H73,0)/IFERROR(SUMPRODUCT((J73:U73="x")*(Besatzung!$F$11:$F$22="x")),1))),(IF(COUNTIF(J73:U73,"x")=0,IF(Besatzung!$B$14&lt;&gt;"",1,0),(M73="x"))*(G73-IFERROR(H73,0))/IFERROR(IF(COUNTIF(J73:U73,"x")=0,COUNTA(Besatzung!$B$11:$B$22),COUNTIF(J73:U73,"x")),1)+IF(COUNTIF(J73:U73,"x")=0,(Besatzung!$F$14="x"),(M73="x")*(Besatzung!$F$14="x"))*IFERROR(H73,0)/IFERROR(IF(COUNTIF(J73:U73,"x")=0,SUMPRODUCT((Besatzung!$B$11:$B$22&lt;&gt;"")*(Besatzung!$F$11:$F$22="x")),SUMPRODUCT((J73:U73="x")*(Besatzung!$F$11:$F$22="x"))),1))))),0))))</f>
        <v/>
      </c>
      <c r="Z73" s="106">
        <f>IF(C73="Gutschrift","",IF(G73="","",IF(Besatzung!$B$13="","",IFERROR(IF(I73="Zeitanteilig",(Besatzung!$G$15*(G73-IFERROR(H73,0))+((Besatzung!$B$13&lt;&gt;"")*IF(B73="",1,(IF(Besatzung!$C$15="",Besatzung!$B$5,Besatzung!$C$15)&lt;=B73)*(IF(Besatzung!$D$15="",Besatzung!$B$6,Besatzung!$D$15)&gt;=B73)))*(Besatzung!$F$15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$13&lt;&gt;"")*IF(B73="",1,(IF(Besatzung!$C$15="",Besatzung!$B$5,Besatzung!$C$15)&lt;=B73)*(IF(Besatzung!$D$15="",Besatzung!$B$6,Besatzung!$D$15)&gt;=B73)))*((G73-IFERROR(H73,0))/IFERROR(SUMPRODUCT((Besatzung!$B$11:$B$22&lt;&gt;"")*(IF(Besatzung!$C$11:$C$22="",Besatzung!$B$5,Besatzung!$C$11:$C$22)&lt;=B73)*(IF(Besatzung!$D$11:$D$22="",Besatzung!$B$6,Besatzung!$D$11:$D$22)&gt;=B73)),1)+(Besatzung!$F$15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N73="x")*((G73-IFERROR(H73,0))/IFERROR(COUNTIF(J73:U73,"x"),1)+(Besatzung!$F$15="x")*IFERROR(H73,0)/IFERROR(SUMPRODUCT((J73:U73="x")*(Besatzung!$F$11:$F$22="x")),1))),(IF(COUNTIF(J73:U73,"x")=0,IF(Besatzung!$B$13&lt;&gt;"",1,0),(N73="x"))*(G73-IFERROR(H73,0))/IFERROR(IF(COUNTIF(J73:U73,"x")=0,COUNTA(Besatzung!$B$11:$B$22),COUNTIF(J73:U73,"x")),1)+IF(COUNTIF(J73:U73,"x")=0,(Besatzung!$F$15="x"),(N73="x")*(Besatzung!$F$15="x"))*IFERROR(H73,0)/IFERROR(IF(COUNTIF(J73:U73,"x")=0,SUMPRODUCT((Besatzung!$B$11:$B$22&lt;&gt;"")*(Besatzung!$F$11:$F$22="x")),SUMPRODUCT((J73:U73="x")*(Besatzung!$F$11:$F$22="x"))),1))))),0))))</f>
        <v/>
      </c>
      <c r="AA73" s="106">
        <f>IF(C73="Gutschrift","",IF(G73="","",IF(Besatzung!$B$15="","",IFERROR(IF(I73="Zeitanteilig",(Besatzung!$G$16*(G73-IFERROR(H73,0))+((Besatzung!$B$15&lt;&gt;"")*IF(B73="",1,(IF(Besatzung!$C$16="",Besatzung!$B$5,Besatzung!$C$16)&lt;=B73)*(IF(Besatzung!$D$16="",Besatzung!$B$6,Besatzung!$D$16)&gt;=B73)))*(Besatzung!$F$16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$15&lt;&gt;"")*IF(B73="",1,(IF(Besatzung!$C$16="",Besatzung!$B$5,Besatzung!$C$16)&lt;=B73)*(IF(Besatzung!$D$16="",Besatzung!$B$6,Besatzung!$D$16)&gt;=B73)))*((G73-IFERROR(H73,0))/IFERROR(SUMPRODUCT((Besatzung!$B$11:$B$22&lt;&gt;"")*(IF(Besatzung!$C$11:$C$22="",Besatzung!$B$5,Besatzung!$C$11:$C$22)&lt;=B73)*(IF(Besatzung!$D$11:$D$22="",Besatzung!$B$6,Besatzung!$D$11:$D$22)&gt;=B73)),1)+(Besatzung!$F$16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O73="x")*((G73-IFERROR(H73,0))/IFERROR(COUNTIF(J73:U73,"x"),1)+(Besatzung!$F$16="x")*IFERROR(H73,0)/IFERROR(SUMPRODUCT((J73:U73="x")*(Besatzung!$F$11:$F$22="x")),1))),(IF(COUNTIF(J73:U73,"x")=0,IF(Besatzung!$B$15&lt;&gt;"",1,0),(O73="x"))*(G73-IFERROR(H73,0))/IFERROR(IF(COUNTIF(J73:U73,"x")=0,COUNTA(Besatzung!$B$11:$B$22),COUNTIF(J73:U73,"x")),1)+IF(COUNTIF(J73:U73,"x")=0,(Besatzung!$F$16="x"),(O73="x")*(Besatzung!$F$16="x"))*IFERROR(H73,0)/IFERROR(IF(COUNTIF(J73:U73,"x")=0,SUMPRODUCT((Besatzung!$B$11:$B$22&lt;&gt;"")*(Besatzung!$F$11:$F$22="x")),SUMPRODUCT((J73:U73="x")*(Besatzung!$F$11:$F$22="x"))),1))))),0))))</f>
        <v/>
      </c>
      <c r="AB73" s="106">
        <f>IF(C73="Gutschrift","",IF(G73="","",IF(Besatzung!$B$17="","",IFERROR(IF(I73="Zeitanteilig",(Besatzung!$G$17*(G73-IFERROR(H73,0))+((Besatzung!$B$17&lt;&gt;"")*IF(B73="",1,(IF(Besatzung!$C$17="",Besatzung!$B$5,Besatzung!$C$17)&lt;=B73)*(IF(Besatzung!$D$17="",Besatzung!$B$6,Besatzung!$D$17)&gt;=B73)))*(Besatzung!$F$17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$17&lt;&gt;"")*IF(B73="",1,(IF(Besatzung!$C$17="",Besatzung!$B$5,Besatzung!$C$17)&lt;=B73)*(IF(Besatzung!$D$17="",Besatzung!$B$6,Besatzung!$D$17)&gt;=B73)))*((G73-IFERROR(H73,0))/IFERROR(SUMPRODUCT((Besatzung!$B$11:$B$22&lt;&gt;"")*(IF(Besatzung!$C$11:$C$22="",Besatzung!$B$5,Besatzung!$C$11:$C$22)&lt;=B73)*(IF(Besatzung!$D$11:$D$22="",Besatzung!$B$6,Besatzung!$D$11:$D$22)&gt;=B73)),1)+(Besatzung!$F$17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P73="x")*((G73-IFERROR(H73,0))/IFERROR(COUNTIF(J73:U73,"x"),1)+(Besatzung!$F$17="x")*IFERROR(H73,0)/IFERROR(SUMPRODUCT((J73:U73="x")*(Besatzung!$F$11:$F$22="x")),1))),(IF(COUNTIF(J73:U73,"x")=0,IF(Besatzung!$B$17&lt;&gt;"",1,0),(P73="x"))*(G73-IFERROR(H73,0))/IFERROR(IF(COUNTIF(J73:U73,"x")=0,COUNTA(Besatzung!$B$11:$B$22),COUNTIF(J73:U73,"x")),1)+IF(COUNTIF(J73:U73,"x")=0,(Besatzung!$F$17="x"),(P73="x")*(Besatzung!$F$17="x"))*IFERROR(H73,0)/IFERROR(IF(COUNTIF(J73:U73,"x")=0,SUMPRODUCT((Besatzung!$B$11:$B$22&lt;&gt;"")*(Besatzung!$F$11:$F$22="x")),SUMPRODUCT((J73:U73="x")*(Besatzung!$F$11:$F$22="x"))),1))))),0))))</f>
        <v/>
      </c>
      <c r="AC73" s="106">
        <f>IF(C73="Gutschrift","",IF(G73="","",IF(Besatzung!$B$18="","",IFERROR(IF(I73="Zeitanteilig",(Besatzung!$G$18*(G73-IFERROR(H73,0))+((Besatzung!$B$18&lt;&gt;"")*IF(B73="",1,(IF(Besatzung!$C$18="",Besatzung!$B$5,Besatzung!$C$18)&lt;=B73)*(IF(Besatzung!$D$18="",Besatzung!$B$6,Besatzung!$D$18)&gt;=B73)))*(Besatzung!$F$18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$18&lt;&gt;"")*IF(B73="",1,(IF(Besatzung!$C$18="",Besatzung!$B$5,Besatzung!$C$18)&lt;=B73)*(IF(Besatzung!$D$18="",Besatzung!$B$6,Besatzung!$D$18)&gt;=B73)))*((G73-IFERROR(H73,0))/IFERROR(SUMPRODUCT((Besatzung!$B$11:$B$22&lt;&gt;"")*(IF(Besatzung!$C$11:$C$22="",Besatzung!$B$5,Besatzung!$C$11:$C$22)&lt;=B73)*(IF(Besatzung!$D$11:$D$22="",Besatzung!$B$6,Besatzung!$D$11:$D$22)&gt;=B73)),1)+(Besatzung!$F$18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Q73="x")*((G73-IFERROR(H73,0))/IFERROR(COUNTIF(J73:U73,"x"),1)+(Besatzung!$F$18="x")*IFERROR(H73,0)/IFERROR(SUMPRODUCT((J73:U73="x")*(Besatzung!$F$11:$F$22="x")),1))),(IF(COUNTIF(J73:U73,"x")=0,IF(Besatzung!$B$18&lt;&gt;"",1,0),(Q73="x"))*(G73-IFERROR(H73,0))/IFERROR(IF(COUNTIF(J73:U73,"x")=0,COUNTA(Besatzung!$B$11:$B$22),COUNTIF(J73:U73,"x")),1)+IF(COUNTIF(J73:U73,"x")=0,(Besatzung!$F$18="x"),(Q73="x")*(Besatzung!$F$18="x"))*IFERROR(H73,0)/IFERROR(IF(COUNTIF(J73:U73,"x")=0,SUMPRODUCT((Besatzung!$B$11:$B$22&lt;&gt;"")*(Besatzung!$F$11:$F$22="x")),SUMPRODUCT((J73:U73="x")*(Besatzung!$F$11:$F$22="x"))),1))))),0))))</f>
        <v/>
      </c>
      <c r="AD73" s="106">
        <f>IF(C73="Gutschrift","",IF(G73="","",IF(Besatzung!$B$19="","",IFERROR(IF(I73="Zeitanteilig",(Besatzung!$G$19*(G73-IFERROR(H73,0))+((Besatzung!$B$19&lt;&gt;"")*IF(B73="",1,(IF(Besatzung!$C$19="",Besatzung!$B$5,Besatzung!$C$19)&lt;=B73)*(IF(Besatzung!$D$19="",Besatzung!$B$6,Besatzung!$D$19)&gt;=B73)))*(Besatzung!$F$19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$19&lt;&gt;"")*IF(B73="",1,(IF(Besatzung!$C$19="",Besatzung!$B$5,Besatzung!$C$19)&lt;=B73)*(IF(Besatzung!$D$19="",Besatzung!$B$6,Besatzung!$D$19)&gt;=B73)))*((G73-IFERROR(H73,0))/IFERROR(SUMPRODUCT((Besatzung!$B$11:$B$22&lt;&gt;"")*(IF(Besatzung!$C$11:$C$22="",Besatzung!$B$5,Besatzung!$C$11:$C$22)&lt;=B73)*(IF(Besatzung!$D$11:$D$22="",Besatzung!$B$6,Besatzung!$D$11:$D$22)&gt;=B73)),1)+(Besatzung!$F$19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R73="x")*((G73-IFERROR(H73,0))/IFERROR(COUNTIF(J73:U73,"x"),1)+(Besatzung!$F$19="x")*IFERROR(H73,0)/IFERROR(SUMPRODUCT((J73:U73="x")*(Besatzung!$F$11:$F$22="x")),1))),(IF(COUNTIF(J73:U73,"x")=0,IF(Besatzung!$B$19&lt;&gt;"",1,0),(R73="x"))*(G73-IFERROR(H73,0))/IFERROR(IF(COUNTIF(J73:U73,"x")=0,COUNTA(Besatzung!$B$11:$B$22),COUNTIF(J73:U73,"x")),1)+IF(COUNTIF(J73:U73,"x")=0,(Besatzung!$F$19="x"),(R73="x")*(Besatzung!$F$19="x"))*IFERROR(H73,0)/IFERROR(IF(COUNTIF(J73:U73,"x")=0,SUMPRODUCT((Besatzung!$B$11:$B$22&lt;&gt;"")*(Besatzung!$F$11:$F$22="x")),SUMPRODUCT((J73:U73="x")*(Besatzung!$F$11:$F$22="x"))),1))))),0))))</f>
        <v/>
      </c>
      <c r="AE73" s="106">
        <f>IF(C73="Gutschrift","",IF(G73="","",IF(Besatzung!$B$20="","",IFERROR(IF(I73="Zeitanteilig",(Besatzung!$G$20*(G73-IFERROR(H73,0))+((Besatzung!$B$20&lt;&gt;"")*IF(B73="",1,(IF(Besatzung!$C$20="",Besatzung!$B$5,Besatzung!$C$20)&lt;=B73)*(IF(Besatzung!$D$20="",Besatzung!$B$6,Besatzung!$D$20)&gt;=B73)))*(Besatzung!$F$20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$20&lt;&gt;"")*IF(B73="",1,(IF(Besatzung!$C$20="",Besatzung!$B$5,Besatzung!$C$20)&lt;=B73)*(IF(Besatzung!$D$20="",Besatzung!$B$6,Besatzung!$D$20)&gt;=B73)))*((G73-IFERROR(H73,0))/IFERROR(SUMPRODUCT((Besatzung!$B$11:$B$22&lt;&gt;"")*(IF(Besatzung!$C$11:$C$22="",Besatzung!$B$5,Besatzung!$C$11:$C$22)&lt;=B73)*(IF(Besatzung!$D$11:$D$22="",Besatzung!$B$6,Besatzung!$D$11:$D$22)&gt;=B73)),1)+(Besatzung!$F$20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S73="x")*((G73-IFERROR(H73,0))/IFERROR(COUNTIF(J73:U73,"x"),1)+(Besatzung!$F$20="x")*IFERROR(H73,0)/IFERROR(SUMPRODUCT((J73:U73="x")*(Besatzung!$F$11:$F$22="x")),1))),(IF(COUNTIF(J73:U73,"x")=0,IF(Besatzung!$B$20&lt;&gt;"",1,0),(S73="x"))*(G73-IFERROR(H73,0))/IFERROR(IF(COUNTIF(J73:U73,"x")=0,COUNTA(Besatzung!$B$11:$B$22),COUNTIF(J73:U73,"x")),1)+IF(COUNTIF(J73:U73,"x")=0,(Besatzung!$F$20="x"),(S73="x")*(Besatzung!$F$20="x"))*IFERROR(H73,0)/IFERROR(IF(COUNTIF(J73:U73,"x")=0,SUMPRODUCT((Besatzung!$B$11:$B$22&lt;&gt;"")*(Besatzung!$F$11:$F$22="x")),SUMPRODUCT((J73:U73="x")*(Besatzung!$F$11:$F$22="x"))),1))))),0))))</f>
        <v/>
      </c>
      <c r="AF73" s="106">
        <f>IF(C73="Gutschrift","",IF(G73="","",IF(Besatzung!$B$21="","",IFERROR(IF(I73="Zeitanteilig",(Besatzung!$G$21*(G73-IFERROR(H73,0))+((Besatzung!$B$21&lt;&gt;"")*IF(B73="",1,(IF(Besatzung!$C$21="",Besatzung!$B$5,Besatzung!$C$21)&lt;=B73)*(IF(Besatzung!$D$21="",Besatzung!$B$6,Besatzung!$D$21)&gt;=B73)))*(Besatzung!$F$21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$21&lt;&gt;"")*IF(B73="",1,(IF(Besatzung!$C$21="",Besatzung!$B$5,Besatzung!$C$21)&lt;=B73)*(IF(Besatzung!$D$21="",Besatzung!$B$6,Besatzung!$D$21)&gt;=B73)))*((G73-IFERROR(H73,0))/IFERROR(SUMPRODUCT((Besatzung!$B$11:$B$22&lt;&gt;"")*(IF(Besatzung!$C$11:$C$22="",Besatzung!$B$5,Besatzung!$C$11:$C$22)&lt;=B73)*(IF(Besatzung!$D$11:$D$22="",Besatzung!$B$6,Besatzung!$D$11:$D$22)&gt;=B73)),1)+(Besatzung!$F$21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T73="x")*((G73-IFERROR(H73,0))/IFERROR(COUNTIF(J73:U73,"x"),1)+(Besatzung!$F$21="x")*IFERROR(H73,0)/IFERROR(SUMPRODUCT((J73:U73="x")*(Besatzung!$F$11:$F$22="x")),1))),(IF(COUNTIF(J73:U73,"x")=0,IF(Besatzung!$B$21&lt;&gt;"",1,0),(T73="x"))*(G73-IFERROR(H73,0))/IFERROR(IF(COUNTIF(J73:U73,"x")=0,COUNTA(Besatzung!$B$11:$B$22),COUNTIF(J73:U73,"x")),1)+IF(COUNTIF(J73:U73,"x")=0,(Besatzung!$F$21="x"),(T73="x")*(Besatzung!$F$21="x"))*IFERROR(H73,0)/IFERROR(IF(COUNTIF(J73:U73,"x")=0,SUMPRODUCT((Besatzung!$B$11:$B$22&lt;&gt;"")*(Besatzung!$F$11:$F$22="x")),SUMPRODUCT((J73:U73="x")*(Besatzung!$F$11:$F$22="x"))),1))))),0))))</f>
        <v/>
      </c>
      <c r="AG73" s="106">
        <f>IF(C73="Gutschrift","",IF(G73="","",IF(Besatzung!$B$22="","",IFERROR(IF(I73="Zeitanteilig",(Besatzung!$G$22*(G73-IFERROR(H73,0))+((Besatzung!$B$22&lt;&gt;"")*IF(B73="",1,(IF(Besatzung!$C$22="",Besatzung!$B$5,Besatzung!$C$22)&lt;=B73)*(IF(Besatzung!$D$22="",Besatzung!$B$6,Besatzung!$D$22)&gt;=B73)))*(Besatzung!$F$22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$22&lt;&gt;"")*IF(B73="",1,(IF(Besatzung!$C$22="",Besatzung!$B$5,Besatzung!$C$22)&lt;=B73)*(IF(Besatzung!$D$22="",Besatzung!$B$6,Besatzung!$D$22)&gt;=B73)))*((G73-IFERROR(H73,0))/IFERROR(SUMPRODUCT((Besatzung!$B$11:$B$22&lt;&gt;"")*(IF(Besatzung!$C$11:$C$22="",Besatzung!$B$5,Besatzung!$C$11:$C$22)&lt;=B73)*(IF(Besatzung!$D$11:$D$22="",Besatzung!$B$6,Besatzung!$D$11:$D$22)&gt;=B73)),1)+(Besatzung!$F$22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U73="x")*((G73-IFERROR(H73,0))/IFERROR(COUNTIF(J73:U73,"x"),1)+(Besatzung!$F$22="x")*IFERROR(H73,0)/IFERROR(SUMPRODUCT((J73:U73="x")*(Besatzung!$F$11:$F$22="x")),1))),(IF(COUNTIF(J73:U73,"x")=0,IF(Besatzung!$B$22&lt;&gt;"",1,0),(U73="x"))*(G73-IFERROR(H73,0))/IFERROR(IF(COUNTIF(J73:U73,"x")=0,COUNTA(Besatzung!$B$11:$B$22),COUNTIF(J73:U73,"x")),1)+IF(COUNTIF(J73:U73,"x")=0,(Besatzung!$F$22="x"),(U73="x")*(Besatzung!$F$22="x"))*IFERROR(H73,0)/IFERROR(IF(COUNTIF(J73:U73,"x")=0,SUMPRODUCT((Besatzung!$B$11:$B$22&lt;&gt;"")*(Besatzung!$F$11:$F$22="x")),SUMPRODUCT((J73:U73="x")*(Besatzung!$F$11:$F$22="x"))),1))))),0))))</f>
        <v/>
      </c>
      <c r="AH73" s="107" t="n"/>
      <c r="AI73" s="107" t="n"/>
    </row>
    <row r="74" ht="21.75" customHeight="1" s="182">
      <c r="A74" s="97">
        <f>IF(AND(D74="",C74=""),"",71)</f>
        <v/>
      </c>
      <c r="B74" s="56" t="n"/>
      <c r="C74" s="98" t="n"/>
      <c r="D74" s="99" t="n"/>
      <c r="E74" s="100" t="n"/>
      <c r="F74" s="101" t="n"/>
      <c r="G74" s="102" t="n"/>
      <c r="H74" s="103" t="n"/>
      <c r="I74" s="104" t="n"/>
      <c r="J74" s="105" t="n"/>
      <c r="K74" s="105" t="n"/>
      <c r="L74" s="105" t="n"/>
      <c r="M74" s="105" t="n"/>
      <c r="N74" s="105" t="n"/>
      <c r="O74" s="105" t="n"/>
      <c r="P74" s="105" t="n"/>
      <c r="Q74" s="105" t="n"/>
      <c r="R74" s="105" t="n"/>
      <c r="S74" s="105" t="n"/>
      <c r="T74" s="105" t="n"/>
      <c r="U74" s="105" t="n"/>
      <c r="V74" s="106">
        <f>IF(C74="Gutschrift","",IF(G74="","",IF(Besatzung!$B$11="","",IFERROR(IF(I74="Zeitanteilig",(Besatzung!$G$11*(G74-IFERROR(H74,0))+((Besatzung!$B$11&lt;&gt;"")*IF(B74="",1,(IF(Besatzung!$C$11="",Besatzung!$B$5,Besatzung!$C$11)&lt;=B74)*(IF(Besatzung!$D$11="",Besatzung!$B$6,Besatzung!$D$11)&gt;=B74)))*(Besatzung!$F$11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$11&lt;&gt;"")*IF(B74="",1,(IF(Besatzung!$C$11="",Besatzung!$B$5,Besatzung!$C$11)&lt;=B74)*(IF(Besatzung!$D$11="",Besatzung!$B$6,Besatzung!$D$11)&gt;=B74)))*((G74-IFERROR(H74,0))/IFERROR(SUMPRODUCT((Besatzung!$B$11:$B$22&lt;&gt;"")*(IF(Besatzung!$C$11:$C$22="",Besatzung!$B$5,Besatzung!$C$11:$C$22)&lt;=B74)*(IF(Besatzung!$D$11:$D$22="",Besatzung!$B$6,Besatzung!$D$11:$D$22)&gt;=B74)),1)+(Besatzung!$F$11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J74="x")*((G74-IFERROR(H74,0))/IFERROR(COUNTIF(J74:U74,"x"),1)+(Besatzung!$F$11="x")*IFERROR(H74,0)/IFERROR(SUMPRODUCT((J74:U74="x")*(Besatzung!$F$11:$F$22="x")),1))),(IF(COUNTIF(J74:U74,"x")=0,IF(Besatzung!$B$11&lt;&gt;"",1,0),(J74="x"))*(G74-IFERROR(H74,0))/IFERROR(IF(COUNTIF(J74:U74,"x")=0,COUNTA(Besatzung!$B$11:$B$22),COUNTIF(J74:U74,"x")),1)+IF(COUNTIF(J74:U74,"x")=0,(Besatzung!$F$11="x"),(J74="x")*(Besatzung!$F$11="x"))*IFERROR(H74,0)/IFERROR(IF(COUNTIF(J74:U74,"x")=0,SUMPRODUCT((Besatzung!$B$11:$B$22&lt;&gt;"")*(Besatzung!$F$11:$F$22="x")),SUMPRODUCT((J74:U74="x")*(Besatzung!$F$11:$F$22="x"))),1))))),0))))</f>
        <v/>
      </c>
      <c r="W74" s="106">
        <f>IF(C74="Gutschrift","",IF(G74="","",IF(Besatzung!$B$12="","",IFERROR(IF(I74="Zeitanteilig",(Besatzung!$G$12*(G74-IFERROR(H74,0))+((Besatzung!$B$12&lt;&gt;"")*IF(B74="",1,(IF(Besatzung!$C$12="",Besatzung!$B$5,Besatzung!$C$12)&lt;=B74)*(IF(Besatzung!$D$12="",Besatzung!$B$6,Besatzung!$D$12)&gt;=B74)))*(Besatzung!$F$12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$12&lt;&gt;"")*IF(B74="",1,(IF(Besatzung!$C$12="",Besatzung!$B$5,Besatzung!$C$12)&lt;=B74)*(IF(Besatzung!$D$12="",Besatzung!$B$6,Besatzung!$D$12)&gt;=B74)))*((G74-IFERROR(H74,0))/IFERROR(SUMPRODUCT((Besatzung!$B$11:$B$22&lt;&gt;"")*(IF(Besatzung!$C$11:$C$22="",Besatzung!$B$5,Besatzung!$C$11:$C$22)&lt;=B74)*(IF(Besatzung!$D$11:$D$22="",Besatzung!$B$6,Besatzung!$D$11:$D$22)&gt;=B74)),1)+(Besatzung!$F$12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K74="x")*((G74-IFERROR(H74,0))/IFERROR(COUNTIF(J74:U74,"x"),1)+(Besatzung!$F$12="x")*IFERROR(H74,0)/IFERROR(SUMPRODUCT((J74:U74="x")*(Besatzung!$F$11:$F$22="x")),1))),(IF(COUNTIF(J74:U74,"x")=0,IF(Besatzung!$B$12&lt;&gt;"",1,0),(K74="x"))*(G74-IFERROR(H74,0))/IFERROR(IF(COUNTIF(J74:U74,"x")=0,COUNTA(Besatzung!$B$11:$B$22),COUNTIF(J74:U74,"x")),1)+IF(COUNTIF(J74:U74,"x")=0,(Besatzung!$F$12="x"),(K74="x")*(Besatzung!$F$12="x"))*IFERROR(H74,0)/IFERROR(IF(COUNTIF(J74:U74,"x")=0,SUMPRODUCT((Besatzung!$B$11:$B$22&lt;&gt;"")*(Besatzung!$F$11:$F$22="x")),SUMPRODUCT((J74:U74="x")*(Besatzung!$F$11:$F$22="x"))),1))))),0))))</f>
        <v/>
      </c>
      <c r="X74" s="106">
        <f>IF(C74="Gutschrift","",IF(G74="","",IF(Besatzung!$B$13="","",IFERROR(IF(I74="Zeitanteilig",(Besatzung!$G$13*(G74-IFERROR(H74,0))+((Besatzung!$B$13&lt;&gt;"")*IF(B74="",1,(IF(Besatzung!$C$13="",Besatzung!$B$5,Besatzung!$C$13)&lt;=B74)*(IF(Besatzung!$D$13="",Besatzung!$B$6,Besatzung!$D$13)&gt;=B74)))*(Besatzung!$F$13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$13&lt;&gt;"")*IF(B74="",1,(IF(Besatzung!$C$13="",Besatzung!$B$5,Besatzung!$C$13)&lt;=B74)*(IF(Besatzung!$D$13="",Besatzung!$B$6,Besatzung!$D$13)&gt;=B74)))*((G74-IFERROR(H74,0))/IFERROR(SUMPRODUCT((Besatzung!$B$11:$B$22&lt;&gt;"")*(IF(Besatzung!$C$11:$C$22="",Besatzung!$B$5,Besatzung!$C$11:$C$22)&lt;=B74)*(IF(Besatzung!$D$11:$D$22="",Besatzung!$B$6,Besatzung!$D$11:$D$22)&gt;=B74)),1)+(Besatzung!$F$13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K74="x")*((G74-IFERROR(H74,0))/IFERROR(COUNTIF(J74:U74,"x"),1)+(Besatzung!$F$13="x")*IFERROR(H74,0)/IFERROR(SUMPRODUCT((J74:U74="x")*(Besatzung!$F$11:$F$22="x")),1))),(IF(COUNTIF(J74:U74,"x")=0,IF(Besatzung!$B$13&lt;&gt;"",1,0),(K74="x"))*(G74-IFERROR(H74,0))/IFERROR(IF(COUNTIF(J74:U74,"x")=0,COUNTA(Besatzung!$B$11:$B$22),COUNTIF(J74:U74,"x")),1)+IF(COUNTIF(J74:U74,"x")=0,(Besatzung!$F$13="x"),(K74="x")*(Besatzung!$F$13="x"))*IFERROR(H74,0)/IFERROR(IF(COUNTIF(J74:U74,"x")=0,SUMPRODUCT((Besatzung!$B$11:$B$22&lt;&gt;"")*(Besatzung!$F$11:$F$22="x")),SUMPRODUCT((J74:U74="x")*(Besatzung!$F$11:$F$22="x"))),1))))),0))))</f>
        <v/>
      </c>
      <c r="Y74" s="106">
        <f>IF(C74="Gutschrift","",IF(G74="","",IF(Besatzung!$B$14="","",IFERROR(IF(I74="Zeitanteilig",(Besatzung!$G$14*(G74-IFERROR(H74,0))+((Besatzung!$B$14&lt;&gt;"")*IF(B74="",1,(IF(Besatzung!$C$14="",Besatzung!$B$5,Besatzung!$C$14)&lt;=B74)*(IF(Besatzung!$D$14="",Besatzung!$B$6,Besatzung!$D$14)&gt;=B74)))*(Besatzung!$F$14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$14&lt;&gt;"")*IF(B74="",1,(IF(Besatzung!$C$14="",Besatzung!$B$5,Besatzung!$C$14)&lt;=B74)*(IF(Besatzung!$D$14="",Besatzung!$B$6,Besatzung!$D$14)&gt;=B74)))*((G74-IFERROR(H74,0))/IFERROR(SUMPRODUCT((Besatzung!$B$11:$B$22&lt;&gt;"")*(IF(Besatzung!$C$11:$C$22="",Besatzung!$B$5,Besatzung!$C$11:$C$22)&lt;=B74)*(IF(Besatzung!$D$11:$D$22="",Besatzung!$B$6,Besatzung!$D$11:$D$22)&gt;=B74)),1)+(Besatzung!$F$14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M74="x")*((G74-IFERROR(H74,0))/IFERROR(COUNTIF(J74:U74,"x"),1)+(Besatzung!$F$14="x")*IFERROR(H74,0)/IFERROR(SUMPRODUCT((J74:U74="x")*(Besatzung!$F$11:$F$22="x")),1))),(IF(COUNTIF(J74:U74,"x")=0,IF(Besatzung!$B$14&lt;&gt;"",1,0),(M74="x"))*(G74-IFERROR(H74,0))/IFERROR(IF(COUNTIF(J74:U74,"x")=0,COUNTA(Besatzung!$B$11:$B$22),COUNTIF(J74:U74,"x")),1)+IF(COUNTIF(J74:U74,"x")=0,(Besatzung!$F$14="x"),(M74="x")*(Besatzung!$F$14="x"))*IFERROR(H74,0)/IFERROR(IF(COUNTIF(J74:U74,"x")=0,SUMPRODUCT((Besatzung!$B$11:$B$22&lt;&gt;"")*(Besatzung!$F$11:$F$22="x")),SUMPRODUCT((J74:U74="x")*(Besatzung!$F$11:$F$22="x"))),1))))),0))))</f>
        <v/>
      </c>
      <c r="Z74" s="106">
        <f>IF(C74="Gutschrift","",IF(G74="","",IF(Besatzung!$B$13="","",IFERROR(IF(I74="Zeitanteilig",(Besatzung!$G$15*(G74-IFERROR(H74,0))+((Besatzung!$B$13&lt;&gt;"")*IF(B74="",1,(IF(Besatzung!$C$15="",Besatzung!$B$5,Besatzung!$C$15)&lt;=B74)*(IF(Besatzung!$D$15="",Besatzung!$B$6,Besatzung!$D$15)&gt;=B74)))*(Besatzung!$F$15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$13&lt;&gt;"")*IF(B74="",1,(IF(Besatzung!$C$15="",Besatzung!$B$5,Besatzung!$C$15)&lt;=B74)*(IF(Besatzung!$D$15="",Besatzung!$B$6,Besatzung!$D$15)&gt;=B74)))*((G74-IFERROR(H74,0))/IFERROR(SUMPRODUCT((Besatzung!$B$11:$B$22&lt;&gt;"")*(IF(Besatzung!$C$11:$C$22="",Besatzung!$B$5,Besatzung!$C$11:$C$22)&lt;=B74)*(IF(Besatzung!$D$11:$D$22="",Besatzung!$B$6,Besatzung!$D$11:$D$22)&gt;=B74)),1)+(Besatzung!$F$15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N74="x")*((G74-IFERROR(H74,0))/IFERROR(COUNTIF(J74:U74,"x"),1)+(Besatzung!$F$15="x")*IFERROR(H74,0)/IFERROR(SUMPRODUCT((J74:U74="x")*(Besatzung!$F$11:$F$22="x")),1))),(IF(COUNTIF(J74:U74,"x")=0,IF(Besatzung!$B$13&lt;&gt;"",1,0),(N74="x"))*(G74-IFERROR(H74,0))/IFERROR(IF(COUNTIF(J74:U74,"x")=0,COUNTA(Besatzung!$B$11:$B$22),COUNTIF(J74:U74,"x")),1)+IF(COUNTIF(J74:U74,"x")=0,(Besatzung!$F$15="x"),(N74="x")*(Besatzung!$F$15="x"))*IFERROR(H74,0)/IFERROR(IF(COUNTIF(J74:U74,"x")=0,SUMPRODUCT((Besatzung!$B$11:$B$22&lt;&gt;"")*(Besatzung!$F$11:$F$22="x")),SUMPRODUCT((J74:U74="x")*(Besatzung!$F$11:$F$22="x"))),1))))),0))))</f>
        <v/>
      </c>
      <c r="AA74" s="106">
        <f>IF(C74="Gutschrift","",IF(G74="","",IF(Besatzung!$B$15="","",IFERROR(IF(I74="Zeitanteilig",(Besatzung!$G$16*(G74-IFERROR(H74,0))+((Besatzung!$B$15&lt;&gt;"")*IF(B74="",1,(IF(Besatzung!$C$16="",Besatzung!$B$5,Besatzung!$C$16)&lt;=B74)*(IF(Besatzung!$D$16="",Besatzung!$B$6,Besatzung!$D$16)&gt;=B74)))*(Besatzung!$F$16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$15&lt;&gt;"")*IF(B74="",1,(IF(Besatzung!$C$16="",Besatzung!$B$5,Besatzung!$C$16)&lt;=B74)*(IF(Besatzung!$D$16="",Besatzung!$B$6,Besatzung!$D$16)&gt;=B74)))*((G74-IFERROR(H74,0))/IFERROR(SUMPRODUCT((Besatzung!$B$11:$B$22&lt;&gt;"")*(IF(Besatzung!$C$11:$C$22="",Besatzung!$B$5,Besatzung!$C$11:$C$22)&lt;=B74)*(IF(Besatzung!$D$11:$D$22="",Besatzung!$B$6,Besatzung!$D$11:$D$22)&gt;=B74)),1)+(Besatzung!$F$16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O74="x")*((G74-IFERROR(H74,0))/IFERROR(COUNTIF(J74:U74,"x"),1)+(Besatzung!$F$16="x")*IFERROR(H74,0)/IFERROR(SUMPRODUCT((J74:U74="x")*(Besatzung!$F$11:$F$22="x")),1))),(IF(COUNTIF(J74:U74,"x")=0,IF(Besatzung!$B$15&lt;&gt;"",1,0),(O74="x"))*(G74-IFERROR(H74,0))/IFERROR(IF(COUNTIF(J74:U74,"x")=0,COUNTA(Besatzung!$B$11:$B$22),COUNTIF(J74:U74,"x")),1)+IF(COUNTIF(J74:U74,"x")=0,(Besatzung!$F$16="x"),(O74="x")*(Besatzung!$F$16="x"))*IFERROR(H74,0)/IFERROR(IF(COUNTIF(J74:U74,"x")=0,SUMPRODUCT((Besatzung!$B$11:$B$22&lt;&gt;"")*(Besatzung!$F$11:$F$22="x")),SUMPRODUCT((J74:U74="x")*(Besatzung!$F$11:$F$22="x"))),1))))),0))))</f>
        <v/>
      </c>
      <c r="AB74" s="106">
        <f>IF(C74="Gutschrift","",IF(G74="","",IF(Besatzung!$B$17="","",IFERROR(IF(I74="Zeitanteilig",(Besatzung!$G$17*(G74-IFERROR(H74,0))+((Besatzung!$B$17&lt;&gt;"")*IF(B74="",1,(IF(Besatzung!$C$17="",Besatzung!$B$5,Besatzung!$C$17)&lt;=B74)*(IF(Besatzung!$D$17="",Besatzung!$B$6,Besatzung!$D$17)&gt;=B74)))*(Besatzung!$F$17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$17&lt;&gt;"")*IF(B74="",1,(IF(Besatzung!$C$17="",Besatzung!$B$5,Besatzung!$C$17)&lt;=B74)*(IF(Besatzung!$D$17="",Besatzung!$B$6,Besatzung!$D$17)&gt;=B74)))*((G74-IFERROR(H74,0))/IFERROR(SUMPRODUCT((Besatzung!$B$11:$B$22&lt;&gt;"")*(IF(Besatzung!$C$11:$C$22="",Besatzung!$B$5,Besatzung!$C$11:$C$22)&lt;=B74)*(IF(Besatzung!$D$11:$D$22="",Besatzung!$B$6,Besatzung!$D$11:$D$22)&gt;=B74)),1)+(Besatzung!$F$17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P74="x")*((G74-IFERROR(H74,0))/IFERROR(COUNTIF(J74:U74,"x"),1)+(Besatzung!$F$17="x")*IFERROR(H74,0)/IFERROR(SUMPRODUCT((J74:U74="x")*(Besatzung!$F$11:$F$22="x")),1))),(IF(COUNTIF(J74:U74,"x")=0,IF(Besatzung!$B$17&lt;&gt;"",1,0),(P74="x"))*(G74-IFERROR(H74,0))/IFERROR(IF(COUNTIF(J74:U74,"x")=0,COUNTA(Besatzung!$B$11:$B$22),COUNTIF(J74:U74,"x")),1)+IF(COUNTIF(J74:U74,"x")=0,(Besatzung!$F$17="x"),(P74="x")*(Besatzung!$F$17="x"))*IFERROR(H74,0)/IFERROR(IF(COUNTIF(J74:U74,"x")=0,SUMPRODUCT((Besatzung!$B$11:$B$22&lt;&gt;"")*(Besatzung!$F$11:$F$22="x")),SUMPRODUCT((J74:U74="x")*(Besatzung!$F$11:$F$22="x"))),1))))),0))))</f>
        <v/>
      </c>
      <c r="AC74" s="106">
        <f>IF(C74="Gutschrift","",IF(G74="","",IF(Besatzung!$B$18="","",IFERROR(IF(I74="Zeitanteilig",(Besatzung!$G$18*(G74-IFERROR(H74,0))+((Besatzung!$B$18&lt;&gt;"")*IF(B74="",1,(IF(Besatzung!$C$18="",Besatzung!$B$5,Besatzung!$C$18)&lt;=B74)*(IF(Besatzung!$D$18="",Besatzung!$B$6,Besatzung!$D$18)&gt;=B74)))*(Besatzung!$F$18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$18&lt;&gt;"")*IF(B74="",1,(IF(Besatzung!$C$18="",Besatzung!$B$5,Besatzung!$C$18)&lt;=B74)*(IF(Besatzung!$D$18="",Besatzung!$B$6,Besatzung!$D$18)&gt;=B74)))*((G74-IFERROR(H74,0))/IFERROR(SUMPRODUCT((Besatzung!$B$11:$B$22&lt;&gt;"")*(IF(Besatzung!$C$11:$C$22="",Besatzung!$B$5,Besatzung!$C$11:$C$22)&lt;=B74)*(IF(Besatzung!$D$11:$D$22="",Besatzung!$B$6,Besatzung!$D$11:$D$22)&gt;=B74)),1)+(Besatzung!$F$18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Q74="x")*((G74-IFERROR(H74,0))/IFERROR(COUNTIF(J74:U74,"x"),1)+(Besatzung!$F$18="x")*IFERROR(H74,0)/IFERROR(SUMPRODUCT((J74:U74="x")*(Besatzung!$F$11:$F$22="x")),1))),(IF(COUNTIF(J74:U74,"x")=0,IF(Besatzung!$B$18&lt;&gt;"",1,0),(Q74="x"))*(G74-IFERROR(H74,0))/IFERROR(IF(COUNTIF(J74:U74,"x")=0,COUNTA(Besatzung!$B$11:$B$22),COUNTIF(J74:U74,"x")),1)+IF(COUNTIF(J74:U74,"x")=0,(Besatzung!$F$18="x"),(Q74="x")*(Besatzung!$F$18="x"))*IFERROR(H74,0)/IFERROR(IF(COUNTIF(J74:U74,"x")=0,SUMPRODUCT((Besatzung!$B$11:$B$22&lt;&gt;"")*(Besatzung!$F$11:$F$22="x")),SUMPRODUCT((J74:U74="x")*(Besatzung!$F$11:$F$22="x"))),1))))),0))))</f>
        <v/>
      </c>
      <c r="AD74" s="106">
        <f>IF(C74="Gutschrift","",IF(G74="","",IF(Besatzung!$B$19="","",IFERROR(IF(I74="Zeitanteilig",(Besatzung!$G$19*(G74-IFERROR(H74,0))+((Besatzung!$B$19&lt;&gt;"")*IF(B74="",1,(IF(Besatzung!$C$19="",Besatzung!$B$5,Besatzung!$C$19)&lt;=B74)*(IF(Besatzung!$D$19="",Besatzung!$B$6,Besatzung!$D$19)&gt;=B74)))*(Besatzung!$F$19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$19&lt;&gt;"")*IF(B74="",1,(IF(Besatzung!$C$19="",Besatzung!$B$5,Besatzung!$C$19)&lt;=B74)*(IF(Besatzung!$D$19="",Besatzung!$B$6,Besatzung!$D$19)&gt;=B74)))*((G74-IFERROR(H74,0))/IFERROR(SUMPRODUCT((Besatzung!$B$11:$B$22&lt;&gt;"")*(IF(Besatzung!$C$11:$C$22="",Besatzung!$B$5,Besatzung!$C$11:$C$22)&lt;=B74)*(IF(Besatzung!$D$11:$D$22="",Besatzung!$B$6,Besatzung!$D$11:$D$22)&gt;=B74)),1)+(Besatzung!$F$19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R74="x")*((G74-IFERROR(H74,0))/IFERROR(COUNTIF(J74:U74,"x"),1)+(Besatzung!$F$19="x")*IFERROR(H74,0)/IFERROR(SUMPRODUCT((J74:U74="x")*(Besatzung!$F$11:$F$22="x")),1))),(IF(COUNTIF(J74:U74,"x")=0,IF(Besatzung!$B$19&lt;&gt;"",1,0),(R74="x"))*(G74-IFERROR(H74,0))/IFERROR(IF(COUNTIF(J74:U74,"x")=0,COUNTA(Besatzung!$B$11:$B$22),COUNTIF(J74:U74,"x")),1)+IF(COUNTIF(J74:U74,"x")=0,(Besatzung!$F$19="x"),(R74="x")*(Besatzung!$F$19="x"))*IFERROR(H74,0)/IFERROR(IF(COUNTIF(J74:U74,"x")=0,SUMPRODUCT((Besatzung!$B$11:$B$22&lt;&gt;"")*(Besatzung!$F$11:$F$22="x")),SUMPRODUCT((J74:U74="x")*(Besatzung!$F$11:$F$22="x"))),1))))),0))))</f>
        <v/>
      </c>
      <c r="AE74" s="106">
        <f>IF(C74="Gutschrift","",IF(G74="","",IF(Besatzung!$B$20="","",IFERROR(IF(I74="Zeitanteilig",(Besatzung!$G$20*(G74-IFERROR(H74,0))+((Besatzung!$B$20&lt;&gt;"")*IF(B74="",1,(IF(Besatzung!$C$20="",Besatzung!$B$5,Besatzung!$C$20)&lt;=B74)*(IF(Besatzung!$D$20="",Besatzung!$B$6,Besatzung!$D$20)&gt;=B74)))*(Besatzung!$F$20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$20&lt;&gt;"")*IF(B74="",1,(IF(Besatzung!$C$20="",Besatzung!$B$5,Besatzung!$C$20)&lt;=B74)*(IF(Besatzung!$D$20="",Besatzung!$B$6,Besatzung!$D$20)&gt;=B74)))*((G74-IFERROR(H74,0))/IFERROR(SUMPRODUCT((Besatzung!$B$11:$B$22&lt;&gt;"")*(IF(Besatzung!$C$11:$C$22="",Besatzung!$B$5,Besatzung!$C$11:$C$22)&lt;=B74)*(IF(Besatzung!$D$11:$D$22="",Besatzung!$B$6,Besatzung!$D$11:$D$22)&gt;=B74)),1)+(Besatzung!$F$20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S74="x")*((G74-IFERROR(H74,0))/IFERROR(COUNTIF(J74:U74,"x"),1)+(Besatzung!$F$20="x")*IFERROR(H74,0)/IFERROR(SUMPRODUCT((J74:U74="x")*(Besatzung!$F$11:$F$22="x")),1))),(IF(COUNTIF(J74:U74,"x")=0,IF(Besatzung!$B$20&lt;&gt;"",1,0),(S74="x"))*(G74-IFERROR(H74,0))/IFERROR(IF(COUNTIF(J74:U74,"x")=0,COUNTA(Besatzung!$B$11:$B$22),COUNTIF(J74:U74,"x")),1)+IF(COUNTIF(J74:U74,"x")=0,(Besatzung!$F$20="x"),(S74="x")*(Besatzung!$F$20="x"))*IFERROR(H74,0)/IFERROR(IF(COUNTIF(J74:U74,"x")=0,SUMPRODUCT((Besatzung!$B$11:$B$22&lt;&gt;"")*(Besatzung!$F$11:$F$22="x")),SUMPRODUCT((J74:U74="x")*(Besatzung!$F$11:$F$22="x"))),1))))),0))))</f>
        <v/>
      </c>
      <c r="AF74" s="106">
        <f>IF(C74="Gutschrift","",IF(G74="","",IF(Besatzung!$B$21="","",IFERROR(IF(I74="Zeitanteilig",(Besatzung!$G$21*(G74-IFERROR(H74,0))+((Besatzung!$B$21&lt;&gt;"")*IF(B74="",1,(IF(Besatzung!$C$21="",Besatzung!$B$5,Besatzung!$C$21)&lt;=B74)*(IF(Besatzung!$D$21="",Besatzung!$B$6,Besatzung!$D$21)&gt;=B74)))*(Besatzung!$F$21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$21&lt;&gt;"")*IF(B74="",1,(IF(Besatzung!$C$21="",Besatzung!$B$5,Besatzung!$C$21)&lt;=B74)*(IF(Besatzung!$D$21="",Besatzung!$B$6,Besatzung!$D$21)&gt;=B74)))*((G74-IFERROR(H74,0))/IFERROR(SUMPRODUCT((Besatzung!$B$11:$B$22&lt;&gt;"")*(IF(Besatzung!$C$11:$C$22="",Besatzung!$B$5,Besatzung!$C$11:$C$22)&lt;=B74)*(IF(Besatzung!$D$11:$D$22="",Besatzung!$B$6,Besatzung!$D$11:$D$22)&gt;=B74)),1)+(Besatzung!$F$21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T74="x")*((G74-IFERROR(H74,0))/IFERROR(COUNTIF(J74:U74,"x"),1)+(Besatzung!$F$21="x")*IFERROR(H74,0)/IFERROR(SUMPRODUCT((J74:U74="x")*(Besatzung!$F$11:$F$22="x")),1))),(IF(COUNTIF(J74:U74,"x")=0,IF(Besatzung!$B$21&lt;&gt;"",1,0),(T74="x"))*(G74-IFERROR(H74,0))/IFERROR(IF(COUNTIF(J74:U74,"x")=0,COUNTA(Besatzung!$B$11:$B$22),COUNTIF(J74:U74,"x")),1)+IF(COUNTIF(J74:U74,"x")=0,(Besatzung!$F$21="x"),(T74="x")*(Besatzung!$F$21="x"))*IFERROR(H74,0)/IFERROR(IF(COUNTIF(J74:U74,"x")=0,SUMPRODUCT((Besatzung!$B$11:$B$22&lt;&gt;"")*(Besatzung!$F$11:$F$22="x")),SUMPRODUCT((J74:U74="x")*(Besatzung!$F$11:$F$22="x"))),1))))),0))))</f>
        <v/>
      </c>
      <c r="AG74" s="106">
        <f>IF(C74="Gutschrift","",IF(G74="","",IF(Besatzung!$B$22="","",IFERROR(IF(I74="Zeitanteilig",(Besatzung!$G$22*(G74-IFERROR(H74,0))+((Besatzung!$B$22&lt;&gt;"")*IF(B74="",1,(IF(Besatzung!$C$22="",Besatzung!$B$5,Besatzung!$C$22)&lt;=B74)*(IF(Besatzung!$D$22="",Besatzung!$B$6,Besatzung!$D$22)&gt;=B74)))*(Besatzung!$F$22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$22&lt;&gt;"")*IF(B74="",1,(IF(Besatzung!$C$22="",Besatzung!$B$5,Besatzung!$C$22)&lt;=B74)*(IF(Besatzung!$D$22="",Besatzung!$B$6,Besatzung!$D$22)&gt;=B74)))*((G74-IFERROR(H74,0))/IFERROR(SUMPRODUCT((Besatzung!$B$11:$B$22&lt;&gt;"")*(IF(Besatzung!$C$11:$C$22="",Besatzung!$B$5,Besatzung!$C$11:$C$22)&lt;=B74)*(IF(Besatzung!$D$11:$D$22="",Besatzung!$B$6,Besatzung!$D$11:$D$22)&gt;=B74)),1)+(Besatzung!$F$22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U74="x")*((G74-IFERROR(H74,0))/IFERROR(COUNTIF(J74:U74,"x"),1)+(Besatzung!$F$22="x")*IFERROR(H74,0)/IFERROR(SUMPRODUCT((J74:U74="x")*(Besatzung!$F$11:$F$22="x")),1))),(IF(COUNTIF(J74:U74,"x")=0,IF(Besatzung!$B$22&lt;&gt;"",1,0),(U74="x"))*(G74-IFERROR(H74,0))/IFERROR(IF(COUNTIF(J74:U74,"x")=0,COUNTA(Besatzung!$B$11:$B$22),COUNTIF(J74:U74,"x")),1)+IF(COUNTIF(J74:U74,"x")=0,(Besatzung!$F$22="x"),(U74="x")*(Besatzung!$F$22="x"))*IFERROR(H74,0)/IFERROR(IF(COUNTIF(J74:U74,"x")=0,SUMPRODUCT((Besatzung!$B$11:$B$22&lt;&gt;"")*(Besatzung!$F$11:$F$22="x")),SUMPRODUCT((J74:U74="x")*(Besatzung!$F$11:$F$22="x"))),1))))),0))))</f>
        <v/>
      </c>
      <c r="AH74" s="107" t="n"/>
      <c r="AI74" s="107" t="n"/>
    </row>
    <row r="75" ht="21.75" customHeight="1" s="182">
      <c r="A75" s="97">
        <f>IF(AND(D75="",C75=""),"",72)</f>
        <v/>
      </c>
      <c r="B75" s="63" t="n"/>
      <c r="C75" s="108" t="n"/>
      <c r="D75" s="109" t="n"/>
      <c r="E75" s="110" t="n"/>
      <c r="F75" s="111" t="n"/>
      <c r="G75" s="112" t="n"/>
      <c r="H75" s="113" t="n"/>
      <c r="I75" s="114" t="n"/>
      <c r="J75" s="115" t="n"/>
      <c r="K75" s="115" t="n"/>
      <c r="L75" s="115" t="n"/>
      <c r="M75" s="115" t="n"/>
      <c r="N75" s="115" t="n"/>
      <c r="O75" s="115" t="n"/>
      <c r="P75" s="115" t="n"/>
      <c r="Q75" s="115" t="n"/>
      <c r="R75" s="115" t="n"/>
      <c r="S75" s="115" t="n"/>
      <c r="T75" s="115" t="n"/>
      <c r="U75" s="115" t="n"/>
      <c r="V75" s="106">
        <f>IF(C75="Gutschrift","",IF(G75="","",IF(Besatzung!$B$11="","",IFERROR(IF(I75="Zeitanteilig",(Besatzung!$G$11*(G75-IFERROR(H75,0))+((Besatzung!$B$11&lt;&gt;"")*IF(B75="",1,(IF(Besatzung!$C$11="",Besatzung!$B$5,Besatzung!$C$11)&lt;=B75)*(IF(Besatzung!$D$11="",Besatzung!$B$6,Besatzung!$D$11)&gt;=B75)))*(Besatzung!$F$11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$11&lt;&gt;"")*IF(B75="",1,(IF(Besatzung!$C$11="",Besatzung!$B$5,Besatzung!$C$11)&lt;=B75)*(IF(Besatzung!$D$11="",Besatzung!$B$6,Besatzung!$D$11)&gt;=B75)))*((G75-IFERROR(H75,0))/IFERROR(SUMPRODUCT((Besatzung!$B$11:$B$22&lt;&gt;"")*(IF(Besatzung!$C$11:$C$22="",Besatzung!$B$5,Besatzung!$C$11:$C$22)&lt;=B75)*(IF(Besatzung!$D$11:$D$22="",Besatzung!$B$6,Besatzung!$D$11:$D$22)&gt;=B75)),1)+(Besatzung!$F$11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J75="x")*((G75-IFERROR(H75,0))/IFERROR(COUNTIF(J75:U75,"x"),1)+(Besatzung!$F$11="x")*IFERROR(H75,0)/IFERROR(SUMPRODUCT((J75:U75="x")*(Besatzung!$F$11:$F$22="x")),1))),(IF(COUNTIF(J75:U75,"x")=0,IF(Besatzung!$B$11&lt;&gt;"",1,0),(J75="x"))*(G75-IFERROR(H75,0))/IFERROR(IF(COUNTIF(J75:U75,"x")=0,COUNTA(Besatzung!$B$11:$B$22),COUNTIF(J75:U75,"x")),1)+IF(COUNTIF(J75:U75,"x")=0,(Besatzung!$F$11="x"),(J75="x")*(Besatzung!$F$11="x"))*IFERROR(H75,0)/IFERROR(IF(COUNTIF(J75:U75,"x")=0,SUMPRODUCT((Besatzung!$B$11:$B$22&lt;&gt;"")*(Besatzung!$F$11:$F$22="x")),SUMPRODUCT((J75:U75="x")*(Besatzung!$F$11:$F$22="x"))),1))))),0))))</f>
        <v/>
      </c>
      <c r="W75" s="106">
        <f>IF(C75="Gutschrift","",IF(G75="","",IF(Besatzung!$B$12="","",IFERROR(IF(I75="Zeitanteilig",(Besatzung!$G$12*(G75-IFERROR(H75,0))+((Besatzung!$B$12&lt;&gt;"")*IF(B75="",1,(IF(Besatzung!$C$12="",Besatzung!$B$5,Besatzung!$C$12)&lt;=B75)*(IF(Besatzung!$D$12="",Besatzung!$B$6,Besatzung!$D$12)&gt;=B75)))*(Besatzung!$F$12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$12&lt;&gt;"")*IF(B75="",1,(IF(Besatzung!$C$12="",Besatzung!$B$5,Besatzung!$C$12)&lt;=B75)*(IF(Besatzung!$D$12="",Besatzung!$B$6,Besatzung!$D$12)&gt;=B75)))*((G75-IFERROR(H75,0))/IFERROR(SUMPRODUCT((Besatzung!$B$11:$B$22&lt;&gt;"")*(IF(Besatzung!$C$11:$C$22="",Besatzung!$B$5,Besatzung!$C$11:$C$22)&lt;=B75)*(IF(Besatzung!$D$11:$D$22="",Besatzung!$B$6,Besatzung!$D$11:$D$22)&gt;=B75)),1)+(Besatzung!$F$12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K75="x")*((G75-IFERROR(H75,0))/IFERROR(COUNTIF(J75:U75,"x"),1)+(Besatzung!$F$12="x")*IFERROR(H75,0)/IFERROR(SUMPRODUCT((J75:U75="x")*(Besatzung!$F$11:$F$22="x")),1))),(IF(COUNTIF(J75:U75,"x")=0,IF(Besatzung!$B$12&lt;&gt;"",1,0),(K75="x"))*(G75-IFERROR(H75,0))/IFERROR(IF(COUNTIF(J75:U75,"x")=0,COUNTA(Besatzung!$B$11:$B$22),COUNTIF(J75:U75,"x")),1)+IF(COUNTIF(J75:U75,"x")=0,(Besatzung!$F$12="x"),(K75="x")*(Besatzung!$F$12="x"))*IFERROR(H75,0)/IFERROR(IF(COUNTIF(J75:U75,"x")=0,SUMPRODUCT((Besatzung!$B$11:$B$22&lt;&gt;"")*(Besatzung!$F$11:$F$22="x")),SUMPRODUCT((J75:U75="x")*(Besatzung!$F$11:$F$22="x"))),1))))),0))))</f>
        <v/>
      </c>
      <c r="X75" s="106">
        <f>IF(C75="Gutschrift","",IF(G75="","",IF(Besatzung!$B$13="","",IFERROR(IF(I75="Zeitanteilig",(Besatzung!$G$13*(G75-IFERROR(H75,0))+((Besatzung!$B$13&lt;&gt;"")*IF(B75="",1,(IF(Besatzung!$C$13="",Besatzung!$B$5,Besatzung!$C$13)&lt;=B75)*(IF(Besatzung!$D$13="",Besatzung!$B$6,Besatzung!$D$13)&gt;=B75)))*(Besatzung!$F$13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$13&lt;&gt;"")*IF(B75="",1,(IF(Besatzung!$C$13="",Besatzung!$B$5,Besatzung!$C$13)&lt;=B75)*(IF(Besatzung!$D$13="",Besatzung!$B$6,Besatzung!$D$13)&gt;=B75)))*((G75-IFERROR(H75,0))/IFERROR(SUMPRODUCT((Besatzung!$B$11:$B$22&lt;&gt;"")*(IF(Besatzung!$C$11:$C$22="",Besatzung!$B$5,Besatzung!$C$11:$C$22)&lt;=B75)*(IF(Besatzung!$D$11:$D$22="",Besatzung!$B$6,Besatzung!$D$11:$D$22)&gt;=B75)),1)+(Besatzung!$F$13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K75="x")*((G75-IFERROR(H75,0))/IFERROR(COUNTIF(J75:U75,"x"),1)+(Besatzung!$F$13="x")*IFERROR(H75,0)/IFERROR(SUMPRODUCT((J75:U75="x")*(Besatzung!$F$11:$F$22="x")),1))),(IF(COUNTIF(J75:U75,"x")=0,IF(Besatzung!$B$13&lt;&gt;"",1,0),(K75="x"))*(G75-IFERROR(H75,0))/IFERROR(IF(COUNTIF(J75:U75,"x")=0,COUNTA(Besatzung!$B$11:$B$22),COUNTIF(J75:U75,"x")),1)+IF(COUNTIF(J75:U75,"x")=0,(Besatzung!$F$13="x"),(K75="x")*(Besatzung!$F$13="x"))*IFERROR(H75,0)/IFERROR(IF(COUNTIF(J75:U75,"x")=0,SUMPRODUCT((Besatzung!$B$11:$B$22&lt;&gt;"")*(Besatzung!$F$11:$F$22="x")),SUMPRODUCT((J75:U75="x")*(Besatzung!$F$11:$F$22="x"))),1))))),0))))</f>
        <v/>
      </c>
      <c r="Y75" s="106">
        <f>IF(C75="Gutschrift","",IF(G75="","",IF(Besatzung!$B$14="","",IFERROR(IF(I75="Zeitanteilig",(Besatzung!$G$14*(G75-IFERROR(H75,0))+((Besatzung!$B$14&lt;&gt;"")*IF(B75="",1,(IF(Besatzung!$C$14="",Besatzung!$B$5,Besatzung!$C$14)&lt;=B75)*(IF(Besatzung!$D$14="",Besatzung!$B$6,Besatzung!$D$14)&gt;=B75)))*(Besatzung!$F$14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$14&lt;&gt;"")*IF(B75="",1,(IF(Besatzung!$C$14="",Besatzung!$B$5,Besatzung!$C$14)&lt;=B75)*(IF(Besatzung!$D$14="",Besatzung!$B$6,Besatzung!$D$14)&gt;=B75)))*((G75-IFERROR(H75,0))/IFERROR(SUMPRODUCT((Besatzung!$B$11:$B$22&lt;&gt;"")*(IF(Besatzung!$C$11:$C$22="",Besatzung!$B$5,Besatzung!$C$11:$C$22)&lt;=B75)*(IF(Besatzung!$D$11:$D$22="",Besatzung!$B$6,Besatzung!$D$11:$D$22)&gt;=B75)),1)+(Besatzung!$F$14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M75="x")*((G75-IFERROR(H75,0))/IFERROR(COUNTIF(J75:U75,"x"),1)+(Besatzung!$F$14="x")*IFERROR(H75,0)/IFERROR(SUMPRODUCT((J75:U75="x")*(Besatzung!$F$11:$F$22="x")),1))),(IF(COUNTIF(J75:U75,"x")=0,IF(Besatzung!$B$14&lt;&gt;"",1,0),(M75="x"))*(G75-IFERROR(H75,0))/IFERROR(IF(COUNTIF(J75:U75,"x")=0,COUNTA(Besatzung!$B$11:$B$22),COUNTIF(J75:U75,"x")),1)+IF(COUNTIF(J75:U75,"x")=0,(Besatzung!$F$14="x"),(M75="x")*(Besatzung!$F$14="x"))*IFERROR(H75,0)/IFERROR(IF(COUNTIF(J75:U75,"x")=0,SUMPRODUCT((Besatzung!$B$11:$B$22&lt;&gt;"")*(Besatzung!$F$11:$F$22="x")),SUMPRODUCT((J75:U75="x")*(Besatzung!$F$11:$F$22="x"))),1))))),0))))</f>
        <v/>
      </c>
      <c r="Z75" s="106">
        <f>IF(C75="Gutschrift","",IF(G75="","",IF(Besatzung!$B$13="","",IFERROR(IF(I75="Zeitanteilig",(Besatzung!$G$15*(G75-IFERROR(H75,0))+((Besatzung!$B$13&lt;&gt;"")*IF(B75="",1,(IF(Besatzung!$C$15="",Besatzung!$B$5,Besatzung!$C$15)&lt;=B75)*(IF(Besatzung!$D$15="",Besatzung!$B$6,Besatzung!$D$15)&gt;=B75)))*(Besatzung!$F$15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$13&lt;&gt;"")*IF(B75="",1,(IF(Besatzung!$C$15="",Besatzung!$B$5,Besatzung!$C$15)&lt;=B75)*(IF(Besatzung!$D$15="",Besatzung!$B$6,Besatzung!$D$15)&gt;=B75)))*((G75-IFERROR(H75,0))/IFERROR(SUMPRODUCT((Besatzung!$B$11:$B$22&lt;&gt;"")*(IF(Besatzung!$C$11:$C$22="",Besatzung!$B$5,Besatzung!$C$11:$C$22)&lt;=B75)*(IF(Besatzung!$D$11:$D$22="",Besatzung!$B$6,Besatzung!$D$11:$D$22)&gt;=B75)),1)+(Besatzung!$F$15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N75="x")*((G75-IFERROR(H75,0))/IFERROR(COUNTIF(J75:U75,"x"),1)+(Besatzung!$F$15="x")*IFERROR(H75,0)/IFERROR(SUMPRODUCT((J75:U75="x")*(Besatzung!$F$11:$F$22="x")),1))),(IF(COUNTIF(J75:U75,"x")=0,IF(Besatzung!$B$13&lt;&gt;"",1,0),(N75="x"))*(G75-IFERROR(H75,0))/IFERROR(IF(COUNTIF(J75:U75,"x")=0,COUNTA(Besatzung!$B$11:$B$22),COUNTIF(J75:U75,"x")),1)+IF(COUNTIF(J75:U75,"x")=0,(Besatzung!$F$15="x"),(N75="x")*(Besatzung!$F$15="x"))*IFERROR(H75,0)/IFERROR(IF(COUNTIF(J75:U75,"x")=0,SUMPRODUCT((Besatzung!$B$11:$B$22&lt;&gt;"")*(Besatzung!$F$11:$F$22="x")),SUMPRODUCT((J75:U75="x")*(Besatzung!$F$11:$F$22="x"))),1))))),0))))</f>
        <v/>
      </c>
      <c r="AA75" s="106">
        <f>IF(C75="Gutschrift","",IF(G75="","",IF(Besatzung!$B$15="","",IFERROR(IF(I75="Zeitanteilig",(Besatzung!$G$16*(G75-IFERROR(H75,0))+((Besatzung!$B$15&lt;&gt;"")*IF(B75="",1,(IF(Besatzung!$C$16="",Besatzung!$B$5,Besatzung!$C$16)&lt;=B75)*(IF(Besatzung!$D$16="",Besatzung!$B$6,Besatzung!$D$16)&gt;=B75)))*(Besatzung!$F$16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$15&lt;&gt;"")*IF(B75="",1,(IF(Besatzung!$C$16="",Besatzung!$B$5,Besatzung!$C$16)&lt;=B75)*(IF(Besatzung!$D$16="",Besatzung!$B$6,Besatzung!$D$16)&gt;=B75)))*((G75-IFERROR(H75,0))/IFERROR(SUMPRODUCT((Besatzung!$B$11:$B$22&lt;&gt;"")*(IF(Besatzung!$C$11:$C$22="",Besatzung!$B$5,Besatzung!$C$11:$C$22)&lt;=B75)*(IF(Besatzung!$D$11:$D$22="",Besatzung!$B$6,Besatzung!$D$11:$D$22)&gt;=B75)),1)+(Besatzung!$F$16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O75="x")*((G75-IFERROR(H75,0))/IFERROR(COUNTIF(J75:U75,"x"),1)+(Besatzung!$F$16="x")*IFERROR(H75,0)/IFERROR(SUMPRODUCT((J75:U75="x")*(Besatzung!$F$11:$F$22="x")),1))),(IF(COUNTIF(J75:U75,"x")=0,IF(Besatzung!$B$15&lt;&gt;"",1,0),(O75="x"))*(G75-IFERROR(H75,0))/IFERROR(IF(COUNTIF(J75:U75,"x")=0,COUNTA(Besatzung!$B$11:$B$22),COUNTIF(J75:U75,"x")),1)+IF(COUNTIF(J75:U75,"x")=0,(Besatzung!$F$16="x"),(O75="x")*(Besatzung!$F$16="x"))*IFERROR(H75,0)/IFERROR(IF(COUNTIF(J75:U75,"x")=0,SUMPRODUCT((Besatzung!$B$11:$B$22&lt;&gt;"")*(Besatzung!$F$11:$F$22="x")),SUMPRODUCT((J75:U75="x")*(Besatzung!$F$11:$F$22="x"))),1))))),0))))</f>
        <v/>
      </c>
      <c r="AB75" s="106">
        <f>IF(C75="Gutschrift","",IF(G75="","",IF(Besatzung!$B$17="","",IFERROR(IF(I75="Zeitanteilig",(Besatzung!$G$17*(G75-IFERROR(H75,0))+((Besatzung!$B$17&lt;&gt;"")*IF(B75="",1,(IF(Besatzung!$C$17="",Besatzung!$B$5,Besatzung!$C$17)&lt;=B75)*(IF(Besatzung!$D$17="",Besatzung!$B$6,Besatzung!$D$17)&gt;=B75)))*(Besatzung!$F$17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$17&lt;&gt;"")*IF(B75="",1,(IF(Besatzung!$C$17="",Besatzung!$B$5,Besatzung!$C$17)&lt;=B75)*(IF(Besatzung!$D$17="",Besatzung!$B$6,Besatzung!$D$17)&gt;=B75)))*((G75-IFERROR(H75,0))/IFERROR(SUMPRODUCT((Besatzung!$B$11:$B$22&lt;&gt;"")*(IF(Besatzung!$C$11:$C$22="",Besatzung!$B$5,Besatzung!$C$11:$C$22)&lt;=B75)*(IF(Besatzung!$D$11:$D$22="",Besatzung!$B$6,Besatzung!$D$11:$D$22)&gt;=B75)),1)+(Besatzung!$F$17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P75="x")*((G75-IFERROR(H75,0))/IFERROR(COUNTIF(J75:U75,"x"),1)+(Besatzung!$F$17="x")*IFERROR(H75,0)/IFERROR(SUMPRODUCT((J75:U75="x")*(Besatzung!$F$11:$F$22="x")),1))),(IF(COUNTIF(J75:U75,"x")=0,IF(Besatzung!$B$17&lt;&gt;"",1,0),(P75="x"))*(G75-IFERROR(H75,0))/IFERROR(IF(COUNTIF(J75:U75,"x")=0,COUNTA(Besatzung!$B$11:$B$22),COUNTIF(J75:U75,"x")),1)+IF(COUNTIF(J75:U75,"x")=0,(Besatzung!$F$17="x"),(P75="x")*(Besatzung!$F$17="x"))*IFERROR(H75,0)/IFERROR(IF(COUNTIF(J75:U75,"x")=0,SUMPRODUCT((Besatzung!$B$11:$B$22&lt;&gt;"")*(Besatzung!$F$11:$F$22="x")),SUMPRODUCT((J75:U75="x")*(Besatzung!$F$11:$F$22="x"))),1))))),0))))</f>
        <v/>
      </c>
      <c r="AC75" s="106">
        <f>IF(C75="Gutschrift","",IF(G75="","",IF(Besatzung!$B$18="","",IFERROR(IF(I75="Zeitanteilig",(Besatzung!$G$18*(G75-IFERROR(H75,0))+((Besatzung!$B$18&lt;&gt;"")*IF(B75="",1,(IF(Besatzung!$C$18="",Besatzung!$B$5,Besatzung!$C$18)&lt;=B75)*(IF(Besatzung!$D$18="",Besatzung!$B$6,Besatzung!$D$18)&gt;=B75)))*(Besatzung!$F$18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$18&lt;&gt;"")*IF(B75="",1,(IF(Besatzung!$C$18="",Besatzung!$B$5,Besatzung!$C$18)&lt;=B75)*(IF(Besatzung!$D$18="",Besatzung!$B$6,Besatzung!$D$18)&gt;=B75)))*((G75-IFERROR(H75,0))/IFERROR(SUMPRODUCT((Besatzung!$B$11:$B$22&lt;&gt;"")*(IF(Besatzung!$C$11:$C$22="",Besatzung!$B$5,Besatzung!$C$11:$C$22)&lt;=B75)*(IF(Besatzung!$D$11:$D$22="",Besatzung!$B$6,Besatzung!$D$11:$D$22)&gt;=B75)),1)+(Besatzung!$F$18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Q75="x")*((G75-IFERROR(H75,0))/IFERROR(COUNTIF(J75:U75,"x"),1)+(Besatzung!$F$18="x")*IFERROR(H75,0)/IFERROR(SUMPRODUCT((J75:U75="x")*(Besatzung!$F$11:$F$22="x")),1))),(IF(COUNTIF(J75:U75,"x")=0,IF(Besatzung!$B$18&lt;&gt;"",1,0),(Q75="x"))*(G75-IFERROR(H75,0))/IFERROR(IF(COUNTIF(J75:U75,"x")=0,COUNTA(Besatzung!$B$11:$B$22),COUNTIF(J75:U75,"x")),1)+IF(COUNTIF(J75:U75,"x")=0,(Besatzung!$F$18="x"),(Q75="x")*(Besatzung!$F$18="x"))*IFERROR(H75,0)/IFERROR(IF(COUNTIF(J75:U75,"x")=0,SUMPRODUCT((Besatzung!$B$11:$B$22&lt;&gt;"")*(Besatzung!$F$11:$F$22="x")),SUMPRODUCT((J75:U75="x")*(Besatzung!$F$11:$F$22="x"))),1))))),0))))</f>
        <v/>
      </c>
      <c r="AD75" s="106">
        <f>IF(C75="Gutschrift","",IF(G75="","",IF(Besatzung!$B$19="","",IFERROR(IF(I75="Zeitanteilig",(Besatzung!$G$19*(G75-IFERROR(H75,0))+((Besatzung!$B$19&lt;&gt;"")*IF(B75="",1,(IF(Besatzung!$C$19="",Besatzung!$B$5,Besatzung!$C$19)&lt;=B75)*(IF(Besatzung!$D$19="",Besatzung!$B$6,Besatzung!$D$19)&gt;=B75)))*(Besatzung!$F$19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$19&lt;&gt;"")*IF(B75="",1,(IF(Besatzung!$C$19="",Besatzung!$B$5,Besatzung!$C$19)&lt;=B75)*(IF(Besatzung!$D$19="",Besatzung!$B$6,Besatzung!$D$19)&gt;=B75)))*((G75-IFERROR(H75,0))/IFERROR(SUMPRODUCT((Besatzung!$B$11:$B$22&lt;&gt;"")*(IF(Besatzung!$C$11:$C$22="",Besatzung!$B$5,Besatzung!$C$11:$C$22)&lt;=B75)*(IF(Besatzung!$D$11:$D$22="",Besatzung!$B$6,Besatzung!$D$11:$D$22)&gt;=B75)),1)+(Besatzung!$F$19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R75="x")*((G75-IFERROR(H75,0))/IFERROR(COUNTIF(J75:U75,"x"),1)+(Besatzung!$F$19="x")*IFERROR(H75,0)/IFERROR(SUMPRODUCT((J75:U75="x")*(Besatzung!$F$11:$F$22="x")),1))),(IF(COUNTIF(J75:U75,"x")=0,IF(Besatzung!$B$19&lt;&gt;"",1,0),(R75="x"))*(G75-IFERROR(H75,0))/IFERROR(IF(COUNTIF(J75:U75,"x")=0,COUNTA(Besatzung!$B$11:$B$22),COUNTIF(J75:U75,"x")),1)+IF(COUNTIF(J75:U75,"x")=0,(Besatzung!$F$19="x"),(R75="x")*(Besatzung!$F$19="x"))*IFERROR(H75,0)/IFERROR(IF(COUNTIF(J75:U75,"x")=0,SUMPRODUCT((Besatzung!$B$11:$B$22&lt;&gt;"")*(Besatzung!$F$11:$F$22="x")),SUMPRODUCT((J75:U75="x")*(Besatzung!$F$11:$F$22="x"))),1))))),0))))</f>
        <v/>
      </c>
      <c r="AE75" s="106">
        <f>IF(C75="Gutschrift","",IF(G75="","",IF(Besatzung!$B$20="","",IFERROR(IF(I75="Zeitanteilig",(Besatzung!$G$20*(G75-IFERROR(H75,0))+((Besatzung!$B$20&lt;&gt;"")*IF(B75="",1,(IF(Besatzung!$C$20="",Besatzung!$B$5,Besatzung!$C$20)&lt;=B75)*(IF(Besatzung!$D$20="",Besatzung!$B$6,Besatzung!$D$20)&gt;=B75)))*(Besatzung!$F$20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$20&lt;&gt;"")*IF(B75="",1,(IF(Besatzung!$C$20="",Besatzung!$B$5,Besatzung!$C$20)&lt;=B75)*(IF(Besatzung!$D$20="",Besatzung!$B$6,Besatzung!$D$20)&gt;=B75)))*((G75-IFERROR(H75,0))/IFERROR(SUMPRODUCT((Besatzung!$B$11:$B$22&lt;&gt;"")*(IF(Besatzung!$C$11:$C$22="",Besatzung!$B$5,Besatzung!$C$11:$C$22)&lt;=B75)*(IF(Besatzung!$D$11:$D$22="",Besatzung!$B$6,Besatzung!$D$11:$D$22)&gt;=B75)),1)+(Besatzung!$F$20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S75="x")*((G75-IFERROR(H75,0))/IFERROR(COUNTIF(J75:U75,"x"),1)+(Besatzung!$F$20="x")*IFERROR(H75,0)/IFERROR(SUMPRODUCT((J75:U75="x")*(Besatzung!$F$11:$F$22="x")),1))),(IF(COUNTIF(J75:U75,"x")=0,IF(Besatzung!$B$20&lt;&gt;"",1,0),(S75="x"))*(G75-IFERROR(H75,0))/IFERROR(IF(COUNTIF(J75:U75,"x")=0,COUNTA(Besatzung!$B$11:$B$22),COUNTIF(J75:U75,"x")),1)+IF(COUNTIF(J75:U75,"x")=0,(Besatzung!$F$20="x"),(S75="x")*(Besatzung!$F$20="x"))*IFERROR(H75,0)/IFERROR(IF(COUNTIF(J75:U75,"x")=0,SUMPRODUCT((Besatzung!$B$11:$B$22&lt;&gt;"")*(Besatzung!$F$11:$F$22="x")),SUMPRODUCT((J75:U75="x")*(Besatzung!$F$11:$F$22="x"))),1))))),0))))</f>
        <v/>
      </c>
      <c r="AF75" s="106">
        <f>IF(C75="Gutschrift","",IF(G75="","",IF(Besatzung!$B$21="","",IFERROR(IF(I75="Zeitanteilig",(Besatzung!$G$21*(G75-IFERROR(H75,0))+((Besatzung!$B$21&lt;&gt;"")*IF(B75="",1,(IF(Besatzung!$C$21="",Besatzung!$B$5,Besatzung!$C$21)&lt;=B75)*(IF(Besatzung!$D$21="",Besatzung!$B$6,Besatzung!$D$21)&gt;=B75)))*(Besatzung!$F$21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$21&lt;&gt;"")*IF(B75="",1,(IF(Besatzung!$C$21="",Besatzung!$B$5,Besatzung!$C$21)&lt;=B75)*(IF(Besatzung!$D$21="",Besatzung!$B$6,Besatzung!$D$21)&gt;=B75)))*((G75-IFERROR(H75,0))/IFERROR(SUMPRODUCT((Besatzung!$B$11:$B$22&lt;&gt;"")*(IF(Besatzung!$C$11:$C$22="",Besatzung!$B$5,Besatzung!$C$11:$C$22)&lt;=B75)*(IF(Besatzung!$D$11:$D$22="",Besatzung!$B$6,Besatzung!$D$11:$D$22)&gt;=B75)),1)+(Besatzung!$F$21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T75="x")*((G75-IFERROR(H75,0))/IFERROR(COUNTIF(J75:U75,"x"),1)+(Besatzung!$F$21="x")*IFERROR(H75,0)/IFERROR(SUMPRODUCT((J75:U75="x")*(Besatzung!$F$11:$F$22="x")),1))),(IF(COUNTIF(J75:U75,"x")=0,IF(Besatzung!$B$21&lt;&gt;"",1,0),(T75="x"))*(G75-IFERROR(H75,0))/IFERROR(IF(COUNTIF(J75:U75,"x")=0,COUNTA(Besatzung!$B$11:$B$22),COUNTIF(J75:U75,"x")),1)+IF(COUNTIF(J75:U75,"x")=0,(Besatzung!$F$21="x"),(T75="x")*(Besatzung!$F$21="x"))*IFERROR(H75,0)/IFERROR(IF(COUNTIF(J75:U75,"x")=0,SUMPRODUCT((Besatzung!$B$11:$B$22&lt;&gt;"")*(Besatzung!$F$11:$F$22="x")),SUMPRODUCT((J75:U75="x")*(Besatzung!$F$11:$F$22="x"))),1))))),0))))</f>
        <v/>
      </c>
      <c r="AG75" s="106">
        <f>IF(C75="Gutschrift","",IF(G75="","",IF(Besatzung!$B$22="","",IFERROR(IF(I75="Zeitanteilig",(Besatzung!$G$22*(G75-IFERROR(H75,0))+((Besatzung!$B$22&lt;&gt;"")*IF(B75="",1,(IF(Besatzung!$C$22="",Besatzung!$B$5,Besatzung!$C$22)&lt;=B75)*(IF(Besatzung!$D$22="",Besatzung!$B$6,Besatzung!$D$22)&gt;=B75)))*(Besatzung!$F$22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$22&lt;&gt;"")*IF(B75="",1,(IF(Besatzung!$C$22="",Besatzung!$B$5,Besatzung!$C$22)&lt;=B75)*(IF(Besatzung!$D$22="",Besatzung!$B$6,Besatzung!$D$22)&gt;=B75)))*((G75-IFERROR(H75,0))/IFERROR(SUMPRODUCT((Besatzung!$B$11:$B$22&lt;&gt;"")*(IF(Besatzung!$C$11:$C$22="",Besatzung!$B$5,Besatzung!$C$11:$C$22)&lt;=B75)*(IF(Besatzung!$D$11:$D$22="",Besatzung!$B$6,Besatzung!$D$11:$D$22)&gt;=B75)),1)+(Besatzung!$F$22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U75="x")*((G75-IFERROR(H75,0))/IFERROR(COUNTIF(J75:U75,"x"),1)+(Besatzung!$F$22="x")*IFERROR(H75,0)/IFERROR(SUMPRODUCT((J75:U75="x")*(Besatzung!$F$11:$F$22="x")),1))),(IF(COUNTIF(J75:U75,"x")=0,IF(Besatzung!$B$22&lt;&gt;"",1,0),(U75="x"))*(G75-IFERROR(H75,0))/IFERROR(IF(COUNTIF(J75:U75,"x")=0,COUNTA(Besatzung!$B$11:$B$22),COUNTIF(J75:U75,"x")),1)+IF(COUNTIF(J75:U75,"x")=0,(Besatzung!$F$22="x"),(U75="x")*(Besatzung!$F$22="x"))*IFERROR(H75,0)/IFERROR(IF(COUNTIF(J75:U75,"x")=0,SUMPRODUCT((Besatzung!$B$11:$B$22&lt;&gt;"")*(Besatzung!$F$11:$F$22="x")),SUMPRODUCT((J75:U75="x")*(Besatzung!$F$11:$F$22="x"))),1))))),0))))</f>
        <v/>
      </c>
      <c r="AH75" s="107" t="n"/>
      <c r="AI75" s="107" t="n"/>
    </row>
    <row r="76" ht="21.75" customHeight="1" s="182">
      <c r="A76" s="97">
        <f>IF(AND(D76="",C76=""),"",73)</f>
        <v/>
      </c>
      <c r="B76" s="56" t="n"/>
      <c r="C76" s="98" t="n"/>
      <c r="D76" s="99" t="n"/>
      <c r="E76" s="100" t="n"/>
      <c r="F76" s="101" t="n"/>
      <c r="G76" s="102" t="n"/>
      <c r="H76" s="103" t="n"/>
      <c r="I76" s="104" t="n"/>
      <c r="J76" s="105" t="n"/>
      <c r="K76" s="105" t="n"/>
      <c r="L76" s="105" t="n"/>
      <c r="M76" s="105" t="n"/>
      <c r="N76" s="105" t="n"/>
      <c r="O76" s="105" t="n"/>
      <c r="P76" s="105" t="n"/>
      <c r="Q76" s="105" t="n"/>
      <c r="R76" s="105" t="n"/>
      <c r="S76" s="105" t="n"/>
      <c r="T76" s="105" t="n"/>
      <c r="U76" s="105" t="n"/>
      <c r="V76" s="106">
        <f>IF(C76="Gutschrift","",IF(G76="","",IF(Besatzung!$B$11="","",IFERROR(IF(I76="Zeitanteilig",(Besatzung!$G$11*(G76-IFERROR(H76,0))+((Besatzung!$B$11&lt;&gt;"")*IF(B76="",1,(IF(Besatzung!$C$11="",Besatzung!$B$5,Besatzung!$C$11)&lt;=B76)*(IF(Besatzung!$D$11="",Besatzung!$B$6,Besatzung!$D$11)&gt;=B76)))*(Besatzung!$F$11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$11&lt;&gt;"")*IF(B76="",1,(IF(Besatzung!$C$11="",Besatzung!$B$5,Besatzung!$C$11)&lt;=B76)*(IF(Besatzung!$D$11="",Besatzung!$B$6,Besatzung!$D$11)&gt;=B76)))*((G76-IFERROR(H76,0))/IFERROR(SUMPRODUCT((Besatzung!$B$11:$B$22&lt;&gt;"")*(IF(Besatzung!$C$11:$C$22="",Besatzung!$B$5,Besatzung!$C$11:$C$22)&lt;=B76)*(IF(Besatzung!$D$11:$D$22="",Besatzung!$B$6,Besatzung!$D$11:$D$22)&gt;=B76)),1)+(Besatzung!$F$11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J76="x")*((G76-IFERROR(H76,0))/IFERROR(COUNTIF(J76:U76,"x"),1)+(Besatzung!$F$11="x")*IFERROR(H76,0)/IFERROR(SUMPRODUCT((J76:U76="x")*(Besatzung!$F$11:$F$22="x")),1))),(IF(COUNTIF(J76:U76,"x")=0,IF(Besatzung!$B$11&lt;&gt;"",1,0),(J76="x"))*(G76-IFERROR(H76,0))/IFERROR(IF(COUNTIF(J76:U76,"x")=0,COUNTA(Besatzung!$B$11:$B$22),COUNTIF(J76:U76,"x")),1)+IF(COUNTIF(J76:U76,"x")=0,(Besatzung!$F$11="x"),(J76="x")*(Besatzung!$F$11="x"))*IFERROR(H76,0)/IFERROR(IF(COUNTIF(J76:U76,"x")=0,SUMPRODUCT((Besatzung!$B$11:$B$22&lt;&gt;"")*(Besatzung!$F$11:$F$22="x")),SUMPRODUCT((J76:U76="x")*(Besatzung!$F$11:$F$22="x"))),1))))),0))))</f>
        <v/>
      </c>
      <c r="W76" s="106">
        <f>IF(C76="Gutschrift","",IF(G76="","",IF(Besatzung!$B$12="","",IFERROR(IF(I76="Zeitanteilig",(Besatzung!$G$12*(G76-IFERROR(H76,0))+((Besatzung!$B$12&lt;&gt;"")*IF(B76="",1,(IF(Besatzung!$C$12="",Besatzung!$B$5,Besatzung!$C$12)&lt;=B76)*(IF(Besatzung!$D$12="",Besatzung!$B$6,Besatzung!$D$12)&gt;=B76)))*(Besatzung!$F$12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$12&lt;&gt;"")*IF(B76="",1,(IF(Besatzung!$C$12="",Besatzung!$B$5,Besatzung!$C$12)&lt;=B76)*(IF(Besatzung!$D$12="",Besatzung!$B$6,Besatzung!$D$12)&gt;=B76)))*((G76-IFERROR(H76,0))/IFERROR(SUMPRODUCT((Besatzung!$B$11:$B$22&lt;&gt;"")*(IF(Besatzung!$C$11:$C$22="",Besatzung!$B$5,Besatzung!$C$11:$C$22)&lt;=B76)*(IF(Besatzung!$D$11:$D$22="",Besatzung!$B$6,Besatzung!$D$11:$D$22)&gt;=B76)),1)+(Besatzung!$F$12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K76="x")*((G76-IFERROR(H76,0))/IFERROR(COUNTIF(J76:U76,"x"),1)+(Besatzung!$F$12="x")*IFERROR(H76,0)/IFERROR(SUMPRODUCT((J76:U76="x")*(Besatzung!$F$11:$F$22="x")),1))),(IF(COUNTIF(J76:U76,"x")=0,IF(Besatzung!$B$12&lt;&gt;"",1,0),(K76="x"))*(G76-IFERROR(H76,0))/IFERROR(IF(COUNTIF(J76:U76,"x")=0,COUNTA(Besatzung!$B$11:$B$22),COUNTIF(J76:U76,"x")),1)+IF(COUNTIF(J76:U76,"x")=0,(Besatzung!$F$12="x"),(K76="x")*(Besatzung!$F$12="x"))*IFERROR(H76,0)/IFERROR(IF(COUNTIF(J76:U76,"x")=0,SUMPRODUCT((Besatzung!$B$11:$B$22&lt;&gt;"")*(Besatzung!$F$11:$F$22="x")),SUMPRODUCT((J76:U76="x")*(Besatzung!$F$11:$F$22="x"))),1))))),0))))</f>
        <v/>
      </c>
      <c r="X76" s="106">
        <f>IF(C76="Gutschrift","",IF(G76="","",IF(Besatzung!$B$13="","",IFERROR(IF(I76="Zeitanteilig",(Besatzung!$G$13*(G76-IFERROR(H76,0))+((Besatzung!$B$13&lt;&gt;"")*IF(B76="",1,(IF(Besatzung!$C$13="",Besatzung!$B$5,Besatzung!$C$13)&lt;=B76)*(IF(Besatzung!$D$13="",Besatzung!$B$6,Besatzung!$D$13)&gt;=B76)))*(Besatzung!$F$13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$13&lt;&gt;"")*IF(B76="",1,(IF(Besatzung!$C$13="",Besatzung!$B$5,Besatzung!$C$13)&lt;=B76)*(IF(Besatzung!$D$13="",Besatzung!$B$6,Besatzung!$D$13)&gt;=B76)))*((G76-IFERROR(H76,0))/IFERROR(SUMPRODUCT((Besatzung!$B$11:$B$22&lt;&gt;"")*(IF(Besatzung!$C$11:$C$22="",Besatzung!$B$5,Besatzung!$C$11:$C$22)&lt;=B76)*(IF(Besatzung!$D$11:$D$22="",Besatzung!$B$6,Besatzung!$D$11:$D$22)&gt;=B76)),1)+(Besatzung!$F$13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K76="x")*((G76-IFERROR(H76,0))/IFERROR(COUNTIF(J76:U76,"x"),1)+(Besatzung!$F$13="x")*IFERROR(H76,0)/IFERROR(SUMPRODUCT((J76:U76="x")*(Besatzung!$F$11:$F$22="x")),1))),(IF(COUNTIF(J76:U76,"x")=0,IF(Besatzung!$B$13&lt;&gt;"",1,0),(K76="x"))*(G76-IFERROR(H76,0))/IFERROR(IF(COUNTIF(J76:U76,"x")=0,COUNTA(Besatzung!$B$11:$B$22),COUNTIF(J76:U76,"x")),1)+IF(COUNTIF(J76:U76,"x")=0,(Besatzung!$F$13="x"),(K76="x")*(Besatzung!$F$13="x"))*IFERROR(H76,0)/IFERROR(IF(COUNTIF(J76:U76,"x")=0,SUMPRODUCT((Besatzung!$B$11:$B$22&lt;&gt;"")*(Besatzung!$F$11:$F$22="x")),SUMPRODUCT((J76:U76="x")*(Besatzung!$F$11:$F$22="x"))),1))))),0))))</f>
        <v/>
      </c>
      <c r="Y76" s="106">
        <f>IF(C76="Gutschrift","",IF(G76="","",IF(Besatzung!$B$14="","",IFERROR(IF(I76="Zeitanteilig",(Besatzung!$G$14*(G76-IFERROR(H76,0))+((Besatzung!$B$14&lt;&gt;"")*IF(B76="",1,(IF(Besatzung!$C$14="",Besatzung!$B$5,Besatzung!$C$14)&lt;=B76)*(IF(Besatzung!$D$14="",Besatzung!$B$6,Besatzung!$D$14)&gt;=B76)))*(Besatzung!$F$14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$14&lt;&gt;"")*IF(B76="",1,(IF(Besatzung!$C$14="",Besatzung!$B$5,Besatzung!$C$14)&lt;=B76)*(IF(Besatzung!$D$14="",Besatzung!$B$6,Besatzung!$D$14)&gt;=B76)))*((G76-IFERROR(H76,0))/IFERROR(SUMPRODUCT((Besatzung!$B$11:$B$22&lt;&gt;"")*(IF(Besatzung!$C$11:$C$22="",Besatzung!$B$5,Besatzung!$C$11:$C$22)&lt;=B76)*(IF(Besatzung!$D$11:$D$22="",Besatzung!$B$6,Besatzung!$D$11:$D$22)&gt;=B76)),1)+(Besatzung!$F$14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M76="x")*((G76-IFERROR(H76,0))/IFERROR(COUNTIF(J76:U76,"x"),1)+(Besatzung!$F$14="x")*IFERROR(H76,0)/IFERROR(SUMPRODUCT((J76:U76="x")*(Besatzung!$F$11:$F$22="x")),1))),(IF(COUNTIF(J76:U76,"x")=0,IF(Besatzung!$B$14&lt;&gt;"",1,0),(M76="x"))*(G76-IFERROR(H76,0))/IFERROR(IF(COUNTIF(J76:U76,"x")=0,COUNTA(Besatzung!$B$11:$B$22),COUNTIF(J76:U76,"x")),1)+IF(COUNTIF(J76:U76,"x")=0,(Besatzung!$F$14="x"),(M76="x")*(Besatzung!$F$14="x"))*IFERROR(H76,0)/IFERROR(IF(COUNTIF(J76:U76,"x")=0,SUMPRODUCT((Besatzung!$B$11:$B$22&lt;&gt;"")*(Besatzung!$F$11:$F$22="x")),SUMPRODUCT((J76:U76="x")*(Besatzung!$F$11:$F$22="x"))),1))))),0))))</f>
        <v/>
      </c>
      <c r="Z76" s="106">
        <f>IF(C76="Gutschrift","",IF(G76="","",IF(Besatzung!$B$13="","",IFERROR(IF(I76="Zeitanteilig",(Besatzung!$G$15*(G76-IFERROR(H76,0))+((Besatzung!$B$13&lt;&gt;"")*IF(B76="",1,(IF(Besatzung!$C$15="",Besatzung!$B$5,Besatzung!$C$15)&lt;=B76)*(IF(Besatzung!$D$15="",Besatzung!$B$6,Besatzung!$D$15)&gt;=B76)))*(Besatzung!$F$15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$13&lt;&gt;"")*IF(B76="",1,(IF(Besatzung!$C$15="",Besatzung!$B$5,Besatzung!$C$15)&lt;=B76)*(IF(Besatzung!$D$15="",Besatzung!$B$6,Besatzung!$D$15)&gt;=B76)))*((G76-IFERROR(H76,0))/IFERROR(SUMPRODUCT((Besatzung!$B$11:$B$22&lt;&gt;"")*(IF(Besatzung!$C$11:$C$22="",Besatzung!$B$5,Besatzung!$C$11:$C$22)&lt;=B76)*(IF(Besatzung!$D$11:$D$22="",Besatzung!$B$6,Besatzung!$D$11:$D$22)&gt;=B76)),1)+(Besatzung!$F$15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N76="x")*((G76-IFERROR(H76,0))/IFERROR(COUNTIF(J76:U76,"x"),1)+(Besatzung!$F$15="x")*IFERROR(H76,0)/IFERROR(SUMPRODUCT((J76:U76="x")*(Besatzung!$F$11:$F$22="x")),1))),(IF(COUNTIF(J76:U76,"x")=0,IF(Besatzung!$B$13&lt;&gt;"",1,0),(N76="x"))*(G76-IFERROR(H76,0))/IFERROR(IF(COUNTIF(J76:U76,"x")=0,COUNTA(Besatzung!$B$11:$B$22),COUNTIF(J76:U76,"x")),1)+IF(COUNTIF(J76:U76,"x")=0,(Besatzung!$F$15="x"),(N76="x")*(Besatzung!$F$15="x"))*IFERROR(H76,0)/IFERROR(IF(COUNTIF(J76:U76,"x")=0,SUMPRODUCT((Besatzung!$B$11:$B$22&lt;&gt;"")*(Besatzung!$F$11:$F$22="x")),SUMPRODUCT((J76:U76="x")*(Besatzung!$F$11:$F$22="x"))),1))))),0))))</f>
        <v/>
      </c>
      <c r="AA76" s="106">
        <f>IF(C76="Gutschrift","",IF(G76="","",IF(Besatzung!$B$15="","",IFERROR(IF(I76="Zeitanteilig",(Besatzung!$G$16*(G76-IFERROR(H76,0))+((Besatzung!$B$15&lt;&gt;"")*IF(B76="",1,(IF(Besatzung!$C$16="",Besatzung!$B$5,Besatzung!$C$16)&lt;=B76)*(IF(Besatzung!$D$16="",Besatzung!$B$6,Besatzung!$D$16)&gt;=B76)))*(Besatzung!$F$16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$15&lt;&gt;"")*IF(B76="",1,(IF(Besatzung!$C$16="",Besatzung!$B$5,Besatzung!$C$16)&lt;=B76)*(IF(Besatzung!$D$16="",Besatzung!$B$6,Besatzung!$D$16)&gt;=B76)))*((G76-IFERROR(H76,0))/IFERROR(SUMPRODUCT((Besatzung!$B$11:$B$22&lt;&gt;"")*(IF(Besatzung!$C$11:$C$22="",Besatzung!$B$5,Besatzung!$C$11:$C$22)&lt;=B76)*(IF(Besatzung!$D$11:$D$22="",Besatzung!$B$6,Besatzung!$D$11:$D$22)&gt;=B76)),1)+(Besatzung!$F$16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O76="x")*((G76-IFERROR(H76,0))/IFERROR(COUNTIF(J76:U76,"x"),1)+(Besatzung!$F$16="x")*IFERROR(H76,0)/IFERROR(SUMPRODUCT((J76:U76="x")*(Besatzung!$F$11:$F$22="x")),1))),(IF(COUNTIF(J76:U76,"x")=0,IF(Besatzung!$B$15&lt;&gt;"",1,0),(O76="x"))*(G76-IFERROR(H76,0))/IFERROR(IF(COUNTIF(J76:U76,"x")=0,COUNTA(Besatzung!$B$11:$B$22),COUNTIF(J76:U76,"x")),1)+IF(COUNTIF(J76:U76,"x")=0,(Besatzung!$F$16="x"),(O76="x")*(Besatzung!$F$16="x"))*IFERROR(H76,0)/IFERROR(IF(COUNTIF(J76:U76,"x")=0,SUMPRODUCT((Besatzung!$B$11:$B$22&lt;&gt;"")*(Besatzung!$F$11:$F$22="x")),SUMPRODUCT((J76:U76="x")*(Besatzung!$F$11:$F$22="x"))),1))))),0))))</f>
        <v/>
      </c>
      <c r="AB76" s="106">
        <f>IF(C76="Gutschrift","",IF(G76="","",IF(Besatzung!$B$17="","",IFERROR(IF(I76="Zeitanteilig",(Besatzung!$G$17*(G76-IFERROR(H76,0))+((Besatzung!$B$17&lt;&gt;"")*IF(B76="",1,(IF(Besatzung!$C$17="",Besatzung!$B$5,Besatzung!$C$17)&lt;=B76)*(IF(Besatzung!$D$17="",Besatzung!$B$6,Besatzung!$D$17)&gt;=B76)))*(Besatzung!$F$17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$17&lt;&gt;"")*IF(B76="",1,(IF(Besatzung!$C$17="",Besatzung!$B$5,Besatzung!$C$17)&lt;=B76)*(IF(Besatzung!$D$17="",Besatzung!$B$6,Besatzung!$D$17)&gt;=B76)))*((G76-IFERROR(H76,0))/IFERROR(SUMPRODUCT((Besatzung!$B$11:$B$22&lt;&gt;"")*(IF(Besatzung!$C$11:$C$22="",Besatzung!$B$5,Besatzung!$C$11:$C$22)&lt;=B76)*(IF(Besatzung!$D$11:$D$22="",Besatzung!$B$6,Besatzung!$D$11:$D$22)&gt;=B76)),1)+(Besatzung!$F$17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P76="x")*((G76-IFERROR(H76,0))/IFERROR(COUNTIF(J76:U76,"x"),1)+(Besatzung!$F$17="x")*IFERROR(H76,0)/IFERROR(SUMPRODUCT((J76:U76="x")*(Besatzung!$F$11:$F$22="x")),1))),(IF(COUNTIF(J76:U76,"x")=0,IF(Besatzung!$B$17&lt;&gt;"",1,0),(P76="x"))*(G76-IFERROR(H76,0))/IFERROR(IF(COUNTIF(J76:U76,"x")=0,COUNTA(Besatzung!$B$11:$B$22),COUNTIF(J76:U76,"x")),1)+IF(COUNTIF(J76:U76,"x")=0,(Besatzung!$F$17="x"),(P76="x")*(Besatzung!$F$17="x"))*IFERROR(H76,0)/IFERROR(IF(COUNTIF(J76:U76,"x")=0,SUMPRODUCT((Besatzung!$B$11:$B$22&lt;&gt;"")*(Besatzung!$F$11:$F$22="x")),SUMPRODUCT((J76:U76="x")*(Besatzung!$F$11:$F$22="x"))),1))))),0))))</f>
        <v/>
      </c>
      <c r="AC76" s="106">
        <f>IF(C76="Gutschrift","",IF(G76="","",IF(Besatzung!$B$18="","",IFERROR(IF(I76="Zeitanteilig",(Besatzung!$G$18*(G76-IFERROR(H76,0))+((Besatzung!$B$18&lt;&gt;"")*IF(B76="",1,(IF(Besatzung!$C$18="",Besatzung!$B$5,Besatzung!$C$18)&lt;=B76)*(IF(Besatzung!$D$18="",Besatzung!$B$6,Besatzung!$D$18)&gt;=B76)))*(Besatzung!$F$18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$18&lt;&gt;"")*IF(B76="",1,(IF(Besatzung!$C$18="",Besatzung!$B$5,Besatzung!$C$18)&lt;=B76)*(IF(Besatzung!$D$18="",Besatzung!$B$6,Besatzung!$D$18)&gt;=B76)))*((G76-IFERROR(H76,0))/IFERROR(SUMPRODUCT((Besatzung!$B$11:$B$22&lt;&gt;"")*(IF(Besatzung!$C$11:$C$22="",Besatzung!$B$5,Besatzung!$C$11:$C$22)&lt;=B76)*(IF(Besatzung!$D$11:$D$22="",Besatzung!$B$6,Besatzung!$D$11:$D$22)&gt;=B76)),1)+(Besatzung!$F$18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Q76="x")*((G76-IFERROR(H76,0))/IFERROR(COUNTIF(J76:U76,"x"),1)+(Besatzung!$F$18="x")*IFERROR(H76,0)/IFERROR(SUMPRODUCT((J76:U76="x")*(Besatzung!$F$11:$F$22="x")),1))),(IF(COUNTIF(J76:U76,"x")=0,IF(Besatzung!$B$18&lt;&gt;"",1,0),(Q76="x"))*(G76-IFERROR(H76,0))/IFERROR(IF(COUNTIF(J76:U76,"x")=0,COUNTA(Besatzung!$B$11:$B$22),COUNTIF(J76:U76,"x")),1)+IF(COUNTIF(J76:U76,"x")=0,(Besatzung!$F$18="x"),(Q76="x")*(Besatzung!$F$18="x"))*IFERROR(H76,0)/IFERROR(IF(COUNTIF(J76:U76,"x")=0,SUMPRODUCT((Besatzung!$B$11:$B$22&lt;&gt;"")*(Besatzung!$F$11:$F$22="x")),SUMPRODUCT((J76:U76="x")*(Besatzung!$F$11:$F$22="x"))),1))))),0))))</f>
        <v/>
      </c>
      <c r="AD76" s="106">
        <f>IF(C76="Gutschrift","",IF(G76="","",IF(Besatzung!$B$19="","",IFERROR(IF(I76="Zeitanteilig",(Besatzung!$G$19*(G76-IFERROR(H76,0))+((Besatzung!$B$19&lt;&gt;"")*IF(B76="",1,(IF(Besatzung!$C$19="",Besatzung!$B$5,Besatzung!$C$19)&lt;=B76)*(IF(Besatzung!$D$19="",Besatzung!$B$6,Besatzung!$D$19)&gt;=B76)))*(Besatzung!$F$19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$19&lt;&gt;"")*IF(B76="",1,(IF(Besatzung!$C$19="",Besatzung!$B$5,Besatzung!$C$19)&lt;=B76)*(IF(Besatzung!$D$19="",Besatzung!$B$6,Besatzung!$D$19)&gt;=B76)))*((G76-IFERROR(H76,0))/IFERROR(SUMPRODUCT((Besatzung!$B$11:$B$22&lt;&gt;"")*(IF(Besatzung!$C$11:$C$22="",Besatzung!$B$5,Besatzung!$C$11:$C$22)&lt;=B76)*(IF(Besatzung!$D$11:$D$22="",Besatzung!$B$6,Besatzung!$D$11:$D$22)&gt;=B76)),1)+(Besatzung!$F$19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R76="x")*((G76-IFERROR(H76,0))/IFERROR(COUNTIF(J76:U76,"x"),1)+(Besatzung!$F$19="x")*IFERROR(H76,0)/IFERROR(SUMPRODUCT((J76:U76="x")*(Besatzung!$F$11:$F$22="x")),1))),(IF(COUNTIF(J76:U76,"x")=0,IF(Besatzung!$B$19&lt;&gt;"",1,0),(R76="x"))*(G76-IFERROR(H76,0))/IFERROR(IF(COUNTIF(J76:U76,"x")=0,COUNTA(Besatzung!$B$11:$B$22),COUNTIF(J76:U76,"x")),1)+IF(COUNTIF(J76:U76,"x")=0,(Besatzung!$F$19="x"),(R76="x")*(Besatzung!$F$19="x"))*IFERROR(H76,0)/IFERROR(IF(COUNTIF(J76:U76,"x")=0,SUMPRODUCT((Besatzung!$B$11:$B$22&lt;&gt;"")*(Besatzung!$F$11:$F$22="x")),SUMPRODUCT((J76:U76="x")*(Besatzung!$F$11:$F$22="x"))),1))))),0))))</f>
        <v/>
      </c>
      <c r="AE76" s="106">
        <f>IF(C76="Gutschrift","",IF(G76="","",IF(Besatzung!$B$20="","",IFERROR(IF(I76="Zeitanteilig",(Besatzung!$G$20*(G76-IFERROR(H76,0))+((Besatzung!$B$20&lt;&gt;"")*IF(B76="",1,(IF(Besatzung!$C$20="",Besatzung!$B$5,Besatzung!$C$20)&lt;=B76)*(IF(Besatzung!$D$20="",Besatzung!$B$6,Besatzung!$D$20)&gt;=B76)))*(Besatzung!$F$20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$20&lt;&gt;"")*IF(B76="",1,(IF(Besatzung!$C$20="",Besatzung!$B$5,Besatzung!$C$20)&lt;=B76)*(IF(Besatzung!$D$20="",Besatzung!$B$6,Besatzung!$D$20)&gt;=B76)))*((G76-IFERROR(H76,0))/IFERROR(SUMPRODUCT((Besatzung!$B$11:$B$22&lt;&gt;"")*(IF(Besatzung!$C$11:$C$22="",Besatzung!$B$5,Besatzung!$C$11:$C$22)&lt;=B76)*(IF(Besatzung!$D$11:$D$22="",Besatzung!$B$6,Besatzung!$D$11:$D$22)&gt;=B76)),1)+(Besatzung!$F$20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S76="x")*((G76-IFERROR(H76,0))/IFERROR(COUNTIF(J76:U76,"x"),1)+(Besatzung!$F$20="x")*IFERROR(H76,0)/IFERROR(SUMPRODUCT((J76:U76="x")*(Besatzung!$F$11:$F$22="x")),1))),(IF(COUNTIF(J76:U76,"x")=0,IF(Besatzung!$B$20&lt;&gt;"",1,0),(S76="x"))*(G76-IFERROR(H76,0))/IFERROR(IF(COUNTIF(J76:U76,"x")=0,COUNTA(Besatzung!$B$11:$B$22),COUNTIF(J76:U76,"x")),1)+IF(COUNTIF(J76:U76,"x")=0,(Besatzung!$F$20="x"),(S76="x")*(Besatzung!$F$20="x"))*IFERROR(H76,0)/IFERROR(IF(COUNTIF(J76:U76,"x")=0,SUMPRODUCT((Besatzung!$B$11:$B$22&lt;&gt;"")*(Besatzung!$F$11:$F$22="x")),SUMPRODUCT((J76:U76="x")*(Besatzung!$F$11:$F$22="x"))),1))))),0))))</f>
        <v/>
      </c>
      <c r="AF76" s="106">
        <f>IF(C76="Gutschrift","",IF(G76="","",IF(Besatzung!$B$21="","",IFERROR(IF(I76="Zeitanteilig",(Besatzung!$G$21*(G76-IFERROR(H76,0))+((Besatzung!$B$21&lt;&gt;"")*IF(B76="",1,(IF(Besatzung!$C$21="",Besatzung!$B$5,Besatzung!$C$21)&lt;=B76)*(IF(Besatzung!$D$21="",Besatzung!$B$6,Besatzung!$D$21)&gt;=B76)))*(Besatzung!$F$21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$21&lt;&gt;"")*IF(B76="",1,(IF(Besatzung!$C$21="",Besatzung!$B$5,Besatzung!$C$21)&lt;=B76)*(IF(Besatzung!$D$21="",Besatzung!$B$6,Besatzung!$D$21)&gt;=B76)))*((G76-IFERROR(H76,0))/IFERROR(SUMPRODUCT((Besatzung!$B$11:$B$22&lt;&gt;"")*(IF(Besatzung!$C$11:$C$22="",Besatzung!$B$5,Besatzung!$C$11:$C$22)&lt;=B76)*(IF(Besatzung!$D$11:$D$22="",Besatzung!$B$6,Besatzung!$D$11:$D$22)&gt;=B76)),1)+(Besatzung!$F$21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T76="x")*((G76-IFERROR(H76,0))/IFERROR(COUNTIF(J76:U76,"x"),1)+(Besatzung!$F$21="x")*IFERROR(H76,0)/IFERROR(SUMPRODUCT((J76:U76="x")*(Besatzung!$F$11:$F$22="x")),1))),(IF(COUNTIF(J76:U76,"x")=0,IF(Besatzung!$B$21&lt;&gt;"",1,0),(T76="x"))*(G76-IFERROR(H76,0))/IFERROR(IF(COUNTIF(J76:U76,"x")=0,COUNTA(Besatzung!$B$11:$B$22),COUNTIF(J76:U76,"x")),1)+IF(COUNTIF(J76:U76,"x")=0,(Besatzung!$F$21="x"),(T76="x")*(Besatzung!$F$21="x"))*IFERROR(H76,0)/IFERROR(IF(COUNTIF(J76:U76,"x")=0,SUMPRODUCT((Besatzung!$B$11:$B$22&lt;&gt;"")*(Besatzung!$F$11:$F$22="x")),SUMPRODUCT((J76:U76="x")*(Besatzung!$F$11:$F$22="x"))),1))))),0))))</f>
        <v/>
      </c>
      <c r="AG76" s="106">
        <f>IF(C76="Gutschrift","",IF(G76="","",IF(Besatzung!$B$22="","",IFERROR(IF(I76="Zeitanteilig",(Besatzung!$G$22*(G76-IFERROR(H76,0))+((Besatzung!$B$22&lt;&gt;"")*IF(B76="",1,(IF(Besatzung!$C$22="",Besatzung!$B$5,Besatzung!$C$22)&lt;=B76)*(IF(Besatzung!$D$22="",Besatzung!$B$6,Besatzung!$D$22)&gt;=B76)))*(Besatzung!$F$22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$22&lt;&gt;"")*IF(B76="",1,(IF(Besatzung!$C$22="",Besatzung!$B$5,Besatzung!$C$22)&lt;=B76)*(IF(Besatzung!$D$22="",Besatzung!$B$6,Besatzung!$D$22)&gt;=B76)))*((G76-IFERROR(H76,0))/IFERROR(SUMPRODUCT((Besatzung!$B$11:$B$22&lt;&gt;"")*(IF(Besatzung!$C$11:$C$22="",Besatzung!$B$5,Besatzung!$C$11:$C$22)&lt;=B76)*(IF(Besatzung!$D$11:$D$22="",Besatzung!$B$6,Besatzung!$D$11:$D$22)&gt;=B76)),1)+(Besatzung!$F$22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U76="x")*((G76-IFERROR(H76,0))/IFERROR(COUNTIF(J76:U76,"x"),1)+(Besatzung!$F$22="x")*IFERROR(H76,0)/IFERROR(SUMPRODUCT((J76:U76="x")*(Besatzung!$F$11:$F$22="x")),1))),(IF(COUNTIF(J76:U76,"x")=0,IF(Besatzung!$B$22&lt;&gt;"",1,0),(U76="x"))*(G76-IFERROR(H76,0))/IFERROR(IF(COUNTIF(J76:U76,"x")=0,COUNTA(Besatzung!$B$11:$B$22),COUNTIF(J76:U76,"x")),1)+IF(COUNTIF(J76:U76,"x")=0,(Besatzung!$F$22="x"),(U76="x")*(Besatzung!$F$22="x"))*IFERROR(H76,0)/IFERROR(IF(COUNTIF(J76:U76,"x")=0,SUMPRODUCT((Besatzung!$B$11:$B$22&lt;&gt;"")*(Besatzung!$F$11:$F$22="x")),SUMPRODUCT((J76:U76="x")*(Besatzung!$F$11:$F$22="x"))),1))))),0))))</f>
        <v/>
      </c>
      <c r="AH76" s="107" t="n"/>
      <c r="AI76" s="107" t="n"/>
    </row>
    <row r="77" ht="21.75" customHeight="1" s="182">
      <c r="A77" s="97">
        <f>IF(AND(D77="",C77=""),"",74)</f>
        <v/>
      </c>
      <c r="B77" s="63" t="n"/>
      <c r="C77" s="108" t="n"/>
      <c r="D77" s="109" t="n"/>
      <c r="E77" s="110" t="n"/>
      <c r="F77" s="111" t="n"/>
      <c r="G77" s="112" t="n"/>
      <c r="H77" s="113" t="n"/>
      <c r="I77" s="114" t="n"/>
      <c r="J77" s="115" t="n"/>
      <c r="K77" s="115" t="n"/>
      <c r="L77" s="115" t="n"/>
      <c r="M77" s="115" t="n"/>
      <c r="N77" s="115" t="n"/>
      <c r="O77" s="115" t="n"/>
      <c r="P77" s="115" t="n"/>
      <c r="Q77" s="115" t="n"/>
      <c r="R77" s="115" t="n"/>
      <c r="S77" s="115" t="n"/>
      <c r="T77" s="115" t="n"/>
      <c r="U77" s="115" t="n"/>
      <c r="V77" s="106">
        <f>IF(C77="Gutschrift","",IF(G77="","",IF(Besatzung!$B$11="","",IFERROR(IF(I77="Zeitanteilig",(Besatzung!$G$11*(G77-IFERROR(H77,0))+((Besatzung!$B$11&lt;&gt;"")*IF(B77="",1,(IF(Besatzung!$C$11="",Besatzung!$B$5,Besatzung!$C$11)&lt;=B77)*(IF(Besatzung!$D$11="",Besatzung!$B$6,Besatzung!$D$11)&gt;=B77)))*(Besatzung!$F$11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$11&lt;&gt;"")*IF(B77="",1,(IF(Besatzung!$C$11="",Besatzung!$B$5,Besatzung!$C$11)&lt;=B77)*(IF(Besatzung!$D$11="",Besatzung!$B$6,Besatzung!$D$11)&gt;=B77)))*((G77-IFERROR(H77,0))/IFERROR(SUMPRODUCT((Besatzung!$B$11:$B$22&lt;&gt;"")*(IF(Besatzung!$C$11:$C$22="",Besatzung!$B$5,Besatzung!$C$11:$C$22)&lt;=B77)*(IF(Besatzung!$D$11:$D$22="",Besatzung!$B$6,Besatzung!$D$11:$D$22)&gt;=B77)),1)+(Besatzung!$F$11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J77="x")*((G77-IFERROR(H77,0))/IFERROR(COUNTIF(J77:U77,"x"),1)+(Besatzung!$F$11="x")*IFERROR(H77,0)/IFERROR(SUMPRODUCT((J77:U77="x")*(Besatzung!$F$11:$F$22="x")),1))),(IF(COUNTIF(J77:U77,"x")=0,IF(Besatzung!$B$11&lt;&gt;"",1,0),(J77="x"))*(G77-IFERROR(H77,0))/IFERROR(IF(COUNTIF(J77:U77,"x")=0,COUNTA(Besatzung!$B$11:$B$22),COUNTIF(J77:U77,"x")),1)+IF(COUNTIF(J77:U77,"x")=0,(Besatzung!$F$11="x"),(J77="x")*(Besatzung!$F$11="x"))*IFERROR(H77,0)/IFERROR(IF(COUNTIF(J77:U77,"x")=0,SUMPRODUCT((Besatzung!$B$11:$B$22&lt;&gt;"")*(Besatzung!$F$11:$F$22="x")),SUMPRODUCT((J77:U77="x")*(Besatzung!$F$11:$F$22="x"))),1))))),0))))</f>
        <v/>
      </c>
      <c r="W77" s="106">
        <f>IF(C77="Gutschrift","",IF(G77="","",IF(Besatzung!$B$12="","",IFERROR(IF(I77="Zeitanteilig",(Besatzung!$G$12*(G77-IFERROR(H77,0))+((Besatzung!$B$12&lt;&gt;"")*IF(B77="",1,(IF(Besatzung!$C$12="",Besatzung!$B$5,Besatzung!$C$12)&lt;=B77)*(IF(Besatzung!$D$12="",Besatzung!$B$6,Besatzung!$D$12)&gt;=B77)))*(Besatzung!$F$12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$12&lt;&gt;"")*IF(B77="",1,(IF(Besatzung!$C$12="",Besatzung!$B$5,Besatzung!$C$12)&lt;=B77)*(IF(Besatzung!$D$12="",Besatzung!$B$6,Besatzung!$D$12)&gt;=B77)))*((G77-IFERROR(H77,0))/IFERROR(SUMPRODUCT((Besatzung!$B$11:$B$22&lt;&gt;"")*(IF(Besatzung!$C$11:$C$22="",Besatzung!$B$5,Besatzung!$C$11:$C$22)&lt;=B77)*(IF(Besatzung!$D$11:$D$22="",Besatzung!$B$6,Besatzung!$D$11:$D$22)&gt;=B77)),1)+(Besatzung!$F$12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K77="x")*((G77-IFERROR(H77,0))/IFERROR(COUNTIF(J77:U77,"x"),1)+(Besatzung!$F$12="x")*IFERROR(H77,0)/IFERROR(SUMPRODUCT((J77:U77="x")*(Besatzung!$F$11:$F$22="x")),1))),(IF(COUNTIF(J77:U77,"x")=0,IF(Besatzung!$B$12&lt;&gt;"",1,0),(K77="x"))*(G77-IFERROR(H77,0))/IFERROR(IF(COUNTIF(J77:U77,"x")=0,COUNTA(Besatzung!$B$11:$B$22),COUNTIF(J77:U77,"x")),1)+IF(COUNTIF(J77:U77,"x")=0,(Besatzung!$F$12="x"),(K77="x")*(Besatzung!$F$12="x"))*IFERROR(H77,0)/IFERROR(IF(COUNTIF(J77:U77,"x")=0,SUMPRODUCT((Besatzung!$B$11:$B$22&lt;&gt;"")*(Besatzung!$F$11:$F$22="x")),SUMPRODUCT((J77:U77="x")*(Besatzung!$F$11:$F$22="x"))),1))))),0))))</f>
        <v/>
      </c>
      <c r="X77" s="106">
        <f>IF(C77="Gutschrift","",IF(G77="","",IF(Besatzung!$B$13="","",IFERROR(IF(I77="Zeitanteilig",(Besatzung!$G$13*(G77-IFERROR(H77,0))+((Besatzung!$B$13&lt;&gt;"")*IF(B77="",1,(IF(Besatzung!$C$13="",Besatzung!$B$5,Besatzung!$C$13)&lt;=B77)*(IF(Besatzung!$D$13="",Besatzung!$B$6,Besatzung!$D$13)&gt;=B77)))*(Besatzung!$F$13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$13&lt;&gt;"")*IF(B77="",1,(IF(Besatzung!$C$13="",Besatzung!$B$5,Besatzung!$C$13)&lt;=B77)*(IF(Besatzung!$D$13="",Besatzung!$B$6,Besatzung!$D$13)&gt;=B77)))*((G77-IFERROR(H77,0))/IFERROR(SUMPRODUCT((Besatzung!$B$11:$B$22&lt;&gt;"")*(IF(Besatzung!$C$11:$C$22="",Besatzung!$B$5,Besatzung!$C$11:$C$22)&lt;=B77)*(IF(Besatzung!$D$11:$D$22="",Besatzung!$B$6,Besatzung!$D$11:$D$22)&gt;=B77)),1)+(Besatzung!$F$13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K77="x")*((G77-IFERROR(H77,0))/IFERROR(COUNTIF(J77:U77,"x"),1)+(Besatzung!$F$13="x")*IFERROR(H77,0)/IFERROR(SUMPRODUCT((J77:U77="x")*(Besatzung!$F$11:$F$22="x")),1))),(IF(COUNTIF(J77:U77,"x")=0,IF(Besatzung!$B$13&lt;&gt;"",1,0),(K77="x"))*(G77-IFERROR(H77,0))/IFERROR(IF(COUNTIF(J77:U77,"x")=0,COUNTA(Besatzung!$B$11:$B$22),COUNTIF(J77:U77,"x")),1)+IF(COUNTIF(J77:U77,"x")=0,(Besatzung!$F$13="x"),(K77="x")*(Besatzung!$F$13="x"))*IFERROR(H77,0)/IFERROR(IF(COUNTIF(J77:U77,"x")=0,SUMPRODUCT((Besatzung!$B$11:$B$22&lt;&gt;"")*(Besatzung!$F$11:$F$22="x")),SUMPRODUCT((J77:U77="x")*(Besatzung!$F$11:$F$22="x"))),1))))),0))))</f>
        <v/>
      </c>
      <c r="Y77" s="106">
        <f>IF(C77="Gutschrift","",IF(G77="","",IF(Besatzung!$B$14="","",IFERROR(IF(I77="Zeitanteilig",(Besatzung!$G$14*(G77-IFERROR(H77,0))+((Besatzung!$B$14&lt;&gt;"")*IF(B77="",1,(IF(Besatzung!$C$14="",Besatzung!$B$5,Besatzung!$C$14)&lt;=B77)*(IF(Besatzung!$D$14="",Besatzung!$B$6,Besatzung!$D$14)&gt;=B77)))*(Besatzung!$F$14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$14&lt;&gt;"")*IF(B77="",1,(IF(Besatzung!$C$14="",Besatzung!$B$5,Besatzung!$C$14)&lt;=B77)*(IF(Besatzung!$D$14="",Besatzung!$B$6,Besatzung!$D$14)&gt;=B77)))*((G77-IFERROR(H77,0))/IFERROR(SUMPRODUCT((Besatzung!$B$11:$B$22&lt;&gt;"")*(IF(Besatzung!$C$11:$C$22="",Besatzung!$B$5,Besatzung!$C$11:$C$22)&lt;=B77)*(IF(Besatzung!$D$11:$D$22="",Besatzung!$B$6,Besatzung!$D$11:$D$22)&gt;=B77)),1)+(Besatzung!$F$14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M77="x")*((G77-IFERROR(H77,0))/IFERROR(COUNTIF(J77:U77,"x"),1)+(Besatzung!$F$14="x")*IFERROR(H77,0)/IFERROR(SUMPRODUCT((J77:U77="x")*(Besatzung!$F$11:$F$22="x")),1))),(IF(COUNTIF(J77:U77,"x")=0,IF(Besatzung!$B$14&lt;&gt;"",1,0),(M77="x"))*(G77-IFERROR(H77,0))/IFERROR(IF(COUNTIF(J77:U77,"x")=0,COUNTA(Besatzung!$B$11:$B$22),COUNTIF(J77:U77,"x")),1)+IF(COUNTIF(J77:U77,"x")=0,(Besatzung!$F$14="x"),(M77="x")*(Besatzung!$F$14="x"))*IFERROR(H77,0)/IFERROR(IF(COUNTIF(J77:U77,"x")=0,SUMPRODUCT((Besatzung!$B$11:$B$22&lt;&gt;"")*(Besatzung!$F$11:$F$22="x")),SUMPRODUCT((J77:U77="x")*(Besatzung!$F$11:$F$22="x"))),1))))),0))))</f>
        <v/>
      </c>
      <c r="Z77" s="106">
        <f>IF(C77="Gutschrift","",IF(G77="","",IF(Besatzung!$B$13="","",IFERROR(IF(I77="Zeitanteilig",(Besatzung!$G$15*(G77-IFERROR(H77,0))+((Besatzung!$B$13&lt;&gt;"")*IF(B77="",1,(IF(Besatzung!$C$15="",Besatzung!$B$5,Besatzung!$C$15)&lt;=B77)*(IF(Besatzung!$D$15="",Besatzung!$B$6,Besatzung!$D$15)&gt;=B77)))*(Besatzung!$F$15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$13&lt;&gt;"")*IF(B77="",1,(IF(Besatzung!$C$15="",Besatzung!$B$5,Besatzung!$C$15)&lt;=B77)*(IF(Besatzung!$D$15="",Besatzung!$B$6,Besatzung!$D$15)&gt;=B77)))*((G77-IFERROR(H77,0))/IFERROR(SUMPRODUCT((Besatzung!$B$11:$B$22&lt;&gt;"")*(IF(Besatzung!$C$11:$C$22="",Besatzung!$B$5,Besatzung!$C$11:$C$22)&lt;=B77)*(IF(Besatzung!$D$11:$D$22="",Besatzung!$B$6,Besatzung!$D$11:$D$22)&gt;=B77)),1)+(Besatzung!$F$15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N77="x")*((G77-IFERROR(H77,0))/IFERROR(COUNTIF(J77:U77,"x"),1)+(Besatzung!$F$15="x")*IFERROR(H77,0)/IFERROR(SUMPRODUCT((J77:U77="x")*(Besatzung!$F$11:$F$22="x")),1))),(IF(COUNTIF(J77:U77,"x")=0,IF(Besatzung!$B$13&lt;&gt;"",1,0),(N77="x"))*(G77-IFERROR(H77,0))/IFERROR(IF(COUNTIF(J77:U77,"x")=0,COUNTA(Besatzung!$B$11:$B$22),COUNTIF(J77:U77,"x")),1)+IF(COUNTIF(J77:U77,"x")=0,(Besatzung!$F$15="x"),(N77="x")*(Besatzung!$F$15="x"))*IFERROR(H77,0)/IFERROR(IF(COUNTIF(J77:U77,"x")=0,SUMPRODUCT((Besatzung!$B$11:$B$22&lt;&gt;"")*(Besatzung!$F$11:$F$22="x")),SUMPRODUCT((J77:U77="x")*(Besatzung!$F$11:$F$22="x"))),1))))),0))))</f>
        <v/>
      </c>
      <c r="AA77" s="106">
        <f>IF(C77="Gutschrift","",IF(G77="","",IF(Besatzung!$B$15="","",IFERROR(IF(I77="Zeitanteilig",(Besatzung!$G$16*(G77-IFERROR(H77,0))+((Besatzung!$B$15&lt;&gt;"")*IF(B77="",1,(IF(Besatzung!$C$16="",Besatzung!$B$5,Besatzung!$C$16)&lt;=B77)*(IF(Besatzung!$D$16="",Besatzung!$B$6,Besatzung!$D$16)&gt;=B77)))*(Besatzung!$F$16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$15&lt;&gt;"")*IF(B77="",1,(IF(Besatzung!$C$16="",Besatzung!$B$5,Besatzung!$C$16)&lt;=B77)*(IF(Besatzung!$D$16="",Besatzung!$B$6,Besatzung!$D$16)&gt;=B77)))*((G77-IFERROR(H77,0))/IFERROR(SUMPRODUCT((Besatzung!$B$11:$B$22&lt;&gt;"")*(IF(Besatzung!$C$11:$C$22="",Besatzung!$B$5,Besatzung!$C$11:$C$22)&lt;=B77)*(IF(Besatzung!$D$11:$D$22="",Besatzung!$B$6,Besatzung!$D$11:$D$22)&gt;=B77)),1)+(Besatzung!$F$16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O77="x")*((G77-IFERROR(H77,0))/IFERROR(COUNTIF(J77:U77,"x"),1)+(Besatzung!$F$16="x")*IFERROR(H77,0)/IFERROR(SUMPRODUCT((J77:U77="x")*(Besatzung!$F$11:$F$22="x")),1))),(IF(COUNTIF(J77:U77,"x")=0,IF(Besatzung!$B$15&lt;&gt;"",1,0),(O77="x"))*(G77-IFERROR(H77,0))/IFERROR(IF(COUNTIF(J77:U77,"x")=0,COUNTA(Besatzung!$B$11:$B$22),COUNTIF(J77:U77,"x")),1)+IF(COUNTIF(J77:U77,"x")=0,(Besatzung!$F$16="x"),(O77="x")*(Besatzung!$F$16="x"))*IFERROR(H77,0)/IFERROR(IF(COUNTIF(J77:U77,"x")=0,SUMPRODUCT((Besatzung!$B$11:$B$22&lt;&gt;"")*(Besatzung!$F$11:$F$22="x")),SUMPRODUCT((J77:U77="x")*(Besatzung!$F$11:$F$22="x"))),1))))),0))))</f>
        <v/>
      </c>
      <c r="AB77" s="106">
        <f>IF(C77="Gutschrift","",IF(G77="","",IF(Besatzung!$B$17="","",IFERROR(IF(I77="Zeitanteilig",(Besatzung!$G$17*(G77-IFERROR(H77,0))+((Besatzung!$B$17&lt;&gt;"")*IF(B77="",1,(IF(Besatzung!$C$17="",Besatzung!$B$5,Besatzung!$C$17)&lt;=B77)*(IF(Besatzung!$D$17="",Besatzung!$B$6,Besatzung!$D$17)&gt;=B77)))*(Besatzung!$F$17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$17&lt;&gt;"")*IF(B77="",1,(IF(Besatzung!$C$17="",Besatzung!$B$5,Besatzung!$C$17)&lt;=B77)*(IF(Besatzung!$D$17="",Besatzung!$B$6,Besatzung!$D$17)&gt;=B77)))*((G77-IFERROR(H77,0))/IFERROR(SUMPRODUCT((Besatzung!$B$11:$B$22&lt;&gt;"")*(IF(Besatzung!$C$11:$C$22="",Besatzung!$B$5,Besatzung!$C$11:$C$22)&lt;=B77)*(IF(Besatzung!$D$11:$D$22="",Besatzung!$B$6,Besatzung!$D$11:$D$22)&gt;=B77)),1)+(Besatzung!$F$17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P77="x")*((G77-IFERROR(H77,0))/IFERROR(COUNTIF(J77:U77,"x"),1)+(Besatzung!$F$17="x")*IFERROR(H77,0)/IFERROR(SUMPRODUCT((J77:U77="x")*(Besatzung!$F$11:$F$22="x")),1))),(IF(COUNTIF(J77:U77,"x")=0,IF(Besatzung!$B$17&lt;&gt;"",1,0),(P77="x"))*(G77-IFERROR(H77,0))/IFERROR(IF(COUNTIF(J77:U77,"x")=0,COUNTA(Besatzung!$B$11:$B$22),COUNTIF(J77:U77,"x")),1)+IF(COUNTIF(J77:U77,"x")=0,(Besatzung!$F$17="x"),(P77="x")*(Besatzung!$F$17="x"))*IFERROR(H77,0)/IFERROR(IF(COUNTIF(J77:U77,"x")=0,SUMPRODUCT((Besatzung!$B$11:$B$22&lt;&gt;"")*(Besatzung!$F$11:$F$22="x")),SUMPRODUCT((J77:U77="x")*(Besatzung!$F$11:$F$22="x"))),1))))),0))))</f>
        <v/>
      </c>
      <c r="AC77" s="106">
        <f>IF(C77="Gutschrift","",IF(G77="","",IF(Besatzung!$B$18="","",IFERROR(IF(I77="Zeitanteilig",(Besatzung!$G$18*(G77-IFERROR(H77,0))+((Besatzung!$B$18&lt;&gt;"")*IF(B77="",1,(IF(Besatzung!$C$18="",Besatzung!$B$5,Besatzung!$C$18)&lt;=B77)*(IF(Besatzung!$D$18="",Besatzung!$B$6,Besatzung!$D$18)&gt;=B77)))*(Besatzung!$F$18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$18&lt;&gt;"")*IF(B77="",1,(IF(Besatzung!$C$18="",Besatzung!$B$5,Besatzung!$C$18)&lt;=B77)*(IF(Besatzung!$D$18="",Besatzung!$B$6,Besatzung!$D$18)&gt;=B77)))*((G77-IFERROR(H77,0))/IFERROR(SUMPRODUCT((Besatzung!$B$11:$B$22&lt;&gt;"")*(IF(Besatzung!$C$11:$C$22="",Besatzung!$B$5,Besatzung!$C$11:$C$22)&lt;=B77)*(IF(Besatzung!$D$11:$D$22="",Besatzung!$B$6,Besatzung!$D$11:$D$22)&gt;=B77)),1)+(Besatzung!$F$18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Q77="x")*((G77-IFERROR(H77,0))/IFERROR(COUNTIF(J77:U77,"x"),1)+(Besatzung!$F$18="x")*IFERROR(H77,0)/IFERROR(SUMPRODUCT((J77:U77="x")*(Besatzung!$F$11:$F$22="x")),1))),(IF(COUNTIF(J77:U77,"x")=0,IF(Besatzung!$B$18&lt;&gt;"",1,0),(Q77="x"))*(G77-IFERROR(H77,0))/IFERROR(IF(COUNTIF(J77:U77,"x")=0,COUNTA(Besatzung!$B$11:$B$22),COUNTIF(J77:U77,"x")),1)+IF(COUNTIF(J77:U77,"x")=0,(Besatzung!$F$18="x"),(Q77="x")*(Besatzung!$F$18="x"))*IFERROR(H77,0)/IFERROR(IF(COUNTIF(J77:U77,"x")=0,SUMPRODUCT((Besatzung!$B$11:$B$22&lt;&gt;"")*(Besatzung!$F$11:$F$22="x")),SUMPRODUCT((J77:U77="x")*(Besatzung!$F$11:$F$22="x"))),1))))),0))))</f>
        <v/>
      </c>
      <c r="AD77" s="106">
        <f>IF(C77="Gutschrift","",IF(G77="","",IF(Besatzung!$B$19="","",IFERROR(IF(I77="Zeitanteilig",(Besatzung!$G$19*(G77-IFERROR(H77,0))+((Besatzung!$B$19&lt;&gt;"")*IF(B77="",1,(IF(Besatzung!$C$19="",Besatzung!$B$5,Besatzung!$C$19)&lt;=B77)*(IF(Besatzung!$D$19="",Besatzung!$B$6,Besatzung!$D$19)&gt;=B77)))*(Besatzung!$F$19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$19&lt;&gt;"")*IF(B77="",1,(IF(Besatzung!$C$19="",Besatzung!$B$5,Besatzung!$C$19)&lt;=B77)*(IF(Besatzung!$D$19="",Besatzung!$B$6,Besatzung!$D$19)&gt;=B77)))*((G77-IFERROR(H77,0))/IFERROR(SUMPRODUCT((Besatzung!$B$11:$B$22&lt;&gt;"")*(IF(Besatzung!$C$11:$C$22="",Besatzung!$B$5,Besatzung!$C$11:$C$22)&lt;=B77)*(IF(Besatzung!$D$11:$D$22="",Besatzung!$B$6,Besatzung!$D$11:$D$22)&gt;=B77)),1)+(Besatzung!$F$19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R77="x")*((G77-IFERROR(H77,0))/IFERROR(COUNTIF(J77:U77,"x"),1)+(Besatzung!$F$19="x")*IFERROR(H77,0)/IFERROR(SUMPRODUCT((J77:U77="x")*(Besatzung!$F$11:$F$22="x")),1))),(IF(COUNTIF(J77:U77,"x")=0,IF(Besatzung!$B$19&lt;&gt;"",1,0),(R77="x"))*(G77-IFERROR(H77,0))/IFERROR(IF(COUNTIF(J77:U77,"x")=0,COUNTA(Besatzung!$B$11:$B$22),COUNTIF(J77:U77,"x")),1)+IF(COUNTIF(J77:U77,"x")=0,(Besatzung!$F$19="x"),(R77="x")*(Besatzung!$F$19="x"))*IFERROR(H77,0)/IFERROR(IF(COUNTIF(J77:U77,"x")=0,SUMPRODUCT((Besatzung!$B$11:$B$22&lt;&gt;"")*(Besatzung!$F$11:$F$22="x")),SUMPRODUCT((J77:U77="x")*(Besatzung!$F$11:$F$22="x"))),1))))),0))))</f>
        <v/>
      </c>
      <c r="AE77" s="106">
        <f>IF(C77="Gutschrift","",IF(G77="","",IF(Besatzung!$B$20="","",IFERROR(IF(I77="Zeitanteilig",(Besatzung!$G$20*(G77-IFERROR(H77,0))+((Besatzung!$B$20&lt;&gt;"")*IF(B77="",1,(IF(Besatzung!$C$20="",Besatzung!$B$5,Besatzung!$C$20)&lt;=B77)*(IF(Besatzung!$D$20="",Besatzung!$B$6,Besatzung!$D$20)&gt;=B77)))*(Besatzung!$F$20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$20&lt;&gt;"")*IF(B77="",1,(IF(Besatzung!$C$20="",Besatzung!$B$5,Besatzung!$C$20)&lt;=B77)*(IF(Besatzung!$D$20="",Besatzung!$B$6,Besatzung!$D$20)&gt;=B77)))*((G77-IFERROR(H77,0))/IFERROR(SUMPRODUCT((Besatzung!$B$11:$B$22&lt;&gt;"")*(IF(Besatzung!$C$11:$C$22="",Besatzung!$B$5,Besatzung!$C$11:$C$22)&lt;=B77)*(IF(Besatzung!$D$11:$D$22="",Besatzung!$B$6,Besatzung!$D$11:$D$22)&gt;=B77)),1)+(Besatzung!$F$20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S77="x")*((G77-IFERROR(H77,0))/IFERROR(COUNTIF(J77:U77,"x"),1)+(Besatzung!$F$20="x")*IFERROR(H77,0)/IFERROR(SUMPRODUCT((J77:U77="x")*(Besatzung!$F$11:$F$22="x")),1))),(IF(COUNTIF(J77:U77,"x")=0,IF(Besatzung!$B$20&lt;&gt;"",1,0),(S77="x"))*(G77-IFERROR(H77,0))/IFERROR(IF(COUNTIF(J77:U77,"x")=0,COUNTA(Besatzung!$B$11:$B$22),COUNTIF(J77:U77,"x")),1)+IF(COUNTIF(J77:U77,"x")=0,(Besatzung!$F$20="x"),(S77="x")*(Besatzung!$F$20="x"))*IFERROR(H77,0)/IFERROR(IF(COUNTIF(J77:U77,"x")=0,SUMPRODUCT((Besatzung!$B$11:$B$22&lt;&gt;"")*(Besatzung!$F$11:$F$22="x")),SUMPRODUCT((J77:U77="x")*(Besatzung!$F$11:$F$22="x"))),1))))),0))))</f>
        <v/>
      </c>
      <c r="AF77" s="106">
        <f>IF(C77="Gutschrift","",IF(G77="","",IF(Besatzung!$B$21="","",IFERROR(IF(I77="Zeitanteilig",(Besatzung!$G$21*(G77-IFERROR(H77,0))+((Besatzung!$B$21&lt;&gt;"")*IF(B77="",1,(IF(Besatzung!$C$21="",Besatzung!$B$5,Besatzung!$C$21)&lt;=B77)*(IF(Besatzung!$D$21="",Besatzung!$B$6,Besatzung!$D$21)&gt;=B77)))*(Besatzung!$F$21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$21&lt;&gt;"")*IF(B77="",1,(IF(Besatzung!$C$21="",Besatzung!$B$5,Besatzung!$C$21)&lt;=B77)*(IF(Besatzung!$D$21="",Besatzung!$B$6,Besatzung!$D$21)&gt;=B77)))*((G77-IFERROR(H77,0))/IFERROR(SUMPRODUCT((Besatzung!$B$11:$B$22&lt;&gt;"")*(IF(Besatzung!$C$11:$C$22="",Besatzung!$B$5,Besatzung!$C$11:$C$22)&lt;=B77)*(IF(Besatzung!$D$11:$D$22="",Besatzung!$B$6,Besatzung!$D$11:$D$22)&gt;=B77)),1)+(Besatzung!$F$21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T77="x")*((G77-IFERROR(H77,0))/IFERROR(COUNTIF(J77:U77,"x"),1)+(Besatzung!$F$21="x")*IFERROR(H77,0)/IFERROR(SUMPRODUCT((J77:U77="x")*(Besatzung!$F$11:$F$22="x")),1))),(IF(COUNTIF(J77:U77,"x")=0,IF(Besatzung!$B$21&lt;&gt;"",1,0),(T77="x"))*(G77-IFERROR(H77,0))/IFERROR(IF(COUNTIF(J77:U77,"x")=0,COUNTA(Besatzung!$B$11:$B$22),COUNTIF(J77:U77,"x")),1)+IF(COUNTIF(J77:U77,"x")=0,(Besatzung!$F$21="x"),(T77="x")*(Besatzung!$F$21="x"))*IFERROR(H77,0)/IFERROR(IF(COUNTIF(J77:U77,"x")=0,SUMPRODUCT((Besatzung!$B$11:$B$22&lt;&gt;"")*(Besatzung!$F$11:$F$22="x")),SUMPRODUCT((J77:U77="x")*(Besatzung!$F$11:$F$22="x"))),1))))),0))))</f>
        <v/>
      </c>
      <c r="AG77" s="106">
        <f>IF(C77="Gutschrift","",IF(G77="","",IF(Besatzung!$B$22="","",IFERROR(IF(I77="Zeitanteilig",(Besatzung!$G$22*(G77-IFERROR(H77,0))+((Besatzung!$B$22&lt;&gt;"")*IF(B77="",1,(IF(Besatzung!$C$22="",Besatzung!$B$5,Besatzung!$C$22)&lt;=B77)*(IF(Besatzung!$D$22="",Besatzung!$B$6,Besatzung!$D$22)&gt;=B77)))*(Besatzung!$F$22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$22&lt;&gt;"")*IF(B77="",1,(IF(Besatzung!$C$22="",Besatzung!$B$5,Besatzung!$C$22)&lt;=B77)*(IF(Besatzung!$D$22="",Besatzung!$B$6,Besatzung!$D$22)&gt;=B77)))*((G77-IFERROR(H77,0))/IFERROR(SUMPRODUCT((Besatzung!$B$11:$B$22&lt;&gt;"")*(IF(Besatzung!$C$11:$C$22="",Besatzung!$B$5,Besatzung!$C$11:$C$22)&lt;=B77)*(IF(Besatzung!$D$11:$D$22="",Besatzung!$B$6,Besatzung!$D$11:$D$22)&gt;=B77)),1)+(Besatzung!$F$22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U77="x")*((G77-IFERROR(H77,0))/IFERROR(COUNTIF(J77:U77,"x"),1)+(Besatzung!$F$22="x")*IFERROR(H77,0)/IFERROR(SUMPRODUCT((J77:U77="x")*(Besatzung!$F$11:$F$22="x")),1))),(IF(COUNTIF(J77:U77,"x")=0,IF(Besatzung!$B$22&lt;&gt;"",1,0),(U77="x"))*(G77-IFERROR(H77,0))/IFERROR(IF(COUNTIF(J77:U77,"x")=0,COUNTA(Besatzung!$B$11:$B$22),COUNTIF(J77:U77,"x")),1)+IF(COUNTIF(J77:U77,"x")=0,(Besatzung!$F$22="x"),(U77="x")*(Besatzung!$F$22="x"))*IFERROR(H77,0)/IFERROR(IF(COUNTIF(J77:U77,"x")=0,SUMPRODUCT((Besatzung!$B$11:$B$22&lt;&gt;"")*(Besatzung!$F$11:$F$22="x")),SUMPRODUCT((J77:U77="x")*(Besatzung!$F$11:$F$22="x"))),1))))),0))))</f>
        <v/>
      </c>
      <c r="AH77" s="107" t="n"/>
      <c r="AI77" s="107" t="n"/>
    </row>
    <row r="78" ht="21.75" customHeight="1" s="182">
      <c r="A78" s="97">
        <f>IF(AND(D78="",C78=""),"",75)</f>
        <v/>
      </c>
      <c r="B78" s="56" t="n"/>
      <c r="C78" s="98" t="n"/>
      <c r="D78" s="99" t="n"/>
      <c r="E78" s="100" t="n"/>
      <c r="F78" s="101" t="n"/>
      <c r="G78" s="102" t="n"/>
      <c r="H78" s="103" t="n"/>
      <c r="I78" s="104" t="n"/>
      <c r="J78" s="105" t="n"/>
      <c r="K78" s="105" t="n"/>
      <c r="L78" s="105" t="n"/>
      <c r="M78" s="105" t="n"/>
      <c r="N78" s="105" t="n"/>
      <c r="O78" s="105" t="n"/>
      <c r="P78" s="105" t="n"/>
      <c r="Q78" s="105" t="n"/>
      <c r="R78" s="105" t="n"/>
      <c r="S78" s="105" t="n"/>
      <c r="T78" s="105" t="n"/>
      <c r="U78" s="105" t="n"/>
      <c r="V78" s="106">
        <f>IF(C78="Gutschrift","",IF(G78="","",IF(Besatzung!$B$11="","",IFERROR(IF(I78="Zeitanteilig",(Besatzung!$G$11*(G78-IFERROR(H78,0))+((Besatzung!$B$11&lt;&gt;"")*IF(B78="",1,(IF(Besatzung!$C$11="",Besatzung!$B$5,Besatzung!$C$11)&lt;=B78)*(IF(Besatzung!$D$11="",Besatzung!$B$6,Besatzung!$D$11)&gt;=B78)))*(Besatzung!$F$11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$11&lt;&gt;"")*IF(B78="",1,(IF(Besatzung!$C$11="",Besatzung!$B$5,Besatzung!$C$11)&lt;=B78)*(IF(Besatzung!$D$11="",Besatzung!$B$6,Besatzung!$D$11)&gt;=B78)))*((G78-IFERROR(H78,0))/IFERROR(SUMPRODUCT((Besatzung!$B$11:$B$22&lt;&gt;"")*(IF(Besatzung!$C$11:$C$22="",Besatzung!$B$5,Besatzung!$C$11:$C$22)&lt;=B78)*(IF(Besatzung!$D$11:$D$22="",Besatzung!$B$6,Besatzung!$D$11:$D$22)&gt;=B78)),1)+(Besatzung!$F$11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J78="x")*((G78-IFERROR(H78,0))/IFERROR(COUNTIF(J78:U78,"x"),1)+(Besatzung!$F$11="x")*IFERROR(H78,0)/IFERROR(SUMPRODUCT((J78:U78="x")*(Besatzung!$F$11:$F$22="x")),1))),(IF(COUNTIF(J78:U78,"x")=0,IF(Besatzung!$B$11&lt;&gt;"",1,0),(J78="x"))*(G78-IFERROR(H78,0))/IFERROR(IF(COUNTIF(J78:U78,"x")=0,COUNTA(Besatzung!$B$11:$B$22),COUNTIF(J78:U78,"x")),1)+IF(COUNTIF(J78:U78,"x")=0,(Besatzung!$F$11="x"),(J78="x")*(Besatzung!$F$11="x"))*IFERROR(H78,0)/IFERROR(IF(COUNTIF(J78:U78,"x")=0,SUMPRODUCT((Besatzung!$B$11:$B$22&lt;&gt;"")*(Besatzung!$F$11:$F$22="x")),SUMPRODUCT((J78:U78="x")*(Besatzung!$F$11:$F$22="x"))),1))))),0))))</f>
        <v/>
      </c>
      <c r="W78" s="106">
        <f>IF(C78="Gutschrift","",IF(G78="","",IF(Besatzung!$B$12="","",IFERROR(IF(I78="Zeitanteilig",(Besatzung!$G$12*(G78-IFERROR(H78,0))+((Besatzung!$B$12&lt;&gt;"")*IF(B78="",1,(IF(Besatzung!$C$12="",Besatzung!$B$5,Besatzung!$C$12)&lt;=B78)*(IF(Besatzung!$D$12="",Besatzung!$B$6,Besatzung!$D$12)&gt;=B78)))*(Besatzung!$F$12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$12&lt;&gt;"")*IF(B78="",1,(IF(Besatzung!$C$12="",Besatzung!$B$5,Besatzung!$C$12)&lt;=B78)*(IF(Besatzung!$D$12="",Besatzung!$B$6,Besatzung!$D$12)&gt;=B78)))*((G78-IFERROR(H78,0))/IFERROR(SUMPRODUCT((Besatzung!$B$11:$B$22&lt;&gt;"")*(IF(Besatzung!$C$11:$C$22="",Besatzung!$B$5,Besatzung!$C$11:$C$22)&lt;=B78)*(IF(Besatzung!$D$11:$D$22="",Besatzung!$B$6,Besatzung!$D$11:$D$22)&gt;=B78)),1)+(Besatzung!$F$12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K78="x")*((G78-IFERROR(H78,0))/IFERROR(COUNTIF(J78:U78,"x"),1)+(Besatzung!$F$12="x")*IFERROR(H78,0)/IFERROR(SUMPRODUCT((J78:U78="x")*(Besatzung!$F$11:$F$22="x")),1))),(IF(COUNTIF(J78:U78,"x")=0,IF(Besatzung!$B$12&lt;&gt;"",1,0),(K78="x"))*(G78-IFERROR(H78,0))/IFERROR(IF(COUNTIF(J78:U78,"x")=0,COUNTA(Besatzung!$B$11:$B$22),COUNTIF(J78:U78,"x")),1)+IF(COUNTIF(J78:U78,"x")=0,(Besatzung!$F$12="x"),(K78="x")*(Besatzung!$F$12="x"))*IFERROR(H78,0)/IFERROR(IF(COUNTIF(J78:U78,"x")=0,SUMPRODUCT((Besatzung!$B$11:$B$22&lt;&gt;"")*(Besatzung!$F$11:$F$22="x")),SUMPRODUCT((J78:U78="x")*(Besatzung!$F$11:$F$22="x"))),1))))),0))))</f>
        <v/>
      </c>
      <c r="X78" s="106">
        <f>IF(C78="Gutschrift","",IF(G78="","",IF(Besatzung!$B$13="","",IFERROR(IF(I78="Zeitanteilig",(Besatzung!$G$13*(G78-IFERROR(H78,0))+((Besatzung!$B$13&lt;&gt;"")*IF(B78="",1,(IF(Besatzung!$C$13="",Besatzung!$B$5,Besatzung!$C$13)&lt;=B78)*(IF(Besatzung!$D$13="",Besatzung!$B$6,Besatzung!$D$13)&gt;=B78)))*(Besatzung!$F$13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$13&lt;&gt;"")*IF(B78="",1,(IF(Besatzung!$C$13="",Besatzung!$B$5,Besatzung!$C$13)&lt;=B78)*(IF(Besatzung!$D$13="",Besatzung!$B$6,Besatzung!$D$13)&gt;=B78)))*((G78-IFERROR(H78,0))/IFERROR(SUMPRODUCT((Besatzung!$B$11:$B$22&lt;&gt;"")*(IF(Besatzung!$C$11:$C$22="",Besatzung!$B$5,Besatzung!$C$11:$C$22)&lt;=B78)*(IF(Besatzung!$D$11:$D$22="",Besatzung!$B$6,Besatzung!$D$11:$D$22)&gt;=B78)),1)+(Besatzung!$F$13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K78="x")*((G78-IFERROR(H78,0))/IFERROR(COUNTIF(J78:U78,"x"),1)+(Besatzung!$F$13="x")*IFERROR(H78,0)/IFERROR(SUMPRODUCT((J78:U78="x")*(Besatzung!$F$11:$F$22="x")),1))),(IF(COUNTIF(J78:U78,"x")=0,IF(Besatzung!$B$13&lt;&gt;"",1,0),(K78="x"))*(G78-IFERROR(H78,0))/IFERROR(IF(COUNTIF(J78:U78,"x")=0,COUNTA(Besatzung!$B$11:$B$22),COUNTIF(J78:U78,"x")),1)+IF(COUNTIF(J78:U78,"x")=0,(Besatzung!$F$13="x"),(K78="x")*(Besatzung!$F$13="x"))*IFERROR(H78,0)/IFERROR(IF(COUNTIF(J78:U78,"x")=0,SUMPRODUCT((Besatzung!$B$11:$B$22&lt;&gt;"")*(Besatzung!$F$11:$F$22="x")),SUMPRODUCT((J78:U78="x")*(Besatzung!$F$11:$F$22="x"))),1))))),0))))</f>
        <v/>
      </c>
      <c r="Y78" s="106">
        <f>IF(C78="Gutschrift","",IF(G78="","",IF(Besatzung!$B$14="","",IFERROR(IF(I78="Zeitanteilig",(Besatzung!$G$14*(G78-IFERROR(H78,0))+((Besatzung!$B$14&lt;&gt;"")*IF(B78="",1,(IF(Besatzung!$C$14="",Besatzung!$B$5,Besatzung!$C$14)&lt;=B78)*(IF(Besatzung!$D$14="",Besatzung!$B$6,Besatzung!$D$14)&gt;=B78)))*(Besatzung!$F$14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$14&lt;&gt;"")*IF(B78="",1,(IF(Besatzung!$C$14="",Besatzung!$B$5,Besatzung!$C$14)&lt;=B78)*(IF(Besatzung!$D$14="",Besatzung!$B$6,Besatzung!$D$14)&gt;=B78)))*((G78-IFERROR(H78,0))/IFERROR(SUMPRODUCT((Besatzung!$B$11:$B$22&lt;&gt;"")*(IF(Besatzung!$C$11:$C$22="",Besatzung!$B$5,Besatzung!$C$11:$C$22)&lt;=B78)*(IF(Besatzung!$D$11:$D$22="",Besatzung!$B$6,Besatzung!$D$11:$D$22)&gt;=B78)),1)+(Besatzung!$F$14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M78="x")*((G78-IFERROR(H78,0))/IFERROR(COUNTIF(J78:U78,"x"),1)+(Besatzung!$F$14="x")*IFERROR(H78,0)/IFERROR(SUMPRODUCT((J78:U78="x")*(Besatzung!$F$11:$F$22="x")),1))),(IF(COUNTIF(J78:U78,"x")=0,IF(Besatzung!$B$14&lt;&gt;"",1,0),(M78="x"))*(G78-IFERROR(H78,0))/IFERROR(IF(COUNTIF(J78:U78,"x")=0,COUNTA(Besatzung!$B$11:$B$22),COUNTIF(J78:U78,"x")),1)+IF(COUNTIF(J78:U78,"x")=0,(Besatzung!$F$14="x"),(M78="x")*(Besatzung!$F$14="x"))*IFERROR(H78,0)/IFERROR(IF(COUNTIF(J78:U78,"x")=0,SUMPRODUCT((Besatzung!$B$11:$B$22&lt;&gt;"")*(Besatzung!$F$11:$F$22="x")),SUMPRODUCT((J78:U78="x")*(Besatzung!$F$11:$F$22="x"))),1))))),0))))</f>
        <v/>
      </c>
      <c r="Z78" s="106">
        <f>IF(C78="Gutschrift","",IF(G78="","",IF(Besatzung!$B$13="","",IFERROR(IF(I78="Zeitanteilig",(Besatzung!$G$15*(G78-IFERROR(H78,0))+((Besatzung!$B$13&lt;&gt;"")*IF(B78="",1,(IF(Besatzung!$C$15="",Besatzung!$B$5,Besatzung!$C$15)&lt;=B78)*(IF(Besatzung!$D$15="",Besatzung!$B$6,Besatzung!$D$15)&gt;=B78)))*(Besatzung!$F$15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$13&lt;&gt;"")*IF(B78="",1,(IF(Besatzung!$C$15="",Besatzung!$B$5,Besatzung!$C$15)&lt;=B78)*(IF(Besatzung!$D$15="",Besatzung!$B$6,Besatzung!$D$15)&gt;=B78)))*((G78-IFERROR(H78,0))/IFERROR(SUMPRODUCT((Besatzung!$B$11:$B$22&lt;&gt;"")*(IF(Besatzung!$C$11:$C$22="",Besatzung!$B$5,Besatzung!$C$11:$C$22)&lt;=B78)*(IF(Besatzung!$D$11:$D$22="",Besatzung!$B$6,Besatzung!$D$11:$D$22)&gt;=B78)),1)+(Besatzung!$F$15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N78="x")*((G78-IFERROR(H78,0))/IFERROR(COUNTIF(J78:U78,"x"),1)+(Besatzung!$F$15="x")*IFERROR(H78,0)/IFERROR(SUMPRODUCT((J78:U78="x")*(Besatzung!$F$11:$F$22="x")),1))),(IF(COUNTIF(J78:U78,"x")=0,IF(Besatzung!$B$13&lt;&gt;"",1,0),(N78="x"))*(G78-IFERROR(H78,0))/IFERROR(IF(COUNTIF(J78:U78,"x")=0,COUNTA(Besatzung!$B$11:$B$22),COUNTIF(J78:U78,"x")),1)+IF(COUNTIF(J78:U78,"x")=0,(Besatzung!$F$15="x"),(N78="x")*(Besatzung!$F$15="x"))*IFERROR(H78,0)/IFERROR(IF(COUNTIF(J78:U78,"x")=0,SUMPRODUCT((Besatzung!$B$11:$B$22&lt;&gt;"")*(Besatzung!$F$11:$F$22="x")),SUMPRODUCT((J78:U78="x")*(Besatzung!$F$11:$F$22="x"))),1))))),0))))</f>
        <v/>
      </c>
      <c r="AA78" s="106">
        <f>IF(C78="Gutschrift","",IF(G78="","",IF(Besatzung!$B$15="","",IFERROR(IF(I78="Zeitanteilig",(Besatzung!$G$16*(G78-IFERROR(H78,0))+((Besatzung!$B$15&lt;&gt;"")*IF(B78="",1,(IF(Besatzung!$C$16="",Besatzung!$B$5,Besatzung!$C$16)&lt;=B78)*(IF(Besatzung!$D$16="",Besatzung!$B$6,Besatzung!$D$16)&gt;=B78)))*(Besatzung!$F$16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$15&lt;&gt;"")*IF(B78="",1,(IF(Besatzung!$C$16="",Besatzung!$B$5,Besatzung!$C$16)&lt;=B78)*(IF(Besatzung!$D$16="",Besatzung!$B$6,Besatzung!$D$16)&gt;=B78)))*((G78-IFERROR(H78,0))/IFERROR(SUMPRODUCT((Besatzung!$B$11:$B$22&lt;&gt;"")*(IF(Besatzung!$C$11:$C$22="",Besatzung!$B$5,Besatzung!$C$11:$C$22)&lt;=B78)*(IF(Besatzung!$D$11:$D$22="",Besatzung!$B$6,Besatzung!$D$11:$D$22)&gt;=B78)),1)+(Besatzung!$F$16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O78="x")*((G78-IFERROR(H78,0))/IFERROR(COUNTIF(J78:U78,"x"),1)+(Besatzung!$F$16="x")*IFERROR(H78,0)/IFERROR(SUMPRODUCT((J78:U78="x")*(Besatzung!$F$11:$F$22="x")),1))),(IF(COUNTIF(J78:U78,"x")=0,IF(Besatzung!$B$15&lt;&gt;"",1,0),(O78="x"))*(G78-IFERROR(H78,0))/IFERROR(IF(COUNTIF(J78:U78,"x")=0,COUNTA(Besatzung!$B$11:$B$22),COUNTIF(J78:U78,"x")),1)+IF(COUNTIF(J78:U78,"x")=0,(Besatzung!$F$16="x"),(O78="x")*(Besatzung!$F$16="x"))*IFERROR(H78,0)/IFERROR(IF(COUNTIF(J78:U78,"x")=0,SUMPRODUCT((Besatzung!$B$11:$B$22&lt;&gt;"")*(Besatzung!$F$11:$F$22="x")),SUMPRODUCT((J78:U78="x")*(Besatzung!$F$11:$F$22="x"))),1))))),0))))</f>
        <v/>
      </c>
      <c r="AB78" s="106">
        <f>IF(C78="Gutschrift","",IF(G78="","",IF(Besatzung!$B$17="","",IFERROR(IF(I78="Zeitanteilig",(Besatzung!$G$17*(G78-IFERROR(H78,0))+((Besatzung!$B$17&lt;&gt;"")*IF(B78="",1,(IF(Besatzung!$C$17="",Besatzung!$B$5,Besatzung!$C$17)&lt;=B78)*(IF(Besatzung!$D$17="",Besatzung!$B$6,Besatzung!$D$17)&gt;=B78)))*(Besatzung!$F$17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$17&lt;&gt;"")*IF(B78="",1,(IF(Besatzung!$C$17="",Besatzung!$B$5,Besatzung!$C$17)&lt;=B78)*(IF(Besatzung!$D$17="",Besatzung!$B$6,Besatzung!$D$17)&gt;=B78)))*((G78-IFERROR(H78,0))/IFERROR(SUMPRODUCT((Besatzung!$B$11:$B$22&lt;&gt;"")*(IF(Besatzung!$C$11:$C$22="",Besatzung!$B$5,Besatzung!$C$11:$C$22)&lt;=B78)*(IF(Besatzung!$D$11:$D$22="",Besatzung!$B$6,Besatzung!$D$11:$D$22)&gt;=B78)),1)+(Besatzung!$F$17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P78="x")*((G78-IFERROR(H78,0))/IFERROR(COUNTIF(J78:U78,"x"),1)+(Besatzung!$F$17="x")*IFERROR(H78,0)/IFERROR(SUMPRODUCT((J78:U78="x")*(Besatzung!$F$11:$F$22="x")),1))),(IF(COUNTIF(J78:U78,"x")=0,IF(Besatzung!$B$17&lt;&gt;"",1,0),(P78="x"))*(G78-IFERROR(H78,0))/IFERROR(IF(COUNTIF(J78:U78,"x")=0,COUNTA(Besatzung!$B$11:$B$22),COUNTIF(J78:U78,"x")),1)+IF(COUNTIF(J78:U78,"x")=0,(Besatzung!$F$17="x"),(P78="x")*(Besatzung!$F$17="x"))*IFERROR(H78,0)/IFERROR(IF(COUNTIF(J78:U78,"x")=0,SUMPRODUCT((Besatzung!$B$11:$B$22&lt;&gt;"")*(Besatzung!$F$11:$F$22="x")),SUMPRODUCT((J78:U78="x")*(Besatzung!$F$11:$F$22="x"))),1))))),0))))</f>
        <v/>
      </c>
      <c r="AC78" s="106">
        <f>IF(C78="Gutschrift","",IF(G78="","",IF(Besatzung!$B$18="","",IFERROR(IF(I78="Zeitanteilig",(Besatzung!$G$18*(G78-IFERROR(H78,0))+((Besatzung!$B$18&lt;&gt;"")*IF(B78="",1,(IF(Besatzung!$C$18="",Besatzung!$B$5,Besatzung!$C$18)&lt;=B78)*(IF(Besatzung!$D$18="",Besatzung!$B$6,Besatzung!$D$18)&gt;=B78)))*(Besatzung!$F$18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$18&lt;&gt;"")*IF(B78="",1,(IF(Besatzung!$C$18="",Besatzung!$B$5,Besatzung!$C$18)&lt;=B78)*(IF(Besatzung!$D$18="",Besatzung!$B$6,Besatzung!$D$18)&gt;=B78)))*((G78-IFERROR(H78,0))/IFERROR(SUMPRODUCT((Besatzung!$B$11:$B$22&lt;&gt;"")*(IF(Besatzung!$C$11:$C$22="",Besatzung!$B$5,Besatzung!$C$11:$C$22)&lt;=B78)*(IF(Besatzung!$D$11:$D$22="",Besatzung!$B$6,Besatzung!$D$11:$D$22)&gt;=B78)),1)+(Besatzung!$F$18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Q78="x")*((G78-IFERROR(H78,0))/IFERROR(COUNTIF(J78:U78,"x"),1)+(Besatzung!$F$18="x")*IFERROR(H78,0)/IFERROR(SUMPRODUCT((J78:U78="x")*(Besatzung!$F$11:$F$22="x")),1))),(IF(COUNTIF(J78:U78,"x")=0,IF(Besatzung!$B$18&lt;&gt;"",1,0),(Q78="x"))*(G78-IFERROR(H78,0))/IFERROR(IF(COUNTIF(J78:U78,"x")=0,COUNTA(Besatzung!$B$11:$B$22),COUNTIF(J78:U78,"x")),1)+IF(COUNTIF(J78:U78,"x")=0,(Besatzung!$F$18="x"),(Q78="x")*(Besatzung!$F$18="x"))*IFERROR(H78,0)/IFERROR(IF(COUNTIF(J78:U78,"x")=0,SUMPRODUCT((Besatzung!$B$11:$B$22&lt;&gt;"")*(Besatzung!$F$11:$F$22="x")),SUMPRODUCT((J78:U78="x")*(Besatzung!$F$11:$F$22="x"))),1))))),0))))</f>
        <v/>
      </c>
      <c r="AD78" s="106">
        <f>IF(C78="Gutschrift","",IF(G78="","",IF(Besatzung!$B$19="","",IFERROR(IF(I78="Zeitanteilig",(Besatzung!$G$19*(G78-IFERROR(H78,0))+((Besatzung!$B$19&lt;&gt;"")*IF(B78="",1,(IF(Besatzung!$C$19="",Besatzung!$B$5,Besatzung!$C$19)&lt;=B78)*(IF(Besatzung!$D$19="",Besatzung!$B$6,Besatzung!$D$19)&gt;=B78)))*(Besatzung!$F$19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$19&lt;&gt;"")*IF(B78="",1,(IF(Besatzung!$C$19="",Besatzung!$B$5,Besatzung!$C$19)&lt;=B78)*(IF(Besatzung!$D$19="",Besatzung!$B$6,Besatzung!$D$19)&gt;=B78)))*((G78-IFERROR(H78,0))/IFERROR(SUMPRODUCT((Besatzung!$B$11:$B$22&lt;&gt;"")*(IF(Besatzung!$C$11:$C$22="",Besatzung!$B$5,Besatzung!$C$11:$C$22)&lt;=B78)*(IF(Besatzung!$D$11:$D$22="",Besatzung!$B$6,Besatzung!$D$11:$D$22)&gt;=B78)),1)+(Besatzung!$F$19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R78="x")*((G78-IFERROR(H78,0))/IFERROR(COUNTIF(J78:U78,"x"),1)+(Besatzung!$F$19="x")*IFERROR(H78,0)/IFERROR(SUMPRODUCT((J78:U78="x")*(Besatzung!$F$11:$F$22="x")),1))),(IF(COUNTIF(J78:U78,"x")=0,IF(Besatzung!$B$19&lt;&gt;"",1,0),(R78="x"))*(G78-IFERROR(H78,0))/IFERROR(IF(COUNTIF(J78:U78,"x")=0,COUNTA(Besatzung!$B$11:$B$22),COUNTIF(J78:U78,"x")),1)+IF(COUNTIF(J78:U78,"x")=0,(Besatzung!$F$19="x"),(R78="x")*(Besatzung!$F$19="x"))*IFERROR(H78,0)/IFERROR(IF(COUNTIF(J78:U78,"x")=0,SUMPRODUCT((Besatzung!$B$11:$B$22&lt;&gt;"")*(Besatzung!$F$11:$F$22="x")),SUMPRODUCT((J78:U78="x")*(Besatzung!$F$11:$F$22="x"))),1))))),0))))</f>
        <v/>
      </c>
      <c r="AE78" s="106">
        <f>IF(C78="Gutschrift","",IF(G78="","",IF(Besatzung!$B$20="","",IFERROR(IF(I78="Zeitanteilig",(Besatzung!$G$20*(G78-IFERROR(H78,0))+((Besatzung!$B$20&lt;&gt;"")*IF(B78="",1,(IF(Besatzung!$C$20="",Besatzung!$B$5,Besatzung!$C$20)&lt;=B78)*(IF(Besatzung!$D$20="",Besatzung!$B$6,Besatzung!$D$20)&gt;=B78)))*(Besatzung!$F$20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$20&lt;&gt;"")*IF(B78="",1,(IF(Besatzung!$C$20="",Besatzung!$B$5,Besatzung!$C$20)&lt;=B78)*(IF(Besatzung!$D$20="",Besatzung!$B$6,Besatzung!$D$20)&gt;=B78)))*((G78-IFERROR(H78,0))/IFERROR(SUMPRODUCT((Besatzung!$B$11:$B$22&lt;&gt;"")*(IF(Besatzung!$C$11:$C$22="",Besatzung!$B$5,Besatzung!$C$11:$C$22)&lt;=B78)*(IF(Besatzung!$D$11:$D$22="",Besatzung!$B$6,Besatzung!$D$11:$D$22)&gt;=B78)),1)+(Besatzung!$F$20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S78="x")*((G78-IFERROR(H78,0))/IFERROR(COUNTIF(J78:U78,"x"),1)+(Besatzung!$F$20="x")*IFERROR(H78,0)/IFERROR(SUMPRODUCT((J78:U78="x")*(Besatzung!$F$11:$F$22="x")),1))),(IF(COUNTIF(J78:U78,"x")=0,IF(Besatzung!$B$20&lt;&gt;"",1,0),(S78="x"))*(G78-IFERROR(H78,0))/IFERROR(IF(COUNTIF(J78:U78,"x")=0,COUNTA(Besatzung!$B$11:$B$22),COUNTIF(J78:U78,"x")),1)+IF(COUNTIF(J78:U78,"x")=0,(Besatzung!$F$20="x"),(S78="x")*(Besatzung!$F$20="x"))*IFERROR(H78,0)/IFERROR(IF(COUNTIF(J78:U78,"x")=0,SUMPRODUCT((Besatzung!$B$11:$B$22&lt;&gt;"")*(Besatzung!$F$11:$F$22="x")),SUMPRODUCT((J78:U78="x")*(Besatzung!$F$11:$F$22="x"))),1))))),0))))</f>
        <v/>
      </c>
      <c r="AF78" s="106">
        <f>IF(C78="Gutschrift","",IF(G78="","",IF(Besatzung!$B$21="","",IFERROR(IF(I78="Zeitanteilig",(Besatzung!$G$21*(G78-IFERROR(H78,0))+((Besatzung!$B$21&lt;&gt;"")*IF(B78="",1,(IF(Besatzung!$C$21="",Besatzung!$B$5,Besatzung!$C$21)&lt;=B78)*(IF(Besatzung!$D$21="",Besatzung!$B$6,Besatzung!$D$21)&gt;=B78)))*(Besatzung!$F$21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$21&lt;&gt;"")*IF(B78="",1,(IF(Besatzung!$C$21="",Besatzung!$B$5,Besatzung!$C$21)&lt;=B78)*(IF(Besatzung!$D$21="",Besatzung!$B$6,Besatzung!$D$21)&gt;=B78)))*((G78-IFERROR(H78,0))/IFERROR(SUMPRODUCT((Besatzung!$B$11:$B$22&lt;&gt;"")*(IF(Besatzung!$C$11:$C$22="",Besatzung!$B$5,Besatzung!$C$11:$C$22)&lt;=B78)*(IF(Besatzung!$D$11:$D$22="",Besatzung!$B$6,Besatzung!$D$11:$D$22)&gt;=B78)),1)+(Besatzung!$F$21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T78="x")*((G78-IFERROR(H78,0))/IFERROR(COUNTIF(J78:U78,"x"),1)+(Besatzung!$F$21="x")*IFERROR(H78,0)/IFERROR(SUMPRODUCT((J78:U78="x")*(Besatzung!$F$11:$F$22="x")),1))),(IF(COUNTIF(J78:U78,"x")=0,IF(Besatzung!$B$21&lt;&gt;"",1,0),(T78="x"))*(G78-IFERROR(H78,0))/IFERROR(IF(COUNTIF(J78:U78,"x")=0,COUNTA(Besatzung!$B$11:$B$22),COUNTIF(J78:U78,"x")),1)+IF(COUNTIF(J78:U78,"x")=0,(Besatzung!$F$21="x"),(T78="x")*(Besatzung!$F$21="x"))*IFERROR(H78,0)/IFERROR(IF(COUNTIF(J78:U78,"x")=0,SUMPRODUCT((Besatzung!$B$11:$B$22&lt;&gt;"")*(Besatzung!$F$11:$F$22="x")),SUMPRODUCT((J78:U78="x")*(Besatzung!$F$11:$F$22="x"))),1))))),0))))</f>
        <v/>
      </c>
      <c r="AG78" s="106">
        <f>IF(C78="Gutschrift","",IF(G78="","",IF(Besatzung!$B$22="","",IFERROR(IF(I78="Zeitanteilig",(Besatzung!$G$22*(G78-IFERROR(H78,0))+((Besatzung!$B$22&lt;&gt;"")*IF(B78="",1,(IF(Besatzung!$C$22="",Besatzung!$B$5,Besatzung!$C$22)&lt;=B78)*(IF(Besatzung!$D$22="",Besatzung!$B$6,Besatzung!$D$22)&gt;=B78)))*(Besatzung!$F$22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$22&lt;&gt;"")*IF(B78="",1,(IF(Besatzung!$C$22="",Besatzung!$B$5,Besatzung!$C$22)&lt;=B78)*(IF(Besatzung!$D$22="",Besatzung!$B$6,Besatzung!$D$22)&gt;=B78)))*((G78-IFERROR(H78,0))/IFERROR(SUMPRODUCT((Besatzung!$B$11:$B$22&lt;&gt;"")*(IF(Besatzung!$C$11:$C$22="",Besatzung!$B$5,Besatzung!$C$11:$C$22)&lt;=B78)*(IF(Besatzung!$D$11:$D$22="",Besatzung!$B$6,Besatzung!$D$11:$D$22)&gt;=B78)),1)+(Besatzung!$F$22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U78="x")*((G78-IFERROR(H78,0))/IFERROR(COUNTIF(J78:U78,"x"),1)+(Besatzung!$F$22="x")*IFERROR(H78,0)/IFERROR(SUMPRODUCT((J78:U78="x")*(Besatzung!$F$11:$F$22="x")),1))),(IF(COUNTIF(J78:U78,"x")=0,IF(Besatzung!$B$22&lt;&gt;"",1,0),(U78="x"))*(G78-IFERROR(H78,0))/IFERROR(IF(COUNTIF(J78:U78,"x")=0,COUNTA(Besatzung!$B$11:$B$22),COUNTIF(J78:U78,"x")),1)+IF(COUNTIF(J78:U78,"x")=0,(Besatzung!$F$22="x"),(U78="x")*(Besatzung!$F$22="x"))*IFERROR(H78,0)/IFERROR(IF(COUNTIF(J78:U78,"x")=0,SUMPRODUCT((Besatzung!$B$11:$B$22&lt;&gt;"")*(Besatzung!$F$11:$F$22="x")),SUMPRODUCT((J78:U78="x")*(Besatzung!$F$11:$F$22="x"))),1))))),0))))</f>
        <v/>
      </c>
      <c r="AH78" s="107" t="n"/>
      <c r="AI78" s="107" t="n"/>
    </row>
    <row r="79" ht="21.75" customHeight="1" s="182">
      <c r="A79" s="97">
        <f>IF(AND(D79="",C79=""),"",76)</f>
        <v/>
      </c>
      <c r="B79" s="63" t="n"/>
      <c r="C79" s="108" t="n"/>
      <c r="D79" s="109" t="n"/>
      <c r="E79" s="110" t="n"/>
      <c r="F79" s="111" t="n"/>
      <c r="G79" s="112" t="n"/>
      <c r="H79" s="113" t="n"/>
      <c r="I79" s="114" t="n"/>
      <c r="J79" s="115" t="n"/>
      <c r="K79" s="115" t="n"/>
      <c r="L79" s="115" t="n"/>
      <c r="M79" s="115" t="n"/>
      <c r="N79" s="115" t="n"/>
      <c r="O79" s="115" t="n"/>
      <c r="P79" s="115" t="n"/>
      <c r="Q79" s="115" t="n"/>
      <c r="R79" s="115" t="n"/>
      <c r="S79" s="115" t="n"/>
      <c r="T79" s="115" t="n"/>
      <c r="U79" s="115" t="n"/>
      <c r="V79" s="106">
        <f>IF(C79="Gutschrift","",IF(G79="","",IF(Besatzung!$B$11="","",IFERROR(IF(I79="Zeitanteilig",(Besatzung!$G$11*(G79-IFERROR(H79,0))+((Besatzung!$B$11&lt;&gt;"")*IF(B79="",1,(IF(Besatzung!$C$11="",Besatzung!$B$5,Besatzung!$C$11)&lt;=B79)*(IF(Besatzung!$D$11="",Besatzung!$B$6,Besatzung!$D$11)&gt;=B79)))*(Besatzung!$F$11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$11&lt;&gt;"")*IF(B79="",1,(IF(Besatzung!$C$11="",Besatzung!$B$5,Besatzung!$C$11)&lt;=B79)*(IF(Besatzung!$D$11="",Besatzung!$B$6,Besatzung!$D$11)&gt;=B79)))*((G79-IFERROR(H79,0))/IFERROR(SUMPRODUCT((Besatzung!$B$11:$B$22&lt;&gt;"")*(IF(Besatzung!$C$11:$C$22="",Besatzung!$B$5,Besatzung!$C$11:$C$22)&lt;=B79)*(IF(Besatzung!$D$11:$D$22="",Besatzung!$B$6,Besatzung!$D$11:$D$22)&gt;=B79)),1)+(Besatzung!$F$11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J79="x")*((G79-IFERROR(H79,0))/IFERROR(COUNTIF(J79:U79,"x"),1)+(Besatzung!$F$11="x")*IFERROR(H79,0)/IFERROR(SUMPRODUCT((J79:U79="x")*(Besatzung!$F$11:$F$22="x")),1))),(IF(COUNTIF(J79:U79,"x")=0,IF(Besatzung!$B$11&lt;&gt;"",1,0),(J79="x"))*(G79-IFERROR(H79,0))/IFERROR(IF(COUNTIF(J79:U79,"x")=0,COUNTA(Besatzung!$B$11:$B$22),COUNTIF(J79:U79,"x")),1)+IF(COUNTIF(J79:U79,"x")=0,(Besatzung!$F$11="x"),(J79="x")*(Besatzung!$F$11="x"))*IFERROR(H79,0)/IFERROR(IF(COUNTIF(J79:U79,"x")=0,SUMPRODUCT((Besatzung!$B$11:$B$22&lt;&gt;"")*(Besatzung!$F$11:$F$22="x")),SUMPRODUCT((J79:U79="x")*(Besatzung!$F$11:$F$22="x"))),1))))),0))))</f>
        <v/>
      </c>
      <c r="W79" s="106">
        <f>IF(C79="Gutschrift","",IF(G79="","",IF(Besatzung!$B$12="","",IFERROR(IF(I79="Zeitanteilig",(Besatzung!$G$12*(G79-IFERROR(H79,0))+((Besatzung!$B$12&lt;&gt;"")*IF(B79="",1,(IF(Besatzung!$C$12="",Besatzung!$B$5,Besatzung!$C$12)&lt;=B79)*(IF(Besatzung!$D$12="",Besatzung!$B$6,Besatzung!$D$12)&gt;=B79)))*(Besatzung!$F$12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$12&lt;&gt;"")*IF(B79="",1,(IF(Besatzung!$C$12="",Besatzung!$B$5,Besatzung!$C$12)&lt;=B79)*(IF(Besatzung!$D$12="",Besatzung!$B$6,Besatzung!$D$12)&gt;=B79)))*((G79-IFERROR(H79,0))/IFERROR(SUMPRODUCT((Besatzung!$B$11:$B$22&lt;&gt;"")*(IF(Besatzung!$C$11:$C$22="",Besatzung!$B$5,Besatzung!$C$11:$C$22)&lt;=B79)*(IF(Besatzung!$D$11:$D$22="",Besatzung!$B$6,Besatzung!$D$11:$D$22)&gt;=B79)),1)+(Besatzung!$F$12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K79="x")*((G79-IFERROR(H79,0))/IFERROR(COUNTIF(J79:U79,"x"),1)+(Besatzung!$F$12="x")*IFERROR(H79,0)/IFERROR(SUMPRODUCT((J79:U79="x")*(Besatzung!$F$11:$F$22="x")),1))),(IF(COUNTIF(J79:U79,"x")=0,IF(Besatzung!$B$12&lt;&gt;"",1,0),(K79="x"))*(G79-IFERROR(H79,0))/IFERROR(IF(COUNTIF(J79:U79,"x")=0,COUNTA(Besatzung!$B$11:$B$22),COUNTIF(J79:U79,"x")),1)+IF(COUNTIF(J79:U79,"x")=0,(Besatzung!$F$12="x"),(K79="x")*(Besatzung!$F$12="x"))*IFERROR(H79,0)/IFERROR(IF(COUNTIF(J79:U79,"x")=0,SUMPRODUCT((Besatzung!$B$11:$B$22&lt;&gt;"")*(Besatzung!$F$11:$F$22="x")),SUMPRODUCT((J79:U79="x")*(Besatzung!$F$11:$F$22="x"))),1))))),0))))</f>
        <v/>
      </c>
      <c r="X79" s="106">
        <f>IF(C79="Gutschrift","",IF(G79="","",IF(Besatzung!$B$13="","",IFERROR(IF(I79="Zeitanteilig",(Besatzung!$G$13*(G79-IFERROR(H79,0))+((Besatzung!$B$13&lt;&gt;"")*IF(B79="",1,(IF(Besatzung!$C$13="",Besatzung!$B$5,Besatzung!$C$13)&lt;=B79)*(IF(Besatzung!$D$13="",Besatzung!$B$6,Besatzung!$D$13)&gt;=B79)))*(Besatzung!$F$13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$13&lt;&gt;"")*IF(B79="",1,(IF(Besatzung!$C$13="",Besatzung!$B$5,Besatzung!$C$13)&lt;=B79)*(IF(Besatzung!$D$13="",Besatzung!$B$6,Besatzung!$D$13)&gt;=B79)))*((G79-IFERROR(H79,0))/IFERROR(SUMPRODUCT((Besatzung!$B$11:$B$22&lt;&gt;"")*(IF(Besatzung!$C$11:$C$22="",Besatzung!$B$5,Besatzung!$C$11:$C$22)&lt;=B79)*(IF(Besatzung!$D$11:$D$22="",Besatzung!$B$6,Besatzung!$D$11:$D$22)&gt;=B79)),1)+(Besatzung!$F$13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K79="x")*((G79-IFERROR(H79,0))/IFERROR(COUNTIF(J79:U79,"x"),1)+(Besatzung!$F$13="x")*IFERROR(H79,0)/IFERROR(SUMPRODUCT((J79:U79="x")*(Besatzung!$F$11:$F$22="x")),1))),(IF(COUNTIF(J79:U79,"x")=0,IF(Besatzung!$B$13&lt;&gt;"",1,0),(K79="x"))*(G79-IFERROR(H79,0))/IFERROR(IF(COUNTIF(J79:U79,"x")=0,COUNTA(Besatzung!$B$11:$B$22),COUNTIF(J79:U79,"x")),1)+IF(COUNTIF(J79:U79,"x")=0,(Besatzung!$F$13="x"),(K79="x")*(Besatzung!$F$13="x"))*IFERROR(H79,0)/IFERROR(IF(COUNTIF(J79:U79,"x")=0,SUMPRODUCT((Besatzung!$B$11:$B$22&lt;&gt;"")*(Besatzung!$F$11:$F$22="x")),SUMPRODUCT((J79:U79="x")*(Besatzung!$F$11:$F$22="x"))),1))))),0))))</f>
        <v/>
      </c>
      <c r="Y79" s="106">
        <f>IF(C79="Gutschrift","",IF(G79="","",IF(Besatzung!$B$14="","",IFERROR(IF(I79="Zeitanteilig",(Besatzung!$G$14*(G79-IFERROR(H79,0))+((Besatzung!$B$14&lt;&gt;"")*IF(B79="",1,(IF(Besatzung!$C$14="",Besatzung!$B$5,Besatzung!$C$14)&lt;=B79)*(IF(Besatzung!$D$14="",Besatzung!$B$6,Besatzung!$D$14)&gt;=B79)))*(Besatzung!$F$14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$14&lt;&gt;"")*IF(B79="",1,(IF(Besatzung!$C$14="",Besatzung!$B$5,Besatzung!$C$14)&lt;=B79)*(IF(Besatzung!$D$14="",Besatzung!$B$6,Besatzung!$D$14)&gt;=B79)))*((G79-IFERROR(H79,0))/IFERROR(SUMPRODUCT((Besatzung!$B$11:$B$22&lt;&gt;"")*(IF(Besatzung!$C$11:$C$22="",Besatzung!$B$5,Besatzung!$C$11:$C$22)&lt;=B79)*(IF(Besatzung!$D$11:$D$22="",Besatzung!$B$6,Besatzung!$D$11:$D$22)&gt;=B79)),1)+(Besatzung!$F$14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M79="x")*((G79-IFERROR(H79,0))/IFERROR(COUNTIF(J79:U79,"x"),1)+(Besatzung!$F$14="x")*IFERROR(H79,0)/IFERROR(SUMPRODUCT((J79:U79="x")*(Besatzung!$F$11:$F$22="x")),1))),(IF(COUNTIF(J79:U79,"x")=0,IF(Besatzung!$B$14&lt;&gt;"",1,0),(M79="x"))*(G79-IFERROR(H79,0))/IFERROR(IF(COUNTIF(J79:U79,"x")=0,COUNTA(Besatzung!$B$11:$B$22),COUNTIF(J79:U79,"x")),1)+IF(COUNTIF(J79:U79,"x")=0,(Besatzung!$F$14="x"),(M79="x")*(Besatzung!$F$14="x"))*IFERROR(H79,0)/IFERROR(IF(COUNTIF(J79:U79,"x")=0,SUMPRODUCT((Besatzung!$B$11:$B$22&lt;&gt;"")*(Besatzung!$F$11:$F$22="x")),SUMPRODUCT((J79:U79="x")*(Besatzung!$F$11:$F$22="x"))),1))))),0))))</f>
        <v/>
      </c>
      <c r="Z79" s="106">
        <f>IF(C79="Gutschrift","",IF(G79="","",IF(Besatzung!$B$13="","",IFERROR(IF(I79="Zeitanteilig",(Besatzung!$G$15*(G79-IFERROR(H79,0))+((Besatzung!$B$13&lt;&gt;"")*IF(B79="",1,(IF(Besatzung!$C$15="",Besatzung!$B$5,Besatzung!$C$15)&lt;=B79)*(IF(Besatzung!$D$15="",Besatzung!$B$6,Besatzung!$D$15)&gt;=B79)))*(Besatzung!$F$15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$13&lt;&gt;"")*IF(B79="",1,(IF(Besatzung!$C$15="",Besatzung!$B$5,Besatzung!$C$15)&lt;=B79)*(IF(Besatzung!$D$15="",Besatzung!$B$6,Besatzung!$D$15)&gt;=B79)))*((G79-IFERROR(H79,0))/IFERROR(SUMPRODUCT((Besatzung!$B$11:$B$22&lt;&gt;"")*(IF(Besatzung!$C$11:$C$22="",Besatzung!$B$5,Besatzung!$C$11:$C$22)&lt;=B79)*(IF(Besatzung!$D$11:$D$22="",Besatzung!$B$6,Besatzung!$D$11:$D$22)&gt;=B79)),1)+(Besatzung!$F$15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N79="x")*((G79-IFERROR(H79,0))/IFERROR(COUNTIF(J79:U79,"x"),1)+(Besatzung!$F$15="x")*IFERROR(H79,0)/IFERROR(SUMPRODUCT((J79:U79="x")*(Besatzung!$F$11:$F$22="x")),1))),(IF(COUNTIF(J79:U79,"x")=0,IF(Besatzung!$B$13&lt;&gt;"",1,0),(N79="x"))*(G79-IFERROR(H79,0))/IFERROR(IF(COUNTIF(J79:U79,"x")=0,COUNTA(Besatzung!$B$11:$B$22),COUNTIF(J79:U79,"x")),1)+IF(COUNTIF(J79:U79,"x")=0,(Besatzung!$F$15="x"),(N79="x")*(Besatzung!$F$15="x"))*IFERROR(H79,0)/IFERROR(IF(COUNTIF(J79:U79,"x")=0,SUMPRODUCT((Besatzung!$B$11:$B$22&lt;&gt;"")*(Besatzung!$F$11:$F$22="x")),SUMPRODUCT((J79:U79="x")*(Besatzung!$F$11:$F$22="x"))),1))))),0))))</f>
        <v/>
      </c>
      <c r="AA79" s="106">
        <f>IF(C79="Gutschrift","",IF(G79="","",IF(Besatzung!$B$15="","",IFERROR(IF(I79="Zeitanteilig",(Besatzung!$G$16*(G79-IFERROR(H79,0))+((Besatzung!$B$15&lt;&gt;"")*IF(B79="",1,(IF(Besatzung!$C$16="",Besatzung!$B$5,Besatzung!$C$16)&lt;=B79)*(IF(Besatzung!$D$16="",Besatzung!$B$6,Besatzung!$D$16)&gt;=B79)))*(Besatzung!$F$16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$15&lt;&gt;"")*IF(B79="",1,(IF(Besatzung!$C$16="",Besatzung!$B$5,Besatzung!$C$16)&lt;=B79)*(IF(Besatzung!$D$16="",Besatzung!$B$6,Besatzung!$D$16)&gt;=B79)))*((G79-IFERROR(H79,0))/IFERROR(SUMPRODUCT((Besatzung!$B$11:$B$22&lt;&gt;"")*(IF(Besatzung!$C$11:$C$22="",Besatzung!$B$5,Besatzung!$C$11:$C$22)&lt;=B79)*(IF(Besatzung!$D$11:$D$22="",Besatzung!$B$6,Besatzung!$D$11:$D$22)&gt;=B79)),1)+(Besatzung!$F$16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O79="x")*((G79-IFERROR(H79,0))/IFERROR(COUNTIF(J79:U79,"x"),1)+(Besatzung!$F$16="x")*IFERROR(H79,0)/IFERROR(SUMPRODUCT((J79:U79="x")*(Besatzung!$F$11:$F$22="x")),1))),(IF(COUNTIF(J79:U79,"x")=0,IF(Besatzung!$B$15&lt;&gt;"",1,0),(O79="x"))*(G79-IFERROR(H79,0))/IFERROR(IF(COUNTIF(J79:U79,"x")=0,COUNTA(Besatzung!$B$11:$B$22),COUNTIF(J79:U79,"x")),1)+IF(COUNTIF(J79:U79,"x")=0,(Besatzung!$F$16="x"),(O79="x")*(Besatzung!$F$16="x"))*IFERROR(H79,0)/IFERROR(IF(COUNTIF(J79:U79,"x")=0,SUMPRODUCT((Besatzung!$B$11:$B$22&lt;&gt;"")*(Besatzung!$F$11:$F$22="x")),SUMPRODUCT((J79:U79="x")*(Besatzung!$F$11:$F$22="x"))),1))))),0))))</f>
        <v/>
      </c>
      <c r="AB79" s="106">
        <f>IF(C79="Gutschrift","",IF(G79="","",IF(Besatzung!$B$17="","",IFERROR(IF(I79="Zeitanteilig",(Besatzung!$G$17*(G79-IFERROR(H79,0))+((Besatzung!$B$17&lt;&gt;"")*IF(B79="",1,(IF(Besatzung!$C$17="",Besatzung!$B$5,Besatzung!$C$17)&lt;=B79)*(IF(Besatzung!$D$17="",Besatzung!$B$6,Besatzung!$D$17)&gt;=B79)))*(Besatzung!$F$17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$17&lt;&gt;"")*IF(B79="",1,(IF(Besatzung!$C$17="",Besatzung!$B$5,Besatzung!$C$17)&lt;=B79)*(IF(Besatzung!$D$17="",Besatzung!$B$6,Besatzung!$D$17)&gt;=B79)))*((G79-IFERROR(H79,0))/IFERROR(SUMPRODUCT((Besatzung!$B$11:$B$22&lt;&gt;"")*(IF(Besatzung!$C$11:$C$22="",Besatzung!$B$5,Besatzung!$C$11:$C$22)&lt;=B79)*(IF(Besatzung!$D$11:$D$22="",Besatzung!$B$6,Besatzung!$D$11:$D$22)&gt;=B79)),1)+(Besatzung!$F$17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P79="x")*((G79-IFERROR(H79,0))/IFERROR(COUNTIF(J79:U79,"x"),1)+(Besatzung!$F$17="x")*IFERROR(H79,0)/IFERROR(SUMPRODUCT((J79:U79="x")*(Besatzung!$F$11:$F$22="x")),1))),(IF(COUNTIF(J79:U79,"x")=0,IF(Besatzung!$B$17&lt;&gt;"",1,0),(P79="x"))*(G79-IFERROR(H79,0))/IFERROR(IF(COUNTIF(J79:U79,"x")=0,COUNTA(Besatzung!$B$11:$B$22),COUNTIF(J79:U79,"x")),1)+IF(COUNTIF(J79:U79,"x")=0,(Besatzung!$F$17="x"),(P79="x")*(Besatzung!$F$17="x"))*IFERROR(H79,0)/IFERROR(IF(COUNTIF(J79:U79,"x")=0,SUMPRODUCT((Besatzung!$B$11:$B$22&lt;&gt;"")*(Besatzung!$F$11:$F$22="x")),SUMPRODUCT((J79:U79="x")*(Besatzung!$F$11:$F$22="x"))),1))))),0))))</f>
        <v/>
      </c>
      <c r="AC79" s="106">
        <f>IF(C79="Gutschrift","",IF(G79="","",IF(Besatzung!$B$18="","",IFERROR(IF(I79="Zeitanteilig",(Besatzung!$G$18*(G79-IFERROR(H79,0))+((Besatzung!$B$18&lt;&gt;"")*IF(B79="",1,(IF(Besatzung!$C$18="",Besatzung!$B$5,Besatzung!$C$18)&lt;=B79)*(IF(Besatzung!$D$18="",Besatzung!$B$6,Besatzung!$D$18)&gt;=B79)))*(Besatzung!$F$18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$18&lt;&gt;"")*IF(B79="",1,(IF(Besatzung!$C$18="",Besatzung!$B$5,Besatzung!$C$18)&lt;=B79)*(IF(Besatzung!$D$18="",Besatzung!$B$6,Besatzung!$D$18)&gt;=B79)))*((G79-IFERROR(H79,0))/IFERROR(SUMPRODUCT((Besatzung!$B$11:$B$22&lt;&gt;"")*(IF(Besatzung!$C$11:$C$22="",Besatzung!$B$5,Besatzung!$C$11:$C$22)&lt;=B79)*(IF(Besatzung!$D$11:$D$22="",Besatzung!$B$6,Besatzung!$D$11:$D$22)&gt;=B79)),1)+(Besatzung!$F$18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Q79="x")*((G79-IFERROR(H79,0))/IFERROR(COUNTIF(J79:U79,"x"),1)+(Besatzung!$F$18="x")*IFERROR(H79,0)/IFERROR(SUMPRODUCT((J79:U79="x")*(Besatzung!$F$11:$F$22="x")),1))),(IF(COUNTIF(J79:U79,"x")=0,IF(Besatzung!$B$18&lt;&gt;"",1,0),(Q79="x"))*(G79-IFERROR(H79,0))/IFERROR(IF(COUNTIF(J79:U79,"x")=0,COUNTA(Besatzung!$B$11:$B$22),COUNTIF(J79:U79,"x")),1)+IF(COUNTIF(J79:U79,"x")=0,(Besatzung!$F$18="x"),(Q79="x")*(Besatzung!$F$18="x"))*IFERROR(H79,0)/IFERROR(IF(COUNTIF(J79:U79,"x")=0,SUMPRODUCT((Besatzung!$B$11:$B$22&lt;&gt;"")*(Besatzung!$F$11:$F$22="x")),SUMPRODUCT((J79:U79="x")*(Besatzung!$F$11:$F$22="x"))),1))))),0))))</f>
        <v/>
      </c>
      <c r="AD79" s="106">
        <f>IF(C79="Gutschrift","",IF(G79="","",IF(Besatzung!$B$19="","",IFERROR(IF(I79="Zeitanteilig",(Besatzung!$G$19*(G79-IFERROR(H79,0))+((Besatzung!$B$19&lt;&gt;"")*IF(B79="",1,(IF(Besatzung!$C$19="",Besatzung!$B$5,Besatzung!$C$19)&lt;=B79)*(IF(Besatzung!$D$19="",Besatzung!$B$6,Besatzung!$D$19)&gt;=B79)))*(Besatzung!$F$19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$19&lt;&gt;"")*IF(B79="",1,(IF(Besatzung!$C$19="",Besatzung!$B$5,Besatzung!$C$19)&lt;=B79)*(IF(Besatzung!$D$19="",Besatzung!$B$6,Besatzung!$D$19)&gt;=B79)))*((G79-IFERROR(H79,0))/IFERROR(SUMPRODUCT((Besatzung!$B$11:$B$22&lt;&gt;"")*(IF(Besatzung!$C$11:$C$22="",Besatzung!$B$5,Besatzung!$C$11:$C$22)&lt;=B79)*(IF(Besatzung!$D$11:$D$22="",Besatzung!$B$6,Besatzung!$D$11:$D$22)&gt;=B79)),1)+(Besatzung!$F$19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R79="x")*((G79-IFERROR(H79,0))/IFERROR(COUNTIF(J79:U79,"x"),1)+(Besatzung!$F$19="x")*IFERROR(H79,0)/IFERROR(SUMPRODUCT((J79:U79="x")*(Besatzung!$F$11:$F$22="x")),1))),(IF(COUNTIF(J79:U79,"x")=0,IF(Besatzung!$B$19&lt;&gt;"",1,0),(R79="x"))*(G79-IFERROR(H79,0))/IFERROR(IF(COUNTIF(J79:U79,"x")=0,COUNTA(Besatzung!$B$11:$B$22),COUNTIF(J79:U79,"x")),1)+IF(COUNTIF(J79:U79,"x")=0,(Besatzung!$F$19="x"),(R79="x")*(Besatzung!$F$19="x"))*IFERROR(H79,0)/IFERROR(IF(COUNTIF(J79:U79,"x")=0,SUMPRODUCT((Besatzung!$B$11:$B$22&lt;&gt;"")*(Besatzung!$F$11:$F$22="x")),SUMPRODUCT((J79:U79="x")*(Besatzung!$F$11:$F$22="x"))),1))))),0))))</f>
        <v/>
      </c>
      <c r="AE79" s="106">
        <f>IF(C79="Gutschrift","",IF(G79="","",IF(Besatzung!$B$20="","",IFERROR(IF(I79="Zeitanteilig",(Besatzung!$G$20*(G79-IFERROR(H79,0))+((Besatzung!$B$20&lt;&gt;"")*IF(B79="",1,(IF(Besatzung!$C$20="",Besatzung!$B$5,Besatzung!$C$20)&lt;=B79)*(IF(Besatzung!$D$20="",Besatzung!$B$6,Besatzung!$D$20)&gt;=B79)))*(Besatzung!$F$20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$20&lt;&gt;"")*IF(B79="",1,(IF(Besatzung!$C$20="",Besatzung!$B$5,Besatzung!$C$20)&lt;=B79)*(IF(Besatzung!$D$20="",Besatzung!$B$6,Besatzung!$D$20)&gt;=B79)))*((G79-IFERROR(H79,0))/IFERROR(SUMPRODUCT((Besatzung!$B$11:$B$22&lt;&gt;"")*(IF(Besatzung!$C$11:$C$22="",Besatzung!$B$5,Besatzung!$C$11:$C$22)&lt;=B79)*(IF(Besatzung!$D$11:$D$22="",Besatzung!$B$6,Besatzung!$D$11:$D$22)&gt;=B79)),1)+(Besatzung!$F$20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S79="x")*((G79-IFERROR(H79,0))/IFERROR(COUNTIF(J79:U79,"x"),1)+(Besatzung!$F$20="x")*IFERROR(H79,0)/IFERROR(SUMPRODUCT((J79:U79="x")*(Besatzung!$F$11:$F$22="x")),1))),(IF(COUNTIF(J79:U79,"x")=0,IF(Besatzung!$B$20&lt;&gt;"",1,0),(S79="x"))*(G79-IFERROR(H79,0))/IFERROR(IF(COUNTIF(J79:U79,"x")=0,COUNTA(Besatzung!$B$11:$B$22),COUNTIF(J79:U79,"x")),1)+IF(COUNTIF(J79:U79,"x")=0,(Besatzung!$F$20="x"),(S79="x")*(Besatzung!$F$20="x"))*IFERROR(H79,0)/IFERROR(IF(COUNTIF(J79:U79,"x")=0,SUMPRODUCT((Besatzung!$B$11:$B$22&lt;&gt;"")*(Besatzung!$F$11:$F$22="x")),SUMPRODUCT((J79:U79="x")*(Besatzung!$F$11:$F$22="x"))),1))))),0))))</f>
        <v/>
      </c>
      <c r="AF79" s="106">
        <f>IF(C79="Gutschrift","",IF(G79="","",IF(Besatzung!$B$21="","",IFERROR(IF(I79="Zeitanteilig",(Besatzung!$G$21*(G79-IFERROR(H79,0))+((Besatzung!$B$21&lt;&gt;"")*IF(B79="",1,(IF(Besatzung!$C$21="",Besatzung!$B$5,Besatzung!$C$21)&lt;=B79)*(IF(Besatzung!$D$21="",Besatzung!$B$6,Besatzung!$D$21)&gt;=B79)))*(Besatzung!$F$21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$21&lt;&gt;"")*IF(B79="",1,(IF(Besatzung!$C$21="",Besatzung!$B$5,Besatzung!$C$21)&lt;=B79)*(IF(Besatzung!$D$21="",Besatzung!$B$6,Besatzung!$D$21)&gt;=B79)))*((G79-IFERROR(H79,0))/IFERROR(SUMPRODUCT((Besatzung!$B$11:$B$22&lt;&gt;"")*(IF(Besatzung!$C$11:$C$22="",Besatzung!$B$5,Besatzung!$C$11:$C$22)&lt;=B79)*(IF(Besatzung!$D$11:$D$22="",Besatzung!$B$6,Besatzung!$D$11:$D$22)&gt;=B79)),1)+(Besatzung!$F$21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T79="x")*((G79-IFERROR(H79,0))/IFERROR(COUNTIF(J79:U79,"x"),1)+(Besatzung!$F$21="x")*IFERROR(H79,0)/IFERROR(SUMPRODUCT((J79:U79="x")*(Besatzung!$F$11:$F$22="x")),1))),(IF(COUNTIF(J79:U79,"x")=0,IF(Besatzung!$B$21&lt;&gt;"",1,0),(T79="x"))*(G79-IFERROR(H79,0))/IFERROR(IF(COUNTIF(J79:U79,"x")=0,COUNTA(Besatzung!$B$11:$B$22),COUNTIF(J79:U79,"x")),1)+IF(COUNTIF(J79:U79,"x")=0,(Besatzung!$F$21="x"),(T79="x")*(Besatzung!$F$21="x"))*IFERROR(H79,0)/IFERROR(IF(COUNTIF(J79:U79,"x")=0,SUMPRODUCT((Besatzung!$B$11:$B$22&lt;&gt;"")*(Besatzung!$F$11:$F$22="x")),SUMPRODUCT((J79:U79="x")*(Besatzung!$F$11:$F$22="x"))),1))))),0))))</f>
        <v/>
      </c>
      <c r="AG79" s="106">
        <f>IF(C79="Gutschrift","",IF(G79="","",IF(Besatzung!$B$22="","",IFERROR(IF(I79="Zeitanteilig",(Besatzung!$G$22*(G79-IFERROR(H79,0))+((Besatzung!$B$22&lt;&gt;"")*IF(B79="",1,(IF(Besatzung!$C$22="",Besatzung!$B$5,Besatzung!$C$22)&lt;=B79)*(IF(Besatzung!$D$22="",Besatzung!$B$6,Besatzung!$D$22)&gt;=B79)))*(Besatzung!$F$22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$22&lt;&gt;"")*IF(B79="",1,(IF(Besatzung!$C$22="",Besatzung!$B$5,Besatzung!$C$22)&lt;=B79)*(IF(Besatzung!$D$22="",Besatzung!$B$6,Besatzung!$D$22)&gt;=B79)))*((G79-IFERROR(H79,0))/IFERROR(SUMPRODUCT((Besatzung!$B$11:$B$22&lt;&gt;"")*(IF(Besatzung!$C$11:$C$22="",Besatzung!$B$5,Besatzung!$C$11:$C$22)&lt;=B79)*(IF(Besatzung!$D$11:$D$22="",Besatzung!$B$6,Besatzung!$D$11:$D$22)&gt;=B79)),1)+(Besatzung!$F$22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U79="x")*((G79-IFERROR(H79,0))/IFERROR(COUNTIF(J79:U79,"x"),1)+(Besatzung!$F$22="x")*IFERROR(H79,0)/IFERROR(SUMPRODUCT((J79:U79="x")*(Besatzung!$F$11:$F$22="x")),1))),(IF(COUNTIF(J79:U79,"x")=0,IF(Besatzung!$B$22&lt;&gt;"",1,0),(U79="x"))*(G79-IFERROR(H79,0))/IFERROR(IF(COUNTIF(J79:U79,"x")=0,COUNTA(Besatzung!$B$11:$B$22),COUNTIF(J79:U79,"x")),1)+IF(COUNTIF(J79:U79,"x")=0,(Besatzung!$F$22="x"),(U79="x")*(Besatzung!$F$22="x"))*IFERROR(H79,0)/IFERROR(IF(COUNTIF(J79:U79,"x")=0,SUMPRODUCT((Besatzung!$B$11:$B$22&lt;&gt;"")*(Besatzung!$F$11:$F$22="x")),SUMPRODUCT((J79:U79="x")*(Besatzung!$F$11:$F$22="x"))),1))))),0))))</f>
        <v/>
      </c>
      <c r="AH79" s="107" t="n"/>
      <c r="AI79" s="107" t="n"/>
    </row>
    <row r="80" ht="21.75" customHeight="1" s="182">
      <c r="A80" s="97">
        <f>IF(AND(D80="",C80=""),"",77)</f>
        <v/>
      </c>
      <c r="B80" s="56" t="n"/>
      <c r="C80" s="98" t="n"/>
      <c r="D80" s="99" t="n"/>
      <c r="E80" s="100" t="n"/>
      <c r="F80" s="101" t="n"/>
      <c r="G80" s="102" t="n"/>
      <c r="H80" s="103" t="n"/>
      <c r="I80" s="104" t="n"/>
      <c r="J80" s="105" t="n"/>
      <c r="K80" s="105" t="n"/>
      <c r="L80" s="105" t="n"/>
      <c r="M80" s="105" t="n"/>
      <c r="N80" s="105" t="n"/>
      <c r="O80" s="105" t="n"/>
      <c r="P80" s="105" t="n"/>
      <c r="Q80" s="105" t="n"/>
      <c r="R80" s="105" t="n"/>
      <c r="S80" s="105" t="n"/>
      <c r="T80" s="105" t="n"/>
      <c r="U80" s="105" t="n"/>
      <c r="V80" s="106">
        <f>IF(C80="Gutschrift","",IF(G80="","",IF(Besatzung!$B$11="","",IFERROR(IF(I80="Zeitanteilig",(Besatzung!$G$11*(G80-IFERROR(H80,0))+((Besatzung!$B$11&lt;&gt;"")*IF(B80="",1,(IF(Besatzung!$C$11="",Besatzung!$B$5,Besatzung!$C$11)&lt;=B80)*(IF(Besatzung!$D$11="",Besatzung!$B$6,Besatzung!$D$11)&gt;=B80)))*(Besatzung!$F$11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$11&lt;&gt;"")*IF(B80="",1,(IF(Besatzung!$C$11="",Besatzung!$B$5,Besatzung!$C$11)&lt;=B80)*(IF(Besatzung!$D$11="",Besatzung!$B$6,Besatzung!$D$11)&gt;=B80)))*((G80-IFERROR(H80,0))/IFERROR(SUMPRODUCT((Besatzung!$B$11:$B$22&lt;&gt;"")*(IF(Besatzung!$C$11:$C$22="",Besatzung!$B$5,Besatzung!$C$11:$C$22)&lt;=B80)*(IF(Besatzung!$D$11:$D$22="",Besatzung!$B$6,Besatzung!$D$11:$D$22)&gt;=B80)),1)+(Besatzung!$F$11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J80="x")*((G80-IFERROR(H80,0))/IFERROR(COUNTIF(J80:U80,"x"),1)+(Besatzung!$F$11="x")*IFERROR(H80,0)/IFERROR(SUMPRODUCT((J80:U80="x")*(Besatzung!$F$11:$F$22="x")),1))),(IF(COUNTIF(J80:U80,"x")=0,IF(Besatzung!$B$11&lt;&gt;"",1,0),(J80="x"))*(G80-IFERROR(H80,0))/IFERROR(IF(COUNTIF(J80:U80,"x")=0,COUNTA(Besatzung!$B$11:$B$22),COUNTIF(J80:U80,"x")),1)+IF(COUNTIF(J80:U80,"x")=0,(Besatzung!$F$11="x"),(J80="x")*(Besatzung!$F$11="x"))*IFERROR(H80,0)/IFERROR(IF(COUNTIF(J80:U80,"x")=0,SUMPRODUCT((Besatzung!$B$11:$B$22&lt;&gt;"")*(Besatzung!$F$11:$F$22="x")),SUMPRODUCT((J80:U80="x")*(Besatzung!$F$11:$F$22="x"))),1))))),0))))</f>
        <v/>
      </c>
      <c r="W80" s="106">
        <f>IF(C80="Gutschrift","",IF(G80="","",IF(Besatzung!$B$12="","",IFERROR(IF(I80="Zeitanteilig",(Besatzung!$G$12*(G80-IFERROR(H80,0))+((Besatzung!$B$12&lt;&gt;"")*IF(B80="",1,(IF(Besatzung!$C$12="",Besatzung!$B$5,Besatzung!$C$12)&lt;=B80)*(IF(Besatzung!$D$12="",Besatzung!$B$6,Besatzung!$D$12)&gt;=B80)))*(Besatzung!$F$12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$12&lt;&gt;"")*IF(B80="",1,(IF(Besatzung!$C$12="",Besatzung!$B$5,Besatzung!$C$12)&lt;=B80)*(IF(Besatzung!$D$12="",Besatzung!$B$6,Besatzung!$D$12)&gt;=B80)))*((G80-IFERROR(H80,0))/IFERROR(SUMPRODUCT((Besatzung!$B$11:$B$22&lt;&gt;"")*(IF(Besatzung!$C$11:$C$22="",Besatzung!$B$5,Besatzung!$C$11:$C$22)&lt;=B80)*(IF(Besatzung!$D$11:$D$22="",Besatzung!$B$6,Besatzung!$D$11:$D$22)&gt;=B80)),1)+(Besatzung!$F$12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K80="x")*((G80-IFERROR(H80,0))/IFERROR(COUNTIF(J80:U80,"x"),1)+(Besatzung!$F$12="x")*IFERROR(H80,0)/IFERROR(SUMPRODUCT((J80:U80="x")*(Besatzung!$F$11:$F$22="x")),1))),(IF(COUNTIF(J80:U80,"x")=0,IF(Besatzung!$B$12&lt;&gt;"",1,0),(K80="x"))*(G80-IFERROR(H80,0))/IFERROR(IF(COUNTIF(J80:U80,"x")=0,COUNTA(Besatzung!$B$11:$B$22),COUNTIF(J80:U80,"x")),1)+IF(COUNTIF(J80:U80,"x")=0,(Besatzung!$F$12="x"),(K80="x")*(Besatzung!$F$12="x"))*IFERROR(H80,0)/IFERROR(IF(COUNTIF(J80:U80,"x")=0,SUMPRODUCT((Besatzung!$B$11:$B$22&lt;&gt;"")*(Besatzung!$F$11:$F$22="x")),SUMPRODUCT((J80:U80="x")*(Besatzung!$F$11:$F$22="x"))),1))))),0))))</f>
        <v/>
      </c>
      <c r="X80" s="106">
        <f>IF(C80="Gutschrift","",IF(G80="","",IF(Besatzung!$B$13="","",IFERROR(IF(I80="Zeitanteilig",(Besatzung!$G$13*(G80-IFERROR(H80,0))+((Besatzung!$B$13&lt;&gt;"")*IF(B80="",1,(IF(Besatzung!$C$13="",Besatzung!$B$5,Besatzung!$C$13)&lt;=B80)*(IF(Besatzung!$D$13="",Besatzung!$B$6,Besatzung!$D$13)&gt;=B80)))*(Besatzung!$F$13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$13&lt;&gt;"")*IF(B80="",1,(IF(Besatzung!$C$13="",Besatzung!$B$5,Besatzung!$C$13)&lt;=B80)*(IF(Besatzung!$D$13="",Besatzung!$B$6,Besatzung!$D$13)&gt;=B80)))*((G80-IFERROR(H80,0))/IFERROR(SUMPRODUCT((Besatzung!$B$11:$B$22&lt;&gt;"")*(IF(Besatzung!$C$11:$C$22="",Besatzung!$B$5,Besatzung!$C$11:$C$22)&lt;=B80)*(IF(Besatzung!$D$11:$D$22="",Besatzung!$B$6,Besatzung!$D$11:$D$22)&gt;=B80)),1)+(Besatzung!$F$13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K80="x")*((G80-IFERROR(H80,0))/IFERROR(COUNTIF(J80:U80,"x"),1)+(Besatzung!$F$13="x")*IFERROR(H80,0)/IFERROR(SUMPRODUCT((J80:U80="x")*(Besatzung!$F$11:$F$22="x")),1))),(IF(COUNTIF(J80:U80,"x")=0,IF(Besatzung!$B$13&lt;&gt;"",1,0),(K80="x"))*(G80-IFERROR(H80,0))/IFERROR(IF(COUNTIF(J80:U80,"x")=0,COUNTA(Besatzung!$B$11:$B$22),COUNTIF(J80:U80,"x")),1)+IF(COUNTIF(J80:U80,"x")=0,(Besatzung!$F$13="x"),(K80="x")*(Besatzung!$F$13="x"))*IFERROR(H80,0)/IFERROR(IF(COUNTIF(J80:U80,"x")=0,SUMPRODUCT((Besatzung!$B$11:$B$22&lt;&gt;"")*(Besatzung!$F$11:$F$22="x")),SUMPRODUCT((J80:U80="x")*(Besatzung!$F$11:$F$22="x"))),1))))),0))))</f>
        <v/>
      </c>
      <c r="Y80" s="106">
        <f>IF(C80="Gutschrift","",IF(G80="","",IF(Besatzung!$B$14="","",IFERROR(IF(I80="Zeitanteilig",(Besatzung!$G$14*(G80-IFERROR(H80,0))+((Besatzung!$B$14&lt;&gt;"")*IF(B80="",1,(IF(Besatzung!$C$14="",Besatzung!$B$5,Besatzung!$C$14)&lt;=B80)*(IF(Besatzung!$D$14="",Besatzung!$B$6,Besatzung!$D$14)&gt;=B80)))*(Besatzung!$F$14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$14&lt;&gt;"")*IF(B80="",1,(IF(Besatzung!$C$14="",Besatzung!$B$5,Besatzung!$C$14)&lt;=B80)*(IF(Besatzung!$D$14="",Besatzung!$B$6,Besatzung!$D$14)&gt;=B80)))*((G80-IFERROR(H80,0))/IFERROR(SUMPRODUCT((Besatzung!$B$11:$B$22&lt;&gt;"")*(IF(Besatzung!$C$11:$C$22="",Besatzung!$B$5,Besatzung!$C$11:$C$22)&lt;=B80)*(IF(Besatzung!$D$11:$D$22="",Besatzung!$B$6,Besatzung!$D$11:$D$22)&gt;=B80)),1)+(Besatzung!$F$14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M80="x")*((G80-IFERROR(H80,0))/IFERROR(COUNTIF(J80:U80,"x"),1)+(Besatzung!$F$14="x")*IFERROR(H80,0)/IFERROR(SUMPRODUCT((J80:U80="x")*(Besatzung!$F$11:$F$22="x")),1))),(IF(COUNTIF(J80:U80,"x")=0,IF(Besatzung!$B$14&lt;&gt;"",1,0),(M80="x"))*(G80-IFERROR(H80,0))/IFERROR(IF(COUNTIF(J80:U80,"x")=0,COUNTA(Besatzung!$B$11:$B$22),COUNTIF(J80:U80,"x")),1)+IF(COUNTIF(J80:U80,"x")=0,(Besatzung!$F$14="x"),(M80="x")*(Besatzung!$F$14="x"))*IFERROR(H80,0)/IFERROR(IF(COUNTIF(J80:U80,"x")=0,SUMPRODUCT((Besatzung!$B$11:$B$22&lt;&gt;"")*(Besatzung!$F$11:$F$22="x")),SUMPRODUCT((J80:U80="x")*(Besatzung!$F$11:$F$22="x"))),1))))),0))))</f>
        <v/>
      </c>
      <c r="Z80" s="106">
        <f>IF(C80="Gutschrift","",IF(G80="","",IF(Besatzung!$B$13="","",IFERROR(IF(I80="Zeitanteilig",(Besatzung!$G$15*(G80-IFERROR(H80,0))+((Besatzung!$B$13&lt;&gt;"")*IF(B80="",1,(IF(Besatzung!$C$15="",Besatzung!$B$5,Besatzung!$C$15)&lt;=B80)*(IF(Besatzung!$D$15="",Besatzung!$B$6,Besatzung!$D$15)&gt;=B80)))*(Besatzung!$F$15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$13&lt;&gt;"")*IF(B80="",1,(IF(Besatzung!$C$15="",Besatzung!$B$5,Besatzung!$C$15)&lt;=B80)*(IF(Besatzung!$D$15="",Besatzung!$B$6,Besatzung!$D$15)&gt;=B80)))*((G80-IFERROR(H80,0))/IFERROR(SUMPRODUCT((Besatzung!$B$11:$B$22&lt;&gt;"")*(IF(Besatzung!$C$11:$C$22="",Besatzung!$B$5,Besatzung!$C$11:$C$22)&lt;=B80)*(IF(Besatzung!$D$11:$D$22="",Besatzung!$B$6,Besatzung!$D$11:$D$22)&gt;=B80)),1)+(Besatzung!$F$15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N80="x")*((G80-IFERROR(H80,0))/IFERROR(COUNTIF(J80:U80,"x"),1)+(Besatzung!$F$15="x")*IFERROR(H80,0)/IFERROR(SUMPRODUCT((J80:U80="x")*(Besatzung!$F$11:$F$22="x")),1))),(IF(COUNTIF(J80:U80,"x")=0,IF(Besatzung!$B$13&lt;&gt;"",1,0),(N80="x"))*(G80-IFERROR(H80,0))/IFERROR(IF(COUNTIF(J80:U80,"x")=0,COUNTA(Besatzung!$B$11:$B$22),COUNTIF(J80:U80,"x")),1)+IF(COUNTIF(J80:U80,"x")=0,(Besatzung!$F$15="x"),(N80="x")*(Besatzung!$F$15="x"))*IFERROR(H80,0)/IFERROR(IF(COUNTIF(J80:U80,"x")=0,SUMPRODUCT((Besatzung!$B$11:$B$22&lt;&gt;"")*(Besatzung!$F$11:$F$22="x")),SUMPRODUCT((J80:U80="x")*(Besatzung!$F$11:$F$22="x"))),1))))),0))))</f>
        <v/>
      </c>
      <c r="AA80" s="106">
        <f>IF(C80="Gutschrift","",IF(G80="","",IF(Besatzung!$B$15="","",IFERROR(IF(I80="Zeitanteilig",(Besatzung!$G$16*(G80-IFERROR(H80,0))+((Besatzung!$B$15&lt;&gt;"")*IF(B80="",1,(IF(Besatzung!$C$16="",Besatzung!$B$5,Besatzung!$C$16)&lt;=B80)*(IF(Besatzung!$D$16="",Besatzung!$B$6,Besatzung!$D$16)&gt;=B80)))*(Besatzung!$F$16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$15&lt;&gt;"")*IF(B80="",1,(IF(Besatzung!$C$16="",Besatzung!$B$5,Besatzung!$C$16)&lt;=B80)*(IF(Besatzung!$D$16="",Besatzung!$B$6,Besatzung!$D$16)&gt;=B80)))*((G80-IFERROR(H80,0))/IFERROR(SUMPRODUCT((Besatzung!$B$11:$B$22&lt;&gt;"")*(IF(Besatzung!$C$11:$C$22="",Besatzung!$B$5,Besatzung!$C$11:$C$22)&lt;=B80)*(IF(Besatzung!$D$11:$D$22="",Besatzung!$B$6,Besatzung!$D$11:$D$22)&gt;=B80)),1)+(Besatzung!$F$16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O80="x")*((G80-IFERROR(H80,0))/IFERROR(COUNTIF(J80:U80,"x"),1)+(Besatzung!$F$16="x")*IFERROR(H80,0)/IFERROR(SUMPRODUCT((J80:U80="x")*(Besatzung!$F$11:$F$22="x")),1))),(IF(COUNTIF(J80:U80,"x")=0,IF(Besatzung!$B$15&lt;&gt;"",1,0),(O80="x"))*(G80-IFERROR(H80,0))/IFERROR(IF(COUNTIF(J80:U80,"x")=0,COUNTA(Besatzung!$B$11:$B$22),COUNTIF(J80:U80,"x")),1)+IF(COUNTIF(J80:U80,"x")=0,(Besatzung!$F$16="x"),(O80="x")*(Besatzung!$F$16="x"))*IFERROR(H80,0)/IFERROR(IF(COUNTIF(J80:U80,"x")=0,SUMPRODUCT((Besatzung!$B$11:$B$22&lt;&gt;"")*(Besatzung!$F$11:$F$22="x")),SUMPRODUCT((J80:U80="x")*(Besatzung!$F$11:$F$22="x"))),1))))),0))))</f>
        <v/>
      </c>
      <c r="AB80" s="106">
        <f>IF(C80="Gutschrift","",IF(G80="","",IF(Besatzung!$B$17="","",IFERROR(IF(I80="Zeitanteilig",(Besatzung!$G$17*(G80-IFERROR(H80,0))+((Besatzung!$B$17&lt;&gt;"")*IF(B80="",1,(IF(Besatzung!$C$17="",Besatzung!$B$5,Besatzung!$C$17)&lt;=B80)*(IF(Besatzung!$D$17="",Besatzung!$B$6,Besatzung!$D$17)&gt;=B80)))*(Besatzung!$F$17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$17&lt;&gt;"")*IF(B80="",1,(IF(Besatzung!$C$17="",Besatzung!$B$5,Besatzung!$C$17)&lt;=B80)*(IF(Besatzung!$D$17="",Besatzung!$B$6,Besatzung!$D$17)&gt;=B80)))*((G80-IFERROR(H80,0))/IFERROR(SUMPRODUCT((Besatzung!$B$11:$B$22&lt;&gt;"")*(IF(Besatzung!$C$11:$C$22="",Besatzung!$B$5,Besatzung!$C$11:$C$22)&lt;=B80)*(IF(Besatzung!$D$11:$D$22="",Besatzung!$B$6,Besatzung!$D$11:$D$22)&gt;=B80)),1)+(Besatzung!$F$17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P80="x")*((G80-IFERROR(H80,0))/IFERROR(COUNTIF(J80:U80,"x"),1)+(Besatzung!$F$17="x")*IFERROR(H80,0)/IFERROR(SUMPRODUCT((J80:U80="x")*(Besatzung!$F$11:$F$22="x")),1))),(IF(COUNTIF(J80:U80,"x")=0,IF(Besatzung!$B$17&lt;&gt;"",1,0),(P80="x"))*(G80-IFERROR(H80,0))/IFERROR(IF(COUNTIF(J80:U80,"x")=0,COUNTA(Besatzung!$B$11:$B$22),COUNTIF(J80:U80,"x")),1)+IF(COUNTIF(J80:U80,"x")=0,(Besatzung!$F$17="x"),(P80="x")*(Besatzung!$F$17="x"))*IFERROR(H80,0)/IFERROR(IF(COUNTIF(J80:U80,"x")=0,SUMPRODUCT((Besatzung!$B$11:$B$22&lt;&gt;"")*(Besatzung!$F$11:$F$22="x")),SUMPRODUCT((J80:U80="x")*(Besatzung!$F$11:$F$22="x"))),1))))),0))))</f>
        <v/>
      </c>
      <c r="AC80" s="106">
        <f>IF(C80="Gutschrift","",IF(G80="","",IF(Besatzung!$B$18="","",IFERROR(IF(I80="Zeitanteilig",(Besatzung!$G$18*(G80-IFERROR(H80,0))+((Besatzung!$B$18&lt;&gt;"")*IF(B80="",1,(IF(Besatzung!$C$18="",Besatzung!$B$5,Besatzung!$C$18)&lt;=B80)*(IF(Besatzung!$D$18="",Besatzung!$B$6,Besatzung!$D$18)&gt;=B80)))*(Besatzung!$F$18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$18&lt;&gt;"")*IF(B80="",1,(IF(Besatzung!$C$18="",Besatzung!$B$5,Besatzung!$C$18)&lt;=B80)*(IF(Besatzung!$D$18="",Besatzung!$B$6,Besatzung!$D$18)&gt;=B80)))*((G80-IFERROR(H80,0))/IFERROR(SUMPRODUCT((Besatzung!$B$11:$B$22&lt;&gt;"")*(IF(Besatzung!$C$11:$C$22="",Besatzung!$B$5,Besatzung!$C$11:$C$22)&lt;=B80)*(IF(Besatzung!$D$11:$D$22="",Besatzung!$B$6,Besatzung!$D$11:$D$22)&gt;=B80)),1)+(Besatzung!$F$18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Q80="x")*((G80-IFERROR(H80,0))/IFERROR(COUNTIF(J80:U80,"x"),1)+(Besatzung!$F$18="x")*IFERROR(H80,0)/IFERROR(SUMPRODUCT((J80:U80="x")*(Besatzung!$F$11:$F$22="x")),1))),(IF(COUNTIF(J80:U80,"x")=0,IF(Besatzung!$B$18&lt;&gt;"",1,0),(Q80="x"))*(G80-IFERROR(H80,0))/IFERROR(IF(COUNTIF(J80:U80,"x")=0,COUNTA(Besatzung!$B$11:$B$22),COUNTIF(J80:U80,"x")),1)+IF(COUNTIF(J80:U80,"x")=0,(Besatzung!$F$18="x"),(Q80="x")*(Besatzung!$F$18="x"))*IFERROR(H80,0)/IFERROR(IF(COUNTIF(J80:U80,"x")=0,SUMPRODUCT((Besatzung!$B$11:$B$22&lt;&gt;"")*(Besatzung!$F$11:$F$22="x")),SUMPRODUCT((J80:U80="x")*(Besatzung!$F$11:$F$22="x"))),1))))),0))))</f>
        <v/>
      </c>
      <c r="AD80" s="106">
        <f>IF(C80="Gutschrift","",IF(G80="","",IF(Besatzung!$B$19="","",IFERROR(IF(I80="Zeitanteilig",(Besatzung!$G$19*(G80-IFERROR(H80,0))+((Besatzung!$B$19&lt;&gt;"")*IF(B80="",1,(IF(Besatzung!$C$19="",Besatzung!$B$5,Besatzung!$C$19)&lt;=B80)*(IF(Besatzung!$D$19="",Besatzung!$B$6,Besatzung!$D$19)&gt;=B80)))*(Besatzung!$F$19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$19&lt;&gt;"")*IF(B80="",1,(IF(Besatzung!$C$19="",Besatzung!$B$5,Besatzung!$C$19)&lt;=B80)*(IF(Besatzung!$D$19="",Besatzung!$B$6,Besatzung!$D$19)&gt;=B80)))*((G80-IFERROR(H80,0))/IFERROR(SUMPRODUCT((Besatzung!$B$11:$B$22&lt;&gt;"")*(IF(Besatzung!$C$11:$C$22="",Besatzung!$B$5,Besatzung!$C$11:$C$22)&lt;=B80)*(IF(Besatzung!$D$11:$D$22="",Besatzung!$B$6,Besatzung!$D$11:$D$22)&gt;=B80)),1)+(Besatzung!$F$19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R80="x")*((G80-IFERROR(H80,0))/IFERROR(COUNTIF(J80:U80,"x"),1)+(Besatzung!$F$19="x")*IFERROR(H80,0)/IFERROR(SUMPRODUCT((J80:U80="x")*(Besatzung!$F$11:$F$22="x")),1))),(IF(COUNTIF(J80:U80,"x")=0,IF(Besatzung!$B$19&lt;&gt;"",1,0),(R80="x"))*(G80-IFERROR(H80,0))/IFERROR(IF(COUNTIF(J80:U80,"x")=0,COUNTA(Besatzung!$B$11:$B$22),COUNTIF(J80:U80,"x")),1)+IF(COUNTIF(J80:U80,"x")=0,(Besatzung!$F$19="x"),(R80="x")*(Besatzung!$F$19="x"))*IFERROR(H80,0)/IFERROR(IF(COUNTIF(J80:U80,"x")=0,SUMPRODUCT((Besatzung!$B$11:$B$22&lt;&gt;"")*(Besatzung!$F$11:$F$22="x")),SUMPRODUCT((J80:U80="x")*(Besatzung!$F$11:$F$22="x"))),1))))),0))))</f>
        <v/>
      </c>
      <c r="AE80" s="106">
        <f>IF(C80="Gutschrift","",IF(G80="","",IF(Besatzung!$B$20="","",IFERROR(IF(I80="Zeitanteilig",(Besatzung!$G$20*(G80-IFERROR(H80,0))+((Besatzung!$B$20&lt;&gt;"")*IF(B80="",1,(IF(Besatzung!$C$20="",Besatzung!$B$5,Besatzung!$C$20)&lt;=B80)*(IF(Besatzung!$D$20="",Besatzung!$B$6,Besatzung!$D$20)&gt;=B80)))*(Besatzung!$F$20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$20&lt;&gt;"")*IF(B80="",1,(IF(Besatzung!$C$20="",Besatzung!$B$5,Besatzung!$C$20)&lt;=B80)*(IF(Besatzung!$D$20="",Besatzung!$B$6,Besatzung!$D$20)&gt;=B80)))*((G80-IFERROR(H80,0))/IFERROR(SUMPRODUCT((Besatzung!$B$11:$B$22&lt;&gt;"")*(IF(Besatzung!$C$11:$C$22="",Besatzung!$B$5,Besatzung!$C$11:$C$22)&lt;=B80)*(IF(Besatzung!$D$11:$D$22="",Besatzung!$B$6,Besatzung!$D$11:$D$22)&gt;=B80)),1)+(Besatzung!$F$20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S80="x")*((G80-IFERROR(H80,0))/IFERROR(COUNTIF(J80:U80,"x"),1)+(Besatzung!$F$20="x")*IFERROR(H80,0)/IFERROR(SUMPRODUCT((J80:U80="x")*(Besatzung!$F$11:$F$22="x")),1))),(IF(COUNTIF(J80:U80,"x")=0,IF(Besatzung!$B$20&lt;&gt;"",1,0),(S80="x"))*(G80-IFERROR(H80,0))/IFERROR(IF(COUNTIF(J80:U80,"x")=0,COUNTA(Besatzung!$B$11:$B$22),COUNTIF(J80:U80,"x")),1)+IF(COUNTIF(J80:U80,"x")=0,(Besatzung!$F$20="x"),(S80="x")*(Besatzung!$F$20="x"))*IFERROR(H80,0)/IFERROR(IF(COUNTIF(J80:U80,"x")=0,SUMPRODUCT((Besatzung!$B$11:$B$22&lt;&gt;"")*(Besatzung!$F$11:$F$22="x")),SUMPRODUCT((J80:U80="x")*(Besatzung!$F$11:$F$22="x"))),1))))),0))))</f>
        <v/>
      </c>
      <c r="AF80" s="106">
        <f>IF(C80="Gutschrift","",IF(G80="","",IF(Besatzung!$B$21="","",IFERROR(IF(I80="Zeitanteilig",(Besatzung!$G$21*(G80-IFERROR(H80,0))+((Besatzung!$B$21&lt;&gt;"")*IF(B80="",1,(IF(Besatzung!$C$21="",Besatzung!$B$5,Besatzung!$C$21)&lt;=B80)*(IF(Besatzung!$D$21="",Besatzung!$B$6,Besatzung!$D$21)&gt;=B80)))*(Besatzung!$F$21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$21&lt;&gt;"")*IF(B80="",1,(IF(Besatzung!$C$21="",Besatzung!$B$5,Besatzung!$C$21)&lt;=B80)*(IF(Besatzung!$D$21="",Besatzung!$B$6,Besatzung!$D$21)&gt;=B80)))*((G80-IFERROR(H80,0))/IFERROR(SUMPRODUCT((Besatzung!$B$11:$B$22&lt;&gt;"")*(IF(Besatzung!$C$11:$C$22="",Besatzung!$B$5,Besatzung!$C$11:$C$22)&lt;=B80)*(IF(Besatzung!$D$11:$D$22="",Besatzung!$B$6,Besatzung!$D$11:$D$22)&gt;=B80)),1)+(Besatzung!$F$21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T80="x")*((G80-IFERROR(H80,0))/IFERROR(COUNTIF(J80:U80,"x"),1)+(Besatzung!$F$21="x")*IFERROR(H80,0)/IFERROR(SUMPRODUCT((J80:U80="x")*(Besatzung!$F$11:$F$22="x")),1))),(IF(COUNTIF(J80:U80,"x")=0,IF(Besatzung!$B$21&lt;&gt;"",1,0),(T80="x"))*(G80-IFERROR(H80,0))/IFERROR(IF(COUNTIF(J80:U80,"x")=0,COUNTA(Besatzung!$B$11:$B$22),COUNTIF(J80:U80,"x")),1)+IF(COUNTIF(J80:U80,"x")=0,(Besatzung!$F$21="x"),(T80="x")*(Besatzung!$F$21="x"))*IFERROR(H80,0)/IFERROR(IF(COUNTIF(J80:U80,"x")=0,SUMPRODUCT((Besatzung!$B$11:$B$22&lt;&gt;"")*(Besatzung!$F$11:$F$22="x")),SUMPRODUCT((J80:U80="x")*(Besatzung!$F$11:$F$22="x"))),1))))),0))))</f>
        <v/>
      </c>
      <c r="AG80" s="106">
        <f>IF(C80="Gutschrift","",IF(G80="","",IF(Besatzung!$B$22="","",IFERROR(IF(I80="Zeitanteilig",(Besatzung!$G$22*(G80-IFERROR(H80,0))+((Besatzung!$B$22&lt;&gt;"")*IF(B80="",1,(IF(Besatzung!$C$22="",Besatzung!$B$5,Besatzung!$C$22)&lt;=B80)*(IF(Besatzung!$D$22="",Besatzung!$B$6,Besatzung!$D$22)&gt;=B80)))*(Besatzung!$F$22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$22&lt;&gt;"")*IF(B80="",1,(IF(Besatzung!$C$22="",Besatzung!$B$5,Besatzung!$C$22)&lt;=B80)*(IF(Besatzung!$D$22="",Besatzung!$B$6,Besatzung!$D$22)&gt;=B80)))*((G80-IFERROR(H80,0))/IFERROR(SUMPRODUCT((Besatzung!$B$11:$B$22&lt;&gt;"")*(IF(Besatzung!$C$11:$C$22="",Besatzung!$B$5,Besatzung!$C$11:$C$22)&lt;=B80)*(IF(Besatzung!$D$11:$D$22="",Besatzung!$B$6,Besatzung!$D$11:$D$22)&gt;=B80)),1)+(Besatzung!$F$22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U80="x")*((G80-IFERROR(H80,0))/IFERROR(COUNTIF(J80:U80,"x"),1)+(Besatzung!$F$22="x")*IFERROR(H80,0)/IFERROR(SUMPRODUCT((J80:U80="x")*(Besatzung!$F$11:$F$22="x")),1))),(IF(COUNTIF(J80:U80,"x")=0,IF(Besatzung!$B$22&lt;&gt;"",1,0),(U80="x"))*(G80-IFERROR(H80,0))/IFERROR(IF(COUNTIF(J80:U80,"x")=0,COUNTA(Besatzung!$B$11:$B$22),COUNTIF(J80:U80,"x")),1)+IF(COUNTIF(J80:U80,"x")=0,(Besatzung!$F$22="x"),(U80="x")*(Besatzung!$F$22="x"))*IFERROR(H80,0)/IFERROR(IF(COUNTIF(J80:U80,"x")=0,SUMPRODUCT((Besatzung!$B$11:$B$22&lt;&gt;"")*(Besatzung!$F$11:$F$22="x")),SUMPRODUCT((J80:U80="x")*(Besatzung!$F$11:$F$22="x"))),1))))),0))))</f>
        <v/>
      </c>
      <c r="AH80" s="107" t="n"/>
      <c r="AI80" s="107" t="n"/>
    </row>
    <row r="81" ht="21.75" customHeight="1" s="182">
      <c r="A81" s="97">
        <f>IF(AND(D81="",C81=""),"",78)</f>
        <v/>
      </c>
      <c r="B81" s="63" t="n"/>
      <c r="C81" s="108" t="n"/>
      <c r="D81" s="109" t="n"/>
      <c r="E81" s="110" t="n"/>
      <c r="F81" s="111" t="n"/>
      <c r="G81" s="112" t="n"/>
      <c r="H81" s="113" t="n"/>
      <c r="I81" s="114" t="n"/>
      <c r="J81" s="115" t="n"/>
      <c r="K81" s="115" t="n"/>
      <c r="L81" s="115" t="n"/>
      <c r="M81" s="115" t="n"/>
      <c r="N81" s="115" t="n"/>
      <c r="O81" s="115" t="n"/>
      <c r="P81" s="115" t="n"/>
      <c r="Q81" s="115" t="n"/>
      <c r="R81" s="115" t="n"/>
      <c r="S81" s="115" t="n"/>
      <c r="T81" s="115" t="n"/>
      <c r="U81" s="115" t="n"/>
      <c r="V81" s="106">
        <f>IF(C81="Gutschrift","",IF(G81="","",IF(Besatzung!$B$11="","",IFERROR(IF(I81="Zeitanteilig",(Besatzung!$G$11*(G81-IFERROR(H81,0))+((Besatzung!$B$11&lt;&gt;"")*IF(B81="",1,(IF(Besatzung!$C$11="",Besatzung!$B$5,Besatzung!$C$11)&lt;=B81)*(IF(Besatzung!$D$11="",Besatzung!$B$6,Besatzung!$D$11)&gt;=B81)))*(Besatzung!$F$11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$11&lt;&gt;"")*IF(B81="",1,(IF(Besatzung!$C$11="",Besatzung!$B$5,Besatzung!$C$11)&lt;=B81)*(IF(Besatzung!$D$11="",Besatzung!$B$6,Besatzung!$D$11)&gt;=B81)))*((G81-IFERROR(H81,0))/IFERROR(SUMPRODUCT((Besatzung!$B$11:$B$22&lt;&gt;"")*(IF(Besatzung!$C$11:$C$22="",Besatzung!$B$5,Besatzung!$C$11:$C$22)&lt;=B81)*(IF(Besatzung!$D$11:$D$22="",Besatzung!$B$6,Besatzung!$D$11:$D$22)&gt;=B81)),1)+(Besatzung!$F$11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J81="x")*((G81-IFERROR(H81,0))/IFERROR(COUNTIF(J81:U81,"x"),1)+(Besatzung!$F$11="x")*IFERROR(H81,0)/IFERROR(SUMPRODUCT((J81:U81="x")*(Besatzung!$F$11:$F$22="x")),1))),(IF(COUNTIF(J81:U81,"x")=0,IF(Besatzung!$B$11&lt;&gt;"",1,0),(J81="x"))*(G81-IFERROR(H81,0))/IFERROR(IF(COUNTIF(J81:U81,"x")=0,COUNTA(Besatzung!$B$11:$B$22),COUNTIF(J81:U81,"x")),1)+IF(COUNTIF(J81:U81,"x")=0,(Besatzung!$F$11="x"),(J81="x")*(Besatzung!$F$11="x"))*IFERROR(H81,0)/IFERROR(IF(COUNTIF(J81:U81,"x")=0,SUMPRODUCT((Besatzung!$B$11:$B$22&lt;&gt;"")*(Besatzung!$F$11:$F$22="x")),SUMPRODUCT((J81:U81="x")*(Besatzung!$F$11:$F$22="x"))),1))))),0))))</f>
        <v/>
      </c>
      <c r="W81" s="106">
        <f>IF(C81="Gutschrift","",IF(G81="","",IF(Besatzung!$B$12="","",IFERROR(IF(I81="Zeitanteilig",(Besatzung!$G$12*(G81-IFERROR(H81,0))+((Besatzung!$B$12&lt;&gt;"")*IF(B81="",1,(IF(Besatzung!$C$12="",Besatzung!$B$5,Besatzung!$C$12)&lt;=B81)*(IF(Besatzung!$D$12="",Besatzung!$B$6,Besatzung!$D$12)&gt;=B81)))*(Besatzung!$F$12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$12&lt;&gt;"")*IF(B81="",1,(IF(Besatzung!$C$12="",Besatzung!$B$5,Besatzung!$C$12)&lt;=B81)*(IF(Besatzung!$D$12="",Besatzung!$B$6,Besatzung!$D$12)&gt;=B81)))*((G81-IFERROR(H81,0))/IFERROR(SUMPRODUCT((Besatzung!$B$11:$B$22&lt;&gt;"")*(IF(Besatzung!$C$11:$C$22="",Besatzung!$B$5,Besatzung!$C$11:$C$22)&lt;=B81)*(IF(Besatzung!$D$11:$D$22="",Besatzung!$B$6,Besatzung!$D$11:$D$22)&gt;=B81)),1)+(Besatzung!$F$12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K81="x")*((G81-IFERROR(H81,0))/IFERROR(COUNTIF(J81:U81,"x"),1)+(Besatzung!$F$12="x")*IFERROR(H81,0)/IFERROR(SUMPRODUCT((J81:U81="x")*(Besatzung!$F$11:$F$22="x")),1))),(IF(COUNTIF(J81:U81,"x")=0,IF(Besatzung!$B$12&lt;&gt;"",1,0),(K81="x"))*(G81-IFERROR(H81,0))/IFERROR(IF(COUNTIF(J81:U81,"x")=0,COUNTA(Besatzung!$B$11:$B$22),COUNTIF(J81:U81,"x")),1)+IF(COUNTIF(J81:U81,"x")=0,(Besatzung!$F$12="x"),(K81="x")*(Besatzung!$F$12="x"))*IFERROR(H81,0)/IFERROR(IF(COUNTIF(J81:U81,"x")=0,SUMPRODUCT((Besatzung!$B$11:$B$22&lt;&gt;"")*(Besatzung!$F$11:$F$22="x")),SUMPRODUCT((J81:U81="x")*(Besatzung!$F$11:$F$22="x"))),1))))),0))))</f>
        <v/>
      </c>
      <c r="X81" s="106">
        <f>IF(C81="Gutschrift","",IF(G81="","",IF(Besatzung!$B$13="","",IFERROR(IF(I81="Zeitanteilig",(Besatzung!$G$13*(G81-IFERROR(H81,0))+((Besatzung!$B$13&lt;&gt;"")*IF(B81="",1,(IF(Besatzung!$C$13="",Besatzung!$B$5,Besatzung!$C$13)&lt;=B81)*(IF(Besatzung!$D$13="",Besatzung!$B$6,Besatzung!$D$13)&gt;=B81)))*(Besatzung!$F$13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$13&lt;&gt;"")*IF(B81="",1,(IF(Besatzung!$C$13="",Besatzung!$B$5,Besatzung!$C$13)&lt;=B81)*(IF(Besatzung!$D$13="",Besatzung!$B$6,Besatzung!$D$13)&gt;=B81)))*((G81-IFERROR(H81,0))/IFERROR(SUMPRODUCT((Besatzung!$B$11:$B$22&lt;&gt;"")*(IF(Besatzung!$C$11:$C$22="",Besatzung!$B$5,Besatzung!$C$11:$C$22)&lt;=B81)*(IF(Besatzung!$D$11:$D$22="",Besatzung!$B$6,Besatzung!$D$11:$D$22)&gt;=B81)),1)+(Besatzung!$F$13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K81="x")*((G81-IFERROR(H81,0))/IFERROR(COUNTIF(J81:U81,"x"),1)+(Besatzung!$F$13="x")*IFERROR(H81,0)/IFERROR(SUMPRODUCT((J81:U81="x")*(Besatzung!$F$11:$F$22="x")),1))),(IF(COUNTIF(J81:U81,"x")=0,IF(Besatzung!$B$13&lt;&gt;"",1,0),(K81="x"))*(G81-IFERROR(H81,0))/IFERROR(IF(COUNTIF(J81:U81,"x")=0,COUNTA(Besatzung!$B$11:$B$22),COUNTIF(J81:U81,"x")),1)+IF(COUNTIF(J81:U81,"x")=0,(Besatzung!$F$13="x"),(K81="x")*(Besatzung!$F$13="x"))*IFERROR(H81,0)/IFERROR(IF(COUNTIF(J81:U81,"x")=0,SUMPRODUCT((Besatzung!$B$11:$B$22&lt;&gt;"")*(Besatzung!$F$11:$F$22="x")),SUMPRODUCT((J81:U81="x")*(Besatzung!$F$11:$F$22="x"))),1))))),0))))</f>
        <v/>
      </c>
      <c r="Y81" s="106">
        <f>IF(C81="Gutschrift","",IF(G81="","",IF(Besatzung!$B$14="","",IFERROR(IF(I81="Zeitanteilig",(Besatzung!$G$14*(G81-IFERROR(H81,0))+((Besatzung!$B$14&lt;&gt;"")*IF(B81="",1,(IF(Besatzung!$C$14="",Besatzung!$B$5,Besatzung!$C$14)&lt;=B81)*(IF(Besatzung!$D$14="",Besatzung!$B$6,Besatzung!$D$14)&gt;=B81)))*(Besatzung!$F$14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$14&lt;&gt;"")*IF(B81="",1,(IF(Besatzung!$C$14="",Besatzung!$B$5,Besatzung!$C$14)&lt;=B81)*(IF(Besatzung!$D$14="",Besatzung!$B$6,Besatzung!$D$14)&gt;=B81)))*((G81-IFERROR(H81,0))/IFERROR(SUMPRODUCT((Besatzung!$B$11:$B$22&lt;&gt;"")*(IF(Besatzung!$C$11:$C$22="",Besatzung!$B$5,Besatzung!$C$11:$C$22)&lt;=B81)*(IF(Besatzung!$D$11:$D$22="",Besatzung!$B$6,Besatzung!$D$11:$D$22)&gt;=B81)),1)+(Besatzung!$F$14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M81="x")*((G81-IFERROR(H81,0))/IFERROR(COUNTIF(J81:U81,"x"),1)+(Besatzung!$F$14="x")*IFERROR(H81,0)/IFERROR(SUMPRODUCT((J81:U81="x")*(Besatzung!$F$11:$F$22="x")),1))),(IF(COUNTIF(J81:U81,"x")=0,IF(Besatzung!$B$14&lt;&gt;"",1,0),(M81="x"))*(G81-IFERROR(H81,0))/IFERROR(IF(COUNTIF(J81:U81,"x")=0,COUNTA(Besatzung!$B$11:$B$22),COUNTIF(J81:U81,"x")),1)+IF(COUNTIF(J81:U81,"x")=0,(Besatzung!$F$14="x"),(M81="x")*(Besatzung!$F$14="x"))*IFERROR(H81,0)/IFERROR(IF(COUNTIF(J81:U81,"x")=0,SUMPRODUCT((Besatzung!$B$11:$B$22&lt;&gt;"")*(Besatzung!$F$11:$F$22="x")),SUMPRODUCT((J81:U81="x")*(Besatzung!$F$11:$F$22="x"))),1))))),0))))</f>
        <v/>
      </c>
      <c r="Z81" s="106">
        <f>IF(C81="Gutschrift","",IF(G81="","",IF(Besatzung!$B$13="","",IFERROR(IF(I81="Zeitanteilig",(Besatzung!$G$15*(G81-IFERROR(H81,0))+((Besatzung!$B$13&lt;&gt;"")*IF(B81="",1,(IF(Besatzung!$C$15="",Besatzung!$B$5,Besatzung!$C$15)&lt;=B81)*(IF(Besatzung!$D$15="",Besatzung!$B$6,Besatzung!$D$15)&gt;=B81)))*(Besatzung!$F$15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$13&lt;&gt;"")*IF(B81="",1,(IF(Besatzung!$C$15="",Besatzung!$B$5,Besatzung!$C$15)&lt;=B81)*(IF(Besatzung!$D$15="",Besatzung!$B$6,Besatzung!$D$15)&gt;=B81)))*((G81-IFERROR(H81,0))/IFERROR(SUMPRODUCT((Besatzung!$B$11:$B$22&lt;&gt;"")*(IF(Besatzung!$C$11:$C$22="",Besatzung!$B$5,Besatzung!$C$11:$C$22)&lt;=B81)*(IF(Besatzung!$D$11:$D$22="",Besatzung!$B$6,Besatzung!$D$11:$D$22)&gt;=B81)),1)+(Besatzung!$F$15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N81="x")*((G81-IFERROR(H81,0))/IFERROR(COUNTIF(J81:U81,"x"),1)+(Besatzung!$F$15="x")*IFERROR(H81,0)/IFERROR(SUMPRODUCT((J81:U81="x")*(Besatzung!$F$11:$F$22="x")),1))),(IF(COUNTIF(J81:U81,"x")=0,IF(Besatzung!$B$13&lt;&gt;"",1,0),(N81="x"))*(G81-IFERROR(H81,0))/IFERROR(IF(COUNTIF(J81:U81,"x")=0,COUNTA(Besatzung!$B$11:$B$22),COUNTIF(J81:U81,"x")),1)+IF(COUNTIF(J81:U81,"x")=0,(Besatzung!$F$15="x"),(N81="x")*(Besatzung!$F$15="x"))*IFERROR(H81,0)/IFERROR(IF(COUNTIF(J81:U81,"x")=0,SUMPRODUCT((Besatzung!$B$11:$B$22&lt;&gt;"")*(Besatzung!$F$11:$F$22="x")),SUMPRODUCT((J81:U81="x")*(Besatzung!$F$11:$F$22="x"))),1))))),0))))</f>
        <v/>
      </c>
      <c r="AA81" s="106">
        <f>IF(C81="Gutschrift","",IF(G81="","",IF(Besatzung!$B$15="","",IFERROR(IF(I81="Zeitanteilig",(Besatzung!$G$16*(G81-IFERROR(H81,0))+((Besatzung!$B$15&lt;&gt;"")*IF(B81="",1,(IF(Besatzung!$C$16="",Besatzung!$B$5,Besatzung!$C$16)&lt;=B81)*(IF(Besatzung!$D$16="",Besatzung!$B$6,Besatzung!$D$16)&gt;=B81)))*(Besatzung!$F$16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$15&lt;&gt;"")*IF(B81="",1,(IF(Besatzung!$C$16="",Besatzung!$B$5,Besatzung!$C$16)&lt;=B81)*(IF(Besatzung!$D$16="",Besatzung!$B$6,Besatzung!$D$16)&gt;=B81)))*((G81-IFERROR(H81,0))/IFERROR(SUMPRODUCT((Besatzung!$B$11:$B$22&lt;&gt;"")*(IF(Besatzung!$C$11:$C$22="",Besatzung!$B$5,Besatzung!$C$11:$C$22)&lt;=B81)*(IF(Besatzung!$D$11:$D$22="",Besatzung!$B$6,Besatzung!$D$11:$D$22)&gt;=B81)),1)+(Besatzung!$F$16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O81="x")*((G81-IFERROR(H81,0))/IFERROR(COUNTIF(J81:U81,"x"),1)+(Besatzung!$F$16="x")*IFERROR(H81,0)/IFERROR(SUMPRODUCT((J81:U81="x")*(Besatzung!$F$11:$F$22="x")),1))),(IF(COUNTIF(J81:U81,"x")=0,IF(Besatzung!$B$15&lt;&gt;"",1,0),(O81="x"))*(G81-IFERROR(H81,0))/IFERROR(IF(COUNTIF(J81:U81,"x")=0,COUNTA(Besatzung!$B$11:$B$22),COUNTIF(J81:U81,"x")),1)+IF(COUNTIF(J81:U81,"x")=0,(Besatzung!$F$16="x"),(O81="x")*(Besatzung!$F$16="x"))*IFERROR(H81,0)/IFERROR(IF(COUNTIF(J81:U81,"x")=0,SUMPRODUCT((Besatzung!$B$11:$B$22&lt;&gt;"")*(Besatzung!$F$11:$F$22="x")),SUMPRODUCT((J81:U81="x")*(Besatzung!$F$11:$F$22="x"))),1))))),0))))</f>
        <v/>
      </c>
      <c r="AB81" s="106">
        <f>IF(C81="Gutschrift","",IF(G81="","",IF(Besatzung!$B$17="","",IFERROR(IF(I81="Zeitanteilig",(Besatzung!$G$17*(G81-IFERROR(H81,0))+((Besatzung!$B$17&lt;&gt;"")*IF(B81="",1,(IF(Besatzung!$C$17="",Besatzung!$B$5,Besatzung!$C$17)&lt;=B81)*(IF(Besatzung!$D$17="",Besatzung!$B$6,Besatzung!$D$17)&gt;=B81)))*(Besatzung!$F$17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$17&lt;&gt;"")*IF(B81="",1,(IF(Besatzung!$C$17="",Besatzung!$B$5,Besatzung!$C$17)&lt;=B81)*(IF(Besatzung!$D$17="",Besatzung!$B$6,Besatzung!$D$17)&gt;=B81)))*((G81-IFERROR(H81,0))/IFERROR(SUMPRODUCT((Besatzung!$B$11:$B$22&lt;&gt;"")*(IF(Besatzung!$C$11:$C$22="",Besatzung!$B$5,Besatzung!$C$11:$C$22)&lt;=B81)*(IF(Besatzung!$D$11:$D$22="",Besatzung!$B$6,Besatzung!$D$11:$D$22)&gt;=B81)),1)+(Besatzung!$F$17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P81="x")*((G81-IFERROR(H81,0))/IFERROR(COUNTIF(J81:U81,"x"),1)+(Besatzung!$F$17="x")*IFERROR(H81,0)/IFERROR(SUMPRODUCT((J81:U81="x")*(Besatzung!$F$11:$F$22="x")),1))),(IF(COUNTIF(J81:U81,"x")=0,IF(Besatzung!$B$17&lt;&gt;"",1,0),(P81="x"))*(G81-IFERROR(H81,0))/IFERROR(IF(COUNTIF(J81:U81,"x")=0,COUNTA(Besatzung!$B$11:$B$22),COUNTIF(J81:U81,"x")),1)+IF(COUNTIF(J81:U81,"x")=0,(Besatzung!$F$17="x"),(P81="x")*(Besatzung!$F$17="x"))*IFERROR(H81,0)/IFERROR(IF(COUNTIF(J81:U81,"x")=0,SUMPRODUCT((Besatzung!$B$11:$B$22&lt;&gt;"")*(Besatzung!$F$11:$F$22="x")),SUMPRODUCT((J81:U81="x")*(Besatzung!$F$11:$F$22="x"))),1))))),0))))</f>
        <v/>
      </c>
      <c r="AC81" s="106">
        <f>IF(C81="Gutschrift","",IF(G81="","",IF(Besatzung!$B$18="","",IFERROR(IF(I81="Zeitanteilig",(Besatzung!$G$18*(G81-IFERROR(H81,0))+((Besatzung!$B$18&lt;&gt;"")*IF(B81="",1,(IF(Besatzung!$C$18="",Besatzung!$B$5,Besatzung!$C$18)&lt;=B81)*(IF(Besatzung!$D$18="",Besatzung!$B$6,Besatzung!$D$18)&gt;=B81)))*(Besatzung!$F$18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$18&lt;&gt;"")*IF(B81="",1,(IF(Besatzung!$C$18="",Besatzung!$B$5,Besatzung!$C$18)&lt;=B81)*(IF(Besatzung!$D$18="",Besatzung!$B$6,Besatzung!$D$18)&gt;=B81)))*((G81-IFERROR(H81,0))/IFERROR(SUMPRODUCT((Besatzung!$B$11:$B$22&lt;&gt;"")*(IF(Besatzung!$C$11:$C$22="",Besatzung!$B$5,Besatzung!$C$11:$C$22)&lt;=B81)*(IF(Besatzung!$D$11:$D$22="",Besatzung!$B$6,Besatzung!$D$11:$D$22)&gt;=B81)),1)+(Besatzung!$F$18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Q81="x")*((G81-IFERROR(H81,0))/IFERROR(COUNTIF(J81:U81,"x"),1)+(Besatzung!$F$18="x")*IFERROR(H81,0)/IFERROR(SUMPRODUCT((J81:U81="x")*(Besatzung!$F$11:$F$22="x")),1))),(IF(COUNTIF(J81:U81,"x")=0,IF(Besatzung!$B$18&lt;&gt;"",1,0),(Q81="x"))*(G81-IFERROR(H81,0))/IFERROR(IF(COUNTIF(J81:U81,"x")=0,COUNTA(Besatzung!$B$11:$B$22),COUNTIF(J81:U81,"x")),1)+IF(COUNTIF(J81:U81,"x")=0,(Besatzung!$F$18="x"),(Q81="x")*(Besatzung!$F$18="x"))*IFERROR(H81,0)/IFERROR(IF(COUNTIF(J81:U81,"x")=0,SUMPRODUCT((Besatzung!$B$11:$B$22&lt;&gt;"")*(Besatzung!$F$11:$F$22="x")),SUMPRODUCT((J81:U81="x")*(Besatzung!$F$11:$F$22="x"))),1))))),0))))</f>
        <v/>
      </c>
      <c r="AD81" s="106">
        <f>IF(C81="Gutschrift","",IF(G81="","",IF(Besatzung!$B$19="","",IFERROR(IF(I81="Zeitanteilig",(Besatzung!$G$19*(G81-IFERROR(H81,0))+((Besatzung!$B$19&lt;&gt;"")*IF(B81="",1,(IF(Besatzung!$C$19="",Besatzung!$B$5,Besatzung!$C$19)&lt;=B81)*(IF(Besatzung!$D$19="",Besatzung!$B$6,Besatzung!$D$19)&gt;=B81)))*(Besatzung!$F$19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$19&lt;&gt;"")*IF(B81="",1,(IF(Besatzung!$C$19="",Besatzung!$B$5,Besatzung!$C$19)&lt;=B81)*(IF(Besatzung!$D$19="",Besatzung!$B$6,Besatzung!$D$19)&gt;=B81)))*((G81-IFERROR(H81,0))/IFERROR(SUMPRODUCT((Besatzung!$B$11:$B$22&lt;&gt;"")*(IF(Besatzung!$C$11:$C$22="",Besatzung!$B$5,Besatzung!$C$11:$C$22)&lt;=B81)*(IF(Besatzung!$D$11:$D$22="",Besatzung!$B$6,Besatzung!$D$11:$D$22)&gt;=B81)),1)+(Besatzung!$F$19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R81="x")*((G81-IFERROR(H81,0))/IFERROR(COUNTIF(J81:U81,"x"),1)+(Besatzung!$F$19="x")*IFERROR(H81,0)/IFERROR(SUMPRODUCT((J81:U81="x")*(Besatzung!$F$11:$F$22="x")),1))),(IF(COUNTIF(J81:U81,"x")=0,IF(Besatzung!$B$19&lt;&gt;"",1,0),(R81="x"))*(G81-IFERROR(H81,0))/IFERROR(IF(COUNTIF(J81:U81,"x")=0,COUNTA(Besatzung!$B$11:$B$22),COUNTIF(J81:U81,"x")),1)+IF(COUNTIF(J81:U81,"x")=0,(Besatzung!$F$19="x"),(R81="x")*(Besatzung!$F$19="x"))*IFERROR(H81,0)/IFERROR(IF(COUNTIF(J81:U81,"x")=0,SUMPRODUCT((Besatzung!$B$11:$B$22&lt;&gt;"")*(Besatzung!$F$11:$F$22="x")),SUMPRODUCT((J81:U81="x")*(Besatzung!$F$11:$F$22="x"))),1))))),0))))</f>
        <v/>
      </c>
      <c r="AE81" s="106">
        <f>IF(C81="Gutschrift","",IF(G81="","",IF(Besatzung!$B$20="","",IFERROR(IF(I81="Zeitanteilig",(Besatzung!$G$20*(G81-IFERROR(H81,0))+((Besatzung!$B$20&lt;&gt;"")*IF(B81="",1,(IF(Besatzung!$C$20="",Besatzung!$B$5,Besatzung!$C$20)&lt;=B81)*(IF(Besatzung!$D$20="",Besatzung!$B$6,Besatzung!$D$20)&gt;=B81)))*(Besatzung!$F$20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$20&lt;&gt;"")*IF(B81="",1,(IF(Besatzung!$C$20="",Besatzung!$B$5,Besatzung!$C$20)&lt;=B81)*(IF(Besatzung!$D$20="",Besatzung!$B$6,Besatzung!$D$20)&gt;=B81)))*((G81-IFERROR(H81,0))/IFERROR(SUMPRODUCT((Besatzung!$B$11:$B$22&lt;&gt;"")*(IF(Besatzung!$C$11:$C$22="",Besatzung!$B$5,Besatzung!$C$11:$C$22)&lt;=B81)*(IF(Besatzung!$D$11:$D$22="",Besatzung!$B$6,Besatzung!$D$11:$D$22)&gt;=B81)),1)+(Besatzung!$F$20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S81="x")*((G81-IFERROR(H81,0))/IFERROR(COUNTIF(J81:U81,"x"),1)+(Besatzung!$F$20="x")*IFERROR(H81,0)/IFERROR(SUMPRODUCT((J81:U81="x")*(Besatzung!$F$11:$F$22="x")),1))),(IF(COUNTIF(J81:U81,"x")=0,IF(Besatzung!$B$20&lt;&gt;"",1,0),(S81="x"))*(G81-IFERROR(H81,0))/IFERROR(IF(COUNTIF(J81:U81,"x")=0,COUNTA(Besatzung!$B$11:$B$22),COUNTIF(J81:U81,"x")),1)+IF(COUNTIF(J81:U81,"x")=0,(Besatzung!$F$20="x"),(S81="x")*(Besatzung!$F$20="x"))*IFERROR(H81,0)/IFERROR(IF(COUNTIF(J81:U81,"x")=0,SUMPRODUCT((Besatzung!$B$11:$B$22&lt;&gt;"")*(Besatzung!$F$11:$F$22="x")),SUMPRODUCT((J81:U81="x")*(Besatzung!$F$11:$F$22="x"))),1))))),0))))</f>
        <v/>
      </c>
      <c r="AF81" s="106">
        <f>IF(C81="Gutschrift","",IF(G81="","",IF(Besatzung!$B$21="","",IFERROR(IF(I81="Zeitanteilig",(Besatzung!$G$21*(G81-IFERROR(H81,0))+((Besatzung!$B$21&lt;&gt;"")*IF(B81="",1,(IF(Besatzung!$C$21="",Besatzung!$B$5,Besatzung!$C$21)&lt;=B81)*(IF(Besatzung!$D$21="",Besatzung!$B$6,Besatzung!$D$21)&gt;=B81)))*(Besatzung!$F$21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$21&lt;&gt;"")*IF(B81="",1,(IF(Besatzung!$C$21="",Besatzung!$B$5,Besatzung!$C$21)&lt;=B81)*(IF(Besatzung!$D$21="",Besatzung!$B$6,Besatzung!$D$21)&gt;=B81)))*((G81-IFERROR(H81,0))/IFERROR(SUMPRODUCT((Besatzung!$B$11:$B$22&lt;&gt;"")*(IF(Besatzung!$C$11:$C$22="",Besatzung!$B$5,Besatzung!$C$11:$C$22)&lt;=B81)*(IF(Besatzung!$D$11:$D$22="",Besatzung!$B$6,Besatzung!$D$11:$D$22)&gt;=B81)),1)+(Besatzung!$F$21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T81="x")*((G81-IFERROR(H81,0))/IFERROR(COUNTIF(J81:U81,"x"),1)+(Besatzung!$F$21="x")*IFERROR(H81,0)/IFERROR(SUMPRODUCT((J81:U81="x")*(Besatzung!$F$11:$F$22="x")),1))),(IF(COUNTIF(J81:U81,"x")=0,IF(Besatzung!$B$21&lt;&gt;"",1,0),(T81="x"))*(G81-IFERROR(H81,0))/IFERROR(IF(COUNTIF(J81:U81,"x")=0,COUNTA(Besatzung!$B$11:$B$22),COUNTIF(J81:U81,"x")),1)+IF(COUNTIF(J81:U81,"x")=0,(Besatzung!$F$21="x"),(T81="x")*(Besatzung!$F$21="x"))*IFERROR(H81,0)/IFERROR(IF(COUNTIF(J81:U81,"x")=0,SUMPRODUCT((Besatzung!$B$11:$B$22&lt;&gt;"")*(Besatzung!$F$11:$F$22="x")),SUMPRODUCT((J81:U81="x")*(Besatzung!$F$11:$F$22="x"))),1))))),0))))</f>
        <v/>
      </c>
      <c r="AG81" s="106">
        <f>IF(C81="Gutschrift","",IF(G81="","",IF(Besatzung!$B$22="","",IFERROR(IF(I81="Zeitanteilig",(Besatzung!$G$22*(G81-IFERROR(H81,0))+((Besatzung!$B$22&lt;&gt;"")*IF(B81="",1,(IF(Besatzung!$C$22="",Besatzung!$B$5,Besatzung!$C$22)&lt;=B81)*(IF(Besatzung!$D$22="",Besatzung!$B$6,Besatzung!$D$22)&gt;=B81)))*(Besatzung!$F$22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$22&lt;&gt;"")*IF(B81="",1,(IF(Besatzung!$C$22="",Besatzung!$B$5,Besatzung!$C$22)&lt;=B81)*(IF(Besatzung!$D$22="",Besatzung!$B$6,Besatzung!$D$22)&gt;=B81)))*((G81-IFERROR(H81,0))/IFERROR(SUMPRODUCT((Besatzung!$B$11:$B$22&lt;&gt;"")*(IF(Besatzung!$C$11:$C$22="",Besatzung!$B$5,Besatzung!$C$11:$C$22)&lt;=B81)*(IF(Besatzung!$D$11:$D$22="",Besatzung!$B$6,Besatzung!$D$11:$D$22)&gt;=B81)),1)+(Besatzung!$F$22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U81="x")*((G81-IFERROR(H81,0))/IFERROR(COUNTIF(J81:U81,"x"),1)+(Besatzung!$F$22="x")*IFERROR(H81,0)/IFERROR(SUMPRODUCT((J81:U81="x")*(Besatzung!$F$11:$F$22="x")),1))),(IF(COUNTIF(J81:U81,"x")=0,IF(Besatzung!$B$22&lt;&gt;"",1,0),(U81="x"))*(G81-IFERROR(H81,0))/IFERROR(IF(COUNTIF(J81:U81,"x")=0,COUNTA(Besatzung!$B$11:$B$22),COUNTIF(J81:U81,"x")),1)+IF(COUNTIF(J81:U81,"x")=0,(Besatzung!$F$22="x"),(U81="x")*(Besatzung!$F$22="x"))*IFERROR(H81,0)/IFERROR(IF(COUNTIF(J81:U81,"x")=0,SUMPRODUCT((Besatzung!$B$11:$B$22&lt;&gt;"")*(Besatzung!$F$11:$F$22="x")),SUMPRODUCT((J81:U81="x")*(Besatzung!$F$11:$F$22="x"))),1))))),0))))</f>
        <v/>
      </c>
      <c r="AH81" s="107" t="n"/>
      <c r="AI81" s="107" t="n"/>
    </row>
    <row r="82" ht="21.75" customHeight="1" s="182">
      <c r="A82" s="97">
        <f>IF(AND(D82="",C82=""),"",79)</f>
        <v/>
      </c>
      <c r="B82" s="56" t="n"/>
      <c r="C82" s="98" t="n"/>
      <c r="D82" s="99" t="n"/>
      <c r="E82" s="100" t="n"/>
      <c r="F82" s="101" t="n"/>
      <c r="G82" s="102" t="n"/>
      <c r="H82" s="103" t="n"/>
      <c r="I82" s="104" t="n"/>
      <c r="J82" s="105" t="n"/>
      <c r="K82" s="105" t="n"/>
      <c r="L82" s="105" t="n"/>
      <c r="M82" s="105" t="n"/>
      <c r="N82" s="105" t="n"/>
      <c r="O82" s="105" t="n"/>
      <c r="P82" s="105" t="n"/>
      <c r="Q82" s="105" t="n"/>
      <c r="R82" s="105" t="n"/>
      <c r="S82" s="105" t="n"/>
      <c r="T82" s="105" t="n"/>
      <c r="U82" s="105" t="n"/>
      <c r="V82" s="106">
        <f>IF(C82="Gutschrift","",IF(G82="","",IF(Besatzung!$B$11="","",IFERROR(IF(I82="Zeitanteilig",(Besatzung!$G$11*(G82-IFERROR(H82,0))+((Besatzung!$B$11&lt;&gt;"")*IF(B82="",1,(IF(Besatzung!$C$11="",Besatzung!$B$5,Besatzung!$C$11)&lt;=B82)*(IF(Besatzung!$D$11="",Besatzung!$B$6,Besatzung!$D$11)&gt;=B82)))*(Besatzung!$F$11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$11&lt;&gt;"")*IF(B82="",1,(IF(Besatzung!$C$11="",Besatzung!$B$5,Besatzung!$C$11)&lt;=B82)*(IF(Besatzung!$D$11="",Besatzung!$B$6,Besatzung!$D$11)&gt;=B82)))*((G82-IFERROR(H82,0))/IFERROR(SUMPRODUCT((Besatzung!$B$11:$B$22&lt;&gt;"")*(IF(Besatzung!$C$11:$C$22="",Besatzung!$B$5,Besatzung!$C$11:$C$22)&lt;=B82)*(IF(Besatzung!$D$11:$D$22="",Besatzung!$B$6,Besatzung!$D$11:$D$22)&gt;=B82)),1)+(Besatzung!$F$11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J82="x")*((G82-IFERROR(H82,0))/IFERROR(COUNTIF(J82:U82,"x"),1)+(Besatzung!$F$11="x")*IFERROR(H82,0)/IFERROR(SUMPRODUCT((J82:U82="x")*(Besatzung!$F$11:$F$22="x")),1))),(IF(COUNTIF(J82:U82,"x")=0,IF(Besatzung!$B$11&lt;&gt;"",1,0),(J82="x"))*(G82-IFERROR(H82,0))/IFERROR(IF(COUNTIF(J82:U82,"x")=0,COUNTA(Besatzung!$B$11:$B$22),COUNTIF(J82:U82,"x")),1)+IF(COUNTIF(J82:U82,"x")=0,(Besatzung!$F$11="x"),(J82="x")*(Besatzung!$F$11="x"))*IFERROR(H82,0)/IFERROR(IF(COUNTIF(J82:U82,"x")=0,SUMPRODUCT((Besatzung!$B$11:$B$22&lt;&gt;"")*(Besatzung!$F$11:$F$22="x")),SUMPRODUCT((J82:U82="x")*(Besatzung!$F$11:$F$22="x"))),1))))),0))))</f>
        <v/>
      </c>
      <c r="W82" s="106">
        <f>IF(C82="Gutschrift","",IF(G82="","",IF(Besatzung!$B$12="","",IFERROR(IF(I82="Zeitanteilig",(Besatzung!$G$12*(G82-IFERROR(H82,0))+((Besatzung!$B$12&lt;&gt;"")*IF(B82="",1,(IF(Besatzung!$C$12="",Besatzung!$B$5,Besatzung!$C$12)&lt;=B82)*(IF(Besatzung!$D$12="",Besatzung!$B$6,Besatzung!$D$12)&gt;=B82)))*(Besatzung!$F$12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$12&lt;&gt;"")*IF(B82="",1,(IF(Besatzung!$C$12="",Besatzung!$B$5,Besatzung!$C$12)&lt;=B82)*(IF(Besatzung!$D$12="",Besatzung!$B$6,Besatzung!$D$12)&gt;=B82)))*((G82-IFERROR(H82,0))/IFERROR(SUMPRODUCT((Besatzung!$B$11:$B$22&lt;&gt;"")*(IF(Besatzung!$C$11:$C$22="",Besatzung!$B$5,Besatzung!$C$11:$C$22)&lt;=B82)*(IF(Besatzung!$D$11:$D$22="",Besatzung!$B$6,Besatzung!$D$11:$D$22)&gt;=B82)),1)+(Besatzung!$F$12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K82="x")*((G82-IFERROR(H82,0))/IFERROR(COUNTIF(J82:U82,"x"),1)+(Besatzung!$F$12="x")*IFERROR(H82,0)/IFERROR(SUMPRODUCT((J82:U82="x")*(Besatzung!$F$11:$F$22="x")),1))),(IF(COUNTIF(J82:U82,"x")=0,IF(Besatzung!$B$12&lt;&gt;"",1,0),(K82="x"))*(G82-IFERROR(H82,0))/IFERROR(IF(COUNTIF(J82:U82,"x")=0,COUNTA(Besatzung!$B$11:$B$22),COUNTIF(J82:U82,"x")),1)+IF(COUNTIF(J82:U82,"x")=0,(Besatzung!$F$12="x"),(K82="x")*(Besatzung!$F$12="x"))*IFERROR(H82,0)/IFERROR(IF(COUNTIF(J82:U82,"x")=0,SUMPRODUCT((Besatzung!$B$11:$B$22&lt;&gt;"")*(Besatzung!$F$11:$F$22="x")),SUMPRODUCT((J82:U82="x")*(Besatzung!$F$11:$F$22="x"))),1))))),0))))</f>
        <v/>
      </c>
      <c r="X82" s="106">
        <f>IF(C82="Gutschrift","",IF(G82="","",IF(Besatzung!$B$13="","",IFERROR(IF(I82="Zeitanteilig",(Besatzung!$G$13*(G82-IFERROR(H82,0))+((Besatzung!$B$13&lt;&gt;"")*IF(B82="",1,(IF(Besatzung!$C$13="",Besatzung!$B$5,Besatzung!$C$13)&lt;=B82)*(IF(Besatzung!$D$13="",Besatzung!$B$6,Besatzung!$D$13)&gt;=B82)))*(Besatzung!$F$13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$13&lt;&gt;"")*IF(B82="",1,(IF(Besatzung!$C$13="",Besatzung!$B$5,Besatzung!$C$13)&lt;=B82)*(IF(Besatzung!$D$13="",Besatzung!$B$6,Besatzung!$D$13)&gt;=B82)))*((G82-IFERROR(H82,0))/IFERROR(SUMPRODUCT((Besatzung!$B$11:$B$22&lt;&gt;"")*(IF(Besatzung!$C$11:$C$22="",Besatzung!$B$5,Besatzung!$C$11:$C$22)&lt;=B82)*(IF(Besatzung!$D$11:$D$22="",Besatzung!$B$6,Besatzung!$D$11:$D$22)&gt;=B82)),1)+(Besatzung!$F$13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K82="x")*((G82-IFERROR(H82,0))/IFERROR(COUNTIF(J82:U82,"x"),1)+(Besatzung!$F$13="x")*IFERROR(H82,0)/IFERROR(SUMPRODUCT((J82:U82="x")*(Besatzung!$F$11:$F$22="x")),1))),(IF(COUNTIF(J82:U82,"x")=0,IF(Besatzung!$B$13&lt;&gt;"",1,0),(K82="x"))*(G82-IFERROR(H82,0))/IFERROR(IF(COUNTIF(J82:U82,"x")=0,COUNTA(Besatzung!$B$11:$B$22),COUNTIF(J82:U82,"x")),1)+IF(COUNTIF(J82:U82,"x")=0,(Besatzung!$F$13="x"),(K82="x")*(Besatzung!$F$13="x"))*IFERROR(H82,0)/IFERROR(IF(COUNTIF(J82:U82,"x")=0,SUMPRODUCT((Besatzung!$B$11:$B$22&lt;&gt;"")*(Besatzung!$F$11:$F$22="x")),SUMPRODUCT((J82:U82="x")*(Besatzung!$F$11:$F$22="x"))),1))))),0))))</f>
        <v/>
      </c>
      <c r="Y82" s="106">
        <f>IF(C82="Gutschrift","",IF(G82="","",IF(Besatzung!$B$14="","",IFERROR(IF(I82="Zeitanteilig",(Besatzung!$G$14*(G82-IFERROR(H82,0))+((Besatzung!$B$14&lt;&gt;"")*IF(B82="",1,(IF(Besatzung!$C$14="",Besatzung!$B$5,Besatzung!$C$14)&lt;=B82)*(IF(Besatzung!$D$14="",Besatzung!$B$6,Besatzung!$D$14)&gt;=B82)))*(Besatzung!$F$14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$14&lt;&gt;"")*IF(B82="",1,(IF(Besatzung!$C$14="",Besatzung!$B$5,Besatzung!$C$14)&lt;=B82)*(IF(Besatzung!$D$14="",Besatzung!$B$6,Besatzung!$D$14)&gt;=B82)))*((G82-IFERROR(H82,0))/IFERROR(SUMPRODUCT((Besatzung!$B$11:$B$22&lt;&gt;"")*(IF(Besatzung!$C$11:$C$22="",Besatzung!$B$5,Besatzung!$C$11:$C$22)&lt;=B82)*(IF(Besatzung!$D$11:$D$22="",Besatzung!$B$6,Besatzung!$D$11:$D$22)&gt;=B82)),1)+(Besatzung!$F$14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M82="x")*((G82-IFERROR(H82,0))/IFERROR(COUNTIF(J82:U82,"x"),1)+(Besatzung!$F$14="x")*IFERROR(H82,0)/IFERROR(SUMPRODUCT((J82:U82="x")*(Besatzung!$F$11:$F$22="x")),1))),(IF(COUNTIF(J82:U82,"x")=0,IF(Besatzung!$B$14&lt;&gt;"",1,0),(M82="x"))*(G82-IFERROR(H82,0))/IFERROR(IF(COUNTIF(J82:U82,"x")=0,COUNTA(Besatzung!$B$11:$B$22),COUNTIF(J82:U82,"x")),1)+IF(COUNTIF(J82:U82,"x")=0,(Besatzung!$F$14="x"),(M82="x")*(Besatzung!$F$14="x"))*IFERROR(H82,0)/IFERROR(IF(COUNTIF(J82:U82,"x")=0,SUMPRODUCT((Besatzung!$B$11:$B$22&lt;&gt;"")*(Besatzung!$F$11:$F$22="x")),SUMPRODUCT((J82:U82="x")*(Besatzung!$F$11:$F$22="x"))),1))))),0))))</f>
        <v/>
      </c>
      <c r="Z82" s="106">
        <f>IF(C82="Gutschrift","",IF(G82="","",IF(Besatzung!$B$13="","",IFERROR(IF(I82="Zeitanteilig",(Besatzung!$G$15*(G82-IFERROR(H82,0))+((Besatzung!$B$13&lt;&gt;"")*IF(B82="",1,(IF(Besatzung!$C$15="",Besatzung!$B$5,Besatzung!$C$15)&lt;=B82)*(IF(Besatzung!$D$15="",Besatzung!$B$6,Besatzung!$D$15)&gt;=B82)))*(Besatzung!$F$15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$13&lt;&gt;"")*IF(B82="",1,(IF(Besatzung!$C$15="",Besatzung!$B$5,Besatzung!$C$15)&lt;=B82)*(IF(Besatzung!$D$15="",Besatzung!$B$6,Besatzung!$D$15)&gt;=B82)))*((G82-IFERROR(H82,0))/IFERROR(SUMPRODUCT((Besatzung!$B$11:$B$22&lt;&gt;"")*(IF(Besatzung!$C$11:$C$22="",Besatzung!$B$5,Besatzung!$C$11:$C$22)&lt;=B82)*(IF(Besatzung!$D$11:$D$22="",Besatzung!$B$6,Besatzung!$D$11:$D$22)&gt;=B82)),1)+(Besatzung!$F$15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N82="x")*((G82-IFERROR(H82,0))/IFERROR(COUNTIF(J82:U82,"x"),1)+(Besatzung!$F$15="x")*IFERROR(H82,0)/IFERROR(SUMPRODUCT((J82:U82="x")*(Besatzung!$F$11:$F$22="x")),1))),(IF(COUNTIF(J82:U82,"x")=0,IF(Besatzung!$B$13&lt;&gt;"",1,0),(N82="x"))*(G82-IFERROR(H82,0))/IFERROR(IF(COUNTIF(J82:U82,"x")=0,COUNTA(Besatzung!$B$11:$B$22),COUNTIF(J82:U82,"x")),1)+IF(COUNTIF(J82:U82,"x")=0,(Besatzung!$F$15="x"),(N82="x")*(Besatzung!$F$15="x"))*IFERROR(H82,0)/IFERROR(IF(COUNTIF(J82:U82,"x")=0,SUMPRODUCT((Besatzung!$B$11:$B$22&lt;&gt;"")*(Besatzung!$F$11:$F$22="x")),SUMPRODUCT((J82:U82="x")*(Besatzung!$F$11:$F$22="x"))),1))))),0))))</f>
        <v/>
      </c>
      <c r="AA82" s="106">
        <f>IF(C82="Gutschrift","",IF(G82="","",IF(Besatzung!$B$15="","",IFERROR(IF(I82="Zeitanteilig",(Besatzung!$G$16*(G82-IFERROR(H82,0))+((Besatzung!$B$15&lt;&gt;"")*IF(B82="",1,(IF(Besatzung!$C$16="",Besatzung!$B$5,Besatzung!$C$16)&lt;=B82)*(IF(Besatzung!$D$16="",Besatzung!$B$6,Besatzung!$D$16)&gt;=B82)))*(Besatzung!$F$16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$15&lt;&gt;"")*IF(B82="",1,(IF(Besatzung!$C$16="",Besatzung!$B$5,Besatzung!$C$16)&lt;=B82)*(IF(Besatzung!$D$16="",Besatzung!$B$6,Besatzung!$D$16)&gt;=B82)))*((G82-IFERROR(H82,0))/IFERROR(SUMPRODUCT((Besatzung!$B$11:$B$22&lt;&gt;"")*(IF(Besatzung!$C$11:$C$22="",Besatzung!$B$5,Besatzung!$C$11:$C$22)&lt;=B82)*(IF(Besatzung!$D$11:$D$22="",Besatzung!$B$6,Besatzung!$D$11:$D$22)&gt;=B82)),1)+(Besatzung!$F$16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O82="x")*((G82-IFERROR(H82,0))/IFERROR(COUNTIF(J82:U82,"x"),1)+(Besatzung!$F$16="x")*IFERROR(H82,0)/IFERROR(SUMPRODUCT((J82:U82="x")*(Besatzung!$F$11:$F$22="x")),1))),(IF(COUNTIF(J82:U82,"x")=0,IF(Besatzung!$B$15&lt;&gt;"",1,0),(O82="x"))*(G82-IFERROR(H82,0))/IFERROR(IF(COUNTIF(J82:U82,"x")=0,COUNTA(Besatzung!$B$11:$B$22),COUNTIF(J82:U82,"x")),1)+IF(COUNTIF(J82:U82,"x")=0,(Besatzung!$F$16="x"),(O82="x")*(Besatzung!$F$16="x"))*IFERROR(H82,0)/IFERROR(IF(COUNTIF(J82:U82,"x")=0,SUMPRODUCT((Besatzung!$B$11:$B$22&lt;&gt;"")*(Besatzung!$F$11:$F$22="x")),SUMPRODUCT((J82:U82="x")*(Besatzung!$F$11:$F$22="x"))),1))))),0))))</f>
        <v/>
      </c>
      <c r="AB82" s="106">
        <f>IF(C82="Gutschrift","",IF(G82="","",IF(Besatzung!$B$17="","",IFERROR(IF(I82="Zeitanteilig",(Besatzung!$G$17*(G82-IFERROR(H82,0))+((Besatzung!$B$17&lt;&gt;"")*IF(B82="",1,(IF(Besatzung!$C$17="",Besatzung!$B$5,Besatzung!$C$17)&lt;=B82)*(IF(Besatzung!$D$17="",Besatzung!$B$6,Besatzung!$D$17)&gt;=B82)))*(Besatzung!$F$17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$17&lt;&gt;"")*IF(B82="",1,(IF(Besatzung!$C$17="",Besatzung!$B$5,Besatzung!$C$17)&lt;=B82)*(IF(Besatzung!$D$17="",Besatzung!$B$6,Besatzung!$D$17)&gt;=B82)))*((G82-IFERROR(H82,0))/IFERROR(SUMPRODUCT((Besatzung!$B$11:$B$22&lt;&gt;"")*(IF(Besatzung!$C$11:$C$22="",Besatzung!$B$5,Besatzung!$C$11:$C$22)&lt;=B82)*(IF(Besatzung!$D$11:$D$22="",Besatzung!$B$6,Besatzung!$D$11:$D$22)&gt;=B82)),1)+(Besatzung!$F$17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P82="x")*((G82-IFERROR(H82,0))/IFERROR(COUNTIF(J82:U82,"x"),1)+(Besatzung!$F$17="x")*IFERROR(H82,0)/IFERROR(SUMPRODUCT((J82:U82="x")*(Besatzung!$F$11:$F$22="x")),1))),(IF(COUNTIF(J82:U82,"x")=0,IF(Besatzung!$B$17&lt;&gt;"",1,0),(P82="x"))*(G82-IFERROR(H82,0))/IFERROR(IF(COUNTIF(J82:U82,"x")=0,COUNTA(Besatzung!$B$11:$B$22),COUNTIF(J82:U82,"x")),1)+IF(COUNTIF(J82:U82,"x")=0,(Besatzung!$F$17="x"),(P82="x")*(Besatzung!$F$17="x"))*IFERROR(H82,0)/IFERROR(IF(COUNTIF(J82:U82,"x")=0,SUMPRODUCT((Besatzung!$B$11:$B$22&lt;&gt;"")*(Besatzung!$F$11:$F$22="x")),SUMPRODUCT((J82:U82="x")*(Besatzung!$F$11:$F$22="x"))),1))))),0))))</f>
        <v/>
      </c>
      <c r="AC82" s="106">
        <f>IF(C82="Gutschrift","",IF(G82="","",IF(Besatzung!$B$18="","",IFERROR(IF(I82="Zeitanteilig",(Besatzung!$G$18*(G82-IFERROR(H82,0))+((Besatzung!$B$18&lt;&gt;"")*IF(B82="",1,(IF(Besatzung!$C$18="",Besatzung!$B$5,Besatzung!$C$18)&lt;=B82)*(IF(Besatzung!$D$18="",Besatzung!$B$6,Besatzung!$D$18)&gt;=B82)))*(Besatzung!$F$18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$18&lt;&gt;"")*IF(B82="",1,(IF(Besatzung!$C$18="",Besatzung!$B$5,Besatzung!$C$18)&lt;=B82)*(IF(Besatzung!$D$18="",Besatzung!$B$6,Besatzung!$D$18)&gt;=B82)))*((G82-IFERROR(H82,0))/IFERROR(SUMPRODUCT((Besatzung!$B$11:$B$22&lt;&gt;"")*(IF(Besatzung!$C$11:$C$22="",Besatzung!$B$5,Besatzung!$C$11:$C$22)&lt;=B82)*(IF(Besatzung!$D$11:$D$22="",Besatzung!$B$6,Besatzung!$D$11:$D$22)&gt;=B82)),1)+(Besatzung!$F$18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Q82="x")*((G82-IFERROR(H82,0))/IFERROR(COUNTIF(J82:U82,"x"),1)+(Besatzung!$F$18="x")*IFERROR(H82,0)/IFERROR(SUMPRODUCT((J82:U82="x")*(Besatzung!$F$11:$F$22="x")),1))),(IF(COUNTIF(J82:U82,"x")=0,IF(Besatzung!$B$18&lt;&gt;"",1,0),(Q82="x"))*(G82-IFERROR(H82,0))/IFERROR(IF(COUNTIF(J82:U82,"x")=0,COUNTA(Besatzung!$B$11:$B$22),COUNTIF(J82:U82,"x")),1)+IF(COUNTIF(J82:U82,"x")=0,(Besatzung!$F$18="x"),(Q82="x")*(Besatzung!$F$18="x"))*IFERROR(H82,0)/IFERROR(IF(COUNTIF(J82:U82,"x")=0,SUMPRODUCT((Besatzung!$B$11:$B$22&lt;&gt;"")*(Besatzung!$F$11:$F$22="x")),SUMPRODUCT((J82:U82="x")*(Besatzung!$F$11:$F$22="x"))),1))))),0))))</f>
        <v/>
      </c>
      <c r="AD82" s="106">
        <f>IF(C82="Gutschrift","",IF(G82="","",IF(Besatzung!$B$19="","",IFERROR(IF(I82="Zeitanteilig",(Besatzung!$G$19*(G82-IFERROR(H82,0))+((Besatzung!$B$19&lt;&gt;"")*IF(B82="",1,(IF(Besatzung!$C$19="",Besatzung!$B$5,Besatzung!$C$19)&lt;=B82)*(IF(Besatzung!$D$19="",Besatzung!$B$6,Besatzung!$D$19)&gt;=B82)))*(Besatzung!$F$19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$19&lt;&gt;"")*IF(B82="",1,(IF(Besatzung!$C$19="",Besatzung!$B$5,Besatzung!$C$19)&lt;=B82)*(IF(Besatzung!$D$19="",Besatzung!$B$6,Besatzung!$D$19)&gt;=B82)))*((G82-IFERROR(H82,0))/IFERROR(SUMPRODUCT((Besatzung!$B$11:$B$22&lt;&gt;"")*(IF(Besatzung!$C$11:$C$22="",Besatzung!$B$5,Besatzung!$C$11:$C$22)&lt;=B82)*(IF(Besatzung!$D$11:$D$22="",Besatzung!$B$6,Besatzung!$D$11:$D$22)&gt;=B82)),1)+(Besatzung!$F$19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R82="x")*((G82-IFERROR(H82,0))/IFERROR(COUNTIF(J82:U82,"x"),1)+(Besatzung!$F$19="x")*IFERROR(H82,0)/IFERROR(SUMPRODUCT((J82:U82="x")*(Besatzung!$F$11:$F$22="x")),1))),(IF(COUNTIF(J82:U82,"x")=0,IF(Besatzung!$B$19&lt;&gt;"",1,0),(R82="x"))*(G82-IFERROR(H82,0))/IFERROR(IF(COUNTIF(J82:U82,"x")=0,COUNTA(Besatzung!$B$11:$B$22),COUNTIF(J82:U82,"x")),1)+IF(COUNTIF(J82:U82,"x")=0,(Besatzung!$F$19="x"),(R82="x")*(Besatzung!$F$19="x"))*IFERROR(H82,0)/IFERROR(IF(COUNTIF(J82:U82,"x")=0,SUMPRODUCT((Besatzung!$B$11:$B$22&lt;&gt;"")*(Besatzung!$F$11:$F$22="x")),SUMPRODUCT((J82:U82="x")*(Besatzung!$F$11:$F$22="x"))),1))))),0))))</f>
        <v/>
      </c>
      <c r="AE82" s="106">
        <f>IF(C82="Gutschrift","",IF(G82="","",IF(Besatzung!$B$20="","",IFERROR(IF(I82="Zeitanteilig",(Besatzung!$G$20*(G82-IFERROR(H82,0))+((Besatzung!$B$20&lt;&gt;"")*IF(B82="",1,(IF(Besatzung!$C$20="",Besatzung!$B$5,Besatzung!$C$20)&lt;=B82)*(IF(Besatzung!$D$20="",Besatzung!$B$6,Besatzung!$D$20)&gt;=B82)))*(Besatzung!$F$20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$20&lt;&gt;"")*IF(B82="",1,(IF(Besatzung!$C$20="",Besatzung!$B$5,Besatzung!$C$20)&lt;=B82)*(IF(Besatzung!$D$20="",Besatzung!$B$6,Besatzung!$D$20)&gt;=B82)))*((G82-IFERROR(H82,0))/IFERROR(SUMPRODUCT((Besatzung!$B$11:$B$22&lt;&gt;"")*(IF(Besatzung!$C$11:$C$22="",Besatzung!$B$5,Besatzung!$C$11:$C$22)&lt;=B82)*(IF(Besatzung!$D$11:$D$22="",Besatzung!$B$6,Besatzung!$D$11:$D$22)&gt;=B82)),1)+(Besatzung!$F$20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S82="x")*((G82-IFERROR(H82,0))/IFERROR(COUNTIF(J82:U82,"x"),1)+(Besatzung!$F$20="x")*IFERROR(H82,0)/IFERROR(SUMPRODUCT((J82:U82="x")*(Besatzung!$F$11:$F$22="x")),1))),(IF(COUNTIF(J82:U82,"x")=0,IF(Besatzung!$B$20&lt;&gt;"",1,0),(S82="x"))*(G82-IFERROR(H82,0))/IFERROR(IF(COUNTIF(J82:U82,"x")=0,COUNTA(Besatzung!$B$11:$B$22),COUNTIF(J82:U82,"x")),1)+IF(COUNTIF(J82:U82,"x")=0,(Besatzung!$F$20="x"),(S82="x")*(Besatzung!$F$20="x"))*IFERROR(H82,0)/IFERROR(IF(COUNTIF(J82:U82,"x")=0,SUMPRODUCT((Besatzung!$B$11:$B$22&lt;&gt;"")*(Besatzung!$F$11:$F$22="x")),SUMPRODUCT((J82:U82="x")*(Besatzung!$F$11:$F$22="x"))),1))))),0))))</f>
        <v/>
      </c>
      <c r="AF82" s="106">
        <f>IF(C82="Gutschrift","",IF(G82="","",IF(Besatzung!$B$21="","",IFERROR(IF(I82="Zeitanteilig",(Besatzung!$G$21*(G82-IFERROR(H82,0))+((Besatzung!$B$21&lt;&gt;"")*IF(B82="",1,(IF(Besatzung!$C$21="",Besatzung!$B$5,Besatzung!$C$21)&lt;=B82)*(IF(Besatzung!$D$21="",Besatzung!$B$6,Besatzung!$D$21)&gt;=B82)))*(Besatzung!$F$21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$21&lt;&gt;"")*IF(B82="",1,(IF(Besatzung!$C$21="",Besatzung!$B$5,Besatzung!$C$21)&lt;=B82)*(IF(Besatzung!$D$21="",Besatzung!$B$6,Besatzung!$D$21)&gt;=B82)))*((G82-IFERROR(H82,0))/IFERROR(SUMPRODUCT((Besatzung!$B$11:$B$22&lt;&gt;"")*(IF(Besatzung!$C$11:$C$22="",Besatzung!$B$5,Besatzung!$C$11:$C$22)&lt;=B82)*(IF(Besatzung!$D$11:$D$22="",Besatzung!$B$6,Besatzung!$D$11:$D$22)&gt;=B82)),1)+(Besatzung!$F$21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T82="x")*((G82-IFERROR(H82,0))/IFERROR(COUNTIF(J82:U82,"x"),1)+(Besatzung!$F$21="x")*IFERROR(H82,0)/IFERROR(SUMPRODUCT((J82:U82="x")*(Besatzung!$F$11:$F$22="x")),1))),(IF(COUNTIF(J82:U82,"x")=0,IF(Besatzung!$B$21&lt;&gt;"",1,0),(T82="x"))*(G82-IFERROR(H82,0))/IFERROR(IF(COUNTIF(J82:U82,"x")=0,COUNTA(Besatzung!$B$11:$B$22),COUNTIF(J82:U82,"x")),1)+IF(COUNTIF(J82:U82,"x")=0,(Besatzung!$F$21="x"),(T82="x")*(Besatzung!$F$21="x"))*IFERROR(H82,0)/IFERROR(IF(COUNTIF(J82:U82,"x")=0,SUMPRODUCT((Besatzung!$B$11:$B$22&lt;&gt;"")*(Besatzung!$F$11:$F$22="x")),SUMPRODUCT((J82:U82="x")*(Besatzung!$F$11:$F$22="x"))),1))))),0))))</f>
        <v/>
      </c>
      <c r="AG82" s="106">
        <f>IF(C82="Gutschrift","",IF(G82="","",IF(Besatzung!$B$22="","",IFERROR(IF(I82="Zeitanteilig",(Besatzung!$G$22*(G82-IFERROR(H82,0))+((Besatzung!$B$22&lt;&gt;"")*IF(B82="",1,(IF(Besatzung!$C$22="",Besatzung!$B$5,Besatzung!$C$22)&lt;=B82)*(IF(Besatzung!$D$22="",Besatzung!$B$6,Besatzung!$D$22)&gt;=B82)))*(Besatzung!$F$22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$22&lt;&gt;"")*IF(B82="",1,(IF(Besatzung!$C$22="",Besatzung!$B$5,Besatzung!$C$22)&lt;=B82)*(IF(Besatzung!$D$22="",Besatzung!$B$6,Besatzung!$D$22)&gt;=B82)))*((G82-IFERROR(H82,0))/IFERROR(SUMPRODUCT((Besatzung!$B$11:$B$22&lt;&gt;"")*(IF(Besatzung!$C$11:$C$22="",Besatzung!$B$5,Besatzung!$C$11:$C$22)&lt;=B82)*(IF(Besatzung!$D$11:$D$22="",Besatzung!$B$6,Besatzung!$D$11:$D$22)&gt;=B82)),1)+(Besatzung!$F$22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U82="x")*((G82-IFERROR(H82,0))/IFERROR(COUNTIF(J82:U82,"x"),1)+(Besatzung!$F$22="x")*IFERROR(H82,0)/IFERROR(SUMPRODUCT((J82:U82="x")*(Besatzung!$F$11:$F$22="x")),1))),(IF(COUNTIF(J82:U82,"x")=0,IF(Besatzung!$B$22&lt;&gt;"",1,0),(U82="x"))*(G82-IFERROR(H82,0))/IFERROR(IF(COUNTIF(J82:U82,"x")=0,COUNTA(Besatzung!$B$11:$B$22),COUNTIF(J82:U82,"x")),1)+IF(COUNTIF(J82:U82,"x")=0,(Besatzung!$F$22="x"),(U82="x")*(Besatzung!$F$22="x"))*IFERROR(H82,0)/IFERROR(IF(COUNTIF(J82:U82,"x")=0,SUMPRODUCT((Besatzung!$B$11:$B$22&lt;&gt;"")*(Besatzung!$F$11:$F$22="x")),SUMPRODUCT((J82:U82="x")*(Besatzung!$F$11:$F$22="x"))),1))))),0))))</f>
        <v/>
      </c>
      <c r="AH82" s="107" t="n"/>
      <c r="AI82" s="107" t="n"/>
    </row>
    <row r="83" ht="21.75" customHeight="1" s="182">
      <c r="A83" s="97">
        <f>IF(AND(D83="",C83=""),"",80)</f>
        <v/>
      </c>
      <c r="B83" s="63" t="n"/>
      <c r="C83" s="108" t="n"/>
      <c r="D83" s="109" t="n"/>
      <c r="E83" s="110" t="n"/>
      <c r="F83" s="111" t="n"/>
      <c r="G83" s="112" t="n"/>
      <c r="H83" s="113" t="n"/>
      <c r="I83" s="114" t="n"/>
      <c r="J83" s="115" t="n"/>
      <c r="K83" s="115" t="n"/>
      <c r="L83" s="115" t="n"/>
      <c r="M83" s="115" t="n"/>
      <c r="N83" s="115" t="n"/>
      <c r="O83" s="115" t="n"/>
      <c r="P83" s="115" t="n"/>
      <c r="Q83" s="115" t="n"/>
      <c r="R83" s="115" t="n"/>
      <c r="S83" s="115" t="n"/>
      <c r="T83" s="115" t="n"/>
      <c r="U83" s="115" t="n"/>
      <c r="V83" s="106">
        <f>IF(C83="Gutschrift","",IF(G83="","",IF(Besatzung!$B$11="","",IFERROR(IF(I83="Zeitanteilig",(Besatzung!$G$11*(G83-IFERROR(H83,0))+((Besatzung!$B$11&lt;&gt;"")*IF(B83="",1,(IF(Besatzung!$C$11="",Besatzung!$B$5,Besatzung!$C$11)&lt;=B83)*(IF(Besatzung!$D$11="",Besatzung!$B$6,Besatzung!$D$11)&gt;=B83)))*(Besatzung!$F$11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$11&lt;&gt;"")*IF(B83="",1,(IF(Besatzung!$C$11="",Besatzung!$B$5,Besatzung!$C$11)&lt;=B83)*(IF(Besatzung!$D$11="",Besatzung!$B$6,Besatzung!$D$11)&gt;=B83)))*((G83-IFERROR(H83,0))/IFERROR(SUMPRODUCT((Besatzung!$B$11:$B$22&lt;&gt;"")*(IF(Besatzung!$C$11:$C$22="",Besatzung!$B$5,Besatzung!$C$11:$C$22)&lt;=B83)*(IF(Besatzung!$D$11:$D$22="",Besatzung!$B$6,Besatzung!$D$11:$D$22)&gt;=B83)),1)+(Besatzung!$F$11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J83="x")*((G83-IFERROR(H83,0))/IFERROR(COUNTIF(J83:U83,"x"),1)+(Besatzung!$F$11="x")*IFERROR(H83,0)/IFERROR(SUMPRODUCT((J83:U83="x")*(Besatzung!$F$11:$F$22="x")),1))),(IF(COUNTIF(J83:U83,"x")=0,IF(Besatzung!$B$11&lt;&gt;"",1,0),(J83="x"))*(G83-IFERROR(H83,0))/IFERROR(IF(COUNTIF(J83:U83,"x")=0,COUNTA(Besatzung!$B$11:$B$22),COUNTIF(J83:U83,"x")),1)+IF(COUNTIF(J83:U83,"x")=0,(Besatzung!$F$11="x"),(J83="x")*(Besatzung!$F$11="x"))*IFERROR(H83,0)/IFERROR(IF(COUNTIF(J83:U83,"x")=0,SUMPRODUCT((Besatzung!$B$11:$B$22&lt;&gt;"")*(Besatzung!$F$11:$F$22="x")),SUMPRODUCT((J83:U83="x")*(Besatzung!$F$11:$F$22="x"))),1))))),0))))</f>
        <v/>
      </c>
      <c r="W83" s="106">
        <f>IF(C83="Gutschrift","",IF(G83="","",IF(Besatzung!$B$12="","",IFERROR(IF(I83="Zeitanteilig",(Besatzung!$G$12*(G83-IFERROR(H83,0))+((Besatzung!$B$12&lt;&gt;"")*IF(B83="",1,(IF(Besatzung!$C$12="",Besatzung!$B$5,Besatzung!$C$12)&lt;=B83)*(IF(Besatzung!$D$12="",Besatzung!$B$6,Besatzung!$D$12)&gt;=B83)))*(Besatzung!$F$12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$12&lt;&gt;"")*IF(B83="",1,(IF(Besatzung!$C$12="",Besatzung!$B$5,Besatzung!$C$12)&lt;=B83)*(IF(Besatzung!$D$12="",Besatzung!$B$6,Besatzung!$D$12)&gt;=B83)))*((G83-IFERROR(H83,0))/IFERROR(SUMPRODUCT((Besatzung!$B$11:$B$22&lt;&gt;"")*(IF(Besatzung!$C$11:$C$22="",Besatzung!$B$5,Besatzung!$C$11:$C$22)&lt;=B83)*(IF(Besatzung!$D$11:$D$22="",Besatzung!$B$6,Besatzung!$D$11:$D$22)&gt;=B83)),1)+(Besatzung!$F$12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K83="x")*((G83-IFERROR(H83,0))/IFERROR(COUNTIF(J83:U83,"x"),1)+(Besatzung!$F$12="x")*IFERROR(H83,0)/IFERROR(SUMPRODUCT((J83:U83="x")*(Besatzung!$F$11:$F$22="x")),1))),(IF(COUNTIF(J83:U83,"x")=0,IF(Besatzung!$B$12&lt;&gt;"",1,0),(K83="x"))*(G83-IFERROR(H83,0))/IFERROR(IF(COUNTIF(J83:U83,"x")=0,COUNTA(Besatzung!$B$11:$B$22),COUNTIF(J83:U83,"x")),1)+IF(COUNTIF(J83:U83,"x")=0,(Besatzung!$F$12="x"),(K83="x")*(Besatzung!$F$12="x"))*IFERROR(H83,0)/IFERROR(IF(COUNTIF(J83:U83,"x")=0,SUMPRODUCT((Besatzung!$B$11:$B$22&lt;&gt;"")*(Besatzung!$F$11:$F$22="x")),SUMPRODUCT((J83:U83="x")*(Besatzung!$F$11:$F$22="x"))),1))))),0))))</f>
        <v/>
      </c>
      <c r="X83" s="106">
        <f>IF(C83="Gutschrift","",IF(G83="","",IF(Besatzung!$B$13="","",IFERROR(IF(I83="Zeitanteilig",(Besatzung!$G$13*(G83-IFERROR(H83,0))+((Besatzung!$B$13&lt;&gt;"")*IF(B83="",1,(IF(Besatzung!$C$13="",Besatzung!$B$5,Besatzung!$C$13)&lt;=B83)*(IF(Besatzung!$D$13="",Besatzung!$B$6,Besatzung!$D$13)&gt;=B83)))*(Besatzung!$F$13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$13&lt;&gt;"")*IF(B83="",1,(IF(Besatzung!$C$13="",Besatzung!$B$5,Besatzung!$C$13)&lt;=B83)*(IF(Besatzung!$D$13="",Besatzung!$B$6,Besatzung!$D$13)&gt;=B83)))*((G83-IFERROR(H83,0))/IFERROR(SUMPRODUCT((Besatzung!$B$11:$B$22&lt;&gt;"")*(IF(Besatzung!$C$11:$C$22="",Besatzung!$B$5,Besatzung!$C$11:$C$22)&lt;=B83)*(IF(Besatzung!$D$11:$D$22="",Besatzung!$B$6,Besatzung!$D$11:$D$22)&gt;=B83)),1)+(Besatzung!$F$13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K83="x")*((G83-IFERROR(H83,0))/IFERROR(COUNTIF(J83:U83,"x"),1)+(Besatzung!$F$13="x")*IFERROR(H83,0)/IFERROR(SUMPRODUCT((J83:U83="x")*(Besatzung!$F$11:$F$22="x")),1))),(IF(COUNTIF(J83:U83,"x")=0,IF(Besatzung!$B$13&lt;&gt;"",1,0),(K83="x"))*(G83-IFERROR(H83,0))/IFERROR(IF(COUNTIF(J83:U83,"x")=0,COUNTA(Besatzung!$B$11:$B$22),COUNTIF(J83:U83,"x")),1)+IF(COUNTIF(J83:U83,"x")=0,(Besatzung!$F$13="x"),(K83="x")*(Besatzung!$F$13="x"))*IFERROR(H83,0)/IFERROR(IF(COUNTIF(J83:U83,"x")=0,SUMPRODUCT((Besatzung!$B$11:$B$22&lt;&gt;"")*(Besatzung!$F$11:$F$22="x")),SUMPRODUCT((J83:U83="x")*(Besatzung!$F$11:$F$22="x"))),1))))),0))))</f>
        <v/>
      </c>
      <c r="Y83" s="106">
        <f>IF(C83="Gutschrift","",IF(G83="","",IF(Besatzung!$B$14="","",IFERROR(IF(I83="Zeitanteilig",(Besatzung!$G$14*(G83-IFERROR(H83,0))+((Besatzung!$B$14&lt;&gt;"")*IF(B83="",1,(IF(Besatzung!$C$14="",Besatzung!$B$5,Besatzung!$C$14)&lt;=B83)*(IF(Besatzung!$D$14="",Besatzung!$B$6,Besatzung!$D$14)&gt;=B83)))*(Besatzung!$F$14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$14&lt;&gt;"")*IF(B83="",1,(IF(Besatzung!$C$14="",Besatzung!$B$5,Besatzung!$C$14)&lt;=B83)*(IF(Besatzung!$D$14="",Besatzung!$B$6,Besatzung!$D$14)&gt;=B83)))*((G83-IFERROR(H83,0))/IFERROR(SUMPRODUCT((Besatzung!$B$11:$B$22&lt;&gt;"")*(IF(Besatzung!$C$11:$C$22="",Besatzung!$B$5,Besatzung!$C$11:$C$22)&lt;=B83)*(IF(Besatzung!$D$11:$D$22="",Besatzung!$B$6,Besatzung!$D$11:$D$22)&gt;=B83)),1)+(Besatzung!$F$14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M83="x")*((G83-IFERROR(H83,0))/IFERROR(COUNTIF(J83:U83,"x"),1)+(Besatzung!$F$14="x")*IFERROR(H83,0)/IFERROR(SUMPRODUCT((J83:U83="x")*(Besatzung!$F$11:$F$22="x")),1))),(IF(COUNTIF(J83:U83,"x")=0,IF(Besatzung!$B$14&lt;&gt;"",1,0),(M83="x"))*(G83-IFERROR(H83,0))/IFERROR(IF(COUNTIF(J83:U83,"x")=0,COUNTA(Besatzung!$B$11:$B$22),COUNTIF(J83:U83,"x")),1)+IF(COUNTIF(J83:U83,"x")=0,(Besatzung!$F$14="x"),(M83="x")*(Besatzung!$F$14="x"))*IFERROR(H83,0)/IFERROR(IF(COUNTIF(J83:U83,"x")=0,SUMPRODUCT((Besatzung!$B$11:$B$22&lt;&gt;"")*(Besatzung!$F$11:$F$22="x")),SUMPRODUCT((J83:U83="x")*(Besatzung!$F$11:$F$22="x"))),1))))),0))))</f>
        <v/>
      </c>
      <c r="Z83" s="106">
        <f>IF(C83="Gutschrift","",IF(G83="","",IF(Besatzung!$B$13="","",IFERROR(IF(I83="Zeitanteilig",(Besatzung!$G$15*(G83-IFERROR(H83,0))+((Besatzung!$B$13&lt;&gt;"")*IF(B83="",1,(IF(Besatzung!$C$15="",Besatzung!$B$5,Besatzung!$C$15)&lt;=B83)*(IF(Besatzung!$D$15="",Besatzung!$B$6,Besatzung!$D$15)&gt;=B83)))*(Besatzung!$F$15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$13&lt;&gt;"")*IF(B83="",1,(IF(Besatzung!$C$15="",Besatzung!$B$5,Besatzung!$C$15)&lt;=B83)*(IF(Besatzung!$D$15="",Besatzung!$B$6,Besatzung!$D$15)&gt;=B83)))*((G83-IFERROR(H83,0))/IFERROR(SUMPRODUCT((Besatzung!$B$11:$B$22&lt;&gt;"")*(IF(Besatzung!$C$11:$C$22="",Besatzung!$B$5,Besatzung!$C$11:$C$22)&lt;=B83)*(IF(Besatzung!$D$11:$D$22="",Besatzung!$B$6,Besatzung!$D$11:$D$22)&gt;=B83)),1)+(Besatzung!$F$15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N83="x")*((G83-IFERROR(H83,0))/IFERROR(COUNTIF(J83:U83,"x"),1)+(Besatzung!$F$15="x")*IFERROR(H83,0)/IFERROR(SUMPRODUCT((J83:U83="x")*(Besatzung!$F$11:$F$22="x")),1))),(IF(COUNTIF(J83:U83,"x")=0,IF(Besatzung!$B$13&lt;&gt;"",1,0),(N83="x"))*(G83-IFERROR(H83,0))/IFERROR(IF(COUNTIF(J83:U83,"x")=0,COUNTA(Besatzung!$B$11:$B$22),COUNTIF(J83:U83,"x")),1)+IF(COUNTIF(J83:U83,"x")=0,(Besatzung!$F$15="x"),(N83="x")*(Besatzung!$F$15="x"))*IFERROR(H83,0)/IFERROR(IF(COUNTIF(J83:U83,"x")=0,SUMPRODUCT((Besatzung!$B$11:$B$22&lt;&gt;"")*(Besatzung!$F$11:$F$22="x")),SUMPRODUCT((J83:U83="x")*(Besatzung!$F$11:$F$22="x"))),1))))),0))))</f>
        <v/>
      </c>
      <c r="AA83" s="106">
        <f>IF(C83="Gutschrift","",IF(G83="","",IF(Besatzung!$B$15="","",IFERROR(IF(I83="Zeitanteilig",(Besatzung!$G$16*(G83-IFERROR(H83,0))+((Besatzung!$B$15&lt;&gt;"")*IF(B83="",1,(IF(Besatzung!$C$16="",Besatzung!$B$5,Besatzung!$C$16)&lt;=B83)*(IF(Besatzung!$D$16="",Besatzung!$B$6,Besatzung!$D$16)&gt;=B83)))*(Besatzung!$F$16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$15&lt;&gt;"")*IF(B83="",1,(IF(Besatzung!$C$16="",Besatzung!$B$5,Besatzung!$C$16)&lt;=B83)*(IF(Besatzung!$D$16="",Besatzung!$B$6,Besatzung!$D$16)&gt;=B83)))*((G83-IFERROR(H83,0))/IFERROR(SUMPRODUCT((Besatzung!$B$11:$B$22&lt;&gt;"")*(IF(Besatzung!$C$11:$C$22="",Besatzung!$B$5,Besatzung!$C$11:$C$22)&lt;=B83)*(IF(Besatzung!$D$11:$D$22="",Besatzung!$B$6,Besatzung!$D$11:$D$22)&gt;=B83)),1)+(Besatzung!$F$16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O83="x")*((G83-IFERROR(H83,0))/IFERROR(COUNTIF(J83:U83,"x"),1)+(Besatzung!$F$16="x")*IFERROR(H83,0)/IFERROR(SUMPRODUCT((J83:U83="x")*(Besatzung!$F$11:$F$22="x")),1))),(IF(COUNTIF(J83:U83,"x")=0,IF(Besatzung!$B$15&lt;&gt;"",1,0),(O83="x"))*(G83-IFERROR(H83,0))/IFERROR(IF(COUNTIF(J83:U83,"x")=0,COUNTA(Besatzung!$B$11:$B$22),COUNTIF(J83:U83,"x")),1)+IF(COUNTIF(J83:U83,"x")=0,(Besatzung!$F$16="x"),(O83="x")*(Besatzung!$F$16="x"))*IFERROR(H83,0)/IFERROR(IF(COUNTIF(J83:U83,"x")=0,SUMPRODUCT((Besatzung!$B$11:$B$22&lt;&gt;"")*(Besatzung!$F$11:$F$22="x")),SUMPRODUCT((J83:U83="x")*(Besatzung!$F$11:$F$22="x"))),1))))),0))))</f>
        <v/>
      </c>
      <c r="AB83" s="106">
        <f>IF(C83="Gutschrift","",IF(G83="","",IF(Besatzung!$B$17="","",IFERROR(IF(I83="Zeitanteilig",(Besatzung!$G$17*(G83-IFERROR(H83,0))+((Besatzung!$B$17&lt;&gt;"")*IF(B83="",1,(IF(Besatzung!$C$17="",Besatzung!$B$5,Besatzung!$C$17)&lt;=B83)*(IF(Besatzung!$D$17="",Besatzung!$B$6,Besatzung!$D$17)&gt;=B83)))*(Besatzung!$F$17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$17&lt;&gt;"")*IF(B83="",1,(IF(Besatzung!$C$17="",Besatzung!$B$5,Besatzung!$C$17)&lt;=B83)*(IF(Besatzung!$D$17="",Besatzung!$B$6,Besatzung!$D$17)&gt;=B83)))*((G83-IFERROR(H83,0))/IFERROR(SUMPRODUCT((Besatzung!$B$11:$B$22&lt;&gt;"")*(IF(Besatzung!$C$11:$C$22="",Besatzung!$B$5,Besatzung!$C$11:$C$22)&lt;=B83)*(IF(Besatzung!$D$11:$D$22="",Besatzung!$B$6,Besatzung!$D$11:$D$22)&gt;=B83)),1)+(Besatzung!$F$17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P83="x")*((G83-IFERROR(H83,0))/IFERROR(COUNTIF(J83:U83,"x"),1)+(Besatzung!$F$17="x")*IFERROR(H83,0)/IFERROR(SUMPRODUCT((J83:U83="x")*(Besatzung!$F$11:$F$22="x")),1))),(IF(COUNTIF(J83:U83,"x")=0,IF(Besatzung!$B$17&lt;&gt;"",1,0),(P83="x"))*(G83-IFERROR(H83,0))/IFERROR(IF(COUNTIF(J83:U83,"x")=0,COUNTA(Besatzung!$B$11:$B$22),COUNTIF(J83:U83,"x")),1)+IF(COUNTIF(J83:U83,"x")=0,(Besatzung!$F$17="x"),(P83="x")*(Besatzung!$F$17="x"))*IFERROR(H83,0)/IFERROR(IF(COUNTIF(J83:U83,"x")=0,SUMPRODUCT((Besatzung!$B$11:$B$22&lt;&gt;"")*(Besatzung!$F$11:$F$22="x")),SUMPRODUCT((J83:U83="x")*(Besatzung!$F$11:$F$22="x"))),1))))),0))))</f>
        <v/>
      </c>
      <c r="AC83" s="106">
        <f>IF(C83="Gutschrift","",IF(G83="","",IF(Besatzung!$B$18="","",IFERROR(IF(I83="Zeitanteilig",(Besatzung!$G$18*(G83-IFERROR(H83,0))+((Besatzung!$B$18&lt;&gt;"")*IF(B83="",1,(IF(Besatzung!$C$18="",Besatzung!$B$5,Besatzung!$C$18)&lt;=B83)*(IF(Besatzung!$D$18="",Besatzung!$B$6,Besatzung!$D$18)&gt;=B83)))*(Besatzung!$F$18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$18&lt;&gt;"")*IF(B83="",1,(IF(Besatzung!$C$18="",Besatzung!$B$5,Besatzung!$C$18)&lt;=B83)*(IF(Besatzung!$D$18="",Besatzung!$B$6,Besatzung!$D$18)&gt;=B83)))*((G83-IFERROR(H83,0))/IFERROR(SUMPRODUCT((Besatzung!$B$11:$B$22&lt;&gt;"")*(IF(Besatzung!$C$11:$C$22="",Besatzung!$B$5,Besatzung!$C$11:$C$22)&lt;=B83)*(IF(Besatzung!$D$11:$D$22="",Besatzung!$B$6,Besatzung!$D$11:$D$22)&gt;=B83)),1)+(Besatzung!$F$18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Q83="x")*((G83-IFERROR(H83,0))/IFERROR(COUNTIF(J83:U83,"x"),1)+(Besatzung!$F$18="x")*IFERROR(H83,0)/IFERROR(SUMPRODUCT((J83:U83="x")*(Besatzung!$F$11:$F$22="x")),1))),(IF(COUNTIF(J83:U83,"x")=0,IF(Besatzung!$B$18&lt;&gt;"",1,0),(Q83="x"))*(G83-IFERROR(H83,0))/IFERROR(IF(COUNTIF(J83:U83,"x")=0,COUNTA(Besatzung!$B$11:$B$22),COUNTIF(J83:U83,"x")),1)+IF(COUNTIF(J83:U83,"x")=0,(Besatzung!$F$18="x"),(Q83="x")*(Besatzung!$F$18="x"))*IFERROR(H83,0)/IFERROR(IF(COUNTIF(J83:U83,"x")=0,SUMPRODUCT((Besatzung!$B$11:$B$22&lt;&gt;"")*(Besatzung!$F$11:$F$22="x")),SUMPRODUCT((J83:U83="x")*(Besatzung!$F$11:$F$22="x"))),1))))),0))))</f>
        <v/>
      </c>
      <c r="AD83" s="106">
        <f>IF(C83="Gutschrift","",IF(G83="","",IF(Besatzung!$B$19="","",IFERROR(IF(I83="Zeitanteilig",(Besatzung!$G$19*(G83-IFERROR(H83,0))+((Besatzung!$B$19&lt;&gt;"")*IF(B83="",1,(IF(Besatzung!$C$19="",Besatzung!$B$5,Besatzung!$C$19)&lt;=B83)*(IF(Besatzung!$D$19="",Besatzung!$B$6,Besatzung!$D$19)&gt;=B83)))*(Besatzung!$F$19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$19&lt;&gt;"")*IF(B83="",1,(IF(Besatzung!$C$19="",Besatzung!$B$5,Besatzung!$C$19)&lt;=B83)*(IF(Besatzung!$D$19="",Besatzung!$B$6,Besatzung!$D$19)&gt;=B83)))*((G83-IFERROR(H83,0))/IFERROR(SUMPRODUCT((Besatzung!$B$11:$B$22&lt;&gt;"")*(IF(Besatzung!$C$11:$C$22="",Besatzung!$B$5,Besatzung!$C$11:$C$22)&lt;=B83)*(IF(Besatzung!$D$11:$D$22="",Besatzung!$B$6,Besatzung!$D$11:$D$22)&gt;=B83)),1)+(Besatzung!$F$19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R83="x")*((G83-IFERROR(H83,0))/IFERROR(COUNTIF(J83:U83,"x"),1)+(Besatzung!$F$19="x")*IFERROR(H83,0)/IFERROR(SUMPRODUCT((J83:U83="x")*(Besatzung!$F$11:$F$22="x")),1))),(IF(COUNTIF(J83:U83,"x")=0,IF(Besatzung!$B$19&lt;&gt;"",1,0),(R83="x"))*(G83-IFERROR(H83,0))/IFERROR(IF(COUNTIF(J83:U83,"x")=0,COUNTA(Besatzung!$B$11:$B$22),COUNTIF(J83:U83,"x")),1)+IF(COUNTIF(J83:U83,"x")=0,(Besatzung!$F$19="x"),(R83="x")*(Besatzung!$F$19="x"))*IFERROR(H83,0)/IFERROR(IF(COUNTIF(J83:U83,"x")=0,SUMPRODUCT((Besatzung!$B$11:$B$22&lt;&gt;"")*(Besatzung!$F$11:$F$22="x")),SUMPRODUCT((J83:U83="x")*(Besatzung!$F$11:$F$22="x"))),1))))),0))))</f>
        <v/>
      </c>
      <c r="AE83" s="106">
        <f>IF(C83="Gutschrift","",IF(G83="","",IF(Besatzung!$B$20="","",IFERROR(IF(I83="Zeitanteilig",(Besatzung!$G$20*(G83-IFERROR(H83,0))+((Besatzung!$B$20&lt;&gt;"")*IF(B83="",1,(IF(Besatzung!$C$20="",Besatzung!$B$5,Besatzung!$C$20)&lt;=B83)*(IF(Besatzung!$D$20="",Besatzung!$B$6,Besatzung!$D$20)&gt;=B83)))*(Besatzung!$F$20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$20&lt;&gt;"")*IF(B83="",1,(IF(Besatzung!$C$20="",Besatzung!$B$5,Besatzung!$C$20)&lt;=B83)*(IF(Besatzung!$D$20="",Besatzung!$B$6,Besatzung!$D$20)&gt;=B83)))*((G83-IFERROR(H83,0))/IFERROR(SUMPRODUCT((Besatzung!$B$11:$B$22&lt;&gt;"")*(IF(Besatzung!$C$11:$C$22="",Besatzung!$B$5,Besatzung!$C$11:$C$22)&lt;=B83)*(IF(Besatzung!$D$11:$D$22="",Besatzung!$B$6,Besatzung!$D$11:$D$22)&gt;=B83)),1)+(Besatzung!$F$20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S83="x")*((G83-IFERROR(H83,0))/IFERROR(COUNTIF(J83:U83,"x"),1)+(Besatzung!$F$20="x")*IFERROR(H83,0)/IFERROR(SUMPRODUCT((J83:U83="x")*(Besatzung!$F$11:$F$22="x")),1))),(IF(COUNTIF(J83:U83,"x")=0,IF(Besatzung!$B$20&lt;&gt;"",1,0),(S83="x"))*(G83-IFERROR(H83,0))/IFERROR(IF(COUNTIF(J83:U83,"x")=0,COUNTA(Besatzung!$B$11:$B$22),COUNTIF(J83:U83,"x")),1)+IF(COUNTIF(J83:U83,"x")=0,(Besatzung!$F$20="x"),(S83="x")*(Besatzung!$F$20="x"))*IFERROR(H83,0)/IFERROR(IF(COUNTIF(J83:U83,"x")=0,SUMPRODUCT((Besatzung!$B$11:$B$22&lt;&gt;"")*(Besatzung!$F$11:$F$22="x")),SUMPRODUCT((J83:U83="x")*(Besatzung!$F$11:$F$22="x"))),1))))),0))))</f>
        <v/>
      </c>
      <c r="AF83" s="106">
        <f>IF(C83="Gutschrift","",IF(G83="","",IF(Besatzung!$B$21="","",IFERROR(IF(I83="Zeitanteilig",(Besatzung!$G$21*(G83-IFERROR(H83,0))+((Besatzung!$B$21&lt;&gt;"")*IF(B83="",1,(IF(Besatzung!$C$21="",Besatzung!$B$5,Besatzung!$C$21)&lt;=B83)*(IF(Besatzung!$D$21="",Besatzung!$B$6,Besatzung!$D$21)&gt;=B83)))*(Besatzung!$F$21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$21&lt;&gt;"")*IF(B83="",1,(IF(Besatzung!$C$21="",Besatzung!$B$5,Besatzung!$C$21)&lt;=B83)*(IF(Besatzung!$D$21="",Besatzung!$B$6,Besatzung!$D$21)&gt;=B83)))*((G83-IFERROR(H83,0))/IFERROR(SUMPRODUCT((Besatzung!$B$11:$B$22&lt;&gt;"")*(IF(Besatzung!$C$11:$C$22="",Besatzung!$B$5,Besatzung!$C$11:$C$22)&lt;=B83)*(IF(Besatzung!$D$11:$D$22="",Besatzung!$B$6,Besatzung!$D$11:$D$22)&gt;=B83)),1)+(Besatzung!$F$21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T83="x")*((G83-IFERROR(H83,0))/IFERROR(COUNTIF(J83:U83,"x"),1)+(Besatzung!$F$21="x")*IFERROR(H83,0)/IFERROR(SUMPRODUCT((J83:U83="x")*(Besatzung!$F$11:$F$22="x")),1))),(IF(COUNTIF(J83:U83,"x")=0,IF(Besatzung!$B$21&lt;&gt;"",1,0),(T83="x"))*(G83-IFERROR(H83,0))/IFERROR(IF(COUNTIF(J83:U83,"x")=0,COUNTA(Besatzung!$B$11:$B$22),COUNTIF(J83:U83,"x")),1)+IF(COUNTIF(J83:U83,"x")=0,(Besatzung!$F$21="x"),(T83="x")*(Besatzung!$F$21="x"))*IFERROR(H83,0)/IFERROR(IF(COUNTIF(J83:U83,"x")=0,SUMPRODUCT((Besatzung!$B$11:$B$22&lt;&gt;"")*(Besatzung!$F$11:$F$22="x")),SUMPRODUCT((J83:U83="x")*(Besatzung!$F$11:$F$22="x"))),1))))),0))))</f>
        <v/>
      </c>
      <c r="AG83" s="106">
        <f>IF(C83="Gutschrift","",IF(G83="","",IF(Besatzung!$B$22="","",IFERROR(IF(I83="Zeitanteilig",(Besatzung!$G$22*(G83-IFERROR(H83,0))+((Besatzung!$B$22&lt;&gt;"")*IF(B83="",1,(IF(Besatzung!$C$22="",Besatzung!$B$5,Besatzung!$C$22)&lt;=B83)*(IF(Besatzung!$D$22="",Besatzung!$B$6,Besatzung!$D$22)&gt;=B83)))*(Besatzung!$F$22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$22&lt;&gt;"")*IF(B83="",1,(IF(Besatzung!$C$22="",Besatzung!$B$5,Besatzung!$C$22)&lt;=B83)*(IF(Besatzung!$D$22="",Besatzung!$B$6,Besatzung!$D$22)&gt;=B83)))*((G83-IFERROR(H83,0))/IFERROR(SUMPRODUCT((Besatzung!$B$11:$B$22&lt;&gt;"")*(IF(Besatzung!$C$11:$C$22="",Besatzung!$B$5,Besatzung!$C$11:$C$22)&lt;=B83)*(IF(Besatzung!$D$11:$D$22="",Besatzung!$B$6,Besatzung!$D$11:$D$22)&gt;=B83)),1)+(Besatzung!$F$22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U83="x")*((G83-IFERROR(H83,0))/IFERROR(COUNTIF(J83:U83,"x"),1)+(Besatzung!$F$22="x")*IFERROR(H83,0)/IFERROR(SUMPRODUCT((J83:U83="x")*(Besatzung!$F$11:$F$22="x")),1))),(IF(COUNTIF(J83:U83,"x")=0,IF(Besatzung!$B$22&lt;&gt;"",1,0),(U83="x"))*(G83-IFERROR(H83,0))/IFERROR(IF(COUNTIF(J83:U83,"x")=0,COUNTA(Besatzung!$B$11:$B$22),COUNTIF(J83:U83,"x")),1)+IF(COUNTIF(J83:U83,"x")=0,(Besatzung!$F$22="x"),(U83="x")*(Besatzung!$F$22="x"))*IFERROR(H83,0)/IFERROR(IF(COUNTIF(J83:U83,"x")=0,SUMPRODUCT((Besatzung!$B$11:$B$22&lt;&gt;"")*(Besatzung!$F$11:$F$22="x")),SUMPRODUCT((J83:U83="x")*(Besatzung!$F$11:$F$22="x"))),1))))),0))))</f>
        <v/>
      </c>
      <c r="AH83" s="107" t="n"/>
      <c r="AI83" s="107" t="n"/>
    </row>
    <row r="84" ht="21.75" customHeight="1" s="182">
      <c r="A84" s="97">
        <f>IF(AND(D84="",C84=""),"",81)</f>
        <v/>
      </c>
      <c r="B84" s="56" t="n"/>
      <c r="C84" s="98" t="n"/>
      <c r="D84" s="99" t="n"/>
      <c r="E84" s="100" t="n"/>
      <c r="F84" s="101" t="n"/>
      <c r="G84" s="102" t="n"/>
      <c r="H84" s="103" t="n"/>
      <c r="I84" s="104" t="n"/>
      <c r="J84" s="105" t="n"/>
      <c r="K84" s="105" t="n"/>
      <c r="L84" s="105" t="n"/>
      <c r="M84" s="105" t="n"/>
      <c r="N84" s="105" t="n"/>
      <c r="O84" s="105" t="n"/>
      <c r="P84" s="105" t="n"/>
      <c r="Q84" s="105" t="n"/>
      <c r="R84" s="105" t="n"/>
      <c r="S84" s="105" t="n"/>
      <c r="T84" s="105" t="n"/>
      <c r="U84" s="105" t="n"/>
      <c r="V84" s="106">
        <f>IF(C84="Gutschrift","",IF(G84="","",IF(Besatzung!$B$11="","",IFERROR(IF(I84="Zeitanteilig",(Besatzung!$G$11*(G84-IFERROR(H84,0))+((Besatzung!$B$11&lt;&gt;"")*IF(B84="",1,(IF(Besatzung!$C$11="",Besatzung!$B$5,Besatzung!$C$11)&lt;=B84)*(IF(Besatzung!$D$11="",Besatzung!$B$6,Besatzung!$D$11)&gt;=B84)))*(Besatzung!$F$11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$11&lt;&gt;"")*IF(B84="",1,(IF(Besatzung!$C$11="",Besatzung!$B$5,Besatzung!$C$11)&lt;=B84)*(IF(Besatzung!$D$11="",Besatzung!$B$6,Besatzung!$D$11)&gt;=B84)))*((G84-IFERROR(H84,0))/IFERROR(SUMPRODUCT((Besatzung!$B$11:$B$22&lt;&gt;"")*(IF(Besatzung!$C$11:$C$22="",Besatzung!$B$5,Besatzung!$C$11:$C$22)&lt;=B84)*(IF(Besatzung!$D$11:$D$22="",Besatzung!$B$6,Besatzung!$D$11:$D$22)&gt;=B84)),1)+(Besatzung!$F$11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J84="x")*((G84-IFERROR(H84,0))/IFERROR(COUNTIF(J84:U84,"x"),1)+(Besatzung!$F$11="x")*IFERROR(H84,0)/IFERROR(SUMPRODUCT((J84:U84="x")*(Besatzung!$F$11:$F$22="x")),1))),(IF(COUNTIF(J84:U84,"x")=0,IF(Besatzung!$B$11&lt;&gt;"",1,0),(J84="x"))*(G84-IFERROR(H84,0))/IFERROR(IF(COUNTIF(J84:U84,"x")=0,COUNTA(Besatzung!$B$11:$B$22),COUNTIF(J84:U84,"x")),1)+IF(COUNTIF(J84:U84,"x")=0,(Besatzung!$F$11="x"),(J84="x")*(Besatzung!$F$11="x"))*IFERROR(H84,0)/IFERROR(IF(COUNTIF(J84:U84,"x")=0,SUMPRODUCT((Besatzung!$B$11:$B$22&lt;&gt;"")*(Besatzung!$F$11:$F$22="x")),SUMPRODUCT((J84:U84="x")*(Besatzung!$F$11:$F$22="x"))),1))))),0))))</f>
        <v/>
      </c>
      <c r="W84" s="106">
        <f>IF(C84="Gutschrift","",IF(G84="","",IF(Besatzung!$B$12="","",IFERROR(IF(I84="Zeitanteilig",(Besatzung!$G$12*(G84-IFERROR(H84,0))+((Besatzung!$B$12&lt;&gt;"")*IF(B84="",1,(IF(Besatzung!$C$12="",Besatzung!$B$5,Besatzung!$C$12)&lt;=B84)*(IF(Besatzung!$D$12="",Besatzung!$B$6,Besatzung!$D$12)&gt;=B84)))*(Besatzung!$F$12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$12&lt;&gt;"")*IF(B84="",1,(IF(Besatzung!$C$12="",Besatzung!$B$5,Besatzung!$C$12)&lt;=B84)*(IF(Besatzung!$D$12="",Besatzung!$B$6,Besatzung!$D$12)&gt;=B84)))*((G84-IFERROR(H84,0))/IFERROR(SUMPRODUCT((Besatzung!$B$11:$B$22&lt;&gt;"")*(IF(Besatzung!$C$11:$C$22="",Besatzung!$B$5,Besatzung!$C$11:$C$22)&lt;=B84)*(IF(Besatzung!$D$11:$D$22="",Besatzung!$B$6,Besatzung!$D$11:$D$22)&gt;=B84)),1)+(Besatzung!$F$12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K84="x")*((G84-IFERROR(H84,0))/IFERROR(COUNTIF(J84:U84,"x"),1)+(Besatzung!$F$12="x")*IFERROR(H84,0)/IFERROR(SUMPRODUCT((J84:U84="x")*(Besatzung!$F$11:$F$22="x")),1))),(IF(COUNTIF(J84:U84,"x")=0,IF(Besatzung!$B$12&lt;&gt;"",1,0),(K84="x"))*(G84-IFERROR(H84,0))/IFERROR(IF(COUNTIF(J84:U84,"x")=0,COUNTA(Besatzung!$B$11:$B$22),COUNTIF(J84:U84,"x")),1)+IF(COUNTIF(J84:U84,"x")=0,(Besatzung!$F$12="x"),(K84="x")*(Besatzung!$F$12="x"))*IFERROR(H84,0)/IFERROR(IF(COUNTIF(J84:U84,"x")=0,SUMPRODUCT((Besatzung!$B$11:$B$22&lt;&gt;"")*(Besatzung!$F$11:$F$22="x")),SUMPRODUCT((J84:U84="x")*(Besatzung!$F$11:$F$22="x"))),1))))),0))))</f>
        <v/>
      </c>
      <c r="X84" s="106">
        <f>IF(C84="Gutschrift","",IF(G84="","",IF(Besatzung!$B$13="","",IFERROR(IF(I84="Zeitanteilig",(Besatzung!$G$13*(G84-IFERROR(H84,0))+((Besatzung!$B$13&lt;&gt;"")*IF(B84="",1,(IF(Besatzung!$C$13="",Besatzung!$B$5,Besatzung!$C$13)&lt;=B84)*(IF(Besatzung!$D$13="",Besatzung!$B$6,Besatzung!$D$13)&gt;=B84)))*(Besatzung!$F$13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$13&lt;&gt;"")*IF(B84="",1,(IF(Besatzung!$C$13="",Besatzung!$B$5,Besatzung!$C$13)&lt;=B84)*(IF(Besatzung!$D$13="",Besatzung!$B$6,Besatzung!$D$13)&gt;=B84)))*((G84-IFERROR(H84,0))/IFERROR(SUMPRODUCT((Besatzung!$B$11:$B$22&lt;&gt;"")*(IF(Besatzung!$C$11:$C$22="",Besatzung!$B$5,Besatzung!$C$11:$C$22)&lt;=B84)*(IF(Besatzung!$D$11:$D$22="",Besatzung!$B$6,Besatzung!$D$11:$D$22)&gt;=B84)),1)+(Besatzung!$F$13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K84="x")*((G84-IFERROR(H84,0))/IFERROR(COUNTIF(J84:U84,"x"),1)+(Besatzung!$F$13="x")*IFERROR(H84,0)/IFERROR(SUMPRODUCT((J84:U84="x")*(Besatzung!$F$11:$F$22="x")),1))),(IF(COUNTIF(J84:U84,"x")=0,IF(Besatzung!$B$13&lt;&gt;"",1,0),(K84="x"))*(G84-IFERROR(H84,0))/IFERROR(IF(COUNTIF(J84:U84,"x")=0,COUNTA(Besatzung!$B$11:$B$22),COUNTIF(J84:U84,"x")),1)+IF(COUNTIF(J84:U84,"x")=0,(Besatzung!$F$13="x"),(K84="x")*(Besatzung!$F$13="x"))*IFERROR(H84,0)/IFERROR(IF(COUNTIF(J84:U84,"x")=0,SUMPRODUCT((Besatzung!$B$11:$B$22&lt;&gt;"")*(Besatzung!$F$11:$F$22="x")),SUMPRODUCT((J84:U84="x")*(Besatzung!$F$11:$F$22="x"))),1))))),0))))</f>
        <v/>
      </c>
      <c r="Y84" s="106">
        <f>IF(C84="Gutschrift","",IF(G84="","",IF(Besatzung!$B$14="","",IFERROR(IF(I84="Zeitanteilig",(Besatzung!$G$14*(G84-IFERROR(H84,0))+((Besatzung!$B$14&lt;&gt;"")*IF(B84="",1,(IF(Besatzung!$C$14="",Besatzung!$B$5,Besatzung!$C$14)&lt;=B84)*(IF(Besatzung!$D$14="",Besatzung!$B$6,Besatzung!$D$14)&gt;=B84)))*(Besatzung!$F$14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$14&lt;&gt;"")*IF(B84="",1,(IF(Besatzung!$C$14="",Besatzung!$B$5,Besatzung!$C$14)&lt;=B84)*(IF(Besatzung!$D$14="",Besatzung!$B$6,Besatzung!$D$14)&gt;=B84)))*((G84-IFERROR(H84,0))/IFERROR(SUMPRODUCT((Besatzung!$B$11:$B$22&lt;&gt;"")*(IF(Besatzung!$C$11:$C$22="",Besatzung!$B$5,Besatzung!$C$11:$C$22)&lt;=B84)*(IF(Besatzung!$D$11:$D$22="",Besatzung!$B$6,Besatzung!$D$11:$D$22)&gt;=B84)),1)+(Besatzung!$F$14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M84="x")*((G84-IFERROR(H84,0))/IFERROR(COUNTIF(J84:U84,"x"),1)+(Besatzung!$F$14="x")*IFERROR(H84,0)/IFERROR(SUMPRODUCT((J84:U84="x")*(Besatzung!$F$11:$F$22="x")),1))),(IF(COUNTIF(J84:U84,"x")=0,IF(Besatzung!$B$14&lt;&gt;"",1,0),(M84="x"))*(G84-IFERROR(H84,0))/IFERROR(IF(COUNTIF(J84:U84,"x")=0,COUNTA(Besatzung!$B$11:$B$22),COUNTIF(J84:U84,"x")),1)+IF(COUNTIF(J84:U84,"x")=0,(Besatzung!$F$14="x"),(M84="x")*(Besatzung!$F$14="x"))*IFERROR(H84,0)/IFERROR(IF(COUNTIF(J84:U84,"x")=0,SUMPRODUCT((Besatzung!$B$11:$B$22&lt;&gt;"")*(Besatzung!$F$11:$F$22="x")),SUMPRODUCT((J84:U84="x")*(Besatzung!$F$11:$F$22="x"))),1))))),0))))</f>
        <v/>
      </c>
      <c r="Z84" s="106">
        <f>IF(C84="Gutschrift","",IF(G84="","",IF(Besatzung!$B$13="","",IFERROR(IF(I84="Zeitanteilig",(Besatzung!$G$15*(G84-IFERROR(H84,0))+((Besatzung!$B$13&lt;&gt;"")*IF(B84="",1,(IF(Besatzung!$C$15="",Besatzung!$B$5,Besatzung!$C$15)&lt;=B84)*(IF(Besatzung!$D$15="",Besatzung!$B$6,Besatzung!$D$15)&gt;=B84)))*(Besatzung!$F$15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$13&lt;&gt;"")*IF(B84="",1,(IF(Besatzung!$C$15="",Besatzung!$B$5,Besatzung!$C$15)&lt;=B84)*(IF(Besatzung!$D$15="",Besatzung!$B$6,Besatzung!$D$15)&gt;=B84)))*((G84-IFERROR(H84,0))/IFERROR(SUMPRODUCT((Besatzung!$B$11:$B$22&lt;&gt;"")*(IF(Besatzung!$C$11:$C$22="",Besatzung!$B$5,Besatzung!$C$11:$C$22)&lt;=B84)*(IF(Besatzung!$D$11:$D$22="",Besatzung!$B$6,Besatzung!$D$11:$D$22)&gt;=B84)),1)+(Besatzung!$F$15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N84="x")*((G84-IFERROR(H84,0))/IFERROR(COUNTIF(J84:U84,"x"),1)+(Besatzung!$F$15="x")*IFERROR(H84,0)/IFERROR(SUMPRODUCT((J84:U84="x")*(Besatzung!$F$11:$F$22="x")),1))),(IF(COUNTIF(J84:U84,"x")=0,IF(Besatzung!$B$13&lt;&gt;"",1,0),(N84="x"))*(G84-IFERROR(H84,0))/IFERROR(IF(COUNTIF(J84:U84,"x")=0,COUNTA(Besatzung!$B$11:$B$22),COUNTIF(J84:U84,"x")),1)+IF(COUNTIF(J84:U84,"x")=0,(Besatzung!$F$15="x"),(N84="x")*(Besatzung!$F$15="x"))*IFERROR(H84,0)/IFERROR(IF(COUNTIF(J84:U84,"x")=0,SUMPRODUCT((Besatzung!$B$11:$B$22&lt;&gt;"")*(Besatzung!$F$11:$F$22="x")),SUMPRODUCT((J84:U84="x")*(Besatzung!$F$11:$F$22="x"))),1))))),0))))</f>
        <v/>
      </c>
      <c r="AA84" s="106">
        <f>IF(C84="Gutschrift","",IF(G84="","",IF(Besatzung!$B$15="","",IFERROR(IF(I84="Zeitanteilig",(Besatzung!$G$16*(G84-IFERROR(H84,0))+((Besatzung!$B$15&lt;&gt;"")*IF(B84="",1,(IF(Besatzung!$C$16="",Besatzung!$B$5,Besatzung!$C$16)&lt;=B84)*(IF(Besatzung!$D$16="",Besatzung!$B$6,Besatzung!$D$16)&gt;=B84)))*(Besatzung!$F$16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$15&lt;&gt;"")*IF(B84="",1,(IF(Besatzung!$C$16="",Besatzung!$B$5,Besatzung!$C$16)&lt;=B84)*(IF(Besatzung!$D$16="",Besatzung!$B$6,Besatzung!$D$16)&gt;=B84)))*((G84-IFERROR(H84,0))/IFERROR(SUMPRODUCT((Besatzung!$B$11:$B$22&lt;&gt;"")*(IF(Besatzung!$C$11:$C$22="",Besatzung!$B$5,Besatzung!$C$11:$C$22)&lt;=B84)*(IF(Besatzung!$D$11:$D$22="",Besatzung!$B$6,Besatzung!$D$11:$D$22)&gt;=B84)),1)+(Besatzung!$F$16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O84="x")*((G84-IFERROR(H84,0))/IFERROR(COUNTIF(J84:U84,"x"),1)+(Besatzung!$F$16="x")*IFERROR(H84,0)/IFERROR(SUMPRODUCT((J84:U84="x")*(Besatzung!$F$11:$F$22="x")),1))),(IF(COUNTIF(J84:U84,"x")=0,IF(Besatzung!$B$15&lt;&gt;"",1,0),(O84="x"))*(G84-IFERROR(H84,0))/IFERROR(IF(COUNTIF(J84:U84,"x")=0,COUNTA(Besatzung!$B$11:$B$22),COUNTIF(J84:U84,"x")),1)+IF(COUNTIF(J84:U84,"x")=0,(Besatzung!$F$16="x"),(O84="x")*(Besatzung!$F$16="x"))*IFERROR(H84,0)/IFERROR(IF(COUNTIF(J84:U84,"x")=0,SUMPRODUCT((Besatzung!$B$11:$B$22&lt;&gt;"")*(Besatzung!$F$11:$F$22="x")),SUMPRODUCT((J84:U84="x")*(Besatzung!$F$11:$F$22="x"))),1))))),0))))</f>
        <v/>
      </c>
      <c r="AB84" s="106">
        <f>IF(C84="Gutschrift","",IF(G84="","",IF(Besatzung!$B$17="","",IFERROR(IF(I84="Zeitanteilig",(Besatzung!$G$17*(G84-IFERROR(H84,0))+((Besatzung!$B$17&lt;&gt;"")*IF(B84="",1,(IF(Besatzung!$C$17="",Besatzung!$B$5,Besatzung!$C$17)&lt;=B84)*(IF(Besatzung!$D$17="",Besatzung!$B$6,Besatzung!$D$17)&gt;=B84)))*(Besatzung!$F$17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$17&lt;&gt;"")*IF(B84="",1,(IF(Besatzung!$C$17="",Besatzung!$B$5,Besatzung!$C$17)&lt;=B84)*(IF(Besatzung!$D$17="",Besatzung!$B$6,Besatzung!$D$17)&gt;=B84)))*((G84-IFERROR(H84,0))/IFERROR(SUMPRODUCT((Besatzung!$B$11:$B$22&lt;&gt;"")*(IF(Besatzung!$C$11:$C$22="",Besatzung!$B$5,Besatzung!$C$11:$C$22)&lt;=B84)*(IF(Besatzung!$D$11:$D$22="",Besatzung!$B$6,Besatzung!$D$11:$D$22)&gt;=B84)),1)+(Besatzung!$F$17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P84="x")*((G84-IFERROR(H84,0))/IFERROR(COUNTIF(J84:U84,"x"),1)+(Besatzung!$F$17="x")*IFERROR(H84,0)/IFERROR(SUMPRODUCT((J84:U84="x")*(Besatzung!$F$11:$F$22="x")),1))),(IF(COUNTIF(J84:U84,"x")=0,IF(Besatzung!$B$17&lt;&gt;"",1,0),(P84="x"))*(G84-IFERROR(H84,0))/IFERROR(IF(COUNTIF(J84:U84,"x")=0,COUNTA(Besatzung!$B$11:$B$22),COUNTIF(J84:U84,"x")),1)+IF(COUNTIF(J84:U84,"x")=0,(Besatzung!$F$17="x"),(P84="x")*(Besatzung!$F$17="x"))*IFERROR(H84,0)/IFERROR(IF(COUNTIF(J84:U84,"x")=0,SUMPRODUCT((Besatzung!$B$11:$B$22&lt;&gt;"")*(Besatzung!$F$11:$F$22="x")),SUMPRODUCT((J84:U84="x")*(Besatzung!$F$11:$F$22="x"))),1))))),0))))</f>
        <v/>
      </c>
      <c r="AC84" s="106">
        <f>IF(C84="Gutschrift","",IF(G84="","",IF(Besatzung!$B$18="","",IFERROR(IF(I84="Zeitanteilig",(Besatzung!$G$18*(G84-IFERROR(H84,0))+((Besatzung!$B$18&lt;&gt;"")*IF(B84="",1,(IF(Besatzung!$C$18="",Besatzung!$B$5,Besatzung!$C$18)&lt;=B84)*(IF(Besatzung!$D$18="",Besatzung!$B$6,Besatzung!$D$18)&gt;=B84)))*(Besatzung!$F$18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$18&lt;&gt;"")*IF(B84="",1,(IF(Besatzung!$C$18="",Besatzung!$B$5,Besatzung!$C$18)&lt;=B84)*(IF(Besatzung!$D$18="",Besatzung!$B$6,Besatzung!$D$18)&gt;=B84)))*((G84-IFERROR(H84,0))/IFERROR(SUMPRODUCT((Besatzung!$B$11:$B$22&lt;&gt;"")*(IF(Besatzung!$C$11:$C$22="",Besatzung!$B$5,Besatzung!$C$11:$C$22)&lt;=B84)*(IF(Besatzung!$D$11:$D$22="",Besatzung!$B$6,Besatzung!$D$11:$D$22)&gt;=B84)),1)+(Besatzung!$F$18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Q84="x")*((G84-IFERROR(H84,0))/IFERROR(COUNTIF(J84:U84,"x"),1)+(Besatzung!$F$18="x")*IFERROR(H84,0)/IFERROR(SUMPRODUCT((J84:U84="x")*(Besatzung!$F$11:$F$22="x")),1))),(IF(COUNTIF(J84:U84,"x")=0,IF(Besatzung!$B$18&lt;&gt;"",1,0),(Q84="x"))*(G84-IFERROR(H84,0))/IFERROR(IF(COUNTIF(J84:U84,"x")=0,COUNTA(Besatzung!$B$11:$B$22),COUNTIF(J84:U84,"x")),1)+IF(COUNTIF(J84:U84,"x")=0,(Besatzung!$F$18="x"),(Q84="x")*(Besatzung!$F$18="x"))*IFERROR(H84,0)/IFERROR(IF(COUNTIF(J84:U84,"x")=0,SUMPRODUCT((Besatzung!$B$11:$B$22&lt;&gt;"")*(Besatzung!$F$11:$F$22="x")),SUMPRODUCT((J84:U84="x")*(Besatzung!$F$11:$F$22="x"))),1))))),0))))</f>
        <v/>
      </c>
      <c r="AD84" s="106">
        <f>IF(C84="Gutschrift","",IF(G84="","",IF(Besatzung!$B$19="","",IFERROR(IF(I84="Zeitanteilig",(Besatzung!$G$19*(G84-IFERROR(H84,0))+((Besatzung!$B$19&lt;&gt;"")*IF(B84="",1,(IF(Besatzung!$C$19="",Besatzung!$B$5,Besatzung!$C$19)&lt;=B84)*(IF(Besatzung!$D$19="",Besatzung!$B$6,Besatzung!$D$19)&gt;=B84)))*(Besatzung!$F$19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$19&lt;&gt;"")*IF(B84="",1,(IF(Besatzung!$C$19="",Besatzung!$B$5,Besatzung!$C$19)&lt;=B84)*(IF(Besatzung!$D$19="",Besatzung!$B$6,Besatzung!$D$19)&gt;=B84)))*((G84-IFERROR(H84,0))/IFERROR(SUMPRODUCT((Besatzung!$B$11:$B$22&lt;&gt;"")*(IF(Besatzung!$C$11:$C$22="",Besatzung!$B$5,Besatzung!$C$11:$C$22)&lt;=B84)*(IF(Besatzung!$D$11:$D$22="",Besatzung!$B$6,Besatzung!$D$11:$D$22)&gt;=B84)),1)+(Besatzung!$F$19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R84="x")*((G84-IFERROR(H84,0))/IFERROR(COUNTIF(J84:U84,"x"),1)+(Besatzung!$F$19="x")*IFERROR(H84,0)/IFERROR(SUMPRODUCT((J84:U84="x")*(Besatzung!$F$11:$F$22="x")),1))),(IF(COUNTIF(J84:U84,"x")=0,IF(Besatzung!$B$19&lt;&gt;"",1,0),(R84="x"))*(G84-IFERROR(H84,0))/IFERROR(IF(COUNTIF(J84:U84,"x")=0,COUNTA(Besatzung!$B$11:$B$22),COUNTIF(J84:U84,"x")),1)+IF(COUNTIF(J84:U84,"x")=0,(Besatzung!$F$19="x"),(R84="x")*(Besatzung!$F$19="x"))*IFERROR(H84,0)/IFERROR(IF(COUNTIF(J84:U84,"x")=0,SUMPRODUCT((Besatzung!$B$11:$B$22&lt;&gt;"")*(Besatzung!$F$11:$F$22="x")),SUMPRODUCT((J84:U84="x")*(Besatzung!$F$11:$F$22="x"))),1))))),0))))</f>
        <v/>
      </c>
      <c r="AE84" s="106">
        <f>IF(C84="Gutschrift","",IF(G84="","",IF(Besatzung!$B$20="","",IFERROR(IF(I84="Zeitanteilig",(Besatzung!$G$20*(G84-IFERROR(H84,0))+((Besatzung!$B$20&lt;&gt;"")*IF(B84="",1,(IF(Besatzung!$C$20="",Besatzung!$B$5,Besatzung!$C$20)&lt;=B84)*(IF(Besatzung!$D$20="",Besatzung!$B$6,Besatzung!$D$20)&gt;=B84)))*(Besatzung!$F$20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$20&lt;&gt;"")*IF(B84="",1,(IF(Besatzung!$C$20="",Besatzung!$B$5,Besatzung!$C$20)&lt;=B84)*(IF(Besatzung!$D$20="",Besatzung!$B$6,Besatzung!$D$20)&gt;=B84)))*((G84-IFERROR(H84,0))/IFERROR(SUMPRODUCT((Besatzung!$B$11:$B$22&lt;&gt;"")*(IF(Besatzung!$C$11:$C$22="",Besatzung!$B$5,Besatzung!$C$11:$C$22)&lt;=B84)*(IF(Besatzung!$D$11:$D$22="",Besatzung!$B$6,Besatzung!$D$11:$D$22)&gt;=B84)),1)+(Besatzung!$F$20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S84="x")*((G84-IFERROR(H84,0))/IFERROR(COUNTIF(J84:U84,"x"),1)+(Besatzung!$F$20="x")*IFERROR(H84,0)/IFERROR(SUMPRODUCT((J84:U84="x")*(Besatzung!$F$11:$F$22="x")),1))),(IF(COUNTIF(J84:U84,"x")=0,IF(Besatzung!$B$20&lt;&gt;"",1,0),(S84="x"))*(G84-IFERROR(H84,0))/IFERROR(IF(COUNTIF(J84:U84,"x")=0,COUNTA(Besatzung!$B$11:$B$22),COUNTIF(J84:U84,"x")),1)+IF(COUNTIF(J84:U84,"x")=0,(Besatzung!$F$20="x"),(S84="x")*(Besatzung!$F$20="x"))*IFERROR(H84,0)/IFERROR(IF(COUNTIF(J84:U84,"x")=0,SUMPRODUCT((Besatzung!$B$11:$B$22&lt;&gt;"")*(Besatzung!$F$11:$F$22="x")),SUMPRODUCT((J84:U84="x")*(Besatzung!$F$11:$F$22="x"))),1))))),0))))</f>
        <v/>
      </c>
      <c r="AF84" s="106">
        <f>IF(C84="Gutschrift","",IF(G84="","",IF(Besatzung!$B$21="","",IFERROR(IF(I84="Zeitanteilig",(Besatzung!$G$21*(G84-IFERROR(H84,0))+((Besatzung!$B$21&lt;&gt;"")*IF(B84="",1,(IF(Besatzung!$C$21="",Besatzung!$B$5,Besatzung!$C$21)&lt;=B84)*(IF(Besatzung!$D$21="",Besatzung!$B$6,Besatzung!$D$21)&gt;=B84)))*(Besatzung!$F$21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$21&lt;&gt;"")*IF(B84="",1,(IF(Besatzung!$C$21="",Besatzung!$B$5,Besatzung!$C$21)&lt;=B84)*(IF(Besatzung!$D$21="",Besatzung!$B$6,Besatzung!$D$21)&gt;=B84)))*((G84-IFERROR(H84,0))/IFERROR(SUMPRODUCT((Besatzung!$B$11:$B$22&lt;&gt;"")*(IF(Besatzung!$C$11:$C$22="",Besatzung!$B$5,Besatzung!$C$11:$C$22)&lt;=B84)*(IF(Besatzung!$D$11:$D$22="",Besatzung!$B$6,Besatzung!$D$11:$D$22)&gt;=B84)),1)+(Besatzung!$F$21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T84="x")*((G84-IFERROR(H84,0))/IFERROR(COUNTIF(J84:U84,"x"),1)+(Besatzung!$F$21="x")*IFERROR(H84,0)/IFERROR(SUMPRODUCT((J84:U84="x")*(Besatzung!$F$11:$F$22="x")),1))),(IF(COUNTIF(J84:U84,"x")=0,IF(Besatzung!$B$21&lt;&gt;"",1,0),(T84="x"))*(G84-IFERROR(H84,0))/IFERROR(IF(COUNTIF(J84:U84,"x")=0,COUNTA(Besatzung!$B$11:$B$22),COUNTIF(J84:U84,"x")),1)+IF(COUNTIF(J84:U84,"x")=0,(Besatzung!$F$21="x"),(T84="x")*(Besatzung!$F$21="x"))*IFERROR(H84,0)/IFERROR(IF(COUNTIF(J84:U84,"x")=0,SUMPRODUCT((Besatzung!$B$11:$B$22&lt;&gt;"")*(Besatzung!$F$11:$F$22="x")),SUMPRODUCT((J84:U84="x")*(Besatzung!$F$11:$F$22="x"))),1))))),0))))</f>
        <v/>
      </c>
      <c r="AG84" s="106">
        <f>IF(C84="Gutschrift","",IF(G84="","",IF(Besatzung!$B$22="","",IFERROR(IF(I84="Zeitanteilig",(Besatzung!$G$22*(G84-IFERROR(H84,0))+((Besatzung!$B$22&lt;&gt;"")*IF(B84="",1,(IF(Besatzung!$C$22="",Besatzung!$B$5,Besatzung!$C$22)&lt;=B84)*(IF(Besatzung!$D$22="",Besatzung!$B$6,Besatzung!$D$22)&gt;=B84)))*(Besatzung!$F$22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$22&lt;&gt;"")*IF(B84="",1,(IF(Besatzung!$C$22="",Besatzung!$B$5,Besatzung!$C$22)&lt;=B84)*(IF(Besatzung!$D$22="",Besatzung!$B$6,Besatzung!$D$22)&gt;=B84)))*((G84-IFERROR(H84,0))/IFERROR(SUMPRODUCT((Besatzung!$B$11:$B$22&lt;&gt;"")*(IF(Besatzung!$C$11:$C$22="",Besatzung!$B$5,Besatzung!$C$11:$C$22)&lt;=B84)*(IF(Besatzung!$D$11:$D$22="",Besatzung!$B$6,Besatzung!$D$11:$D$22)&gt;=B84)),1)+(Besatzung!$F$22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U84="x")*((G84-IFERROR(H84,0))/IFERROR(COUNTIF(J84:U84,"x"),1)+(Besatzung!$F$22="x")*IFERROR(H84,0)/IFERROR(SUMPRODUCT((J84:U84="x")*(Besatzung!$F$11:$F$22="x")),1))),(IF(COUNTIF(J84:U84,"x")=0,IF(Besatzung!$B$22&lt;&gt;"",1,0),(U84="x"))*(G84-IFERROR(H84,0))/IFERROR(IF(COUNTIF(J84:U84,"x")=0,COUNTA(Besatzung!$B$11:$B$22),COUNTIF(J84:U84,"x")),1)+IF(COUNTIF(J84:U84,"x")=0,(Besatzung!$F$22="x"),(U84="x")*(Besatzung!$F$22="x"))*IFERROR(H84,0)/IFERROR(IF(COUNTIF(J84:U84,"x")=0,SUMPRODUCT((Besatzung!$B$11:$B$22&lt;&gt;"")*(Besatzung!$F$11:$F$22="x")),SUMPRODUCT((J84:U84="x")*(Besatzung!$F$11:$F$22="x"))),1))))),0))))</f>
        <v/>
      </c>
      <c r="AH84" s="107" t="n"/>
      <c r="AI84" s="107" t="n"/>
    </row>
    <row r="85" ht="21.75" customHeight="1" s="182">
      <c r="A85" s="97">
        <f>IF(AND(D85="",C85=""),"",82)</f>
        <v/>
      </c>
      <c r="B85" s="63" t="n"/>
      <c r="C85" s="108" t="n"/>
      <c r="D85" s="109" t="n"/>
      <c r="E85" s="110" t="n"/>
      <c r="F85" s="111" t="n"/>
      <c r="G85" s="112" t="n"/>
      <c r="H85" s="113" t="n"/>
      <c r="I85" s="114" t="n"/>
      <c r="J85" s="115" t="n"/>
      <c r="K85" s="115" t="n"/>
      <c r="L85" s="115" t="n"/>
      <c r="M85" s="115" t="n"/>
      <c r="N85" s="115" t="n"/>
      <c r="O85" s="115" t="n"/>
      <c r="P85" s="115" t="n"/>
      <c r="Q85" s="115" t="n"/>
      <c r="R85" s="115" t="n"/>
      <c r="S85" s="115" t="n"/>
      <c r="T85" s="115" t="n"/>
      <c r="U85" s="115" t="n"/>
      <c r="V85" s="106">
        <f>IF(C85="Gutschrift","",IF(G85="","",IF(Besatzung!$B$11="","",IFERROR(IF(I85="Zeitanteilig",(Besatzung!$G$11*(G85-IFERROR(H85,0))+((Besatzung!$B$11&lt;&gt;"")*IF(B85="",1,(IF(Besatzung!$C$11="",Besatzung!$B$5,Besatzung!$C$11)&lt;=B85)*(IF(Besatzung!$D$11="",Besatzung!$B$6,Besatzung!$D$11)&gt;=B85)))*(Besatzung!$F$11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$11&lt;&gt;"")*IF(B85="",1,(IF(Besatzung!$C$11="",Besatzung!$B$5,Besatzung!$C$11)&lt;=B85)*(IF(Besatzung!$D$11="",Besatzung!$B$6,Besatzung!$D$11)&gt;=B85)))*((G85-IFERROR(H85,0))/IFERROR(SUMPRODUCT((Besatzung!$B$11:$B$22&lt;&gt;"")*(IF(Besatzung!$C$11:$C$22="",Besatzung!$B$5,Besatzung!$C$11:$C$22)&lt;=B85)*(IF(Besatzung!$D$11:$D$22="",Besatzung!$B$6,Besatzung!$D$11:$D$22)&gt;=B85)),1)+(Besatzung!$F$11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J85="x")*((G85-IFERROR(H85,0))/IFERROR(COUNTIF(J85:U85,"x"),1)+(Besatzung!$F$11="x")*IFERROR(H85,0)/IFERROR(SUMPRODUCT((J85:U85="x")*(Besatzung!$F$11:$F$22="x")),1))),(IF(COUNTIF(J85:U85,"x")=0,IF(Besatzung!$B$11&lt;&gt;"",1,0),(J85="x"))*(G85-IFERROR(H85,0))/IFERROR(IF(COUNTIF(J85:U85,"x")=0,COUNTA(Besatzung!$B$11:$B$22),COUNTIF(J85:U85,"x")),1)+IF(COUNTIF(J85:U85,"x")=0,(Besatzung!$F$11="x"),(J85="x")*(Besatzung!$F$11="x"))*IFERROR(H85,0)/IFERROR(IF(COUNTIF(J85:U85,"x")=0,SUMPRODUCT((Besatzung!$B$11:$B$22&lt;&gt;"")*(Besatzung!$F$11:$F$22="x")),SUMPRODUCT((J85:U85="x")*(Besatzung!$F$11:$F$22="x"))),1))))),0))))</f>
        <v/>
      </c>
      <c r="W85" s="106">
        <f>IF(C85="Gutschrift","",IF(G85="","",IF(Besatzung!$B$12="","",IFERROR(IF(I85="Zeitanteilig",(Besatzung!$G$12*(G85-IFERROR(H85,0))+((Besatzung!$B$12&lt;&gt;"")*IF(B85="",1,(IF(Besatzung!$C$12="",Besatzung!$B$5,Besatzung!$C$12)&lt;=B85)*(IF(Besatzung!$D$12="",Besatzung!$B$6,Besatzung!$D$12)&gt;=B85)))*(Besatzung!$F$12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$12&lt;&gt;"")*IF(B85="",1,(IF(Besatzung!$C$12="",Besatzung!$B$5,Besatzung!$C$12)&lt;=B85)*(IF(Besatzung!$D$12="",Besatzung!$B$6,Besatzung!$D$12)&gt;=B85)))*((G85-IFERROR(H85,0))/IFERROR(SUMPRODUCT((Besatzung!$B$11:$B$22&lt;&gt;"")*(IF(Besatzung!$C$11:$C$22="",Besatzung!$B$5,Besatzung!$C$11:$C$22)&lt;=B85)*(IF(Besatzung!$D$11:$D$22="",Besatzung!$B$6,Besatzung!$D$11:$D$22)&gt;=B85)),1)+(Besatzung!$F$12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K85="x")*((G85-IFERROR(H85,0))/IFERROR(COUNTIF(J85:U85,"x"),1)+(Besatzung!$F$12="x")*IFERROR(H85,0)/IFERROR(SUMPRODUCT((J85:U85="x")*(Besatzung!$F$11:$F$22="x")),1))),(IF(COUNTIF(J85:U85,"x")=0,IF(Besatzung!$B$12&lt;&gt;"",1,0),(K85="x"))*(G85-IFERROR(H85,0))/IFERROR(IF(COUNTIF(J85:U85,"x")=0,COUNTA(Besatzung!$B$11:$B$22),COUNTIF(J85:U85,"x")),1)+IF(COUNTIF(J85:U85,"x")=0,(Besatzung!$F$12="x"),(K85="x")*(Besatzung!$F$12="x"))*IFERROR(H85,0)/IFERROR(IF(COUNTIF(J85:U85,"x")=0,SUMPRODUCT((Besatzung!$B$11:$B$22&lt;&gt;"")*(Besatzung!$F$11:$F$22="x")),SUMPRODUCT((J85:U85="x")*(Besatzung!$F$11:$F$22="x"))),1))))),0))))</f>
        <v/>
      </c>
      <c r="X85" s="106">
        <f>IF(C85="Gutschrift","",IF(G85="","",IF(Besatzung!$B$13="","",IFERROR(IF(I85="Zeitanteilig",(Besatzung!$G$13*(G85-IFERROR(H85,0))+((Besatzung!$B$13&lt;&gt;"")*IF(B85="",1,(IF(Besatzung!$C$13="",Besatzung!$B$5,Besatzung!$C$13)&lt;=B85)*(IF(Besatzung!$D$13="",Besatzung!$B$6,Besatzung!$D$13)&gt;=B85)))*(Besatzung!$F$13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$13&lt;&gt;"")*IF(B85="",1,(IF(Besatzung!$C$13="",Besatzung!$B$5,Besatzung!$C$13)&lt;=B85)*(IF(Besatzung!$D$13="",Besatzung!$B$6,Besatzung!$D$13)&gt;=B85)))*((G85-IFERROR(H85,0))/IFERROR(SUMPRODUCT((Besatzung!$B$11:$B$22&lt;&gt;"")*(IF(Besatzung!$C$11:$C$22="",Besatzung!$B$5,Besatzung!$C$11:$C$22)&lt;=B85)*(IF(Besatzung!$D$11:$D$22="",Besatzung!$B$6,Besatzung!$D$11:$D$22)&gt;=B85)),1)+(Besatzung!$F$13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K85="x")*((G85-IFERROR(H85,0))/IFERROR(COUNTIF(J85:U85,"x"),1)+(Besatzung!$F$13="x")*IFERROR(H85,0)/IFERROR(SUMPRODUCT((J85:U85="x")*(Besatzung!$F$11:$F$22="x")),1))),(IF(COUNTIF(J85:U85,"x")=0,IF(Besatzung!$B$13&lt;&gt;"",1,0),(K85="x"))*(G85-IFERROR(H85,0))/IFERROR(IF(COUNTIF(J85:U85,"x")=0,COUNTA(Besatzung!$B$11:$B$22),COUNTIF(J85:U85,"x")),1)+IF(COUNTIF(J85:U85,"x")=0,(Besatzung!$F$13="x"),(K85="x")*(Besatzung!$F$13="x"))*IFERROR(H85,0)/IFERROR(IF(COUNTIF(J85:U85,"x")=0,SUMPRODUCT((Besatzung!$B$11:$B$22&lt;&gt;"")*(Besatzung!$F$11:$F$22="x")),SUMPRODUCT((J85:U85="x")*(Besatzung!$F$11:$F$22="x"))),1))))),0))))</f>
        <v/>
      </c>
      <c r="Y85" s="106">
        <f>IF(C85="Gutschrift","",IF(G85="","",IF(Besatzung!$B$14="","",IFERROR(IF(I85="Zeitanteilig",(Besatzung!$G$14*(G85-IFERROR(H85,0))+((Besatzung!$B$14&lt;&gt;"")*IF(B85="",1,(IF(Besatzung!$C$14="",Besatzung!$B$5,Besatzung!$C$14)&lt;=B85)*(IF(Besatzung!$D$14="",Besatzung!$B$6,Besatzung!$D$14)&gt;=B85)))*(Besatzung!$F$14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$14&lt;&gt;"")*IF(B85="",1,(IF(Besatzung!$C$14="",Besatzung!$B$5,Besatzung!$C$14)&lt;=B85)*(IF(Besatzung!$D$14="",Besatzung!$B$6,Besatzung!$D$14)&gt;=B85)))*((G85-IFERROR(H85,0))/IFERROR(SUMPRODUCT((Besatzung!$B$11:$B$22&lt;&gt;"")*(IF(Besatzung!$C$11:$C$22="",Besatzung!$B$5,Besatzung!$C$11:$C$22)&lt;=B85)*(IF(Besatzung!$D$11:$D$22="",Besatzung!$B$6,Besatzung!$D$11:$D$22)&gt;=B85)),1)+(Besatzung!$F$14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M85="x")*((G85-IFERROR(H85,0))/IFERROR(COUNTIF(J85:U85,"x"),1)+(Besatzung!$F$14="x")*IFERROR(H85,0)/IFERROR(SUMPRODUCT((J85:U85="x")*(Besatzung!$F$11:$F$22="x")),1))),(IF(COUNTIF(J85:U85,"x")=0,IF(Besatzung!$B$14&lt;&gt;"",1,0),(M85="x"))*(G85-IFERROR(H85,0))/IFERROR(IF(COUNTIF(J85:U85,"x")=0,COUNTA(Besatzung!$B$11:$B$22),COUNTIF(J85:U85,"x")),1)+IF(COUNTIF(J85:U85,"x")=0,(Besatzung!$F$14="x"),(M85="x")*(Besatzung!$F$14="x"))*IFERROR(H85,0)/IFERROR(IF(COUNTIF(J85:U85,"x")=0,SUMPRODUCT((Besatzung!$B$11:$B$22&lt;&gt;"")*(Besatzung!$F$11:$F$22="x")),SUMPRODUCT((J85:U85="x")*(Besatzung!$F$11:$F$22="x"))),1))))),0))))</f>
        <v/>
      </c>
      <c r="Z85" s="106">
        <f>IF(C85="Gutschrift","",IF(G85="","",IF(Besatzung!$B$13="","",IFERROR(IF(I85="Zeitanteilig",(Besatzung!$G$15*(G85-IFERROR(H85,0))+((Besatzung!$B$13&lt;&gt;"")*IF(B85="",1,(IF(Besatzung!$C$15="",Besatzung!$B$5,Besatzung!$C$15)&lt;=B85)*(IF(Besatzung!$D$15="",Besatzung!$B$6,Besatzung!$D$15)&gt;=B85)))*(Besatzung!$F$15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$13&lt;&gt;"")*IF(B85="",1,(IF(Besatzung!$C$15="",Besatzung!$B$5,Besatzung!$C$15)&lt;=B85)*(IF(Besatzung!$D$15="",Besatzung!$B$6,Besatzung!$D$15)&gt;=B85)))*((G85-IFERROR(H85,0))/IFERROR(SUMPRODUCT((Besatzung!$B$11:$B$22&lt;&gt;"")*(IF(Besatzung!$C$11:$C$22="",Besatzung!$B$5,Besatzung!$C$11:$C$22)&lt;=B85)*(IF(Besatzung!$D$11:$D$22="",Besatzung!$B$6,Besatzung!$D$11:$D$22)&gt;=B85)),1)+(Besatzung!$F$15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N85="x")*((G85-IFERROR(H85,0))/IFERROR(COUNTIF(J85:U85,"x"),1)+(Besatzung!$F$15="x")*IFERROR(H85,0)/IFERROR(SUMPRODUCT((J85:U85="x")*(Besatzung!$F$11:$F$22="x")),1))),(IF(COUNTIF(J85:U85,"x")=0,IF(Besatzung!$B$13&lt;&gt;"",1,0),(N85="x"))*(G85-IFERROR(H85,0))/IFERROR(IF(COUNTIF(J85:U85,"x")=0,COUNTA(Besatzung!$B$11:$B$22),COUNTIF(J85:U85,"x")),1)+IF(COUNTIF(J85:U85,"x")=0,(Besatzung!$F$15="x"),(N85="x")*(Besatzung!$F$15="x"))*IFERROR(H85,0)/IFERROR(IF(COUNTIF(J85:U85,"x")=0,SUMPRODUCT((Besatzung!$B$11:$B$22&lt;&gt;"")*(Besatzung!$F$11:$F$22="x")),SUMPRODUCT((J85:U85="x")*(Besatzung!$F$11:$F$22="x"))),1))))),0))))</f>
        <v/>
      </c>
      <c r="AA85" s="106">
        <f>IF(C85="Gutschrift","",IF(G85="","",IF(Besatzung!$B$15="","",IFERROR(IF(I85="Zeitanteilig",(Besatzung!$G$16*(G85-IFERROR(H85,0))+((Besatzung!$B$15&lt;&gt;"")*IF(B85="",1,(IF(Besatzung!$C$16="",Besatzung!$B$5,Besatzung!$C$16)&lt;=B85)*(IF(Besatzung!$D$16="",Besatzung!$B$6,Besatzung!$D$16)&gt;=B85)))*(Besatzung!$F$16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$15&lt;&gt;"")*IF(B85="",1,(IF(Besatzung!$C$16="",Besatzung!$B$5,Besatzung!$C$16)&lt;=B85)*(IF(Besatzung!$D$16="",Besatzung!$B$6,Besatzung!$D$16)&gt;=B85)))*((G85-IFERROR(H85,0))/IFERROR(SUMPRODUCT((Besatzung!$B$11:$B$22&lt;&gt;"")*(IF(Besatzung!$C$11:$C$22="",Besatzung!$B$5,Besatzung!$C$11:$C$22)&lt;=B85)*(IF(Besatzung!$D$11:$D$22="",Besatzung!$B$6,Besatzung!$D$11:$D$22)&gt;=B85)),1)+(Besatzung!$F$16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O85="x")*((G85-IFERROR(H85,0))/IFERROR(COUNTIF(J85:U85,"x"),1)+(Besatzung!$F$16="x")*IFERROR(H85,0)/IFERROR(SUMPRODUCT((J85:U85="x")*(Besatzung!$F$11:$F$22="x")),1))),(IF(COUNTIF(J85:U85,"x")=0,IF(Besatzung!$B$15&lt;&gt;"",1,0),(O85="x"))*(G85-IFERROR(H85,0))/IFERROR(IF(COUNTIF(J85:U85,"x")=0,COUNTA(Besatzung!$B$11:$B$22),COUNTIF(J85:U85,"x")),1)+IF(COUNTIF(J85:U85,"x")=0,(Besatzung!$F$16="x"),(O85="x")*(Besatzung!$F$16="x"))*IFERROR(H85,0)/IFERROR(IF(COUNTIF(J85:U85,"x")=0,SUMPRODUCT((Besatzung!$B$11:$B$22&lt;&gt;"")*(Besatzung!$F$11:$F$22="x")),SUMPRODUCT((J85:U85="x")*(Besatzung!$F$11:$F$22="x"))),1))))),0))))</f>
        <v/>
      </c>
      <c r="AB85" s="106">
        <f>IF(C85="Gutschrift","",IF(G85="","",IF(Besatzung!$B$17="","",IFERROR(IF(I85="Zeitanteilig",(Besatzung!$G$17*(G85-IFERROR(H85,0))+((Besatzung!$B$17&lt;&gt;"")*IF(B85="",1,(IF(Besatzung!$C$17="",Besatzung!$B$5,Besatzung!$C$17)&lt;=B85)*(IF(Besatzung!$D$17="",Besatzung!$B$6,Besatzung!$D$17)&gt;=B85)))*(Besatzung!$F$17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$17&lt;&gt;"")*IF(B85="",1,(IF(Besatzung!$C$17="",Besatzung!$B$5,Besatzung!$C$17)&lt;=B85)*(IF(Besatzung!$D$17="",Besatzung!$B$6,Besatzung!$D$17)&gt;=B85)))*((G85-IFERROR(H85,0))/IFERROR(SUMPRODUCT((Besatzung!$B$11:$B$22&lt;&gt;"")*(IF(Besatzung!$C$11:$C$22="",Besatzung!$B$5,Besatzung!$C$11:$C$22)&lt;=B85)*(IF(Besatzung!$D$11:$D$22="",Besatzung!$B$6,Besatzung!$D$11:$D$22)&gt;=B85)),1)+(Besatzung!$F$17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P85="x")*((G85-IFERROR(H85,0))/IFERROR(COUNTIF(J85:U85,"x"),1)+(Besatzung!$F$17="x")*IFERROR(H85,0)/IFERROR(SUMPRODUCT((J85:U85="x")*(Besatzung!$F$11:$F$22="x")),1))),(IF(COUNTIF(J85:U85,"x")=0,IF(Besatzung!$B$17&lt;&gt;"",1,0),(P85="x"))*(G85-IFERROR(H85,0))/IFERROR(IF(COUNTIF(J85:U85,"x")=0,COUNTA(Besatzung!$B$11:$B$22),COUNTIF(J85:U85,"x")),1)+IF(COUNTIF(J85:U85,"x")=0,(Besatzung!$F$17="x"),(P85="x")*(Besatzung!$F$17="x"))*IFERROR(H85,0)/IFERROR(IF(COUNTIF(J85:U85,"x")=0,SUMPRODUCT((Besatzung!$B$11:$B$22&lt;&gt;"")*(Besatzung!$F$11:$F$22="x")),SUMPRODUCT((J85:U85="x")*(Besatzung!$F$11:$F$22="x"))),1))))),0))))</f>
        <v/>
      </c>
      <c r="AC85" s="106">
        <f>IF(C85="Gutschrift","",IF(G85="","",IF(Besatzung!$B$18="","",IFERROR(IF(I85="Zeitanteilig",(Besatzung!$G$18*(G85-IFERROR(H85,0))+((Besatzung!$B$18&lt;&gt;"")*IF(B85="",1,(IF(Besatzung!$C$18="",Besatzung!$B$5,Besatzung!$C$18)&lt;=B85)*(IF(Besatzung!$D$18="",Besatzung!$B$6,Besatzung!$D$18)&gt;=B85)))*(Besatzung!$F$18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$18&lt;&gt;"")*IF(B85="",1,(IF(Besatzung!$C$18="",Besatzung!$B$5,Besatzung!$C$18)&lt;=B85)*(IF(Besatzung!$D$18="",Besatzung!$B$6,Besatzung!$D$18)&gt;=B85)))*((G85-IFERROR(H85,0))/IFERROR(SUMPRODUCT((Besatzung!$B$11:$B$22&lt;&gt;"")*(IF(Besatzung!$C$11:$C$22="",Besatzung!$B$5,Besatzung!$C$11:$C$22)&lt;=B85)*(IF(Besatzung!$D$11:$D$22="",Besatzung!$B$6,Besatzung!$D$11:$D$22)&gt;=B85)),1)+(Besatzung!$F$18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Q85="x")*((G85-IFERROR(H85,0))/IFERROR(COUNTIF(J85:U85,"x"),1)+(Besatzung!$F$18="x")*IFERROR(H85,0)/IFERROR(SUMPRODUCT((J85:U85="x")*(Besatzung!$F$11:$F$22="x")),1))),(IF(COUNTIF(J85:U85,"x")=0,IF(Besatzung!$B$18&lt;&gt;"",1,0),(Q85="x"))*(G85-IFERROR(H85,0))/IFERROR(IF(COUNTIF(J85:U85,"x")=0,COUNTA(Besatzung!$B$11:$B$22),COUNTIF(J85:U85,"x")),1)+IF(COUNTIF(J85:U85,"x")=0,(Besatzung!$F$18="x"),(Q85="x")*(Besatzung!$F$18="x"))*IFERROR(H85,0)/IFERROR(IF(COUNTIF(J85:U85,"x")=0,SUMPRODUCT((Besatzung!$B$11:$B$22&lt;&gt;"")*(Besatzung!$F$11:$F$22="x")),SUMPRODUCT((J85:U85="x")*(Besatzung!$F$11:$F$22="x"))),1))))),0))))</f>
        <v/>
      </c>
      <c r="AD85" s="106">
        <f>IF(C85="Gutschrift","",IF(G85="","",IF(Besatzung!$B$19="","",IFERROR(IF(I85="Zeitanteilig",(Besatzung!$G$19*(G85-IFERROR(H85,0))+((Besatzung!$B$19&lt;&gt;"")*IF(B85="",1,(IF(Besatzung!$C$19="",Besatzung!$B$5,Besatzung!$C$19)&lt;=B85)*(IF(Besatzung!$D$19="",Besatzung!$B$6,Besatzung!$D$19)&gt;=B85)))*(Besatzung!$F$19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$19&lt;&gt;"")*IF(B85="",1,(IF(Besatzung!$C$19="",Besatzung!$B$5,Besatzung!$C$19)&lt;=B85)*(IF(Besatzung!$D$19="",Besatzung!$B$6,Besatzung!$D$19)&gt;=B85)))*((G85-IFERROR(H85,0))/IFERROR(SUMPRODUCT((Besatzung!$B$11:$B$22&lt;&gt;"")*(IF(Besatzung!$C$11:$C$22="",Besatzung!$B$5,Besatzung!$C$11:$C$22)&lt;=B85)*(IF(Besatzung!$D$11:$D$22="",Besatzung!$B$6,Besatzung!$D$11:$D$22)&gt;=B85)),1)+(Besatzung!$F$19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R85="x")*((G85-IFERROR(H85,0))/IFERROR(COUNTIF(J85:U85,"x"),1)+(Besatzung!$F$19="x")*IFERROR(H85,0)/IFERROR(SUMPRODUCT((J85:U85="x")*(Besatzung!$F$11:$F$22="x")),1))),(IF(COUNTIF(J85:U85,"x")=0,IF(Besatzung!$B$19&lt;&gt;"",1,0),(R85="x"))*(G85-IFERROR(H85,0))/IFERROR(IF(COUNTIF(J85:U85,"x")=0,COUNTA(Besatzung!$B$11:$B$22),COUNTIF(J85:U85,"x")),1)+IF(COUNTIF(J85:U85,"x")=0,(Besatzung!$F$19="x"),(R85="x")*(Besatzung!$F$19="x"))*IFERROR(H85,0)/IFERROR(IF(COUNTIF(J85:U85,"x")=0,SUMPRODUCT((Besatzung!$B$11:$B$22&lt;&gt;"")*(Besatzung!$F$11:$F$22="x")),SUMPRODUCT((J85:U85="x")*(Besatzung!$F$11:$F$22="x"))),1))))),0))))</f>
        <v/>
      </c>
      <c r="AE85" s="106">
        <f>IF(C85="Gutschrift","",IF(G85="","",IF(Besatzung!$B$20="","",IFERROR(IF(I85="Zeitanteilig",(Besatzung!$G$20*(G85-IFERROR(H85,0))+((Besatzung!$B$20&lt;&gt;"")*IF(B85="",1,(IF(Besatzung!$C$20="",Besatzung!$B$5,Besatzung!$C$20)&lt;=B85)*(IF(Besatzung!$D$20="",Besatzung!$B$6,Besatzung!$D$20)&gt;=B85)))*(Besatzung!$F$20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$20&lt;&gt;"")*IF(B85="",1,(IF(Besatzung!$C$20="",Besatzung!$B$5,Besatzung!$C$20)&lt;=B85)*(IF(Besatzung!$D$20="",Besatzung!$B$6,Besatzung!$D$20)&gt;=B85)))*((G85-IFERROR(H85,0))/IFERROR(SUMPRODUCT((Besatzung!$B$11:$B$22&lt;&gt;"")*(IF(Besatzung!$C$11:$C$22="",Besatzung!$B$5,Besatzung!$C$11:$C$22)&lt;=B85)*(IF(Besatzung!$D$11:$D$22="",Besatzung!$B$6,Besatzung!$D$11:$D$22)&gt;=B85)),1)+(Besatzung!$F$20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S85="x")*((G85-IFERROR(H85,0))/IFERROR(COUNTIF(J85:U85,"x"),1)+(Besatzung!$F$20="x")*IFERROR(H85,0)/IFERROR(SUMPRODUCT((J85:U85="x")*(Besatzung!$F$11:$F$22="x")),1))),(IF(COUNTIF(J85:U85,"x")=0,IF(Besatzung!$B$20&lt;&gt;"",1,0),(S85="x"))*(G85-IFERROR(H85,0))/IFERROR(IF(COUNTIF(J85:U85,"x")=0,COUNTA(Besatzung!$B$11:$B$22),COUNTIF(J85:U85,"x")),1)+IF(COUNTIF(J85:U85,"x")=0,(Besatzung!$F$20="x"),(S85="x")*(Besatzung!$F$20="x"))*IFERROR(H85,0)/IFERROR(IF(COUNTIF(J85:U85,"x")=0,SUMPRODUCT((Besatzung!$B$11:$B$22&lt;&gt;"")*(Besatzung!$F$11:$F$22="x")),SUMPRODUCT((J85:U85="x")*(Besatzung!$F$11:$F$22="x"))),1))))),0))))</f>
        <v/>
      </c>
      <c r="AF85" s="106">
        <f>IF(C85="Gutschrift","",IF(G85="","",IF(Besatzung!$B$21="","",IFERROR(IF(I85="Zeitanteilig",(Besatzung!$G$21*(G85-IFERROR(H85,0))+((Besatzung!$B$21&lt;&gt;"")*IF(B85="",1,(IF(Besatzung!$C$21="",Besatzung!$B$5,Besatzung!$C$21)&lt;=B85)*(IF(Besatzung!$D$21="",Besatzung!$B$6,Besatzung!$D$21)&gt;=B85)))*(Besatzung!$F$21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$21&lt;&gt;"")*IF(B85="",1,(IF(Besatzung!$C$21="",Besatzung!$B$5,Besatzung!$C$21)&lt;=B85)*(IF(Besatzung!$D$21="",Besatzung!$B$6,Besatzung!$D$21)&gt;=B85)))*((G85-IFERROR(H85,0))/IFERROR(SUMPRODUCT((Besatzung!$B$11:$B$22&lt;&gt;"")*(IF(Besatzung!$C$11:$C$22="",Besatzung!$B$5,Besatzung!$C$11:$C$22)&lt;=B85)*(IF(Besatzung!$D$11:$D$22="",Besatzung!$B$6,Besatzung!$D$11:$D$22)&gt;=B85)),1)+(Besatzung!$F$21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T85="x")*((G85-IFERROR(H85,0))/IFERROR(COUNTIF(J85:U85,"x"),1)+(Besatzung!$F$21="x")*IFERROR(H85,0)/IFERROR(SUMPRODUCT((J85:U85="x")*(Besatzung!$F$11:$F$22="x")),1))),(IF(COUNTIF(J85:U85,"x")=0,IF(Besatzung!$B$21&lt;&gt;"",1,0),(T85="x"))*(G85-IFERROR(H85,0))/IFERROR(IF(COUNTIF(J85:U85,"x")=0,COUNTA(Besatzung!$B$11:$B$22),COUNTIF(J85:U85,"x")),1)+IF(COUNTIF(J85:U85,"x")=0,(Besatzung!$F$21="x"),(T85="x")*(Besatzung!$F$21="x"))*IFERROR(H85,0)/IFERROR(IF(COUNTIF(J85:U85,"x")=0,SUMPRODUCT((Besatzung!$B$11:$B$22&lt;&gt;"")*(Besatzung!$F$11:$F$22="x")),SUMPRODUCT((J85:U85="x")*(Besatzung!$F$11:$F$22="x"))),1))))),0))))</f>
        <v/>
      </c>
      <c r="AG85" s="106">
        <f>IF(C85="Gutschrift","",IF(G85="","",IF(Besatzung!$B$22="","",IFERROR(IF(I85="Zeitanteilig",(Besatzung!$G$22*(G85-IFERROR(H85,0))+((Besatzung!$B$22&lt;&gt;"")*IF(B85="",1,(IF(Besatzung!$C$22="",Besatzung!$B$5,Besatzung!$C$22)&lt;=B85)*(IF(Besatzung!$D$22="",Besatzung!$B$6,Besatzung!$D$22)&gt;=B85)))*(Besatzung!$F$22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$22&lt;&gt;"")*IF(B85="",1,(IF(Besatzung!$C$22="",Besatzung!$B$5,Besatzung!$C$22)&lt;=B85)*(IF(Besatzung!$D$22="",Besatzung!$B$6,Besatzung!$D$22)&gt;=B85)))*((G85-IFERROR(H85,0))/IFERROR(SUMPRODUCT((Besatzung!$B$11:$B$22&lt;&gt;"")*(IF(Besatzung!$C$11:$C$22="",Besatzung!$B$5,Besatzung!$C$11:$C$22)&lt;=B85)*(IF(Besatzung!$D$11:$D$22="",Besatzung!$B$6,Besatzung!$D$11:$D$22)&gt;=B85)),1)+(Besatzung!$F$22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U85="x")*((G85-IFERROR(H85,0))/IFERROR(COUNTIF(J85:U85,"x"),1)+(Besatzung!$F$22="x")*IFERROR(H85,0)/IFERROR(SUMPRODUCT((J85:U85="x")*(Besatzung!$F$11:$F$22="x")),1))),(IF(COUNTIF(J85:U85,"x")=0,IF(Besatzung!$B$22&lt;&gt;"",1,0),(U85="x"))*(G85-IFERROR(H85,0))/IFERROR(IF(COUNTIF(J85:U85,"x")=0,COUNTA(Besatzung!$B$11:$B$22),COUNTIF(J85:U85,"x")),1)+IF(COUNTIF(J85:U85,"x")=0,(Besatzung!$F$22="x"),(U85="x")*(Besatzung!$F$22="x"))*IFERROR(H85,0)/IFERROR(IF(COUNTIF(J85:U85,"x")=0,SUMPRODUCT((Besatzung!$B$11:$B$22&lt;&gt;"")*(Besatzung!$F$11:$F$22="x")),SUMPRODUCT((J85:U85="x")*(Besatzung!$F$11:$F$22="x"))),1))))),0))))</f>
        <v/>
      </c>
      <c r="AH85" s="107" t="n"/>
      <c r="AI85" s="107" t="n"/>
    </row>
    <row r="86" ht="21.75" customHeight="1" s="182">
      <c r="A86" s="97">
        <f>IF(AND(D86="",C86=""),"",83)</f>
        <v/>
      </c>
      <c r="B86" s="56" t="n"/>
      <c r="C86" s="98" t="n"/>
      <c r="D86" s="99" t="n"/>
      <c r="E86" s="100" t="n"/>
      <c r="F86" s="101" t="n"/>
      <c r="G86" s="102" t="n"/>
      <c r="H86" s="103" t="n"/>
      <c r="I86" s="104" t="n"/>
      <c r="J86" s="105" t="n"/>
      <c r="K86" s="105" t="n"/>
      <c r="L86" s="105" t="n"/>
      <c r="M86" s="105" t="n"/>
      <c r="N86" s="105" t="n"/>
      <c r="O86" s="105" t="n"/>
      <c r="P86" s="105" t="n"/>
      <c r="Q86" s="105" t="n"/>
      <c r="R86" s="105" t="n"/>
      <c r="S86" s="105" t="n"/>
      <c r="T86" s="105" t="n"/>
      <c r="U86" s="105" t="n"/>
      <c r="V86" s="106">
        <f>IF(C86="Gutschrift","",IF(G86="","",IF(Besatzung!$B$11="","",IFERROR(IF(I86="Zeitanteilig",(Besatzung!$G$11*(G86-IFERROR(H86,0))+((Besatzung!$B$11&lt;&gt;"")*IF(B86="",1,(IF(Besatzung!$C$11="",Besatzung!$B$5,Besatzung!$C$11)&lt;=B86)*(IF(Besatzung!$D$11="",Besatzung!$B$6,Besatzung!$D$11)&gt;=B86)))*(Besatzung!$F$11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$11&lt;&gt;"")*IF(B86="",1,(IF(Besatzung!$C$11="",Besatzung!$B$5,Besatzung!$C$11)&lt;=B86)*(IF(Besatzung!$D$11="",Besatzung!$B$6,Besatzung!$D$11)&gt;=B86)))*((G86-IFERROR(H86,0))/IFERROR(SUMPRODUCT((Besatzung!$B$11:$B$22&lt;&gt;"")*(IF(Besatzung!$C$11:$C$22="",Besatzung!$B$5,Besatzung!$C$11:$C$22)&lt;=B86)*(IF(Besatzung!$D$11:$D$22="",Besatzung!$B$6,Besatzung!$D$11:$D$22)&gt;=B86)),1)+(Besatzung!$F$11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J86="x")*((G86-IFERROR(H86,0))/IFERROR(COUNTIF(J86:U86,"x"),1)+(Besatzung!$F$11="x")*IFERROR(H86,0)/IFERROR(SUMPRODUCT((J86:U86="x")*(Besatzung!$F$11:$F$22="x")),1))),(IF(COUNTIF(J86:U86,"x")=0,IF(Besatzung!$B$11&lt;&gt;"",1,0),(J86="x"))*(G86-IFERROR(H86,0))/IFERROR(IF(COUNTIF(J86:U86,"x")=0,COUNTA(Besatzung!$B$11:$B$22),COUNTIF(J86:U86,"x")),1)+IF(COUNTIF(J86:U86,"x")=0,(Besatzung!$F$11="x"),(J86="x")*(Besatzung!$F$11="x"))*IFERROR(H86,0)/IFERROR(IF(COUNTIF(J86:U86,"x")=0,SUMPRODUCT((Besatzung!$B$11:$B$22&lt;&gt;"")*(Besatzung!$F$11:$F$22="x")),SUMPRODUCT((J86:U86="x")*(Besatzung!$F$11:$F$22="x"))),1))))),0))))</f>
        <v/>
      </c>
      <c r="W86" s="106">
        <f>IF(C86="Gutschrift","",IF(G86="","",IF(Besatzung!$B$12="","",IFERROR(IF(I86="Zeitanteilig",(Besatzung!$G$12*(G86-IFERROR(H86,0))+((Besatzung!$B$12&lt;&gt;"")*IF(B86="",1,(IF(Besatzung!$C$12="",Besatzung!$B$5,Besatzung!$C$12)&lt;=B86)*(IF(Besatzung!$D$12="",Besatzung!$B$6,Besatzung!$D$12)&gt;=B86)))*(Besatzung!$F$12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$12&lt;&gt;"")*IF(B86="",1,(IF(Besatzung!$C$12="",Besatzung!$B$5,Besatzung!$C$12)&lt;=B86)*(IF(Besatzung!$D$12="",Besatzung!$B$6,Besatzung!$D$12)&gt;=B86)))*((G86-IFERROR(H86,0))/IFERROR(SUMPRODUCT((Besatzung!$B$11:$B$22&lt;&gt;"")*(IF(Besatzung!$C$11:$C$22="",Besatzung!$B$5,Besatzung!$C$11:$C$22)&lt;=B86)*(IF(Besatzung!$D$11:$D$22="",Besatzung!$B$6,Besatzung!$D$11:$D$22)&gt;=B86)),1)+(Besatzung!$F$12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K86="x")*((G86-IFERROR(H86,0))/IFERROR(COUNTIF(J86:U86,"x"),1)+(Besatzung!$F$12="x")*IFERROR(H86,0)/IFERROR(SUMPRODUCT((J86:U86="x")*(Besatzung!$F$11:$F$22="x")),1))),(IF(COUNTIF(J86:U86,"x")=0,IF(Besatzung!$B$12&lt;&gt;"",1,0),(K86="x"))*(G86-IFERROR(H86,0))/IFERROR(IF(COUNTIF(J86:U86,"x")=0,COUNTA(Besatzung!$B$11:$B$22),COUNTIF(J86:U86,"x")),1)+IF(COUNTIF(J86:U86,"x")=0,(Besatzung!$F$12="x"),(K86="x")*(Besatzung!$F$12="x"))*IFERROR(H86,0)/IFERROR(IF(COUNTIF(J86:U86,"x")=0,SUMPRODUCT((Besatzung!$B$11:$B$22&lt;&gt;"")*(Besatzung!$F$11:$F$22="x")),SUMPRODUCT((J86:U86="x")*(Besatzung!$F$11:$F$22="x"))),1))))),0))))</f>
        <v/>
      </c>
      <c r="X86" s="106">
        <f>IF(C86="Gutschrift","",IF(G86="","",IF(Besatzung!$B$13="","",IFERROR(IF(I86="Zeitanteilig",(Besatzung!$G$13*(G86-IFERROR(H86,0))+((Besatzung!$B$13&lt;&gt;"")*IF(B86="",1,(IF(Besatzung!$C$13="",Besatzung!$B$5,Besatzung!$C$13)&lt;=B86)*(IF(Besatzung!$D$13="",Besatzung!$B$6,Besatzung!$D$13)&gt;=B86)))*(Besatzung!$F$13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$13&lt;&gt;"")*IF(B86="",1,(IF(Besatzung!$C$13="",Besatzung!$B$5,Besatzung!$C$13)&lt;=B86)*(IF(Besatzung!$D$13="",Besatzung!$B$6,Besatzung!$D$13)&gt;=B86)))*((G86-IFERROR(H86,0))/IFERROR(SUMPRODUCT((Besatzung!$B$11:$B$22&lt;&gt;"")*(IF(Besatzung!$C$11:$C$22="",Besatzung!$B$5,Besatzung!$C$11:$C$22)&lt;=B86)*(IF(Besatzung!$D$11:$D$22="",Besatzung!$B$6,Besatzung!$D$11:$D$22)&gt;=B86)),1)+(Besatzung!$F$13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K86="x")*((G86-IFERROR(H86,0))/IFERROR(COUNTIF(J86:U86,"x"),1)+(Besatzung!$F$13="x")*IFERROR(H86,0)/IFERROR(SUMPRODUCT((J86:U86="x")*(Besatzung!$F$11:$F$22="x")),1))),(IF(COUNTIF(J86:U86,"x")=0,IF(Besatzung!$B$13&lt;&gt;"",1,0),(K86="x"))*(G86-IFERROR(H86,0))/IFERROR(IF(COUNTIF(J86:U86,"x")=0,COUNTA(Besatzung!$B$11:$B$22),COUNTIF(J86:U86,"x")),1)+IF(COUNTIF(J86:U86,"x")=0,(Besatzung!$F$13="x"),(K86="x")*(Besatzung!$F$13="x"))*IFERROR(H86,0)/IFERROR(IF(COUNTIF(J86:U86,"x")=0,SUMPRODUCT((Besatzung!$B$11:$B$22&lt;&gt;"")*(Besatzung!$F$11:$F$22="x")),SUMPRODUCT((J86:U86="x")*(Besatzung!$F$11:$F$22="x"))),1))))),0))))</f>
        <v/>
      </c>
      <c r="Y86" s="106">
        <f>IF(C86="Gutschrift","",IF(G86="","",IF(Besatzung!$B$14="","",IFERROR(IF(I86="Zeitanteilig",(Besatzung!$G$14*(G86-IFERROR(H86,0))+((Besatzung!$B$14&lt;&gt;"")*IF(B86="",1,(IF(Besatzung!$C$14="",Besatzung!$B$5,Besatzung!$C$14)&lt;=B86)*(IF(Besatzung!$D$14="",Besatzung!$B$6,Besatzung!$D$14)&gt;=B86)))*(Besatzung!$F$14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$14&lt;&gt;"")*IF(B86="",1,(IF(Besatzung!$C$14="",Besatzung!$B$5,Besatzung!$C$14)&lt;=B86)*(IF(Besatzung!$D$14="",Besatzung!$B$6,Besatzung!$D$14)&gt;=B86)))*((G86-IFERROR(H86,0))/IFERROR(SUMPRODUCT((Besatzung!$B$11:$B$22&lt;&gt;"")*(IF(Besatzung!$C$11:$C$22="",Besatzung!$B$5,Besatzung!$C$11:$C$22)&lt;=B86)*(IF(Besatzung!$D$11:$D$22="",Besatzung!$B$6,Besatzung!$D$11:$D$22)&gt;=B86)),1)+(Besatzung!$F$14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M86="x")*((G86-IFERROR(H86,0))/IFERROR(COUNTIF(J86:U86,"x"),1)+(Besatzung!$F$14="x")*IFERROR(H86,0)/IFERROR(SUMPRODUCT((J86:U86="x")*(Besatzung!$F$11:$F$22="x")),1))),(IF(COUNTIF(J86:U86,"x")=0,IF(Besatzung!$B$14&lt;&gt;"",1,0),(M86="x"))*(G86-IFERROR(H86,0))/IFERROR(IF(COUNTIF(J86:U86,"x")=0,COUNTA(Besatzung!$B$11:$B$22),COUNTIF(J86:U86,"x")),1)+IF(COUNTIF(J86:U86,"x")=0,(Besatzung!$F$14="x"),(M86="x")*(Besatzung!$F$14="x"))*IFERROR(H86,0)/IFERROR(IF(COUNTIF(J86:U86,"x")=0,SUMPRODUCT((Besatzung!$B$11:$B$22&lt;&gt;"")*(Besatzung!$F$11:$F$22="x")),SUMPRODUCT((J86:U86="x")*(Besatzung!$F$11:$F$22="x"))),1))))),0))))</f>
        <v/>
      </c>
      <c r="Z86" s="106">
        <f>IF(C86="Gutschrift","",IF(G86="","",IF(Besatzung!$B$13="","",IFERROR(IF(I86="Zeitanteilig",(Besatzung!$G$15*(G86-IFERROR(H86,0))+((Besatzung!$B$13&lt;&gt;"")*IF(B86="",1,(IF(Besatzung!$C$15="",Besatzung!$B$5,Besatzung!$C$15)&lt;=B86)*(IF(Besatzung!$D$15="",Besatzung!$B$6,Besatzung!$D$15)&gt;=B86)))*(Besatzung!$F$15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$13&lt;&gt;"")*IF(B86="",1,(IF(Besatzung!$C$15="",Besatzung!$B$5,Besatzung!$C$15)&lt;=B86)*(IF(Besatzung!$D$15="",Besatzung!$B$6,Besatzung!$D$15)&gt;=B86)))*((G86-IFERROR(H86,0))/IFERROR(SUMPRODUCT((Besatzung!$B$11:$B$22&lt;&gt;"")*(IF(Besatzung!$C$11:$C$22="",Besatzung!$B$5,Besatzung!$C$11:$C$22)&lt;=B86)*(IF(Besatzung!$D$11:$D$22="",Besatzung!$B$6,Besatzung!$D$11:$D$22)&gt;=B86)),1)+(Besatzung!$F$15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N86="x")*((G86-IFERROR(H86,0))/IFERROR(COUNTIF(J86:U86,"x"),1)+(Besatzung!$F$15="x")*IFERROR(H86,0)/IFERROR(SUMPRODUCT((J86:U86="x")*(Besatzung!$F$11:$F$22="x")),1))),(IF(COUNTIF(J86:U86,"x")=0,IF(Besatzung!$B$13&lt;&gt;"",1,0),(N86="x"))*(G86-IFERROR(H86,0))/IFERROR(IF(COUNTIF(J86:U86,"x")=0,COUNTA(Besatzung!$B$11:$B$22),COUNTIF(J86:U86,"x")),1)+IF(COUNTIF(J86:U86,"x")=0,(Besatzung!$F$15="x"),(N86="x")*(Besatzung!$F$15="x"))*IFERROR(H86,0)/IFERROR(IF(COUNTIF(J86:U86,"x")=0,SUMPRODUCT((Besatzung!$B$11:$B$22&lt;&gt;"")*(Besatzung!$F$11:$F$22="x")),SUMPRODUCT((J86:U86="x")*(Besatzung!$F$11:$F$22="x"))),1))))),0))))</f>
        <v/>
      </c>
      <c r="AA86" s="106">
        <f>IF(C86="Gutschrift","",IF(G86="","",IF(Besatzung!$B$15="","",IFERROR(IF(I86="Zeitanteilig",(Besatzung!$G$16*(G86-IFERROR(H86,0))+((Besatzung!$B$15&lt;&gt;"")*IF(B86="",1,(IF(Besatzung!$C$16="",Besatzung!$B$5,Besatzung!$C$16)&lt;=B86)*(IF(Besatzung!$D$16="",Besatzung!$B$6,Besatzung!$D$16)&gt;=B86)))*(Besatzung!$F$16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$15&lt;&gt;"")*IF(B86="",1,(IF(Besatzung!$C$16="",Besatzung!$B$5,Besatzung!$C$16)&lt;=B86)*(IF(Besatzung!$D$16="",Besatzung!$B$6,Besatzung!$D$16)&gt;=B86)))*((G86-IFERROR(H86,0))/IFERROR(SUMPRODUCT((Besatzung!$B$11:$B$22&lt;&gt;"")*(IF(Besatzung!$C$11:$C$22="",Besatzung!$B$5,Besatzung!$C$11:$C$22)&lt;=B86)*(IF(Besatzung!$D$11:$D$22="",Besatzung!$B$6,Besatzung!$D$11:$D$22)&gt;=B86)),1)+(Besatzung!$F$16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O86="x")*((G86-IFERROR(H86,0))/IFERROR(COUNTIF(J86:U86,"x"),1)+(Besatzung!$F$16="x")*IFERROR(H86,0)/IFERROR(SUMPRODUCT((J86:U86="x")*(Besatzung!$F$11:$F$22="x")),1))),(IF(COUNTIF(J86:U86,"x")=0,IF(Besatzung!$B$15&lt;&gt;"",1,0),(O86="x"))*(G86-IFERROR(H86,0))/IFERROR(IF(COUNTIF(J86:U86,"x")=0,COUNTA(Besatzung!$B$11:$B$22),COUNTIF(J86:U86,"x")),1)+IF(COUNTIF(J86:U86,"x")=0,(Besatzung!$F$16="x"),(O86="x")*(Besatzung!$F$16="x"))*IFERROR(H86,0)/IFERROR(IF(COUNTIF(J86:U86,"x")=0,SUMPRODUCT((Besatzung!$B$11:$B$22&lt;&gt;"")*(Besatzung!$F$11:$F$22="x")),SUMPRODUCT((J86:U86="x")*(Besatzung!$F$11:$F$22="x"))),1))))),0))))</f>
        <v/>
      </c>
      <c r="AB86" s="106">
        <f>IF(C86="Gutschrift","",IF(G86="","",IF(Besatzung!$B$17="","",IFERROR(IF(I86="Zeitanteilig",(Besatzung!$G$17*(G86-IFERROR(H86,0))+((Besatzung!$B$17&lt;&gt;"")*IF(B86="",1,(IF(Besatzung!$C$17="",Besatzung!$B$5,Besatzung!$C$17)&lt;=B86)*(IF(Besatzung!$D$17="",Besatzung!$B$6,Besatzung!$D$17)&gt;=B86)))*(Besatzung!$F$17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$17&lt;&gt;"")*IF(B86="",1,(IF(Besatzung!$C$17="",Besatzung!$B$5,Besatzung!$C$17)&lt;=B86)*(IF(Besatzung!$D$17="",Besatzung!$B$6,Besatzung!$D$17)&gt;=B86)))*((G86-IFERROR(H86,0))/IFERROR(SUMPRODUCT((Besatzung!$B$11:$B$22&lt;&gt;"")*(IF(Besatzung!$C$11:$C$22="",Besatzung!$B$5,Besatzung!$C$11:$C$22)&lt;=B86)*(IF(Besatzung!$D$11:$D$22="",Besatzung!$B$6,Besatzung!$D$11:$D$22)&gt;=B86)),1)+(Besatzung!$F$17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P86="x")*((G86-IFERROR(H86,0))/IFERROR(COUNTIF(J86:U86,"x"),1)+(Besatzung!$F$17="x")*IFERROR(H86,0)/IFERROR(SUMPRODUCT((J86:U86="x")*(Besatzung!$F$11:$F$22="x")),1))),(IF(COUNTIF(J86:U86,"x")=0,IF(Besatzung!$B$17&lt;&gt;"",1,0),(P86="x"))*(G86-IFERROR(H86,0))/IFERROR(IF(COUNTIF(J86:U86,"x")=0,COUNTA(Besatzung!$B$11:$B$22),COUNTIF(J86:U86,"x")),1)+IF(COUNTIF(J86:U86,"x")=0,(Besatzung!$F$17="x"),(P86="x")*(Besatzung!$F$17="x"))*IFERROR(H86,0)/IFERROR(IF(COUNTIF(J86:U86,"x")=0,SUMPRODUCT((Besatzung!$B$11:$B$22&lt;&gt;"")*(Besatzung!$F$11:$F$22="x")),SUMPRODUCT((J86:U86="x")*(Besatzung!$F$11:$F$22="x"))),1))))),0))))</f>
        <v/>
      </c>
      <c r="AC86" s="106">
        <f>IF(C86="Gutschrift","",IF(G86="","",IF(Besatzung!$B$18="","",IFERROR(IF(I86="Zeitanteilig",(Besatzung!$G$18*(G86-IFERROR(H86,0))+((Besatzung!$B$18&lt;&gt;"")*IF(B86="",1,(IF(Besatzung!$C$18="",Besatzung!$B$5,Besatzung!$C$18)&lt;=B86)*(IF(Besatzung!$D$18="",Besatzung!$B$6,Besatzung!$D$18)&gt;=B86)))*(Besatzung!$F$18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$18&lt;&gt;"")*IF(B86="",1,(IF(Besatzung!$C$18="",Besatzung!$B$5,Besatzung!$C$18)&lt;=B86)*(IF(Besatzung!$D$18="",Besatzung!$B$6,Besatzung!$D$18)&gt;=B86)))*((G86-IFERROR(H86,0))/IFERROR(SUMPRODUCT((Besatzung!$B$11:$B$22&lt;&gt;"")*(IF(Besatzung!$C$11:$C$22="",Besatzung!$B$5,Besatzung!$C$11:$C$22)&lt;=B86)*(IF(Besatzung!$D$11:$D$22="",Besatzung!$B$6,Besatzung!$D$11:$D$22)&gt;=B86)),1)+(Besatzung!$F$18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Q86="x")*((G86-IFERROR(H86,0))/IFERROR(COUNTIF(J86:U86,"x"),1)+(Besatzung!$F$18="x")*IFERROR(H86,0)/IFERROR(SUMPRODUCT((J86:U86="x")*(Besatzung!$F$11:$F$22="x")),1))),(IF(COUNTIF(J86:U86,"x")=0,IF(Besatzung!$B$18&lt;&gt;"",1,0),(Q86="x"))*(G86-IFERROR(H86,0))/IFERROR(IF(COUNTIF(J86:U86,"x")=0,COUNTA(Besatzung!$B$11:$B$22),COUNTIF(J86:U86,"x")),1)+IF(COUNTIF(J86:U86,"x")=0,(Besatzung!$F$18="x"),(Q86="x")*(Besatzung!$F$18="x"))*IFERROR(H86,0)/IFERROR(IF(COUNTIF(J86:U86,"x")=0,SUMPRODUCT((Besatzung!$B$11:$B$22&lt;&gt;"")*(Besatzung!$F$11:$F$22="x")),SUMPRODUCT((J86:U86="x")*(Besatzung!$F$11:$F$22="x"))),1))))),0))))</f>
        <v/>
      </c>
      <c r="AD86" s="106">
        <f>IF(C86="Gutschrift","",IF(G86="","",IF(Besatzung!$B$19="","",IFERROR(IF(I86="Zeitanteilig",(Besatzung!$G$19*(G86-IFERROR(H86,0))+((Besatzung!$B$19&lt;&gt;"")*IF(B86="",1,(IF(Besatzung!$C$19="",Besatzung!$B$5,Besatzung!$C$19)&lt;=B86)*(IF(Besatzung!$D$19="",Besatzung!$B$6,Besatzung!$D$19)&gt;=B86)))*(Besatzung!$F$19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$19&lt;&gt;"")*IF(B86="",1,(IF(Besatzung!$C$19="",Besatzung!$B$5,Besatzung!$C$19)&lt;=B86)*(IF(Besatzung!$D$19="",Besatzung!$B$6,Besatzung!$D$19)&gt;=B86)))*((G86-IFERROR(H86,0))/IFERROR(SUMPRODUCT((Besatzung!$B$11:$B$22&lt;&gt;"")*(IF(Besatzung!$C$11:$C$22="",Besatzung!$B$5,Besatzung!$C$11:$C$22)&lt;=B86)*(IF(Besatzung!$D$11:$D$22="",Besatzung!$B$6,Besatzung!$D$11:$D$22)&gt;=B86)),1)+(Besatzung!$F$19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R86="x")*((G86-IFERROR(H86,0))/IFERROR(COUNTIF(J86:U86,"x"),1)+(Besatzung!$F$19="x")*IFERROR(H86,0)/IFERROR(SUMPRODUCT((J86:U86="x")*(Besatzung!$F$11:$F$22="x")),1))),(IF(COUNTIF(J86:U86,"x")=0,IF(Besatzung!$B$19&lt;&gt;"",1,0),(R86="x"))*(G86-IFERROR(H86,0))/IFERROR(IF(COUNTIF(J86:U86,"x")=0,COUNTA(Besatzung!$B$11:$B$22),COUNTIF(J86:U86,"x")),1)+IF(COUNTIF(J86:U86,"x")=0,(Besatzung!$F$19="x"),(R86="x")*(Besatzung!$F$19="x"))*IFERROR(H86,0)/IFERROR(IF(COUNTIF(J86:U86,"x")=0,SUMPRODUCT((Besatzung!$B$11:$B$22&lt;&gt;"")*(Besatzung!$F$11:$F$22="x")),SUMPRODUCT((J86:U86="x")*(Besatzung!$F$11:$F$22="x"))),1))))),0))))</f>
        <v/>
      </c>
      <c r="AE86" s="106">
        <f>IF(C86="Gutschrift","",IF(G86="","",IF(Besatzung!$B$20="","",IFERROR(IF(I86="Zeitanteilig",(Besatzung!$G$20*(G86-IFERROR(H86,0))+((Besatzung!$B$20&lt;&gt;"")*IF(B86="",1,(IF(Besatzung!$C$20="",Besatzung!$B$5,Besatzung!$C$20)&lt;=B86)*(IF(Besatzung!$D$20="",Besatzung!$B$6,Besatzung!$D$20)&gt;=B86)))*(Besatzung!$F$20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$20&lt;&gt;"")*IF(B86="",1,(IF(Besatzung!$C$20="",Besatzung!$B$5,Besatzung!$C$20)&lt;=B86)*(IF(Besatzung!$D$20="",Besatzung!$B$6,Besatzung!$D$20)&gt;=B86)))*((G86-IFERROR(H86,0))/IFERROR(SUMPRODUCT((Besatzung!$B$11:$B$22&lt;&gt;"")*(IF(Besatzung!$C$11:$C$22="",Besatzung!$B$5,Besatzung!$C$11:$C$22)&lt;=B86)*(IF(Besatzung!$D$11:$D$22="",Besatzung!$B$6,Besatzung!$D$11:$D$22)&gt;=B86)),1)+(Besatzung!$F$20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S86="x")*((G86-IFERROR(H86,0))/IFERROR(COUNTIF(J86:U86,"x"),1)+(Besatzung!$F$20="x")*IFERROR(H86,0)/IFERROR(SUMPRODUCT((J86:U86="x")*(Besatzung!$F$11:$F$22="x")),1))),(IF(COUNTIF(J86:U86,"x")=0,IF(Besatzung!$B$20&lt;&gt;"",1,0),(S86="x"))*(G86-IFERROR(H86,0))/IFERROR(IF(COUNTIF(J86:U86,"x")=0,COUNTA(Besatzung!$B$11:$B$22),COUNTIF(J86:U86,"x")),1)+IF(COUNTIF(J86:U86,"x")=0,(Besatzung!$F$20="x"),(S86="x")*(Besatzung!$F$20="x"))*IFERROR(H86,0)/IFERROR(IF(COUNTIF(J86:U86,"x")=0,SUMPRODUCT((Besatzung!$B$11:$B$22&lt;&gt;"")*(Besatzung!$F$11:$F$22="x")),SUMPRODUCT((J86:U86="x")*(Besatzung!$F$11:$F$22="x"))),1))))),0))))</f>
        <v/>
      </c>
      <c r="AF86" s="106">
        <f>IF(C86="Gutschrift","",IF(G86="","",IF(Besatzung!$B$21="","",IFERROR(IF(I86="Zeitanteilig",(Besatzung!$G$21*(G86-IFERROR(H86,0))+((Besatzung!$B$21&lt;&gt;"")*IF(B86="",1,(IF(Besatzung!$C$21="",Besatzung!$B$5,Besatzung!$C$21)&lt;=B86)*(IF(Besatzung!$D$21="",Besatzung!$B$6,Besatzung!$D$21)&gt;=B86)))*(Besatzung!$F$21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$21&lt;&gt;"")*IF(B86="",1,(IF(Besatzung!$C$21="",Besatzung!$B$5,Besatzung!$C$21)&lt;=B86)*(IF(Besatzung!$D$21="",Besatzung!$B$6,Besatzung!$D$21)&gt;=B86)))*((G86-IFERROR(H86,0))/IFERROR(SUMPRODUCT((Besatzung!$B$11:$B$22&lt;&gt;"")*(IF(Besatzung!$C$11:$C$22="",Besatzung!$B$5,Besatzung!$C$11:$C$22)&lt;=B86)*(IF(Besatzung!$D$11:$D$22="",Besatzung!$B$6,Besatzung!$D$11:$D$22)&gt;=B86)),1)+(Besatzung!$F$21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T86="x")*((G86-IFERROR(H86,0))/IFERROR(COUNTIF(J86:U86,"x"),1)+(Besatzung!$F$21="x")*IFERROR(H86,0)/IFERROR(SUMPRODUCT((J86:U86="x")*(Besatzung!$F$11:$F$22="x")),1))),(IF(COUNTIF(J86:U86,"x")=0,IF(Besatzung!$B$21&lt;&gt;"",1,0),(T86="x"))*(G86-IFERROR(H86,0))/IFERROR(IF(COUNTIF(J86:U86,"x")=0,COUNTA(Besatzung!$B$11:$B$22),COUNTIF(J86:U86,"x")),1)+IF(COUNTIF(J86:U86,"x")=0,(Besatzung!$F$21="x"),(T86="x")*(Besatzung!$F$21="x"))*IFERROR(H86,0)/IFERROR(IF(COUNTIF(J86:U86,"x")=0,SUMPRODUCT((Besatzung!$B$11:$B$22&lt;&gt;"")*(Besatzung!$F$11:$F$22="x")),SUMPRODUCT((J86:U86="x")*(Besatzung!$F$11:$F$22="x"))),1))))),0))))</f>
        <v/>
      </c>
      <c r="AG86" s="106">
        <f>IF(C86="Gutschrift","",IF(G86="","",IF(Besatzung!$B$22="","",IFERROR(IF(I86="Zeitanteilig",(Besatzung!$G$22*(G86-IFERROR(H86,0))+((Besatzung!$B$22&lt;&gt;"")*IF(B86="",1,(IF(Besatzung!$C$22="",Besatzung!$B$5,Besatzung!$C$22)&lt;=B86)*(IF(Besatzung!$D$22="",Besatzung!$B$6,Besatzung!$D$22)&gt;=B86)))*(Besatzung!$F$22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$22&lt;&gt;"")*IF(B86="",1,(IF(Besatzung!$C$22="",Besatzung!$B$5,Besatzung!$C$22)&lt;=B86)*(IF(Besatzung!$D$22="",Besatzung!$B$6,Besatzung!$D$22)&gt;=B86)))*((G86-IFERROR(H86,0))/IFERROR(SUMPRODUCT((Besatzung!$B$11:$B$22&lt;&gt;"")*(IF(Besatzung!$C$11:$C$22="",Besatzung!$B$5,Besatzung!$C$11:$C$22)&lt;=B86)*(IF(Besatzung!$D$11:$D$22="",Besatzung!$B$6,Besatzung!$D$11:$D$22)&gt;=B86)),1)+(Besatzung!$F$22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U86="x")*((G86-IFERROR(H86,0))/IFERROR(COUNTIF(J86:U86,"x"),1)+(Besatzung!$F$22="x")*IFERROR(H86,0)/IFERROR(SUMPRODUCT((J86:U86="x")*(Besatzung!$F$11:$F$22="x")),1))),(IF(COUNTIF(J86:U86,"x")=0,IF(Besatzung!$B$22&lt;&gt;"",1,0),(U86="x"))*(G86-IFERROR(H86,0))/IFERROR(IF(COUNTIF(J86:U86,"x")=0,COUNTA(Besatzung!$B$11:$B$22),COUNTIF(J86:U86,"x")),1)+IF(COUNTIF(J86:U86,"x")=0,(Besatzung!$F$22="x"),(U86="x")*(Besatzung!$F$22="x"))*IFERROR(H86,0)/IFERROR(IF(COUNTIF(J86:U86,"x")=0,SUMPRODUCT((Besatzung!$B$11:$B$22&lt;&gt;"")*(Besatzung!$F$11:$F$22="x")),SUMPRODUCT((J86:U86="x")*(Besatzung!$F$11:$F$22="x"))),1))))),0))))</f>
        <v/>
      </c>
      <c r="AH86" s="107" t="n"/>
      <c r="AI86" s="107" t="n"/>
    </row>
    <row r="87" ht="21.75" customHeight="1" s="182">
      <c r="A87" s="97">
        <f>IF(AND(D87="",C87=""),"",84)</f>
        <v/>
      </c>
      <c r="B87" s="63" t="n"/>
      <c r="C87" s="108" t="n"/>
      <c r="D87" s="109" t="n"/>
      <c r="E87" s="110" t="n"/>
      <c r="F87" s="111" t="n"/>
      <c r="G87" s="112" t="n"/>
      <c r="H87" s="113" t="n"/>
      <c r="I87" s="114" t="n"/>
      <c r="J87" s="115" t="n"/>
      <c r="K87" s="115" t="n"/>
      <c r="L87" s="115" t="n"/>
      <c r="M87" s="115" t="n"/>
      <c r="N87" s="115" t="n"/>
      <c r="O87" s="115" t="n"/>
      <c r="P87" s="115" t="n"/>
      <c r="Q87" s="115" t="n"/>
      <c r="R87" s="115" t="n"/>
      <c r="S87" s="115" t="n"/>
      <c r="T87" s="115" t="n"/>
      <c r="U87" s="115" t="n"/>
      <c r="V87" s="106">
        <f>IF(C87="Gutschrift","",IF(G87="","",IF(Besatzung!$B$11="","",IFERROR(IF(I87="Zeitanteilig",(Besatzung!$G$11*(G87-IFERROR(H87,0))+((Besatzung!$B$11&lt;&gt;"")*IF(B87="",1,(IF(Besatzung!$C$11="",Besatzung!$B$5,Besatzung!$C$11)&lt;=B87)*(IF(Besatzung!$D$11="",Besatzung!$B$6,Besatzung!$D$11)&gt;=B87)))*(Besatzung!$F$11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$11&lt;&gt;"")*IF(B87="",1,(IF(Besatzung!$C$11="",Besatzung!$B$5,Besatzung!$C$11)&lt;=B87)*(IF(Besatzung!$D$11="",Besatzung!$B$6,Besatzung!$D$11)&gt;=B87)))*((G87-IFERROR(H87,0))/IFERROR(SUMPRODUCT((Besatzung!$B$11:$B$22&lt;&gt;"")*(IF(Besatzung!$C$11:$C$22="",Besatzung!$B$5,Besatzung!$C$11:$C$22)&lt;=B87)*(IF(Besatzung!$D$11:$D$22="",Besatzung!$B$6,Besatzung!$D$11:$D$22)&gt;=B87)),1)+(Besatzung!$F$11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J87="x")*((G87-IFERROR(H87,0))/IFERROR(COUNTIF(J87:U87,"x"),1)+(Besatzung!$F$11="x")*IFERROR(H87,0)/IFERROR(SUMPRODUCT((J87:U87="x")*(Besatzung!$F$11:$F$22="x")),1))),(IF(COUNTIF(J87:U87,"x")=0,IF(Besatzung!$B$11&lt;&gt;"",1,0),(J87="x"))*(G87-IFERROR(H87,0))/IFERROR(IF(COUNTIF(J87:U87,"x")=0,COUNTA(Besatzung!$B$11:$B$22),COUNTIF(J87:U87,"x")),1)+IF(COUNTIF(J87:U87,"x")=0,(Besatzung!$F$11="x"),(J87="x")*(Besatzung!$F$11="x"))*IFERROR(H87,0)/IFERROR(IF(COUNTIF(J87:U87,"x")=0,SUMPRODUCT((Besatzung!$B$11:$B$22&lt;&gt;"")*(Besatzung!$F$11:$F$22="x")),SUMPRODUCT((J87:U87="x")*(Besatzung!$F$11:$F$22="x"))),1))))),0))))</f>
        <v/>
      </c>
      <c r="W87" s="106">
        <f>IF(C87="Gutschrift","",IF(G87="","",IF(Besatzung!$B$12="","",IFERROR(IF(I87="Zeitanteilig",(Besatzung!$G$12*(G87-IFERROR(H87,0))+((Besatzung!$B$12&lt;&gt;"")*IF(B87="",1,(IF(Besatzung!$C$12="",Besatzung!$B$5,Besatzung!$C$12)&lt;=B87)*(IF(Besatzung!$D$12="",Besatzung!$B$6,Besatzung!$D$12)&gt;=B87)))*(Besatzung!$F$12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$12&lt;&gt;"")*IF(B87="",1,(IF(Besatzung!$C$12="",Besatzung!$B$5,Besatzung!$C$12)&lt;=B87)*(IF(Besatzung!$D$12="",Besatzung!$B$6,Besatzung!$D$12)&gt;=B87)))*((G87-IFERROR(H87,0))/IFERROR(SUMPRODUCT((Besatzung!$B$11:$B$22&lt;&gt;"")*(IF(Besatzung!$C$11:$C$22="",Besatzung!$B$5,Besatzung!$C$11:$C$22)&lt;=B87)*(IF(Besatzung!$D$11:$D$22="",Besatzung!$B$6,Besatzung!$D$11:$D$22)&gt;=B87)),1)+(Besatzung!$F$12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K87="x")*((G87-IFERROR(H87,0))/IFERROR(COUNTIF(J87:U87,"x"),1)+(Besatzung!$F$12="x")*IFERROR(H87,0)/IFERROR(SUMPRODUCT((J87:U87="x")*(Besatzung!$F$11:$F$22="x")),1))),(IF(COUNTIF(J87:U87,"x")=0,IF(Besatzung!$B$12&lt;&gt;"",1,0),(K87="x"))*(G87-IFERROR(H87,0))/IFERROR(IF(COUNTIF(J87:U87,"x")=0,COUNTA(Besatzung!$B$11:$B$22),COUNTIF(J87:U87,"x")),1)+IF(COUNTIF(J87:U87,"x")=0,(Besatzung!$F$12="x"),(K87="x")*(Besatzung!$F$12="x"))*IFERROR(H87,0)/IFERROR(IF(COUNTIF(J87:U87,"x")=0,SUMPRODUCT((Besatzung!$B$11:$B$22&lt;&gt;"")*(Besatzung!$F$11:$F$22="x")),SUMPRODUCT((J87:U87="x")*(Besatzung!$F$11:$F$22="x"))),1))))),0))))</f>
        <v/>
      </c>
      <c r="X87" s="106">
        <f>IF(C87="Gutschrift","",IF(G87="","",IF(Besatzung!$B$13="","",IFERROR(IF(I87="Zeitanteilig",(Besatzung!$G$13*(G87-IFERROR(H87,0))+((Besatzung!$B$13&lt;&gt;"")*IF(B87="",1,(IF(Besatzung!$C$13="",Besatzung!$B$5,Besatzung!$C$13)&lt;=B87)*(IF(Besatzung!$D$13="",Besatzung!$B$6,Besatzung!$D$13)&gt;=B87)))*(Besatzung!$F$13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$13&lt;&gt;"")*IF(B87="",1,(IF(Besatzung!$C$13="",Besatzung!$B$5,Besatzung!$C$13)&lt;=B87)*(IF(Besatzung!$D$13="",Besatzung!$B$6,Besatzung!$D$13)&gt;=B87)))*((G87-IFERROR(H87,0))/IFERROR(SUMPRODUCT((Besatzung!$B$11:$B$22&lt;&gt;"")*(IF(Besatzung!$C$11:$C$22="",Besatzung!$B$5,Besatzung!$C$11:$C$22)&lt;=B87)*(IF(Besatzung!$D$11:$D$22="",Besatzung!$B$6,Besatzung!$D$11:$D$22)&gt;=B87)),1)+(Besatzung!$F$13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K87="x")*((G87-IFERROR(H87,0))/IFERROR(COUNTIF(J87:U87,"x"),1)+(Besatzung!$F$13="x")*IFERROR(H87,0)/IFERROR(SUMPRODUCT((J87:U87="x")*(Besatzung!$F$11:$F$22="x")),1))),(IF(COUNTIF(J87:U87,"x")=0,IF(Besatzung!$B$13&lt;&gt;"",1,0),(K87="x"))*(G87-IFERROR(H87,0))/IFERROR(IF(COUNTIF(J87:U87,"x")=0,COUNTA(Besatzung!$B$11:$B$22),COUNTIF(J87:U87,"x")),1)+IF(COUNTIF(J87:U87,"x")=0,(Besatzung!$F$13="x"),(K87="x")*(Besatzung!$F$13="x"))*IFERROR(H87,0)/IFERROR(IF(COUNTIF(J87:U87,"x")=0,SUMPRODUCT((Besatzung!$B$11:$B$22&lt;&gt;"")*(Besatzung!$F$11:$F$22="x")),SUMPRODUCT((J87:U87="x")*(Besatzung!$F$11:$F$22="x"))),1))))),0))))</f>
        <v/>
      </c>
      <c r="Y87" s="106">
        <f>IF(C87="Gutschrift","",IF(G87="","",IF(Besatzung!$B$14="","",IFERROR(IF(I87="Zeitanteilig",(Besatzung!$G$14*(G87-IFERROR(H87,0))+((Besatzung!$B$14&lt;&gt;"")*IF(B87="",1,(IF(Besatzung!$C$14="",Besatzung!$B$5,Besatzung!$C$14)&lt;=B87)*(IF(Besatzung!$D$14="",Besatzung!$B$6,Besatzung!$D$14)&gt;=B87)))*(Besatzung!$F$14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$14&lt;&gt;"")*IF(B87="",1,(IF(Besatzung!$C$14="",Besatzung!$B$5,Besatzung!$C$14)&lt;=B87)*(IF(Besatzung!$D$14="",Besatzung!$B$6,Besatzung!$D$14)&gt;=B87)))*((G87-IFERROR(H87,0))/IFERROR(SUMPRODUCT((Besatzung!$B$11:$B$22&lt;&gt;"")*(IF(Besatzung!$C$11:$C$22="",Besatzung!$B$5,Besatzung!$C$11:$C$22)&lt;=B87)*(IF(Besatzung!$D$11:$D$22="",Besatzung!$B$6,Besatzung!$D$11:$D$22)&gt;=B87)),1)+(Besatzung!$F$14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M87="x")*((G87-IFERROR(H87,0))/IFERROR(COUNTIF(J87:U87,"x"),1)+(Besatzung!$F$14="x")*IFERROR(H87,0)/IFERROR(SUMPRODUCT((J87:U87="x")*(Besatzung!$F$11:$F$22="x")),1))),(IF(COUNTIF(J87:U87,"x")=0,IF(Besatzung!$B$14&lt;&gt;"",1,0),(M87="x"))*(G87-IFERROR(H87,0))/IFERROR(IF(COUNTIF(J87:U87,"x")=0,COUNTA(Besatzung!$B$11:$B$22),COUNTIF(J87:U87,"x")),1)+IF(COUNTIF(J87:U87,"x")=0,(Besatzung!$F$14="x"),(M87="x")*(Besatzung!$F$14="x"))*IFERROR(H87,0)/IFERROR(IF(COUNTIF(J87:U87,"x")=0,SUMPRODUCT((Besatzung!$B$11:$B$22&lt;&gt;"")*(Besatzung!$F$11:$F$22="x")),SUMPRODUCT((J87:U87="x")*(Besatzung!$F$11:$F$22="x"))),1))))),0))))</f>
        <v/>
      </c>
      <c r="Z87" s="106">
        <f>IF(C87="Gutschrift","",IF(G87="","",IF(Besatzung!$B$13="","",IFERROR(IF(I87="Zeitanteilig",(Besatzung!$G$15*(G87-IFERROR(H87,0))+((Besatzung!$B$13&lt;&gt;"")*IF(B87="",1,(IF(Besatzung!$C$15="",Besatzung!$B$5,Besatzung!$C$15)&lt;=B87)*(IF(Besatzung!$D$15="",Besatzung!$B$6,Besatzung!$D$15)&gt;=B87)))*(Besatzung!$F$15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$13&lt;&gt;"")*IF(B87="",1,(IF(Besatzung!$C$15="",Besatzung!$B$5,Besatzung!$C$15)&lt;=B87)*(IF(Besatzung!$D$15="",Besatzung!$B$6,Besatzung!$D$15)&gt;=B87)))*((G87-IFERROR(H87,0))/IFERROR(SUMPRODUCT((Besatzung!$B$11:$B$22&lt;&gt;"")*(IF(Besatzung!$C$11:$C$22="",Besatzung!$B$5,Besatzung!$C$11:$C$22)&lt;=B87)*(IF(Besatzung!$D$11:$D$22="",Besatzung!$B$6,Besatzung!$D$11:$D$22)&gt;=B87)),1)+(Besatzung!$F$15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N87="x")*((G87-IFERROR(H87,0))/IFERROR(COUNTIF(J87:U87,"x"),1)+(Besatzung!$F$15="x")*IFERROR(H87,0)/IFERROR(SUMPRODUCT((J87:U87="x")*(Besatzung!$F$11:$F$22="x")),1))),(IF(COUNTIF(J87:U87,"x")=0,IF(Besatzung!$B$13&lt;&gt;"",1,0),(N87="x"))*(G87-IFERROR(H87,0))/IFERROR(IF(COUNTIF(J87:U87,"x")=0,COUNTA(Besatzung!$B$11:$B$22),COUNTIF(J87:U87,"x")),1)+IF(COUNTIF(J87:U87,"x")=0,(Besatzung!$F$15="x"),(N87="x")*(Besatzung!$F$15="x"))*IFERROR(H87,0)/IFERROR(IF(COUNTIF(J87:U87,"x")=0,SUMPRODUCT((Besatzung!$B$11:$B$22&lt;&gt;"")*(Besatzung!$F$11:$F$22="x")),SUMPRODUCT((J87:U87="x")*(Besatzung!$F$11:$F$22="x"))),1))))),0))))</f>
        <v/>
      </c>
      <c r="AA87" s="106">
        <f>IF(C87="Gutschrift","",IF(G87="","",IF(Besatzung!$B$15="","",IFERROR(IF(I87="Zeitanteilig",(Besatzung!$G$16*(G87-IFERROR(H87,0))+((Besatzung!$B$15&lt;&gt;"")*IF(B87="",1,(IF(Besatzung!$C$16="",Besatzung!$B$5,Besatzung!$C$16)&lt;=B87)*(IF(Besatzung!$D$16="",Besatzung!$B$6,Besatzung!$D$16)&gt;=B87)))*(Besatzung!$F$16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$15&lt;&gt;"")*IF(B87="",1,(IF(Besatzung!$C$16="",Besatzung!$B$5,Besatzung!$C$16)&lt;=B87)*(IF(Besatzung!$D$16="",Besatzung!$B$6,Besatzung!$D$16)&gt;=B87)))*((G87-IFERROR(H87,0))/IFERROR(SUMPRODUCT((Besatzung!$B$11:$B$22&lt;&gt;"")*(IF(Besatzung!$C$11:$C$22="",Besatzung!$B$5,Besatzung!$C$11:$C$22)&lt;=B87)*(IF(Besatzung!$D$11:$D$22="",Besatzung!$B$6,Besatzung!$D$11:$D$22)&gt;=B87)),1)+(Besatzung!$F$16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O87="x")*((G87-IFERROR(H87,0))/IFERROR(COUNTIF(J87:U87,"x"),1)+(Besatzung!$F$16="x")*IFERROR(H87,0)/IFERROR(SUMPRODUCT((J87:U87="x")*(Besatzung!$F$11:$F$22="x")),1))),(IF(COUNTIF(J87:U87,"x")=0,IF(Besatzung!$B$15&lt;&gt;"",1,0),(O87="x"))*(G87-IFERROR(H87,0))/IFERROR(IF(COUNTIF(J87:U87,"x")=0,COUNTA(Besatzung!$B$11:$B$22),COUNTIF(J87:U87,"x")),1)+IF(COUNTIF(J87:U87,"x")=0,(Besatzung!$F$16="x"),(O87="x")*(Besatzung!$F$16="x"))*IFERROR(H87,0)/IFERROR(IF(COUNTIF(J87:U87,"x")=0,SUMPRODUCT((Besatzung!$B$11:$B$22&lt;&gt;"")*(Besatzung!$F$11:$F$22="x")),SUMPRODUCT((J87:U87="x")*(Besatzung!$F$11:$F$22="x"))),1))))),0))))</f>
        <v/>
      </c>
      <c r="AB87" s="106">
        <f>IF(C87="Gutschrift","",IF(G87="","",IF(Besatzung!$B$17="","",IFERROR(IF(I87="Zeitanteilig",(Besatzung!$G$17*(G87-IFERROR(H87,0))+((Besatzung!$B$17&lt;&gt;"")*IF(B87="",1,(IF(Besatzung!$C$17="",Besatzung!$B$5,Besatzung!$C$17)&lt;=B87)*(IF(Besatzung!$D$17="",Besatzung!$B$6,Besatzung!$D$17)&gt;=B87)))*(Besatzung!$F$17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$17&lt;&gt;"")*IF(B87="",1,(IF(Besatzung!$C$17="",Besatzung!$B$5,Besatzung!$C$17)&lt;=B87)*(IF(Besatzung!$D$17="",Besatzung!$B$6,Besatzung!$D$17)&gt;=B87)))*((G87-IFERROR(H87,0))/IFERROR(SUMPRODUCT((Besatzung!$B$11:$B$22&lt;&gt;"")*(IF(Besatzung!$C$11:$C$22="",Besatzung!$B$5,Besatzung!$C$11:$C$22)&lt;=B87)*(IF(Besatzung!$D$11:$D$22="",Besatzung!$B$6,Besatzung!$D$11:$D$22)&gt;=B87)),1)+(Besatzung!$F$17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P87="x")*((G87-IFERROR(H87,0))/IFERROR(COUNTIF(J87:U87,"x"),1)+(Besatzung!$F$17="x")*IFERROR(H87,0)/IFERROR(SUMPRODUCT((J87:U87="x")*(Besatzung!$F$11:$F$22="x")),1))),(IF(COUNTIF(J87:U87,"x")=0,IF(Besatzung!$B$17&lt;&gt;"",1,0),(P87="x"))*(G87-IFERROR(H87,0))/IFERROR(IF(COUNTIF(J87:U87,"x")=0,COUNTA(Besatzung!$B$11:$B$22),COUNTIF(J87:U87,"x")),1)+IF(COUNTIF(J87:U87,"x")=0,(Besatzung!$F$17="x"),(P87="x")*(Besatzung!$F$17="x"))*IFERROR(H87,0)/IFERROR(IF(COUNTIF(J87:U87,"x")=0,SUMPRODUCT((Besatzung!$B$11:$B$22&lt;&gt;"")*(Besatzung!$F$11:$F$22="x")),SUMPRODUCT((J87:U87="x")*(Besatzung!$F$11:$F$22="x"))),1))))),0))))</f>
        <v/>
      </c>
      <c r="AC87" s="106">
        <f>IF(C87="Gutschrift","",IF(G87="","",IF(Besatzung!$B$18="","",IFERROR(IF(I87="Zeitanteilig",(Besatzung!$G$18*(G87-IFERROR(H87,0))+((Besatzung!$B$18&lt;&gt;"")*IF(B87="",1,(IF(Besatzung!$C$18="",Besatzung!$B$5,Besatzung!$C$18)&lt;=B87)*(IF(Besatzung!$D$18="",Besatzung!$B$6,Besatzung!$D$18)&gt;=B87)))*(Besatzung!$F$18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$18&lt;&gt;"")*IF(B87="",1,(IF(Besatzung!$C$18="",Besatzung!$B$5,Besatzung!$C$18)&lt;=B87)*(IF(Besatzung!$D$18="",Besatzung!$B$6,Besatzung!$D$18)&gt;=B87)))*((G87-IFERROR(H87,0))/IFERROR(SUMPRODUCT((Besatzung!$B$11:$B$22&lt;&gt;"")*(IF(Besatzung!$C$11:$C$22="",Besatzung!$B$5,Besatzung!$C$11:$C$22)&lt;=B87)*(IF(Besatzung!$D$11:$D$22="",Besatzung!$B$6,Besatzung!$D$11:$D$22)&gt;=B87)),1)+(Besatzung!$F$18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Q87="x")*((G87-IFERROR(H87,0))/IFERROR(COUNTIF(J87:U87,"x"),1)+(Besatzung!$F$18="x")*IFERROR(H87,0)/IFERROR(SUMPRODUCT((J87:U87="x")*(Besatzung!$F$11:$F$22="x")),1))),(IF(COUNTIF(J87:U87,"x")=0,IF(Besatzung!$B$18&lt;&gt;"",1,0),(Q87="x"))*(G87-IFERROR(H87,0))/IFERROR(IF(COUNTIF(J87:U87,"x")=0,COUNTA(Besatzung!$B$11:$B$22),COUNTIF(J87:U87,"x")),1)+IF(COUNTIF(J87:U87,"x")=0,(Besatzung!$F$18="x"),(Q87="x")*(Besatzung!$F$18="x"))*IFERROR(H87,0)/IFERROR(IF(COUNTIF(J87:U87,"x")=0,SUMPRODUCT((Besatzung!$B$11:$B$22&lt;&gt;"")*(Besatzung!$F$11:$F$22="x")),SUMPRODUCT((J87:U87="x")*(Besatzung!$F$11:$F$22="x"))),1))))),0))))</f>
        <v/>
      </c>
      <c r="AD87" s="106">
        <f>IF(C87="Gutschrift","",IF(G87="","",IF(Besatzung!$B$19="","",IFERROR(IF(I87="Zeitanteilig",(Besatzung!$G$19*(G87-IFERROR(H87,0))+((Besatzung!$B$19&lt;&gt;"")*IF(B87="",1,(IF(Besatzung!$C$19="",Besatzung!$B$5,Besatzung!$C$19)&lt;=B87)*(IF(Besatzung!$D$19="",Besatzung!$B$6,Besatzung!$D$19)&gt;=B87)))*(Besatzung!$F$19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$19&lt;&gt;"")*IF(B87="",1,(IF(Besatzung!$C$19="",Besatzung!$B$5,Besatzung!$C$19)&lt;=B87)*(IF(Besatzung!$D$19="",Besatzung!$B$6,Besatzung!$D$19)&gt;=B87)))*((G87-IFERROR(H87,0))/IFERROR(SUMPRODUCT((Besatzung!$B$11:$B$22&lt;&gt;"")*(IF(Besatzung!$C$11:$C$22="",Besatzung!$B$5,Besatzung!$C$11:$C$22)&lt;=B87)*(IF(Besatzung!$D$11:$D$22="",Besatzung!$B$6,Besatzung!$D$11:$D$22)&gt;=B87)),1)+(Besatzung!$F$19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R87="x")*((G87-IFERROR(H87,0))/IFERROR(COUNTIF(J87:U87,"x"),1)+(Besatzung!$F$19="x")*IFERROR(H87,0)/IFERROR(SUMPRODUCT((J87:U87="x")*(Besatzung!$F$11:$F$22="x")),1))),(IF(COUNTIF(J87:U87,"x")=0,IF(Besatzung!$B$19&lt;&gt;"",1,0),(R87="x"))*(G87-IFERROR(H87,0))/IFERROR(IF(COUNTIF(J87:U87,"x")=0,COUNTA(Besatzung!$B$11:$B$22),COUNTIF(J87:U87,"x")),1)+IF(COUNTIF(J87:U87,"x")=0,(Besatzung!$F$19="x"),(R87="x")*(Besatzung!$F$19="x"))*IFERROR(H87,0)/IFERROR(IF(COUNTIF(J87:U87,"x")=0,SUMPRODUCT((Besatzung!$B$11:$B$22&lt;&gt;"")*(Besatzung!$F$11:$F$22="x")),SUMPRODUCT((J87:U87="x")*(Besatzung!$F$11:$F$22="x"))),1))))),0))))</f>
        <v/>
      </c>
      <c r="AE87" s="106">
        <f>IF(C87="Gutschrift","",IF(G87="","",IF(Besatzung!$B$20="","",IFERROR(IF(I87="Zeitanteilig",(Besatzung!$G$20*(G87-IFERROR(H87,0))+((Besatzung!$B$20&lt;&gt;"")*IF(B87="",1,(IF(Besatzung!$C$20="",Besatzung!$B$5,Besatzung!$C$20)&lt;=B87)*(IF(Besatzung!$D$20="",Besatzung!$B$6,Besatzung!$D$20)&gt;=B87)))*(Besatzung!$F$20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$20&lt;&gt;"")*IF(B87="",1,(IF(Besatzung!$C$20="",Besatzung!$B$5,Besatzung!$C$20)&lt;=B87)*(IF(Besatzung!$D$20="",Besatzung!$B$6,Besatzung!$D$20)&gt;=B87)))*((G87-IFERROR(H87,0))/IFERROR(SUMPRODUCT((Besatzung!$B$11:$B$22&lt;&gt;"")*(IF(Besatzung!$C$11:$C$22="",Besatzung!$B$5,Besatzung!$C$11:$C$22)&lt;=B87)*(IF(Besatzung!$D$11:$D$22="",Besatzung!$B$6,Besatzung!$D$11:$D$22)&gt;=B87)),1)+(Besatzung!$F$20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S87="x")*((G87-IFERROR(H87,0))/IFERROR(COUNTIF(J87:U87,"x"),1)+(Besatzung!$F$20="x")*IFERROR(H87,0)/IFERROR(SUMPRODUCT((J87:U87="x")*(Besatzung!$F$11:$F$22="x")),1))),(IF(COUNTIF(J87:U87,"x")=0,IF(Besatzung!$B$20&lt;&gt;"",1,0),(S87="x"))*(G87-IFERROR(H87,0))/IFERROR(IF(COUNTIF(J87:U87,"x")=0,COUNTA(Besatzung!$B$11:$B$22),COUNTIF(J87:U87,"x")),1)+IF(COUNTIF(J87:U87,"x")=0,(Besatzung!$F$20="x"),(S87="x")*(Besatzung!$F$20="x"))*IFERROR(H87,0)/IFERROR(IF(COUNTIF(J87:U87,"x")=0,SUMPRODUCT((Besatzung!$B$11:$B$22&lt;&gt;"")*(Besatzung!$F$11:$F$22="x")),SUMPRODUCT((J87:U87="x")*(Besatzung!$F$11:$F$22="x"))),1))))),0))))</f>
        <v/>
      </c>
      <c r="AF87" s="106">
        <f>IF(C87="Gutschrift","",IF(G87="","",IF(Besatzung!$B$21="","",IFERROR(IF(I87="Zeitanteilig",(Besatzung!$G$21*(G87-IFERROR(H87,0))+((Besatzung!$B$21&lt;&gt;"")*IF(B87="",1,(IF(Besatzung!$C$21="",Besatzung!$B$5,Besatzung!$C$21)&lt;=B87)*(IF(Besatzung!$D$21="",Besatzung!$B$6,Besatzung!$D$21)&gt;=B87)))*(Besatzung!$F$21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$21&lt;&gt;"")*IF(B87="",1,(IF(Besatzung!$C$21="",Besatzung!$B$5,Besatzung!$C$21)&lt;=B87)*(IF(Besatzung!$D$21="",Besatzung!$B$6,Besatzung!$D$21)&gt;=B87)))*((G87-IFERROR(H87,0))/IFERROR(SUMPRODUCT((Besatzung!$B$11:$B$22&lt;&gt;"")*(IF(Besatzung!$C$11:$C$22="",Besatzung!$B$5,Besatzung!$C$11:$C$22)&lt;=B87)*(IF(Besatzung!$D$11:$D$22="",Besatzung!$B$6,Besatzung!$D$11:$D$22)&gt;=B87)),1)+(Besatzung!$F$21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T87="x")*((G87-IFERROR(H87,0))/IFERROR(COUNTIF(J87:U87,"x"),1)+(Besatzung!$F$21="x")*IFERROR(H87,0)/IFERROR(SUMPRODUCT((J87:U87="x")*(Besatzung!$F$11:$F$22="x")),1))),(IF(COUNTIF(J87:U87,"x")=0,IF(Besatzung!$B$21&lt;&gt;"",1,0),(T87="x"))*(G87-IFERROR(H87,0))/IFERROR(IF(COUNTIF(J87:U87,"x")=0,COUNTA(Besatzung!$B$11:$B$22),COUNTIF(J87:U87,"x")),1)+IF(COUNTIF(J87:U87,"x")=0,(Besatzung!$F$21="x"),(T87="x")*(Besatzung!$F$21="x"))*IFERROR(H87,0)/IFERROR(IF(COUNTIF(J87:U87,"x")=0,SUMPRODUCT((Besatzung!$B$11:$B$22&lt;&gt;"")*(Besatzung!$F$11:$F$22="x")),SUMPRODUCT((J87:U87="x")*(Besatzung!$F$11:$F$22="x"))),1))))),0))))</f>
        <v/>
      </c>
      <c r="AG87" s="106">
        <f>IF(C87="Gutschrift","",IF(G87="","",IF(Besatzung!$B$22="","",IFERROR(IF(I87="Zeitanteilig",(Besatzung!$G$22*(G87-IFERROR(H87,0))+((Besatzung!$B$22&lt;&gt;"")*IF(B87="",1,(IF(Besatzung!$C$22="",Besatzung!$B$5,Besatzung!$C$22)&lt;=B87)*(IF(Besatzung!$D$22="",Besatzung!$B$6,Besatzung!$D$22)&gt;=B87)))*(Besatzung!$F$22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$22&lt;&gt;"")*IF(B87="",1,(IF(Besatzung!$C$22="",Besatzung!$B$5,Besatzung!$C$22)&lt;=B87)*(IF(Besatzung!$D$22="",Besatzung!$B$6,Besatzung!$D$22)&gt;=B87)))*((G87-IFERROR(H87,0))/IFERROR(SUMPRODUCT((Besatzung!$B$11:$B$22&lt;&gt;"")*(IF(Besatzung!$C$11:$C$22="",Besatzung!$B$5,Besatzung!$C$11:$C$22)&lt;=B87)*(IF(Besatzung!$D$11:$D$22="",Besatzung!$B$6,Besatzung!$D$11:$D$22)&gt;=B87)),1)+(Besatzung!$F$22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U87="x")*((G87-IFERROR(H87,0))/IFERROR(COUNTIF(J87:U87,"x"),1)+(Besatzung!$F$22="x")*IFERROR(H87,0)/IFERROR(SUMPRODUCT((J87:U87="x")*(Besatzung!$F$11:$F$22="x")),1))),(IF(COUNTIF(J87:U87,"x")=0,IF(Besatzung!$B$22&lt;&gt;"",1,0),(U87="x"))*(G87-IFERROR(H87,0))/IFERROR(IF(COUNTIF(J87:U87,"x")=0,COUNTA(Besatzung!$B$11:$B$22),COUNTIF(J87:U87,"x")),1)+IF(COUNTIF(J87:U87,"x")=0,(Besatzung!$F$22="x"),(U87="x")*(Besatzung!$F$22="x"))*IFERROR(H87,0)/IFERROR(IF(COUNTIF(J87:U87,"x")=0,SUMPRODUCT((Besatzung!$B$11:$B$22&lt;&gt;"")*(Besatzung!$F$11:$F$22="x")),SUMPRODUCT((J87:U87="x")*(Besatzung!$F$11:$F$22="x"))),1))))),0))))</f>
        <v/>
      </c>
      <c r="AH87" s="107" t="n"/>
      <c r="AI87" s="107" t="n"/>
    </row>
    <row r="88" ht="21.75" customHeight="1" s="182">
      <c r="A88" s="97">
        <f>IF(AND(D88="",C88=""),"",85)</f>
        <v/>
      </c>
      <c r="B88" s="56" t="n"/>
      <c r="C88" s="98" t="n"/>
      <c r="D88" s="99" t="n"/>
      <c r="E88" s="100" t="n"/>
      <c r="F88" s="101" t="n"/>
      <c r="G88" s="102" t="n"/>
      <c r="H88" s="103" t="n"/>
      <c r="I88" s="104" t="n"/>
      <c r="J88" s="105" t="n"/>
      <c r="K88" s="105" t="n"/>
      <c r="L88" s="105" t="n"/>
      <c r="M88" s="105" t="n"/>
      <c r="N88" s="105" t="n"/>
      <c r="O88" s="105" t="n"/>
      <c r="P88" s="105" t="n"/>
      <c r="Q88" s="105" t="n"/>
      <c r="R88" s="105" t="n"/>
      <c r="S88" s="105" t="n"/>
      <c r="T88" s="105" t="n"/>
      <c r="U88" s="105" t="n"/>
      <c r="V88" s="106">
        <f>IF(C88="Gutschrift","",IF(G88="","",IF(Besatzung!$B$11="","",IFERROR(IF(I88="Zeitanteilig",(Besatzung!$G$11*(G88-IFERROR(H88,0))+((Besatzung!$B$11&lt;&gt;"")*IF(B88="",1,(IF(Besatzung!$C$11="",Besatzung!$B$5,Besatzung!$C$11)&lt;=B88)*(IF(Besatzung!$D$11="",Besatzung!$B$6,Besatzung!$D$11)&gt;=B88)))*(Besatzung!$F$11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$11&lt;&gt;"")*IF(B88="",1,(IF(Besatzung!$C$11="",Besatzung!$B$5,Besatzung!$C$11)&lt;=B88)*(IF(Besatzung!$D$11="",Besatzung!$B$6,Besatzung!$D$11)&gt;=B88)))*((G88-IFERROR(H88,0))/IFERROR(SUMPRODUCT((Besatzung!$B$11:$B$22&lt;&gt;"")*(IF(Besatzung!$C$11:$C$22="",Besatzung!$B$5,Besatzung!$C$11:$C$22)&lt;=B88)*(IF(Besatzung!$D$11:$D$22="",Besatzung!$B$6,Besatzung!$D$11:$D$22)&gt;=B88)),1)+(Besatzung!$F$11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J88="x")*((G88-IFERROR(H88,0))/IFERROR(COUNTIF(J88:U88,"x"),1)+(Besatzung!$F$11="x")*IFERROR(H88,0)/IFERROR(SUMPRODUCT((J88:U88="x")*(Besatzung!$F$11:$F$22="x")),1))),(IF(COUNTIF(J88:U88,"x")=0,IF(Besatzung!$B$11&lt;&gt;"",1,0),(J88="x"))*(G88-IFERROR(H88,0))/IFERROR(IF(COUNTIF(J88:U88,"x")=0,COUNTA(Besatzung!$B$11:$B$22),COUNTIF(J88:U88,"x")),1)+IF(COUNTIF(J88:U88,"x")=0,(Besatzung!$F$11="x"),(J88="x")*(Besatzung!$F$11="x"))*IFERROR(H88,0)/IFERROR(IF(COUNTIF(J88:U88,"x")=0,SUMPRODUCT((Besatzung!$B$11:$B$22&lt;&gt;"")*(Besatzung!$F$11:$F$22="x")),SUMPRODUCT((J88:U88="x")*(Besatzung!$F$11:$F$22="x"))),1))))),0))))</f>
        <v/>
      </c>
      <c r="W88" s="106">
        <f>IF(C88="Gutschrift","",IF(G88="","",IF(Besatzung!$B$12="","",IFERROR(IF(I88="Zeitanteilig",(Besatzung!$G$12*(G88-IFERROR(H88,0))+((Besatzung!$B$12&lt;&gt;"")*IF(B88="",1,(IF(Besatzung!$C$12="",Besatzung!$B$5,Besatzung!$C$12)&lt;=B88)*(IF(Besatzung!$D$12="",Besatzung!$B$6,Besatzung!$D$12)&gt;=B88)))*(Besatzung!$F$12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$12&lt;&gt;"")*IF(B88="",1,(IF(Besatzung!$C$12="",Besatzung!$B$5,Besatzung!$C$12)&lt;=B88)*(IF(Besatzung!$D$12="",Besatzung!$B$6,Besatzung!$D$12)&gt;=B88)))*((G88-IFERROR(H88,0))/IFERROR(SUMPRODUCT((Besatzung!$B$11:$B$22&lt;&gt;"")*(IF(Besatzung!$C$11:$C$22="",Besatzung!$B$5,Besatzung!$C$11:$C$22)&lt;=B88)*(IF(Besatzung!$D$11:$D$22="",Besatzung!$B$6,Besatzung!$D$11:$D$22)&gt;=B88)),1)+(Besatzung!$F$12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K88="x")*((G88-IFERROR(H88,0))/IFERROR(COUNTIF(J88:U88,"x"),1)+(Besatzung!$F$12="x")*IFERROR(H88,0)/IFERROR(SUMPRODUCT((J88:U88="x")*(Besatzung!$F$11:$F$22="x")),1))),(IF(COUNTIF(J88:U88,"x")=0,IF(Besatzung!$B$12&lt;&gt;"",1,0),(K88="x"))*(G88-IFERROR(H88,0))/IFERROR(IF(COUNTIF(J88:U88,"x")=0,COUNTA(Besatzung!$B$11:$B$22),COUNTIF(J88:U88,"x")),1)+IF(COUNTIF(J88:U88,"x")=0,(Besatzung!$F$12="x"),(K88="x")*(Besatzung!$F$12="x"))*IFERROR(H88,0)/IFERROR(IF(COUNTIF(J88:U88,"x")=0,SUMPRODUCT((Besatzung!$B$11:$B$22&lt;&gt;"")*(Besatzung!$F$11:$F$22="x")),SUMPRODUCT((J88:U88="x")*(Besatzung!$F$11:$F$22="x"))),1))))),0))))</f>
        <v/>
      </c>
      <c r="X88" s="106">
        <f>IF(C88="Gutschrift","",IF(G88="","",IF(Besatzung!$B$13="","",IFERROR(IF(I88="Zeitanteilig",(Besatzung!$G$13*(G88-IFERROR(H88,0))+((Besatzung!$B$13&lt;&gt;"")*IF(B88="",1,(IF(Besatzung!$C$13="",Besatzung!$B$5,Besatzung!$C$13)&lt;=B88)*(IF(Besatzung!$D$13="",Besatzung!$B$6,Besatzung!$D$13)&gt;=B88)))*(Besatzung!$F$13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$13&lt;&gt;"")*IF(B88="",1,(IF(Besatzung!$C$13="",Besatzung!$B$5,Besatzung!$C$13)&lt;=B88)*(IF(Besatzung!$D$13="",Besatzung!$B$6,Besatzung!$D$13)&gt;=B88)))*((G88-IFERROR(H88,0))/IFERROR(SUMPRODUCT((Besatzung!$B$11:$B$22&lt;&gt;"")*(IF(Besatzung!$C$11:$C$22="",Besatzung!$B$5,Besatzung!$C$11:$C$22)&lt;=B88)*(IF(Besatzung!$D$11:$D$22="",Besatzung!$B$6,Besatzung!$D$11:$D$22)&gt;=B88)),1)+(Besatzung!$F$13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K88="x")*((G88-IFERROR(H88,0))/IFERROR(COUNTIF(J88:U88,"x"),1)+(Besatzung!$F$13="x")*IFERROR(H88,0)/IFERROR(SUMPRODUCT((J88:U88="x")*(Besatzung!$F$11:$F$22="x")),1))),(IF(COUNTIF(J88:U88,"x")=0,IF(Besatzung!$B$13&lt;&gt;"",1,0),(K88="x"))*(G88-IFERROR(H88,0))/IFERROR(IF(COUNTIF(J88:U88,"x")=0,COUNTA(Besatzung!$B$11:$B$22),COUNTIF(J88:U88,"x")),1)+IF(COUNTIF(J88:U88,"x")=0,(Besatzung!$F$13="x"),(K88="x")*(Besatzung!$F$13="x"))*IFERROR(H88,0)/IFERROR(IF(COUNTIF(J88:U88,"x")=0,SUMPRODUCT((Besatzung!$B$11:$B$22&lt;&gt;"")*(Besatzung!$F$11:$F$22="x")),SUMPRODUCT((J88:U88="x")*(Besatzung!$F$11:$F$22="x"))),1))))),0))))</f>
        <v/>
      </c>
      <c r="Y88" s="106">
        <f>IF(C88="Gutschrift","",IF(G88="","",IF(Besatzung!$B$14="","",IFERROR(IF(I88="Zeitanteilig",(Besatzung!$G$14*(G88-IFERROR(H88,0))+((Besatzung!$B$14&lt;&gt;"")*IF(B88="",1,(IF(Besatzung!$C$14="",Besatzung!$B$5,Besatzung!$C$14)&lt;=B88)*(IF(Besatzung!$D$14="",Besatzung!$B$6,Besatzung!$D$14)&gt;=B88)))*(Besatzung!$F$14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$14&lt;&gt;"")*IF(B88="",1,(IF(Besatzung!$C$14="",Besatzung!$B$5,Besatzung!$C$14)&lt;=B88)*(IF(Besatzung!$D$14="",Besatzung!$B$6,Besatzung!$D$14)&gt;=B88)))*((G88-IFERROR(H88,0))/IFERROR(SUMPRODUCT((Besatzung!$B$11:$B$22&lt;&gt;"")*(IF(Besatzung!$C$11:$C$22="",Besatzung!$B$5,Besatzung!$C$11:$C$22)&lt;=B88)*(IF(Besatzung!$D$11:$D$22="",Besatzung!$B$6,Besatzung!$D$11:$D$22)&gt;=B88)),1)+(Besatzung!$F$14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M88="x")*((G88-IFERROR(H88,0))/IFERROR(COUNTIF(J88:U88,"x"),1)+(Besatzung!$F$14="x")*IFERROR(H88,0)/IFERROR(SUMPRODUCT((J88:U88="x")*(Besatzung!$F$11:$F$22="x")),1))),(IF(COUNTIF(J88:U88,"x")=0,IF(Besatzung!$B$14&lt;&gt;"",1,0),(M88="x"))*(G88-IFERROR(H88,0))/IFERROR(IF(COUNTIF(J88:U88,"x")=0,COUNTA(Besatzung!$B$11:$B$22),COUNTIF(J88:U88,"x")),1)+IF(COUNTIF(J88:U88,"x")=0,(Besatzung!$F$14="x"),(M88="x")*(Besatzung!$F$14="x"))*IFERROR(H88,0)/IFERROR(IF(COUNTIF(J88:U88,"x")=0,SUMPRODUCT((Besatzung!$B$11:$B$22&lt;&gt;"")*(Besatzung!$F$11:$F$22="x")),SUMPRODUCT((J88:U88="x")*(Besatzung!$F$11:$F$22="x"))),1))))),0))))</f>
        <v/>
      </c>
      <c r="Z88" s="106">
        <f>IF(C88="Gutschrift","",IF(G88="","",IF(Besatzung!$B$13="","",IFERROR(IF(I88="Zeitanteilig",(Besatzung!$G$15*(G88-IFERROR(H88,0))+((Besatzung!$B$13&lt;&gt;"")*IF(B88="",1,(IF(Besatzung!$C$15="",Besatzung!$B$5,Besatzung!$C$15)&lt;=B88)*(IF(Besatzung!$D$15="",Besatzung!$B$6,Besatzung!$D$15)&gt;=B88)))*(Besatzung!$F$15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$13&lt;&gt;"")*IF(B88="",1,(IF(Besatzung!$C$15="",Besatzung!$B$5,Besatzung!$C$15)&lt;=B88)*(IF(Besatzung!$D$15="",Besatzung!$B$6,Besatzung!$D$15)&gt;=B88)))*((G88-IFERROR(H88,0))/IFERROR(SUMPRODUCT((Besatzung!$B$11:$B$22&lt;&gt;"")*(IF(Besatzung!$C$11:$C$22="",Besatzung!$B$5,Besatzung!$C$11:$C$22)&lt;=B88)*(IF(Besatzung!$D$11:$D$22="",Besatzung!$B$6,Besatzung!$D$11:$D$22)&gt;=B88)),1)+(Besatzung!$F$15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N88="x")*((G88-IFERROR(H88,0))/IFERROR(COUNTIF(J88:U88,"x"),1)+(Besatzung!$F$15="x")*IFERROR(H88,0)/IFERROR(SUMPRODUCT((J88:U88="x")*(Besatzung!$F$11:$F$22="x")),1))),(IF(COUNTIF(J88:U88,"x")=0,IF(Besatzung!$B$13&lt;&gt;"",1,0),(N88="x"))*(G88-IFERROR(H88,0))/IFERROR(IF(COUNTIF(J88:U88,"x")=0,COUNTA(Besatzung!$B$11:$B$22),COUNTIF(J88:U88,"x")),1)+IF(COUNTIF(J88:U88,"x")=0,(Besatzung!$F$15="x"),(N88="x")*(Besatzung!$F$15="x"))*IFERROR(H88,0)/IFERROR(IF(COUNTIF(J88:U88,"x")=0,SUMPRODUCT((Besatzung!$B$11:$B$22&lt;&gt;"")*(Besatzung!$F$11:$F$22="x")),SUMPRODUCT((J88:U88="x")*(Besatzung!$F$11:$F$22="x"))),1))))),0))))</f>
        <v/>
      </c>
      <c r="AA88" s="106">
        <f>IF(C88="Gutschrift","",IF(G88="","",IF(Besatzung!$B$15="","",IFERROR(IF(I88="Zeitanteilig",(Besatzung!$G$16*(G88-IFERROR(H88,0))+((Besatzung!$B$15&lt;&gt;"")*IF(B88="",1,(IF(Besatzung!$C$16="",Besatzung!$B$5,Besatzung!$C$16)&lt;=B88)*(IF(Besatzung!$D$16="",Besatzung!$B$6,Besatzung!$D$16)&gt;=B88)))*(Besatzung!$F$16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$15&lt;&gt;"")*IF(B88="",1,(IF(Besatzung!$C$16="",Besatzung!$B$5,Besatzung!$C$16)&lt;=B88)*(IF(Besatzung!$D$16="",Besatzung!$B$6,Besatzung!$D$16)&gt;=B88)))*((G88-IFERROR(H88,0))/IFERROR(SUMPRODUCT((Besatzung!$B$11:$B$22&lt;&gt;"")*(IF(Besatzung!$C$11:$C$22="",Besatzung!$B$5,Besatzung!$C$11:$C$22)&lt;=B88)*(IF(Besatzung!$D$11:$D$22="",Besatzung!$B$6,Besatzung!$D$11:$D$22)&gt;=B88)),1)+(Besatzung!$F$16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O88="x")*((G88-IFERROR(H88,0))/IFERROR(COUNTIF(J88:U88,"x"),1)+(Besatzung!$F$16="x")*IFERROR(H88,0)/IFERROR(SUMPRODUCT((J88:U88="x")*(Besatzung!$F$11:$F$22="x")),1))),(IF(COUNTIF(J88:U88,"x")=0,IF(Besatzung!$B$15&lt;&gt;"",1,0),(O88="x"))*(G88-IFERROR(H88,0))/IFERROR(IF(COUNTIF(J88:U88,"x")=0,COUNTA(Besatzung!$B$11:$B$22),COUNTIF(J88:U88,"x")),1)+IF(COUNTIF(J88:U88,"x")=0,(Besatzung!$F$16="x"),(O88="x")*(Besatzung!$F$16="x"))*IFERROR(H88,0)/IFERROR(IF(COUNTIF(J88:U88,"x")=0,SUMPRODUCT((Besatzung!$B$11:$B$22&lt;&gt;"")*(Besatzung!$F$11:$F$22="x")),SUMPRODUCT((J88:U88="x")*(Besatzung!$F$11:$F$22="x"))),1))))),0))))</f>
        <v/>
      </c>
      <c r="AB88" s="106">
        <f>IF(C88="Gutschrift","",IF(G88="","",IF(Besatzung!$B$17="","",IFERROR(IF(I88="Zeitanteilig",(Besatzung!$G$17*(G88-IFERROR(H88,0))+((Besatzung!$B$17&lt;&gt;"")*IF(B88="",1,(IF(Besatzung!$C$17="",Besatzung!$B$5,Besatzung!$C$17)&lt;=B88)*(IF(Besatzung!$D$17="",Besatzung!$B$6,Besatzung!$D$17)&gt;=B88)))*(Besatzung!$F$17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$17&lt;&gt;"")*IF(B88="",1,(IF(Besatzung!$C$17="",Besatzung!$B$5,Besatzung!$C$17)&lt;=B88)*(IF(Besatzung!$D$17="",Besatzung!$B$6,Besatzung!$D$17)&gt;=B88)))*((G88-IFERROR(H88,0))/IFERROR(SUMPRODUCT((Besatzung!$B$11:$B$22&lt;&gt;"")*(IF(Besatzung!$C$11:$C$22="",Besatzung!$B$5,Besatzung!$C$11:$C$22)&lt;=B88)*(IF(Besatzung!$D$11:$D$22="",Besatzung!$B$6,Besatzung!$D$11:$D$22)&gt;=B88)),1)+(Besatzung!$F$17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P88="x")*((G88-IFERROR(H88,0))/IFERROR(COUNTIF(J88:U88,"x"),1)+(Besatzung!$F$17="x")*IFERROR(H88,0)/IFERROR(SUMPRODUCT((J88:U88="x")*(Besatzung!$F$11:$F$22="x")),1))),(IF(COUNTIF(J88:U88,"x")=0,IF(Besatzung!$B$17&lt;&gt;"",1,0),(P88="x"))*(G88-IFERROR(H88,0))/IFERROR(IF(COUNTIF(J88:U88,"x")=0,COUNTA(Besatzung!$B$11:$B$22),COUNTIF(J88:U88,"x")),1)+IF(COUNTIF(J88:U88,"x")=0,(Besatzung!$F$17="x"),(P88="x")*(Besatzung!$F$17="x"))*IFERROR(H88,0)/IFERROR(IF(COUNTIF(J88:U88,"x")=0,SUMPRODUCT((Besatzung!$B$11:$B$22&lt;&gt;"")*(Besatzung!$F$11:$F$22="x")),SUMPRODUCT((J88:U88="x")*(Besatzung!$F$11:$F$22="x"))),1))))),0))))</f>
        <v/>
      </c>
      <c r="AC88" s="106">
        <f>IF(C88="Gutschrift","",IF(G88="","",IF(Besatzung!$B$18="","",IFERROR(IF(I88="Zeitanteilig",(Besatzung!$G$18*(G88-IFERROR(H88,0))+((Besatzung!$B$18&lt;&gt;"")*IF(B88="",1,(IF(Besatzung!$C$18="",Besatzung!$B$5,Besatzung!$C$18)&lt;=B88)*(IF(Besatzung!$D$18="",Besatzung!$B$6,Besatzung!$D$18)&gt;=B88)))*(Besatzung!$F$18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$18&lt;&gt;"")*IF(B88="",1,(IF(Besatzung!$C$18="",Besatzung!$B$5,Besatzung!$C$18)&lt;=B88)*(IF(Besatzung!$D$18="",Besatzung!$B$6,Besatzung!$D$18)&gt;=B88)))*((G88-IFERROR(H88,0))/IFERROR(SUMPRODUCT((Besatzung!$B$11:$B$22&lt;&gt;"")*(IF(Besatzung!$C$11:$C$22="",Besatzung!$B$5,Besatzung!$C$11:$C$22)&lt;=B88)*(IF(Besatzung!$D$11:$D$22="",Besatzung!$B$6,Besatzung!$D$11:$D$22)&gt;=B88)),1)+(Besatzung!$F$18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Q88="x")*((G88-IFERROR(H88,0))/IFERROR(COUNTIF(J88:U88,"x"),1)+(Besatzung!$F$18="x")*IFERROR(H88,0)/IFERROR(SUMPRODUCT((J88:U88="x")*(Besatzung!$F$11:$F$22="x")),1))),(IF(COUNTIF(J88:U88,"x")=0,IF(Besatzung!$B$18&lt;&gt;"",1,0),(Q88="x"))*(G88-IFERROR(H88,0))/IFERROR(IF(COUNTIF(J88:U88,"x")=0,COUNTA(Besatzung!$B$11:$B$22),COUNTIF(J88:U88,"x")),1)+IF(COUNTIF(J88:U88,"x")=0,(Besatzung!$F$18="x"),(Q88="x")*(Besatzung!$F$18="x"))*IFERROR(H88,0)/IFERROR(IF(COUNTIF(J88:U88,"x")=0,SUMPRODUCT((Besatzung!$B$11:$B$22&lt;&gt;"")*(Besatzung!$F$11:$F$22="x")),SUMPRODUCT((J88:U88="x")*(Besatzung!$F$11:$F$22="x"))),1))))),0))))</f>
        <v/>
      </c>
      <c r="AD88" s="106">
        <f>IF(C88="Gutschrift","",IF(G88="","",IF(Besatzung!$B$19="","",IFERROR(IF(I88="Zeitanteilig",(Besatzung!$G$19*(G88-IFERROR(H88,0))+((Besatzung!$B$19&lt;&gt;"")*IF(B88="",1,(IF(Besatzung!$C$19="",Besatzung!$B$5,Besatzung!$C$19)&lt;=B88)*(IF(Besatzung!$D$19="",Besatzung!$B$6,Besatzung!$D$19)&gt;=B88)))*(Besatzung!$F$19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$19&lt;&gt;"")*IF(B88="",1,(IF(Besatzung!$C$19="",Besatzung!$B$5,Besatzung!$C$19)&lt;=B88)*(IF(Besatzung!$D$19="",Besatzung!$B$6,Besatzung!$D$19)&gt;=B88)))*((G88-IFERROR(H88,0))/IFERROR(SUMPRODUCT((Besatzung!$B$11:$B$22&lt;&gt;"")*(IF(Besatzung!$C$11:$C$22="",Besatzung!$B$5,Besatzung!$C$11:$C$22)&lt;=B88)*(IF(Besatzung!$D$11:$D$22="",Besatzung!$B$6,Besatzung!$D$11:$D$22)&gt;=B88)),1)+(Besatzung!$F$19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R88="x")*((G88-IFERROR(H88,0))/IFERROR(COUNTIF(J88:U88,"x"),1)+(Besatzung!$F$19="x")*IFERROR(H88,0)/IFERROR(SUMPRODUCT((J88:U88="x")*(Besatzung!$F$11:$F$22="x")),1))),(IF(COUNTIF(J88:U88,"x")=0,IF(Besatzung!$B$19&lt;&gt;"",1,0),(R88="x"))*(G88-IFERROR(H88,0))/IFERROR(IF(COUNTIF(J88:U88,"x")=0,COUNTA(Besatzung!$B$11:$B$22),COUNTIF(J88:U88,"x")),1)+IF(COUNTIF(J88:U88,"x")=0,(Besatzung!$F$19="x"),(R88="x")*(Besatzung!$F$19="x"))*IFERROR(H88,0)/IFERROR(IF(COUNTIF(J88:U88,"x")=0,SUMPRODUCT((Besatzung!$B$11:$B$22&lt;&gt;"")*(Besatzung!$F$11:$F$22="x")),SUMPRODUCT((J88:U88="x")*(Besatzung!$F$11:$F$22="x"))),1))))),0))))</f>
        <v/>
      </c>
      <c r="AE88" s="106">
        <f>IF(C88="Gutschrift","",IF(G88="","",IF(Besatzung!$B$20="","",IFERROR(IF(I88="Zeitanteilig",(Besatzung!$G$20*(G88-IFERROR(H88,0))+((Besatzung!$B$20&lt;&gt;"")*IF(B88="",1,(IF(Besatzung!$C$20="",Besatzung!$B$5,Besatzung!$C$20)&lt;=B88)*(IF(Besatzung!$D$20="",Besatzung!$B$6,Besatzung!$D$20)&gt;=B88)))*(Besatzung!$F$20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$20&lt;&gt;"")*IF(B88="",1,(IF(Besatzung!$C$20="",Besatzung!$B$5,Besatzung!$C$20)&lt;=B88)*(IF(Besatzung!$D$20="",Besatzung!$B$6,Besatzung!$D$20)&gt;=B88)))*((G88-IFERROR(H88,0))/IFERROR(SUMPRODUCT((Besatzung!$B$11:$B$22&lt;&gt;"")*(IF(Besatzung!$C$11:$C$22="",Besatzung!$B$5,Besatzung!$C$11:$C$22)&lt;=B88)*(IF(Besatzung!$D$11:$D$22="",Besatzung!$B$6,Besatzung!$D$11:$D$22)&gt;=B88)),1)+(Besatzung!$F$20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S88="x")*((G88-IFERROR(H88,0))/IFERROR(COUNTIF(J88:U88,"x"),1)+(Besatzung!$F$20="x")*IFERROR(H88,0)/IFERROR(SUMPRODUCT((J88:U88="x")*(Besatzung!$F$11:$F$22="x")),1))),(IF(COUNTIF(J88:U88,"x")=0,IF(Besatzung!$B$20&lt;&gt;"",1,0),(S88="x"))*(G88-IFERROR(H88,0))/IFERROR(IF(COUNTIF(J88:U88,"x")=0,COUNTA(Besatzung!$B$11:$B$22),COUNTIF(J88:U88,"x")),1)+IF(COUNTIF(J88:U88,"x")=0,(Besatzung!$F$20="x"),(S88="x")*(Besatzung!$F$20="x"))*IFERROR(H88,0)/IFERROR(IF(COUNTIF(J88:U88,"x")=0,SUMPRODUCT((Besatzung!$B$11:$B$22&lt;&gt;"")*(Besatzung!$F$11:$F$22="x")),SUMPRODUCT((J88:U88="x")*(Besatzung!$F$11:$F$22="x"))),1))))),0))))</f>
        <v/>
      </c>
      <c r="AF88" s="106">
        <f>IF(C88="Gutschrift","",IF(G88="","",IF(Besatzung!$B$21="","",IFERROR(IF(I88="Zeitanteilig",(Besatzung!$G$21*(G88-IFERROR(H88,0))+((Besatzung!$B$21&lt;&gt;"")*IF(B88="",1,(IF(Besatzung!$C$21="",Besatzung!$B$5,Besatzung!$C$21)&lt;=B88)*(IF(Besatzung!$D$21="",Besatzung!$B$6,Besatzung!$D$21)&gt;=B88)))*(Besatzung!$F$21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$21&lt;&gt;"")*IF(B88="",1,(IF(Besatzung!$C$21="",Besatzung!$B$5,Besatzung!$C$21)&lt;=B88)*(IF(Besatzung!$D$21="",Besatzung!$B$6,Besatzung!$D$21)&gt;=B88)))*((G88-IFERROR(H88,0))/IFERROR(SUMPRODUCT((Besatzung!$B$11:$B$22&lt;&gt;"")*(IF(Besatzung!$C$11:$C$22="",Besatzung!$B$5,Besatzung!$C$11:$C$22)&lt;=B88)*(IF(Besatzung!$D$11:$D$22="",Besatzung!$B$6,Besatzung!$D$11:$D$22)&gt;=B88)),1)+(Besatzung!$F$21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T88="x")*((G88-IFERROR(H88,0))/IFERROR(COUNTIF(J88:U88,"x"),1)+(Besatzung!$F$21="x")*IFERROR(H88,0)/IFERROR(SUMPRODUCT((J88:U88="x")*(Besatzung!$F$11:$F$22="x")),1))),(IF(COUNTIF(J88:U88,"x")=0,IF(Besatzung!$B$21&lt;&gt;"",1,0),(T88="x"))*(G88-IFERROR(H88,0))/IFERROR(IF(COUNTIF(J88:U88,"x")=0,COUNTA(Besatzung!$B$11:$B$22),COUNTIF(J88:U88,"x")),1)+IF(COUNTIF(J88:U88,"x")=0,(Besatzung!$F$21="x"),(T88="x")*(Besatzung!$F$21="x"))*IFERROR(H88,0)/IFERROR(IF(COUNTIF(J88:U88,"x")=0,SUMPRODUCT((Besatzung!$B$11:$B$22&lt;&gt;"")*(Besatzung!$F$11:$F$22="x")),SUMPRODUCT((J88:U88="x")*(Besatzung!$F$11:$F$22="x"))),1))))),0))))</f>
        <v/>
      </c>
      <c r="AG88" s="106">
        <f>IF(C88="Gutschrift","",IF(G88="","",IF(Besatzung!$B$22="","",IFERROR(IF(I88="Zeitanteilig",(Besatzung!$G$22*(G88-IFERROR(H88,0))+((Besatzung!$B$22&lt;&gt;"")*IF(B88="",1,(IF(Besatzung!$C$22="",Besatzung!$B$5,Besatzung!$C$22)&lt;=B88)*(IF(Besatzung!$D$22="",Besatzung!$B$6,Besatzung!$D$22)&gt;=B88)))*(Besatzung!$F$22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$22&lt;&gt;"")*IF(B88="",1,(IF(Besatzung!$C$22="",Besatzung!$B$5,Besatzung!$C$22)&lt;=B88)*(IF(Besatzung!$D$22="",Besatzung!$B$6,Besatzung!$D$22)&gt;=B88)))*((G88-IFERROR(H88,0))/IFERROR(SUMPRODUCT((Besatzung!$B$11:$B$22&lt;&gt;"")*(IF(Besatzung!$C$11:$C$22="",Besatzung!$B$5,Besatzung!$C$11:$C$22)&lt;=B88)*(IF(Besatzung!$D$11:$D$22="",Besatzung!$B$6,Besatzung!$D$11:$D$22)&gt;=B88)),1)+(Besatzung!$F$22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U88="x")*((G88-IFERROR(H88,0))/IFERROR(COUNTIF(J88:U88,"x"),1)+(Besatzung!$F$22="x")*IFERROR(H88,0)/IFERROR(SUMPRODUCT((J88:U88="x")*(Besatzung!$F$11:$F$22="x")),1))),(IF(COUNTIF(J88:U88,"x")=0,IF(Besatzung!$B$22&lt;&gt;"",1,0),(U88="x"))*(G88-IFERROR(H88,0))/IFERROR(IF(COUNTIF(J88:U88,"x")=0,COUNTA(Besatzung!$B$11:$B$22),COUNTIF(J88:U88,"x")),1)+IF(COUNTIF(J88:U88,"x")=0,(Besatzung!$F$22="x"),(U88="x")*(Besatzung!$F$22="x"))*IFERROR(H88,0)/IFERROR(IF(COUNTIF(J88:U88,"x")=0,SUMPRODUCT((Besatzung!$B$11:$B$22&lt;&gt;"")*(Besatzung!$F$11:$F$22="x")),SUMPRODUCT((J88:U88="x")*(Besatzung!$F$11:$F$22="x"))),1))))),0))))</f>
        <v/>
      </c>
      <c r="AH88" s="107" t="n"/>
      <c r="AI88" s="107" t="n"/>
    </row>
    <row r="89" ht="21.75" customHeight="1" s="182">
      <c r="A89" s="97">
        <f>IF(AND(D89="",C89=""),"",86)</f>
        <v/>
      </c>
      <c r="B89" s="63" t="n"/>
      <c r="C89" s="108" t="n"/>
      <c r="D89" s="109" t="n"/>
      <c r="E89" s="110" t="n"/>
      <c r="F89" s="111" t="n"/>
      <c r="G89" s="112" t="n"/>
      <c r="H89" s="113" t="n"/>
      <c r="I89" s="114" t="n"/>
      <c r="J89" s="115" t="n"/>
      <c r="K89" s="115" t="n"/>
      <c r="L89" s="115" t="n"/>
      <c r="M89" s="115" t="n"/>
      <c r="N89" s="115" t="n"/>
      <c r="O89" s="115" t="n"/>
      <c r="P89" s="115" t="n"/>
      <c r="Q89" s="115" t="n"/>
      <c r="R89" s="115" t="n"/>
      <c r="S89" s="115" t="n"/>
      <c r="T89" s="115" t="n"/>
      <c r="U89" s="115" t="n"/>
      <c r="V89" s="106">
        <f>IF(C89="Gutschrift","",IF(G89="","",IF(Besatzung!$B$11="","",IFERROR(IF(I89="Zeitanteilig",(Besatzung!$G$11*(G89-IFERROR(H89,0))+((Besatzung!$B$11&lt;&gt;"")*IF(B89="",1,(IF(Besatzung!$C$11="",Besatzung!$B$5,Besatzung!$C$11)&lt;=B89)*(IF(Besatzung!$D$11="",Besatzung!$B$6,Besatzung!$D$11)&gt;=B89)))*(Besatzung!$F$11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$11&lt;&gt;"")*IF(B89="",1,(IF(Besatzung!$C$11="",Besatzung!$B$5,Besatzung!$C$11)&lt;=B89)*(IF(Besatzung!$D$11="",Besatzung!$B$6,Besatzung!$D$11)&gt;=B89)))*((G89-IFERROR(H89,0))/IFERROR(SUMPRODUCT((Besatzung!$B$11:$B$22&lt;&gt;"")*(IF(Besatzung!$C$11:$C$22="",Besatzung!$B$5,Besatzung!$C$11:$C$22)&lt;=B89)*(IF(Besatzung!$D$11:$D$22="",Besatzung!$B$6,Besatzung!$D$11:$D$22)&gt;=B89)),1)+(Besatzung!$F$11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J89="x")*((G89-IFERROR(H89,0))/IFERROR(COUNTIF(J89:U89,"x"),1)+(Besatzung!$F$11="x")*IFERROR(H89,0)/IFERROR(SUMPRODUCT((J89:U89="x")*(Besatzung!$F$11:$F$22="x")),1))),(IF(COUNTIF(J89:U89,"x")=0,IF(Besatzung!$B$11&lt;&gt;"",1,0),(J89="x"))*(G89-IFERROR(H89,0))/IFERROR(IF(COUNTIF(J89:U89,"x")=0,COUNTA(Besatzung!$B$11:$B$22),COUNTIF(J89:U89,"x")),1)+IF(COUNTIF(J89:U89,"x")=0,(Besatzung!$F$11="x"),(J89="x")*(Besatzung!$F$11="x"))*IFERROR(H89,0)/IFERROR(IF(COUNTIF(J89:U89,"x")=0,SUMPRODUCT((Besatzung!$B$11:$B$22&lt;&gt;"")*(Besatzung!$F$11:$F$22="x")),SUMPRODUCT((J89:U89="x")*(Besatzung!$F$11:$F$22="x"))),1))))),0))))</f>
        <v/>
      </c>
      <c r="W89" s="106">
        <f>IF(C89="Gutschrift","",IF(G89="","",IF(Besatzung!$B$12="","",IFERROR(IF(I89="Zeitanteilig",(Besatzung!$G$12*(G89-IFERROR(H89,0))+((Besatzung!$B$12&lt;&gt;"")*IF(B89="",1,(IF(Besatzung!$C$12="",Besatzung!$B$5,Besatzung!$C$12)&lt;=B89)*(IF(Besatzung!$D$12="",Besatzung!$B$6,Besatzung!$D$12)&gt;=B89)))*(Besatzung!$F$12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$12&lt;&gt;"")*IF(B89="",1,(IF(Besatzung!$C$12="",Besatzung!$B$5,Besatzung!$C$12)&lt;=B89)*(IF(Besatzung!$D$12="",Besatzung!$B$6,Besatzung!$D$12)&gt;=B89)))*((G89-IFERROR(H89,0))/IFERROR(SUMPRODUCT((Besatzung!$B$11:$B$22&lt;&gt;"")*(IF(Besatzung!$C$11:$C$22="",Besatzung!$B$5,Besatzung!$C$11:$C$22)&lt;=B89)*(IF(Besatzung!$D$11:$D$22="",Besatzung!$B$6,Besatzung!$D$11:$D$22)&gt;=B89)),1)+(Besatzung!$F$12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K89="x")*((G89-IFERROR(H89,0))/IFERROR(COUNTIF(J89:U89,"x"),1)+(Besatzung!$F$12="x")*IFERROR(H89,0)/IFERROR(SUMPRODUCT((J89:U89="x")*(Besatzung!$F$11:$F$22="x")),1))),(IF(COUNTIF(J89:U89,"x")=0,IF(Besatzung!$B$12&lt;&gt;"",1,0),(K89="x"))*(G89-IFERROR(H89,0))/IFERROR(IF(COUNTIF(J89:U89,"x")=0,COUNTA(Besatzung!$B$11:$B$22),COUNTIF(J89:U89,"x")),1)+IF(COUNTIF(J89:U89,"x")=0,(Besatzung!$F$12="x"),(K89="x")*(Besatzung!$F$12="x"))*IFERROR(H89,0)/IFERROR(IF(COUNTIF(J89:U89,"x")=0,SUMPRODUCT((Besatzung!$B$11:$B$22&lt;&gt;"")*(Besatzung!$F$11:$F$22="x")),SUMPRODUCT((J89:U89="x")*(Besatzung!$F$11:$F$22="x"))),1))))),0))))</f>
        <v/>
      </c>
      <c r="X89" s="106">
        <f>IF(C89="Gutschrift","",IF(G89="","",IF(Besatzung!$B$13="","",IFERROR(IF(I89="Zeitanteilig",(Besatzung!$G$13*(G89-IFERROR(H89,0))+((Besatzung!$B$13&lt;&gt;"")*IF(B89="",1,(IF(Besatzung!$C$13="",Besatzung!$B$5,Besatzung!$C$13)&lt;=B89)*(IF(Besatzung!$D$13="",Besatzung!$B$6,Besatzung!$D$13)&gt;=B89)))*(Besatzung!$F$13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$13&lt;&gt;"")*IF(B89="",1,(IF(Besatzung!$C$13="",Besatzung!$B$5,Besatzung!$C$13)&lt;=B89)*(IF(Besatzung!$D$13="",Besatzung!$B$6,Besatzung!$D$13)&gt;=B89)))*((G89-IFERROR(H89,0))/IFERROR(SUMPRODUCT((Besatzung!$B$11:$B$22&lt;&gt;"")*(IF(Besatzung!$C$11:$C$22="",Besatzung!$B$5,Besatzung!$C$11:$C$22)&lt;=B89)*(IF(Besatzung!$D$11:$D$22="",Besatzung!$B$6,Besatzung!$D$11:$D$22)&gt;=B89)),1)+(Besatzung!$F$13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K89="x")*((G89-IFERROR(H89,0))/IFERROR(COUNTIF(J89:U89,"x"),1)+(Besatzung!$F$13="x")*IFERROR(H89,0)/IFERROR(SUMPRODUCT((J89:U89="x")*(Besatzung!$F$11:$F$22="x")),1))),(IF(COUNTIF(J89:U89,"x")=0,IF(Besatzung!$B$13&lt;&gt;"",1,0),(K89="x"))*(G89-IFERROR(H89,0))/IFERROR(IF(COUNTIF(J89:U89,"x")=0,COUNTA(Besatzung!$B$11:$B$22),COUNTIF(J89:U89,"x")),1)+IF(COUNTIF(J89:U89,"x")=0,(Besatzung!$F$13="x"),(K89="x")*(Besatzung!$F$13="x"))*IFERROR(H89,0)/IFERROR(IF(COUNTIF(J89:U89,"x")=0,SUMPRODUCT((Besatzung!$B$11:$B$22&lt;&gt;"")*(Besatzung!$F$11:$F$22="x")),SUMPRODUCT((J89:U89="x")*(Besatzung!$F$11:$F$22="x"))),1))))),0))))</f>
        <v/>
      </c>
      <c r="Y89" s="106">
        <f>IF(C89="Gutschrift","",IF(G89="","",IF(Besatzung!$B$14="","",IFERROR(IF(I89="Zeitanteilig",(Besatzung!$G$14*(G89-IFERROR(H89,0))+((Besatzung!$B$14&lt;&gt;"")*IF(B89="",1,(IF(Besatzung!$C$14="",Besatzung!$B$5,Besatzung!$C$14)&lt;=B89)*(IF(Besatzung!$D$14="",Besatzung!$B$6,Besatzung!$D$14)&gt;=B89)))*(Besatzung!$F$14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$14&lt;&gt;"")*IF(B89="",1,(IF(Besatzung!$C$14="",Besatzung!$B$5,Besatzung!$C$14)&lt;=B89)*(IF(Besatzung!$D$14="",Besatzung!$B$6,Besatzung!$D$14)&gt;=B89)))*((G89-IFERROR(H89,0))/IFERROR(SUMPRODUCT((Besatzung!$B$11:$B$22&lt;&gt;"")*(IF(Besatzung!$C$11:$C$22="",Besatzung!$B$5,Besatzung!$C$11:$C$22)&lt;=B89)*(IF(Besatzung!$D$11:$D$22="",Besatzung!$B$6,Besatzung!$D$11:$D$22)&gt;=B89)),1)+(Besatzung!$F$14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M89="x")*((G89-IFERROR(H89,0))/IFERROR(COUNTIF(J89:U89,"x"),1)+(Besatzung!$F$14="x")*IFERROR(H89,0)/IFERROR(SUMPRODUCT((J89:U89="x")*(Besatzung!$F$11:$F$22="x")),1))),(IF(COUNTIF(J89:U89,"x")=0,IF(Besatzung!$B$14&lt;&gt;"",1,0),(M89="x"))*(G89-IFERROR(H89,0))/IFERROR(IF(COUNTIF(J89:U89,"x")=0,COUNTA(Besatzung!$B$11:$B$22),COUNTIF(J89:U89,"x")),1)+IF(COUNTIF(J89:U89,"x")=0,(Besatzung!$F$14="x"),(M89="x")*(Besatzung!$F$14="x"))*IFERROR(H89,0)/IFERROR(IF(COUNTIF(J89:U89,"x")=0,SUMPRODUCT((Besatzung!$B$11:$B$22&lt;&gt;"")*(Besatzung!$F$11:$F$22="x")),SUMPRODUCT((J89:U89="x")*(Besatzung!$F$11:$F$22="x"))),1))))),0))))</f>
        <v/>
      </c>
      <c r="Z89" s="106">
        <f>IF(C89="Gutschrift","",IF(G89="","",IF(Besatzung!$B$13="","",IFERROR(IF(I89="Zeitanteilig",(Besatzung!$G$15*(G89-IFERROR(H89,0))+((Besatzung!$B$13&lt;&gt;"")*IF(B89="",1,(IF(Besatzung!$C$15="",Besatzung!$B$5,Besatzung!$C$15)&lt;=B89)*(IF(Besatzung!$D$15="",Besatzung!$B$6,Besatzung!$D$15)&gt;=B89)))*(Besatzung!$F$15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$13&lt;&gt;"")*IF(B89="",1,(IF(Besatzung!$C$15="",Besatzung!$B$5,Besatzung!$C$15)&lt;=B89)*(IF(Besatzung!$D$15="",Besatzung!$B$6,Besatzung!$D$15)&gt;=B89)))*((G89-IFERROR(H89,0))/IFERROR(SUMPRODUCT((Besatzung!$B$11:$B$22&lt;&gt;"")*(IF(Besatzung!$C$11:$C$22="",Besatzung!$B$5,Besatzung!$C$11:$C$22)&lt;=B89)*(IF(Besatzung!$D$11:$D$22="",Besatzung!$B$6,Besatzung!$D$11:$D$22)&gt;=B89)),1)+(Besatzung!$F$15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N89="x")*((G89-IFERROR(H89,0))/IFERROR(COUNTIF(J89:U89,"x"),1)+(Besatzung!$F$15="x")*IFERROR(H89,0)/IFERROR(SUMPRODUCT((J89:U89="x")*(Besatzung!$F$11:$F$22="x")),1))),(IF(COUNTIF(J89:U89,"x")=0,IF(Besatzung!$B$13&lt;&gt;"",1,0),(N89="x"))*(G89-IFERROR(H89,0))/IFERROR(IF(COUNTIF(J89:U89,"x")=0,COUNTA(Besatzung!$B$11:$B$22),COUNTIF(J89:U89,"x")),1)+IF(COUNTIF(J89:U89,"x")=0,(Besatzung!$F$15="x"),(N89="x")*(Besatzung!$F$15="x"))*IFERROR(H89,0)/IFERROR(IF(COUNTIF(J89:U89,"x")=0,SUMPRODUCT((Besatzung!$B$11:$B$22&lt;&gt;"")*(Besatzung!$F$11:$F$22="x")),SUMPRODUCT((J89:U89="x")*(Besatzung!$F$11:$F$22="x"))),1))))),0))))</f>
        <v/>
      </c>
      <c r="AA89" s="106">
        <f>IF(C89="Gutschrift","",IF(G89="","",IF(Besatzung!$B$15="","",IFERROR(IF(I89="Zeitanteilig",(Besatzung!$G$16*(G89-IFERROR(H89,0))+((Besatzung!$B$15&lt;&gt;"")*IF(B89="",1,(IF(Besatzung!$C$16="",Besatzung!$B$5,Besatzung!$C$16)&lt;=B89)*(IF(Besatzung!$D$16="",Besatzung!$B$6,Besatzung!$D$16)&gt;=B89)))*(Besatzung!$F$16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$15&lt;&gt;"")*IF(B89="",1,(IF(Besatzung!$C$16="",Besatzung!$B$5,Besatzung!$C$16)&lt;=B89)*(IF(Besatzung!$D$16="",Besatzung!$B$6,Besatzung!$D$16)&gt;=B89)))*((G89-IFERROR(H89,0))/IFERROR(SUMPRODUCT((Besatzung!$B$11:$B$22&lt;&gt;"")*(IF(Besatzung!$C$11:$C$22="",Besatzung!$B$5,Besatzung!$C$11:$C$22)&lt;=B89)*(IF(Besatzung!$D$11:$D$22="",Besatzung!$B$6,Besatzung!$D$11:$D$22)&gt;=B89)),1)+(Besatzung!$F$16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O89="x")*((G89-IFERROR(H89,0))/IFERROR(COUNTIF(J89:U89,"x"),1)+(Besatzung!$F$16="x")*IFERROR(H89,0)/IFERROR(SUMPRODUCT((J89:U89="x")*(Besatzung!$F$11:$F$22="x")),1))),(IF(COUNTIF(J89:U89,"x")=0,IF(Besatzung!$B$15&lt;&gt;"",1,0),(O89="x"))*(G89-IFERROR(H89,0))/IFERROR(IF(COUNTIF(J89:U89,"x")=0,COUNTA(Besatzung!$B$11:$B$22),COUNTIF(J89:U89,"x")),1)+IF(COUNTIF(J89:U89,"x")=0,(Besatzung!$F$16="x"),(O89="x")*(Besatzung!$F$16="x"))*IFERROR(H89,0)/IFERROR(IF(COUNTIF(J89:U89,"x")=0,SUMPRODUCT((Besatzung!$B$11:$B$22&lt;&gt;"")*(Besatzung!$F$11:$F$22="x")),SUMPRODUCT((J89:U89="x")*(Besatzung!$F$11:$F$22="x"))),1))))),0))))</f>
        <v/>
      </c>
      <c r="AB89" s="106">
        <f>IF(C89="Gutschrift","",IF(G89="","",IF(Besatzung!$B$17="","",IFERROR(IF(I89="Zeitanteilig",(Besatzung!$G$17*(G89-IFERROR(H89,0))+((Besatzung!$B$17&lt;&gt;"")*IF(B89="",1,(IF(Besatzung!$C$17="",Besatzung!$B$5,Besatzung!$C$17)&lt;=B89)*(IF(Besatzung!$D$17="",Besatzung!$B$6,Besatzung!$D$17)&gt;=B89)))*(Besatzung!$F$17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$17&lt;&gt;"")*IF(B89="",1,(IF(Besatzung!$C$17="",Besatzung!$B$5,Besatzung!$C$17)&lt;=B89)*(IF(Besatzung!$D$17="",Besatzung!$B$6,Besatzung!$D$17)&gt;=B89)))*((G89-IFERROR(H89,0))/IFERROR(SUMPRODUCT((Besatzung!$B$11:$B$22&lt;&gt;"")*(IF(Besatzung!$C$11:$C$22="",Besatzung!$B$5,Besatzung!$C$11:$C$22)&lt;=B89)*(IF(Besatzung!$D$11:$D$22="",Besatzung!$B$6,Besatzung!$D$11:$D$22)&gt;=B89)),1)+(Besatzung!$F$17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P89="x")*((G89-IFERROR(H89,0))/IFERROR(COUNTIF(J89:U89,"x"),1)+(Besatzung!$F$17="x")*IFERROR(H89,0)/IFERROR(SUMPRODUCT((J89:U89="x")*(Besatzung!$F$11:$F$22="x")),1))),(IF(COUNTIF(J89:U89,"x")=0,IF(Besatzung!$B$17&lt;&gt;"",1,0),(P89="x"))*(G89-IFERROR(H89,0))/IFERROR(IF(COUNTIF(J89:U89,"x")=0,COUNTA(Besatzung!$B$11:$B$22),COUNTIF(J89:U89,"x")),1)+IF(COUNTIF(J89:U89,"x")=0,(Besatzung!$F$17="x"),(P89="x")*(Besatzung!$F$17="x"))*IFERROR(H89,0)/IFERROR(IF(COUNTIF(J89:U89,"x")=0,SUMPRODUCT((Besatzung!$B$11:$B$22&lt;&gt;"")*(Besatzung!$F$11:$F$22="x")),SUMPRODUCT((J89:U89="x")*(Besatzung!$F$11:$F$22="x"))),1))))),0))))</f>
        <v/>
      </c>
      <c r="AC89" s="106">
        <f>IF(C89="Gutschrift","",IF(G89="","",IF(Besatzung!$B$18="","",IFERROR(IF(I89="Zeitanteilig",(Besatzung!$G$18*(G89-IFERROR(H89,0))+((Besatzung!$B$18&lt;&gt;"")*IF(B89="",1,(IF(Besatzung!$C$18="",Besatzung!$B$5,Besatzung!$C$18)&lt;=B89)*(IF(Besatzung!$D$18="",Besatzung!$B$6,Besatzung!$D$18)&gt;=B89)))*(Besatzung!$F$18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$18&lt;&gt;"")*IF(B89="",1,(IF(Besatzung!$C$18="",Besatzung!$B$5,Besatzung!$C$18)&lt;=B89)*(IF(Besatzung!$D$18="",Besatzung!$B$6,Besatzung!$D$18)&gt;=B89)))*((G89-IFERROR(H89,0))/IFERROR(SUMPRODUCT((Besatzung!$B$11:$B$22&lt;&gt;"")*(IF(Besatzung!$C$11:$C$22="",Besatzung!$B$5,Besatzung!$C$11:$C$22)&lt;=B89)*(IF(Besatzung!$D$11:$D$22="",Besatzung!$B$6,Besatzung!$D$11:$D$22)&gt;=B89)),1)+(Besatzung!$F$18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Q89="x")*((G89-IFERROR(H89,0))/IFERROR(COUNTIF(J89:U89,"x"),1)+(Besatzung!$F$18="x")*IFERROR(H89,0)/IFERROR(SUMPRODUCT((J89:U89="x")*(Besatzung!$F$11:$F$22="x")),1))),(IF(COUNTIF(J89:U89,"x")=0,IF(Besatzung!$B$18&lt;&gt;"",1,0),(Q89="x"))*(G89-IFERROR(H89,0))/IFERROR(IF(COUNTIF(J89:U89,"x")=0,COUNTA(Besatzung!$B$11:$B$22),COUNTIF(J89:U89,"x")),1)+IF(COUNTIF(J89:U89,"x")=0,(Besatzung!$F$18="x"),(Q89="x")*(Besatzung!$F$18="x"))*IFERROR(H89,0)/IFERROR(IF(COUNTIF(J89:U89,"x")=0,SUMPRODUCT((Besatzung!$B$11:$B$22&lt;&gt;"")*(Besatzung!$F$11:$F$22="x")),SUMPRODUCT((J89:U89="x")*(Besatzung!$F$11:$F$22="x"))),1))))),0))))</f>
        <v/>
      </c>
      <c r="AD89" s="106">
        <f>IF(C89="Gutschrift","",IF(G89="","",IF(Besatzung!$B$19="","",IFERROR(IF(I89="Zeitanteilig",(Besatzung!$G$19*(G89-IFERROR(H89,0))+((Besatzung!$B$19&lt;&gt;"")*IF(B89="",1,(IF(Besatzung!$C$19="",Besatzung!$B$5,Besatzung!$C$19)&lt;=B89)*(IF(Besatzung!$D$19="",Besatzung!$B$6,Besatzung!$D$19)&gt;=B89)))*(Besatzung!$F$19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$19&lt;&gt;"")*IF(B89="",1,(IF(Besatzung!$C$19="",Besatzung!$B$5,Besatzung!$C$19)&lt;=B89)*(IF(Besatzung!$D$19="",Besatzung!$B$6,Besatzung!$D$19)&gt;=B89)))*((G89-IFERROR(H89,0))/IFERROR(SUMPRODUCT((Besatzung!$B$11:$B$22&lt;&gt;"")*(IF(Besatzung!$C$11:$C$22="",Besatzung!$B$5,Besatzung!$C$11:$C$22)&lt;=B89)*(IF(Besatzung!$D$11:$D$22="",Besatzung!$B$6,Besatzung!$D$11:$D$22)&gt;=B89)),1)+(Besatzung!$F$19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R89="x")*((G89-IFERROR(H89,0))/IFERROR(COUNTIF(J89:U89,"x"),1)+(Besatzung!$F$19="x")*IFERROR(H89,0)/IFERROR(SUMPRODUCT((J89:U89="x")*(Besatzung!$F$11:$F$22="x")),1))),(IF(COUNTIF(J89:U89,"x")=0,IF(Besatzung!$B$19&lt;&gt;"",1,0),(R89="x"))*(G89-IFERROR(H89,0))/IFERROR(IF(COUNTIF(J89:U89,"x")=0,COUNTA(Besatzung!$B$11:$B$22),COUNTIF(J89:U89,"x")),1)+IF(COUNTIF(J89:U89,"x")=0,(Besatzung!$F$19="x"),(R89="x")*(Besatzung!$F$19="x"))*IFERROR(H89,0)/IFERROR(IF(COUNTIF(J89:U89,"x")=0,SUMPRODUCT((Besatzung!$B$11:$B$22&lt;&gt;"")*(Besatzung!$F$11:$F$22="x")),SUMPRODUCT((J89:U89="x")*(Besatzung!$F$11:$F$22="x"))),1))))),0))))</f>
        <v/>
      </c>
      <c r="AE89" s="106">
        <f>IF(C89="Gutschrift","",IF(G89="","",IF(Besatzung!$B$20="","",IFERROR(IF(I89="Zeitanteilig",(Besatzung!$G$20*(G89-IFERROR(H89,0))+((Besatzung!$B$20&lt;&gt;"")*IF(B89="",1,(IF(Besatzung!$C$20="",Besatzung!$B$5,Besatzung!$C$20)&lt;=B89)*(IF(Besatzung!$D$20="",Besatzung!$B$6,Besatzung!$D$20)&gt;=B89)))*(Besatzung!$F$20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$20&lt;&gt;"")*IF(B89="",1,(IF(Besatzung!$C$20="",Besatzung!$B$5,Besatzung!$C$20)&lt;=B89)*(IF(Besatzung!$D$20="",Besatzung!$B$6,Besatzung!$D$20)&gt;=B89)))*((G89-IFERROR(H89,0))/IFERROR(SUMPRODUCT((Besatzung!$B$11:$B$22&lt;&gt;"")*(IF(Besatzung!$C$11:$C$22="",Besatzung!$B$5,Besatzung!$C$11:$C$22)&lt;=B89)*(IF(Besatzung!$D$11:$D$22="",Besatzung!$B$6,Besatzung!$D$11:$D$22)&gt;=B89)),1)+(Besatzung!$F$20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S89="x")*((G89-IFERROR(H89,0))/IFERROR(COUNTIF(J89:U89,"x"),1)+(Besatzung!$F$20="x")*IFERROR(H89,0)/IFERROR(SUMPRODUCT((J89:U89="x")*(Besatzung!$F$11:$F$22="x")),1))),(IF(COUNTIF(J89:U89,"x")=0,IF(Besatzung!$B$20&lt;&gt;"",1,0),(S89="x"))*(G89-IFERROR(H89,0))/IFERROR(IF(COUNTIF(J89:U89,"x")=0,COUNTA(Besatzung!$B$11:$B$22),COUNTIF(J89:U89,"x")),1)+IF(COUNTIF(J89:U89,"x")=0,(Besatzung!$F$20="x"),(S89="x")*(Besatzung!$F$20="x"))*IFERROR(H89,0)/IFERROR(IF(COUNTIF(J89:U89,"x")=0,SUMPRODUCT((Besatzung!$B$11:$B$22&lt;&gt;"")*(Besatzung!$F$11:$F$22="x")),SUMPRODUCT((J89:U89="x")*(Besatzung!$F$11:$F$22="x"))),1))))),0))))</f>
        <v/>
      </c>
      <c r="AF89" s="106">
        <f>IF(C89="Gutschrift","",IF(G89="","",IF(Besatzung!$B$21="","",IFERROR(IF(I89="Zeitanteilig",(Besatzung!$G$21*(G89-IFERROR(H89,0))+((Besatzung!$B$21&lt;&gt;"")*IF(B89="",1,(IF(Besatzung!$C$21="",Besatzung!$B$5,Besatzung!$C$21)&lt;=B89)*(IF(Besatzung!$D$21="",Besatzung!$B$6,Besatzung!$D$21)&gt;=B89)))*(Besatzung!$F$21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$21&lt;&gt;"")*IF(B89="",1,(IF(Besatzung!$C$21="",Besatzung!$B$5,Besatzung!$C$21)&lt;=B89)*(IF(Besatzung!$D$21="",Besatzung!$B$6,Besatzung!$D$21)&gt;=B89)))*((G89-IFERROR(H89,0))/IFERROR(SUMPRODUCT((Besatzung!$B$11:$B$22&lt;&gt;"")*(IF(Besatzung!$C$11:$C$22="",Besatzung!$B$5,Besatzung!$C$11:$C$22)&lt;=B89)*(IF(Besatzung!$D$11:$D$22="",Besatzung!$B$6,Besatzung!$D$11:$D$22)&gt;=B89)),1)+(Besatzung!$F$21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T89="x")*((G89-IFERROR(H89,0))/IFERROR(COUNTIF(J89:U89,"x"),1)+(Besatzung!$F$21="x")*IFERROR(H89,0)/IFERROR(SUMPRODUCT((J89:U89="x")*(Besatzung!$F$11:$F$22="x")),1))),(IF(COUNTIF(J89:U89,"x")=0,IF(Besatzung!$B$21&lt;&gt;"",1,0),(T89="x"))*(G89-IFERROR(H89,0))/IFERROR(IF(COUNTIF(J89:U89,"x")=0,COUNTA(Besatzung!$B$11:$B$22),COUNTIF(J89:U89,"x")),1)+IF(COUNTIF(J89:U89,"x")=0,(Besatzung!$F$21="x"),(T89="x")*(Besatzung!$F$21="x"))*IFERROR(H89,0)/IFERROR(IF(COUNTIF(J89:U89,"x")=0,SUMPRODUCT((Besatzung!$B$11:$B$22&lt;&gt;"")*(Besatzung!$F$11:$F$22="x")),SUMPRODUCT((J89:U89="x")*(Besatzung!$F$11:$F$22="x"))),1))))),0))))</f>
        <v/>
      </c>
      <c r="AG89" s="106">
        <f>IF(C89="Gutschrift","",IF(G89="","",IF(Besatzung!$B$22="","",IFERROR(IF(I89="Zeitanteilig",(Besatzung!$G$22*(G89-IFERROR(H89,0))+((Besatzung!$B$22&lt;&gt;"")*IF(B89="",1,(IF(Besatzung!$C$22="",Besatzung!$B$5,Besatzung!$C$22)&lt;=B89)*(IF(Besatzung!$D$22="",Besatzung!$B$6,Besatzung!$D$22)&gt;=B89)))*(Besatzung!$F$22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$22&lt;&gt;"")*IF(B89="",1,(IF(Besatzung!$C$22="",Besatzung!$B$5,Besatzung!$C$22)&lt;=B89)*(IF(Besatzung!$D$22="",Besatzung!$B$6,Besatzung!$D$22)&gt;=B89)))*((G89-IFERROR(H89,0))/IFERROR(SUMPRODUCT((Besatzung!$B$11:$B$22&lt;&gt;"")*(IF(Besatzung!$C$11:$C$22="",Besatzung!$B$5,Besatzung!$C$11:$C$22)&lt;=B89)*(IF(Besatzung!$D$11:$D$22="",Besatzung!$B$6,Besatzung!$D$11:$D$22)&gt;=B89)),1)+(Besatzung!$F$22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U89="x")*((G89-IFERROR(H89,0))/IFERROR(COUNTIF(J89:U89,"x"),1)+(Besatzung!$F$22="x")*IFERROR(H89,0)/IFERROR(SUMPRODUCT((J89:U89="x")*(Besatzung!$F$11:$F$22="x")),1))),(IF(COUNTIF(J89:U89,"x")=0,IF(Besatzung!$B$22&lt;&gt;"",1,0),(U89="x"))*(G89-IFERROR(H89,0))/IFERROR(IF(COUNTIF(J89:U89,"x")=0,COUNTA(Besatzung!$B$11:$B$22),COUNTIF(J89:U89,"x")),1)+IF(COUNTIF(J89:U89,"x")=0,(Besatzung!$F$22="x"),(U89="x")*(Besatzung!$F$22="x"))*IFERROR(H89,0)/IFERROR(IF(COUNTIF(J89:U89,"x")=0,SUMPRODUCT((Besatzung!$B$11:$B$22&lt;&gt;"")*(Besatzung!$F$11:$F$22="x")),SUMPRODUCT((J89:U89="x")*(Besatzung!$F$11:$F$22="x"))),1))))),0))))</f>
        <v/>
      </c>
      <c r="AH89" s="107" t="n"/>
      <c r="AI89" s="107" t="n"/>
    </row>
    <row r="90" ht="21.75" customHeight="1" s="182">
      <c r="A90" s="97">
        <f>IF(AND(D90="",C90=""),"",87)</f>
        <v/>
      </c>
      <c r="B90" s="56" t="n"/>
      <c r="C90" s="98" t="n"/>
      <c r="D90" s="99" t="n"/>
      <c r="E90" s="100" t="n"/>
      <c r="F90" s="101" t="n"/>
      <c r="G90" s="102" t="n"/>
      <c r="H90" s="103" t="n"/>
      <c r="I90" s="104" t="n"/>
      <c r="J90" s="105" t="n"/>
      <c r="K90" s="105" t="n"/>
      <c r="L90" s="105" t="n"/>
      <c r="M90" s="105" t="n"/>
      <c r="N90" s="105" t="n"/>
      <c r="O90" s="105" t="n"/>
      <c r="P90" s="105" t="n"/>
      <c r="Q90" s="105" t="n"/>
      <c r="R90" s="105" t="n"/>
      <c r="S90" s="105" t="n"/>
      <c r="T90" s="105" t="n"/>
      <c r="U90" s="105" t="n"/>
      <c r="V90" s="106">
        <f>IF(C90="Gutschrift","",IF(G90="","",IF(Besatzung!$B$11="","",IFERROR(IF(I90="Zeitanteilig",(Besatzung!$G$11*(G90-IFERROR(H90,0))+((Besatzung!$B$11&lt;&gt;"")*IF(B90="",1,(IF(Besatzung!$C$11="",Besatzung!$B$5,Besatzung!$C$11)&lt;=B90)*(IF(Besatzung!$D$11="",Besatzung!$B$6,Besatzung!$D$11)&gt;=B90)))*(Besatzung!$F$11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$11&lt;&gt;"")*IF(B90="",1,(IF(Besatzung!$C$11="",Besatzung!$B$5,Besatzung!$C$11)&lt;=B90)*(IF(Besatzung!$D$11="",Besatzung!$B$6,Besatzung!$D$11)&gt;=B90)))*((G90-IFERROR(H90,0))/IFERROR(SUMPRODUCT((Besatzung!$B$11:$B$22&lt;&gt;"")*(IF(Besatzung!$C$11:$C$22="",Besatzung!$B$5,Besatzung!$C$11:$C$22)&lt;=B90)*(IF(Besatzung!$D$11:$D$22="",Besatzung!$B$6,Besatzung!$D$11:$D$22)&gt;=B90)),1)+(Besatzung!$F$11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J90="x")*((G90-IFERROR(H90,0))/IFERROR(COUNTIF(J90:U90,"x"),1)+(Besatzung!$F$11="x")*IFERROR(H90,0)/IFERROR(SUMPRODUCT((J90:U90="x")*(Besatzung!$F$11:$F$22="x")),1))),(IF(COUNTIF(J90:U90,"x")=0,IF(Besatzung!$B$11&lt;&gt;"",1,0),(J90="x"))*(G90-IFERROR(H90,0))/IFERROR(IF(COUNTIF(J90:U90,"x")=0,COUNTA(Besatzung!$B$11:$B$22),COUNTIF(J90:U90,"x")),1)+IF(COUNTIF(J90:U90,"x")=0,(Besatzung!$F$11="x"),(J90="x")*(Besatzung!$F$11="x"))*IFERROR(H90,0)/IFERROR(IF(COUNTIF(J90:U90,"x")=0,SUMPRODUCT((Besatzung!$B$11:$B$22&lt;&gt;"")*(Besatzung!$F$11:$F$22="x")),SUMPRODUCT((J90:U90="x")*(Besatzung!$F$11:$F$22="x"))),1))))),0))))</f>
        <v/>
      </c>
      <c r="W90" s="106">
        <f>IF(C90="Gutschrift","",IF(G90="","",IF(Besatzung!$B$12="","",IFERROR(IF(I90="Zeitanteilig",(Besatzung!$G$12*(G90-IFERROR(H90,0))+((Besatzung!$B$12&lt;&gt;"")*IF(B90="",1,(IF(Besatzung!$C$12="",Besatzung!$B$5,Besatzung!$C$12)&lt;=B90)*(IF(Besatzung!$D$12="",Besatzung!$B$6,Besatzung!$D$12)&gt;=B90)))*(Besatzung!$F$12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$12&lt;&gt;"")*IF(B90="",1,(IF(Besatzung!$C$12="",Besatzung!$B$5,Besatzung!$C$12)&lt;=B90)*(IF(Besatzung!$D$12="",Besatzung!$B$6,Besatzung!$D$12)&gt;=B90)))*((G90-IFERROR(H90,0))/IFERROR(SUMPRODUCT((Besatzung!$B$11:$B$22&lt;&gt;"")*(IF(Besatzung!$C$11:$C$22="",Besatzung!$B$5,Besatzung!$C$11:$C$22)&lt;=B90)*(IF(Besatzung!$D$11:$D$22="",Besatzung!$B$6,Besatzung!$D$11:$D$22)&gt;=B90)),1)+(Besatzung!$F$12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K90="x")*((G90-IFERROR(H90,0))/IFERROR(COUNTIF(J90:U90,"x"),1)+(Besatzung!$F$12="x")*IFERROR(H90,0)/IFERROR(SUMPRODUCT((J90:U90="x")*(Besatzung!$F$11:$F$22="x")),1))),(IF(COUNTIF(J90:U90,"x")=0,IF(Besatzung!$B$12&lt;&gt;"",1,0),(K90="x"))*(G90-IFERROR(H90,0))/IFERROR(IF(COUNTIF(J90:U90,"x")=0,COUNTA(Besatzung!$B$11:$B$22),COUNTIF(J90:U90,"x")),1)+IF(COUNTIF(J90:U90,"x")=0,(Besatzung!$F$12="x"),(K90="x")*(Besatzung!$F$12="x"))*IFERROR(H90,0)/IFERROR(IF(COUNTIF(J90:U90,"x")=0,SUMPRODUCT((Besatzung!$B$11:$B$22&lt;&gt;"")*(Besatzung!$F$11:$F$22="x")),SUMPRODUCT((J90:U90="x")*(Besatzung!$F$11:$F$22="x"))),1))))),0))))</f>
        <v/>
      </c>
      <c r="X90" s="106">
        <f>IF(C90="Gutschrift","",IF(G90="","",IF(Besatzung!$B$13="","",IFERROR(IF(I90="Zeitanteilig",(Besatzung!$G$13*(G90-IFERROR(H90,0))+((Besatzung!$B$13&lt;&gt;"")*IF(B90="",1,(IF(Besatzung!$C$13="",Besatzung!$B$5,Besatzung!$C$13)&lt;=B90)*(IF(Besatzung!$D$13="",Besatzung!$B$6,Besatzung!$D$13)&gt;=B90)))*(Besatzung!$F$13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$13&lt;&gt;"")*IF(B90="",1,(IF(Besatzung!$C$13="",Besatzung!$B$5,Besatzung!$C$13)&lt;=B90)*(IF(Besatzung!$D$13="",Besatzung!$B$6,Besatzung!$D$13)&gt;=B90)))*((G90-IFERROR(H90,0))/IFERROR(SUMPRODUCT((Besatzung!$B$11:$B$22&lt;&gt;"")*(IF(Besatzung!$C$11:$C$22="",Besatzung!$B$5,Besatzung!$C$11:$C$22)&lt;=B90)*(IF(Besatzung!$D$11:$D$22="",Besatzung!$B$6,Besatzung!$D$11:$D$22)&gt;=B90)),1)+(Besatzung!$F$13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K90="x")*((G90-IFERROR(H90,0))/IFERROR(COUNTIF(J90:U90,"x"),1)+(Besatzung!$F$13="x")*IFERROR(H90,0)/IFERROR(SUMPRODUCT((J90:U90="x")*(Besatzung!$F$11:$F$22="x")),1))),(IF(COUNTIF(J90:U90,"x")=0,IF(Besatzung!$B$13&lt;&gt;"",1,0),(K90="x"))*(G90-IFERROR(H90,0))/IFERROR(IF(COUNTIF(J90:U90,"x")=0,COUNTA(Besatzung!$B$11:$B$22),COUNTIF(J90:U90,"x")),1)+IF(COUNTIF(J90:U90,"x")=0,(Besatzung!$F$13="x"),(K90="x")*(Besatzung!$F$13="x"))*IFERROR(H90,0)/IFERROR(IF(COUNTIF(J90:U90,"x")=0,SUMPRODUCT((Besatzung!$B$11:$B$22&lt;&gt;"")*(Besatzung!$F$11:$F$22="x")),SUMPRODUCT((J90:U90="x")*(Besatzung!$F$11:$F$22="x"))),1))))),0))))</f>
        <v/>
      </c>
      <c r="Y90" s="106">
        <f>IF(C90="Gutschrift","",IF(G90="","",IF(Besatzung!$B$14="","",IFERROR(IF(I90="Zeitanteilig",(Besatzung!$G$14*(G90-IFERROR(H90,0))+((Besatzung!$B$14&lt;&gt;"")*IF(B90="",1,(IF(Besatzung!$C$14="",Besatzung!$B$5,Besatzung!$C$14)&lt;=B90)*(IF(Besatzung!$D$14="",Besatzung!$B$6,Besatzung!$D$14)&gt;=B90)))*(Besatzung!$F$14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$14&lt;&gt;"")*IF(B90="",1,(IF(Besatzung!$C$14="",Besatzung!$B$5,Besatzung!$C$14)&lt;=B90)*(IF(Besatzung!$D$14="",Besatzung!$B$6,Besatzung!$D$14)&gt;=B90)))*((G90-IFERROR(H90,0))/IFERROR(SUMPRODUCT((Besatzung!$B$11:$B$22&lt;&gt;"")*(IF(Besatzung!$C$11:$C$22="",Besatzung!$B$5,Besatzung!$C$11:$C$22)&lt;=B90)*(IF(Besatzung!$D$11:$D$22="",Besatzung!$B$6,Besatzung!$D$11:$D$22)&gt;=B90)),1)+(Besatzung!$F$14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M90="x")*((G90-IFERROR(H90,0))/IFERROR(COUNTIF(J90:U90,"x"),1)+(Besatzung!$F$14="x")*IFERROR(H90,0)/IFERROR(SUMPRODUCT((J90:U90="x")*(Besatzung!$F$11:$F$22="x")),1))),(IF(COUNTIF(J90:U90,"x")=0,IF(Besatzung!$B$14&lt;&gt;"",1,0),(M90="x"))*(G90-IFERROR(H90,0))/IFERROR(IF(COUNTIF(J90:U90,"x")=0,COUNTA(Besatzung!$B$11:$B$22),COUNTIF(J90:U90,"x")),1)+IF(COUNTIF(J90:U90,"x")=0,(Besatzung!$F$14="x"),(M90="x")*(Besatzung!$F$14="x"))*IFERROR(H90,0)/IFERROR(IF(COUNTIF(J90:U90,"x")=0,SUMPRODUCT((Besatzung!$B$11:$B$22&lt;&gt;"")*(Besatzung!$F$11:$F$22="x")),SUMPRODUCT((J90:U90="x")*(Besatzung!$F$11:$F$22="x"))),1))))),0))))</f>
        <v/>
      </c>
      <c r="Z90" s="106">
        <f>IF(C90="Gutschrift","",IF(G90="","",IF(Besatzung!$B$13="","",IFERROR(IF(I90="Zeitanteilig",(Besatzung!$G$15*(G90-IFERROR(H90,0))+((Besatzung!$B$13&lt;&gt;"")*IF(B90="",1,(IF(Besatzung!$C$15="",Besatzung!$B$5,Besatzung!$C$15)&lt;=B90)*(IF(Besatzung!$D$15="",Besatzung!$B$6,Besatzung!$D$15)&gt;=B90)))*(Besatzung!$F$15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$13&lt;&gt;"")*IF(B90="",1,(IF(Besatzung!$C$15="",Besatzung!$B$5,Besatzung!$C$15)&lt;=B90)*(IF(Besatzung!$D$15="",Besatzung!$B$6,Besatzung!$D$15)&gt;=B90)))*((G90-IFERROR(H90,0))/IFERROR(SUMPRODUCT((Besatzung!$B$11:$B$22&lt;&gt;"")*(IF(Besatzung!$C$11:$C$22="",Besatzung!$B$5,Besatzung!$C$11:$C$22)&lt;=B90)*(IF(Besatzung!$D$11:$D$22="",Besatzung!$B$6,Besatzung!$D$11:$D$22)&gt;=B90)),1)+(Besatzung!$F$15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N90="x")*((G90-IFERROR(H90,0))/IFERROR(COUNTIF(J90:U90,"x"),1)+(Besatzung!$F$15="x")*IFERROR(H90,0)/IFERROR(SUMPRODUCT((J90:U90="x")*(Besatzung!$F$11:$F$22="x")),1))),(IF(COUNTIF(J90:U90,"x")=0,IF(Besatzung!$B$13&lt;&gt;"",1,0),(N90="x"))*(G90-IFERROR(H90,0))/IFERROR(IF(COUNTIF(J90:U90,"x")=0,COUNTA(Besatzung!$B$11:$B$22),COUNTIF(J90:U90,"x")),1)+IF(COUNTIF(J90:U90,"x")=0,(Besatzung!$F$15="x"),(N90="x")*(Besatzung!$F$15="x"))*IFERROR(H90,0)/IFERROR(IF(COUNTIF(J90:U90,"x")=0,SUMPRODUCT((Besatzung!$B$11:$B$22&lt;&gt;"")*(Besatzung!$F$11:$F$22="x")),SUMPRODUCT((J90:U90="x")*(Besatzung!$F$11:$F$22="x"))),1))))),0))))</f>
        <v/>
      </c>
      <c r="AA90" s="106">
        <f>IF(C90="Gutschrift","",IF(G90="","",IF(Besatzung!$B$15="","",IFERROR(IF(I90="Zeitanteilig",(Besatzung!$G$16*(G90-IFERROR(H90,0))+((Besatzung!$B$15&lt;&gt;"")*IF(B90="",1,(IF(Besatzung!$C$16="",Besatzung!$B$5,Besatzung!$C$16)&lt;=B90)*(IF(Besatzung!$D$16="",Besatzung!$B$6,Besatzung!$D$16)&gt;=B90)))*(Besatzung!$F$16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$15&lt;&gt;"")*IF(B90="",1,(IF(Besatzung!$C$16="",Besatzung!$B$5,Besatzung!$C$16)&lt;=B90)*(IF(Besatzung!$D$16="",Besatzung!$B$6,Besatzung!$D$16)&gt;=B90)))*((G90-IFERROR(H90,0))/IFERROR(SUMPRODUCT((Besatzung!$B$11:$B$22&lt;&gt;"")*(IF(Besatzung!$C$11:$C$22="",Besatzung!$B$5,Besatzung!$C$11:$C$22)&lt;=B90)*(IF(Besatzung!$D$11:$D$22="",Besatzung!$B$6,Besatzung!$D$11:$D$22)&gt;=B90)),1)+(Besatzung!$F$16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O90="x")*((G90-IFERROR(H90,0))/IFERROR(COUNTIF(J90:U90,"x"),1)+(Besatzung!$F$16="x")*IFERROR(H90,0)/IFERROR(SUMPRODUCT((J90:U90="x")*(Besatzung!$F$11:$F$22="x")),1))),(IF(COUNTIF(J90:U90,"x")=0,IF(Besatzung!$B$15&lt;&gt;"",1,0),(O90="x"))*(G90-IFERROR(H90,0))/IFERROR(IF(COUNTIF(J90:U90,"x")=0,COUNTA(Besatzung!$B$11:$B$22),COUNTIF(J90:U90,"x")),1)+IF(COUNTIF(J90:U90,"x")=0,(Besatzung!$F$16="x"),(O90="x")*(Besatzung!$F$16="x"))*IFERROR(H90,0)/IFERROR(IF(COUNTIF(J90:U90,"x")=0,SUMPRODUCT((Besatzung!$B$11:$B$22&lt;&gt;"")*(Besatzung!$F$11:$F$22="x")),SUMPRODUCT((J90:U90="x")*(Besatzung!$F$11:$F$22="x"))),1))))),0))))</f>
        <v/>
      </c>
      <c r="AB90" s="106">
        <f>IF(C90="Gutschrift","",IF(G90="","",IF(Besatzung!$B$17="","",IFERROR(IF(I90="Zeitanteilig",(Besatzung!$G$17*(G90-IFERROR(H90,0))+((Besatzung!$B$17&lt;&gt;"")*IF(B90="",1,(IF(Besatzung!$C$17="",Besatzung!$B$5,Besatzung!$C$17)&lt;=B90)*(IF(Besatzung!$D$17="",Besatzung!$B$6,Besatzung!$D$17)&gt;=B90)))*(Besatzung!$F$17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$17&lt;&gt;"")*IF(B90="",1,(IF(Besatzung!$C$17="",Besatzung!$B$5,Besatzung!$C$17)&lt;=B90)*(IF(Besatzung!$D$17="",Besatzung!$B$6,Besatzung!$D$17)&gt;=B90)))*((G90-IFERROR(H90,0))/IFERROR(SUMPRODUCT((Besatzung!$B$11:$B$22&lt;&gt;"")*(IF(Besatzung!$C$11:$C$22="",Besatzung!$B$5,Besatzung!$C$11:$C$22)&lt;=B90)*(IF(Besatzung!$D$11:$D$22="",Besatzung!$B$6,Besatzung!$D$11:$D$22)&gt;=B90)),1)+(Besatzung!$F$17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P90="x")*((G90-IFERROR(H90,0))/IFERROR(COUNTIF(J90:U90,"x"),1)+(Besatzung!$F$17="x")*IFERROR(H90,0)/IFERROR(SUMPRODUCT((J90:U90="x")*(Besatzung!$F$11:$F$22="x")),1))),(IF(COUNTIF(J90:U90,"x")=0,IF(Besatzung!$B$17&lt;&gt;"",1,0),(P90="x"))*(G90-IFERROR(H90,0))/IFERROR(IF(COUNTIF(J90:U90,"x")=0,COUNTA(Besatzung!$B$11:$B$22),COUNTIF(J90:U90,"x")),1)+IF(COUNTIF(J90:U90,"x")=0,(Besatzung!$F$17="x"),(P90="x")*(Besatzung!$F$17="x"))*IFERROR(H90,0)/IFERROR(IF(COUNTIF(J90:U90,"x")=0,SUMPRODUCT((Besatzung!$B$11:$B$22&lt;&gt;"")*(Besatzung!$F$11:$F$22="x")),SUMPRODUCT((J90:U90="x")*(Besatzung!$F$11:$F$22="x"))),1))))),0))))</f>
        <v/>
      </c>
      <c r="AC90" s="106">
        <f>IF(C90="Gutschrift","",IF(G90="","",IF(Besatzung!$B$18="","",IFERROR(IF(I90="Zeitanteilig",(Besatzung!$G$18*(G90-IFERROR(H90,0))+((Besatzung!$B$18&lt;&gt;"")*IF(B90="",1,(IF(Besatzung!$C$18="",Besatzung!$B$5,Besatzung!$C$18)&lt;=B90)*(IF(Besatzung!$D$18="",Besatzung!$B$6,Besatzung!$D$18)&gt;=B90)))*(Besatzung!$F$18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$18&lt;&gt;"")*IF(B90="",1,(IF(Besatzung!$C$18="",Besatzung!$B$5,Besatzung!$C$18)&lt;=B90)*(IF(Besatzung!$D$18="",Besatzung!$B$6,Besatzung!$D$18)&gt;=B90)))*((G90-IFERROR(H90,0))/IFERROR(SUMPRODUCT((Besatzung!$B$11:$B$22&lt;&gt;"")*(IF(Besatzung!$C$11:$C$22="",Besatzung!$B$5,Besatzung!$C$11:$C$22)&lt;=B90)*(IF(Besatzung!$D$11:$D$22="",Besatzung!$B$6,Besatzung!$D$11:$D$22)&gt;=B90)),1)+(Besatzung!$F$18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Q90="x")*((G90-IFERROR(H90,0))/IFERROR(COUNTIF(J90:U90,"x"),1)+(Besatzung!$F$18="x")*IFERROR(H90,0)/IFERROR(SUMPRODUCT((J90:U90="x")*(Besatzung!$F$11:$F$22="x")),1))),(IF(COUNTIF(J90:U90,"x")=0,IF(Besatzung!$B$18&lt;&gt;"",1,0),(Q90="x"))*(G90-IFERROR(H90,0))/IFERROR(IF(COUNTIF(J90:U90,"x")=0,COUNTA(Besatzung!$B$11:$B$22),COUNTIF(J90:U90,"x")),1)+IF(COUNTIF(J90:U90,"x")=0,(Besatzung!$F$18="x"),(Q90="x")*(Besatzung!$F$18="x"))*IFERROR(H90,0)/IFERROR(IF(COUNTIF(J90:U90,"x")=0,SUMPRODUCT((Besatzung!$B$11:$B$22&lt;&gt;"")*(Besatzung!$F$11:$F$22="x")),SUMPRODUCT((J90:U90="x")*(Besatzung!$F$11:$F$22="x"))),1))))),0))))</f>
        <v/>
      </c>
      <c r="AD90" s="106">
        <f>IF(C90="Gutschrift","",IF(G90="","",IF(Besatzung!$B$19="","",IFERROR(IF(I90="Zeitanteilig",(Besatzung!$G$19*(G90-IFERROR(H90,0))+((Besatzung!$B$19&lt;&gt;"")*IF(B90="",1,(IF(Besatzung!$C$19="",Besatzung!$B$5,Besatzung!$C$19)&lt;=B90)*(IF(Besatzung!$D$19="",Besatzung!$B$6,Besatzung!$D$19)&gt;=B90)))*(Besatzung!$F$19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$19&lt;&gt;"")*IF(B90="",1,(IF(Besatzung!$C$19="",Besatzung!$B$5,Besatzung!$C$19)&lt;=B90)*(IF(Besatzung!$D$19="",Besatzung!$B$6,Besatzung!$D$19)&gt;=B90)))*((G90-IFERROR(H90,0))/IFERROR(SUMPRODUCT((Besatzung!$B$11:$B$22&lt;&gt;"")*(IF(Besatzung!$C$11:$C$22="",Besatzung!$B$5,Besatzung!$C$11:$C$22)&lt;=B90)*(IF(Besatzung!$D$11:$D$22="",Besatzung!$B$6,Besatzung!$D$11:$D$22)&gt;=B90)),1)+(Besatzung!$F$19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R90="x")*((G90-IFERROR(H90,0))/IFERROR(COUNTIF(J90:U90,"x"),1)+(Besatzung!$F$19="x")*IFERROR(H90,0)/IFERROR(SUMPRODUCT((J90:U90="x")*(Besatzung!$F$11:$F$22="x")),1))),(IF(COUNTIF(J90:U90,"x")=0,IF(Besatzung!$B$19&lt;&gt;"",1,0),(R90="x"))*(G90-IFERROR(H90,0))/IFERROR(IF(COUNTIF(J90:U90,"x")=0,COUNTA(Besatzung!$B$11:$B$22),COUNTIF(J90:U90,"x")),1)+IF(COUNTIF(J90:U90,"x")=0,(Besatzung!$F$19="x"),(R90="x")*(Besatzung!$F$19="x"))*IFERROR(H90,0)/IFERROR(IF(COUNTIF(J90:U90,"x")=0,SUMPRODUCT((Besatzung!$B$11:$B$22&lt;&gt;"")*(Besatzung!$F$11:$F$22="x")),SUMPRODUCT((J90:U90="x")*(Besatzung!$F$11:$F$22="x"))),1))))),0))))</f>
        <v/>
      </c>
      <c r="AE90" s="106">
        <f>IF(C90="Gutschrift","",IF(G90="","",IF(Besatzung!$B$20="","",IFERROR(IF(I90="Zeitanteilig",(Besatzung!$G$20*(G90-IFERROR(H90,0))+((Besatzung!$B$20&lt;&gt;"")*IF(B90="",1,(IF(Besatzung!$C$20="",Besatzung!$B$5,Besatzung!$C$20)&lt;=B90)*(IF(Besatzung!$D$20="",Besatzung!$B$6,Besatzung!$D$20)&gt;=B90)))*(Besatzung!$F$20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$20&lt;&gt;"")*IF(B90="",1,(IF(Besatzung!$C$20="",Besatzung!$B$5,Besatzung!$C$20)&lt;=B90)*(IF(Besatzung!$D$20="",Besatzung!$B$6,Besatzung!$D$20)&gt;=B90)))*((G90-IFERROR(H90,0))/IFERROR(SUMPRODUCT((Besatzung!$B$11:$B$22&lt;&gt;"")*(IF(Besatzung!$C$11:$C$22="",Besatzung!$B$5,Besatzung!$C$11:$C$22)&lt;=B90)*(IF(Besatzung!$D$11:$D$22="",Besatzung!$B$6,Besatzung!$D$11:$D$22)&gt;=B90)),1)+(Besatzung!$F$20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S90="x")*((G90-IFERROR(H90,0))/IFERROR(COUNTIF(J90:U90,"x"),1)+(Besatzung!$F$20="x")*IFERROR(H90,0)/IFERROR(SUMPRODUCT((J90:U90="x")*(Besatzung!$F$11:$F$22="x")),1))),(IF(COUNTIF(J90:U90,"x")=0,IF(Besatzung!$B$20&lt;&gt;"",1,0),(S90="x"))*(G90-IFERROR(H90,0))/IFERROR(IF(COUNTIF(J90:U90,"x")=0,COUNTA(Besatzung!$B$11:$B$22),COUNTIF(J90:U90,"x")),1)+IF(COUNTIF(J90:U90,"x")=0,(Besatzung!$F$20="x"),(S90="x")*(Besatzung!$F$20="x"))*IFERROR(H90,0)/IFERROR(IF(COUNTIF(J90:U90,"x")=0,SUMPRODUCT((Besatzung!$B$11:$B$22&lt;&gt;"")*(Besatzung!$F$11:$F$22="x")),SUMPRODUCT((J90:U90="x")*(Besatzung!$F$11:$F$22="x"))),1))))),0))))</f>
        <v/>
      </c>
      <c r="AF90" s="106">
        <f>IF(C90="Gutschrift","",IF(G90="","",IF(Besatzung!$B$21="","",IFERROR(IF(I90="Zeitanteilig",(Besatzung!$G$21*(G90-IFERROR(H90,0))+((Besatzung!$B$21&lt;&gt;"")*IF(B90="",1,(IF(Besatzung!$C$21="",Besatzung!$B$5,Besatzung!$C$21)&lt;=B90)*(IF(Besatzung!$D$21="",Besatzung!$B$6,Besatzung!$D$21)&gt;=B90)))*(Besatzung!$F$21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$21&lt;&gt;"")*IF(B90="",1,(IF(Besatzung!$C$21="",Besatzung!$B$5,Besatzung!$C$21)&lt;=B90)*(IF(Besatzung!$D$21="",Besatzung!$B$6,Besatzung!$D$21)&gt;=B90)))*((G90-IFERROR(H90,0))/IFERROR(SUMPRODUCT((Besatzung!$B$11:$B$22&lt;&gt;"")*(IF(Besatzung!$C$11:$C$22="",Besatzung!$B$5,Besatzung!$C$11:$C$22)&lt;=B90)*(IF(Besatzung!$D$11:$D$22="",Besatzung!$B$6,Besatzung!$D$11:$D$22)&gt;=B90)),1)+(Besatzung!$F$21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T90="x")*((G90-IFERROR(H90,0))/IFERROR(COUNTIF(J90:U90,"x"),1)+(Besatzung!$F$21="x")*IFERROR(H90,0)/IFERROR(SUMPRODUCT((J90:U90="x")*(Besatzung!$F$11:$F$22="x")),1))),(IF(COUNTIF(J90:U90,"x")=0,IF(Besatzung!$B$21&lt;&gt;"",1,0),(T90="x"))*(G90-IFERROR(H90,0))/IFERROR(IF(COUNTIF(J90:U90,"x")=0,COUNTA(Besatzung!$B$11:$B$22),COUNTIF(J90:U90,"x")),1)+IF(COUNTIF(J90:U90,"x")=0,(Besatzung!$F$21="x"),(T90="x")*(Besatzung!$F$21="x"))*IFERROR(H90,0)/IFERROR(IF(COUNTIF(J90:U90,"x")=0,SUMPRODUCT((Besatzung!$B$11:$B$22&lt;&gt;"")*(Besatzung!$F$11:$F$22="x")),SUMPRODUCT((J90:U90="x")*(Besatzung!$F$11:$F$22="x"))),1))))),0))))</f>
        <v/>
      </c>
      <c r="AG90" s="106">
        <f>IF(C90="Gutschrift","",IF(G90="","",IF(Besatzung!$B$22="","",IFERROR(IF(I90="Zeitanteilig",(Besatzung!$G$22*(G90-IFERROR(H90,0))+((Besatzung!$B$22&lt;&gt;"")*IF(B90="",1,(IF(Besatzung!$C$22="",Besatzung!$B$5,Besatzung!$C$22)&lt;=B90)*(IF(Besatzung!$D$22="",Besatzung!$B$6,Besatzung!$D$22)&gt;=B90)))*(Besatzung!$F$22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$22&lt;&gt;"")*IF(B90="",1,(IF(Besatzung!$C$22="",Besatzung!$B$5,Besatzung!$C$22)&lt;=B90)*(IF(Besatzung!$D$22="",Besatzung!$B$6,Besatzung!$D$22)&gt;=B90)))*((G90-IFERROR(H90,0))/IFERROR(SUMPRODUCT((Besatzung!$B$11:$B$22&lt;&gt;"")*(IF(Besatzung!$C$11:$C$22="",Besatzung!$B$5,Besatzung!$C$11:$C$22)&lt;=B90)*(IF(Besatzung!$D$11:$D$22="",Besatzung!$B$6,Besatzung!$D$11:$D$22)&gt;=B90)),1)+(Besatzung!$F$22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U90="x")*((G90-IFERROR(H90,0))/IFERROR(COUNTIF(J90:U90,"x"),1)+(Besatzung!$F$22="x")*IFERROR(H90,0)/IFERROR(SUMPRODUCT((J90:U90="x")*(Besatzung!$F$11:$F$22="x")),1))),(IF(COUNTIF(J90:U90,"x")=0,IF(Besatzung!$B$22&lt;&gt;"",1,0),(U90="x"))*(G90-IFERROR(H90,0))/IFERROR(IF(COUNTIF(J90:U90,"x")=0,COUNTA(Besatzung!$B$11:$B$22),COUNTIF(J90:U90,"x")),1)+IF(COUNTIF(J90:U90,"x")=0,(Besatzung!$F$22="x"),(U90="x")*(Besatzung!$F$22="x"))*IFERROR(H90,0)/IFERROR(IF(COUNTIF(J90:U90,"x")=0,SUMPRODUCT((Besatzung!$B$11:$B$22&lt;&gt;"")*(Besatzung!$F$11:$F$22="x")),SUMPRODUCT((J90:U90="x")*(Besatzung!$F$11:$F$22="x"))),1))))),0))))</f>
        <v/>
      </c>
      <c r="AH90" s="107" t="n"/>
      <c r="AI90" s="107" t="n"/>
    </row>
    <row r="91" ht="21.75" customHeight="1" s="182">
      <c r="A91" s="97">
        <f>IF(AND(D91="",C91=""),"",88)</f>
        <v/>
      </c>
      <c r="B91" s="63" t="n"/>
      <c r="C91" s="108" t="n"/>
      <c r="D91" s="109" t="n"/>
      <c r="E91" s="110" t="n"/>
      <c r="F91" s="111" t="n"/>
      <c r="G91" s="112" t="n"/>
      <c r="H91" s="113" t="n"/>
      <c r="I91" s="114" t="n"/>
      <c r="J91" s="115" t="n"/>
      <c r="K91" s="115" t="n"/>
      <c r="L91" s="115" t="n"/>
      <c r="M91" s="115" t="n"/>
      <c r="N91" s="115" t="n"/>
      <c r="O91" s="115" t="n"/>
      <c r="P91" s="115" t="n"/>
      <c r="Q91" s="115" t="n"/>
      <c r="R91" s="115" t="n"/>
      <c r="S91" s="115" t="n"/>
      <c r="T91" s="115" t="n"/>
      <c r="U91" s="115" t="n"/>
      <c r="V91" s="106">
        <f>IF(C91="Gutschrift","",IF(G91="","",IF(Besatzung!$B$11="","",IFERROR(IF(I91="Zeitanteilig",(Besatzung!$G$11*(G91-IFERROR(H91,0))+((Besatzung!$B$11&lt;&gt;"")*IF(B91="",1,(IF(Besatzung!$C$11="",Besatzung!$B$5,Besatzung!$C$11)&lt;=B91)*(IF(Besatzung!$D$11="",Besatzung!$B$6,Besatzung!$D$11)&gt;=B91)))*(Besatzung!$F$11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$11&lt;&gt;"")*IF(B91="",1,(IF(Besatzung!$C$11="",Besatzung!$B$5,Besatzung!$C$11)&lt;=B91)*(IF(Besatzung!$D$11="",Besatzung!$B$6,Besatzung!$D$11)&gt;=B91)))*((G91-IFERROR(H91,0))/IFERROR(SUMPRODUCT((Besatzung!$B$11:$B$22&lt;&gt;"")*(IF(Besatzung!$C$11:$C$22="",Besatzung!$B$5,Besatzung!$C$11:$C$22)&lt;=B91)*(IF(Besatzung!$D$11:$D$22="",Besatzung!$B$6,Besatzung!$D$11:$D$22)&gt;=B91)),1)+(Besatzung!$F$11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J91="x")*((G91-IFERROR(H91,0))/IFERROR(COUNTIF(J91:U91,"x"),1)+(Besatzung!$F$11="x")*IFERROR(H91,0)/IFERROR(SUMPRODUCT((J91:U91="x")*(Besatzung!$F$11:$F$22="x")),1))),(IF(COUNTIF(J91:U91,"x")=0,IF(Besatzung!$B$11&lt;&gt;"",1,0),(J91="x"))*(G91-IFERROR(H91,0))/IFERROR(IF(COUNTIF(J91:U91,"x")=0,COUNTA(Besatzung!$B$11:$B$22),COUNTIF(J91:U91,"x")),1)+IF(COUNTIF(J91:U91,"x")=0,(Besatzung!$F$11="x"),(J91="x")*(Besatzung!$F$11="x"))*IFERROR(H91,0)/IFERROR(IF(COUNTIF(J91:U91,"x")=0,SUMPRODUCT((Besatzung!$B$11:$B$22&lt;&gt;"")*(Besatzung!$F$11:$F$22="x")),SUMPRODUCT((J91:U91="x")*(Besatzung!$F$11:$F$22="x"))),1))))),0))))</f>
        <v/>
      </c>
      <c r="W91" s="106">
        <f>IF(C91="Gutschrift","",IF(G91="","",IF(Besatzung!$B$12="","",IFERROR(IF(I91="Zeitanteilig",(Besatzung!$G$12*(G91-IFERROR(H91,0))+((Besatzung!$B$12&lt;&gt;"")*IF(B91="",1,(IF(Besatzung!$C$12="",Besatzung!$B$5,Besatzung!$C$12)&lt;=B91)*(IF(Besatzung!$D$12="",Besatzung!$B$6,Besatzung!$D$12)&gt;=B91)))*(Besatzung!$F$12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$12&lt;&gt;"")*IF(B91="",1,(IF(Besatzung!$C$12="",Besatzung!$B$5,Besatzung!$C$12)&lt;=B91)*(IF(Besatzung!$D$12="",Besatzung!$B$6,Besatzung!$D$12)&gt;=B91)))*((G91-IFERROR(H91,0))/IFERROR(SUMPRODUCT((Besatzung!$B$11:$B$22&lt;&gt;"")*(IF(Besatzung!$C$11:$C$22="",Besatzung!$B$5,Besatzung!$C$11:$C$22)&lt;=B91)*(IF(Besatzung!$D$11:$D$22="",Besatzung!$B$6,Besatzung!$D$11:$D$22)&gt;=B91)),1)+(Besatzung!$F$12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K91="x")*((G91-IFERROR(H91,0))/IFERROR(COUNTIF(J91:U91,"x"),1)+(Besatzung!$F$12="x")*IFERROR(H91,0)/IFERROR(SUMPRODUCT((J91:U91="x")*(Besatzung!$F$11:$F$22="x")),1))),(IF(COUNTIF(J91:U91,"x")=0,IF(Besatzung!$B$12&lt;&gt;"",1,0),(K91="x"))*(G91-IFERROR(H91,0))/IFERROR(IF(COUNTIF(J91:U91,"x")=0,COUNTA(Besatzung!$B$11:$B$22),COUNTIF(J91:U91,"x")),1)+IF(COUNTIF(J91:U91,"x")=0,(Besatzung!$F$12="x"),(K91="x")*(Besatzung!$F$12="x"))*IFERROR(H91,0)/IFERROR(IF(COUNTIF(J91:U91,"x")=0,SUMPRODUCT((Besatzung!$B$11:$B$22&lt;&gt;"")*(Besatzung!$F$11:$F$22="x")),SUMPRODUCT((J91:U91="x")*(Besatzung!$F$11:$F$22="x"))),1))))),0))))</f>
        <v/>
      </c>
      <c r="X91" s="106">
        <f>IF(C91="Gutschrift","",IF(G91="","",IF(Besatzung!$B$13="","",IFERROR(IF(I91="Zeitanteilig",(Besatzung!$G$13*(G91-IFERROR(H91,0))+((Besatzung!$B$13&lt;&gt;"")*IF(B91="",1,(IF(Besatzung!$C$13="",Besatzung!$B$5,Besatzung!$C$13)&lt;=B91)*(IF(Besatzung!$D$13="",Besatzung!$B$6,Besatzung!$D$13)&gt;=B91)))*(Besatzung!$F$13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$13&lt;&gt;"")*IF(B91="",1,(IF(Besatzung!$C$13="",Besatzung!$B$5,Besatzung!$C$13)&lt;=B91)*(IF(Besatzung!$D$13="",Besatzung!$B$6,Besatzung!$D$13)&gt;=B91)))*((G91-IFERROR(H91,0))/IFERROR(SUMPRODUCT((Besatzung!$B$11:$B$22&lt;&gt;"")*(IF(Besatzung!$C$11:$C$22="",Besatzung!$B$5,Besatzung!$C$11:$C$22)&lt;=B91)*(IF(Besatzung!$D$11:$D$22="",Besatzung!$B$6,Besatzung!$D$11:$D$22)&gt;=B91)),1)+(Besatzung!$F$13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K91="x")*((G91-IFERROR(H91,0))/IFERROR(COUNTIF(J91:U91,"x"),1)+(Besatzung!$F$13="x")*IFERROR(H91,0)/IFERROR(SUMPRODUCT((J91:U91="x")*(Besatzung!$F$11:$F$22="x")),1))),(IF(COUNTIF(J91:U91,"x")=0,IF(Besatzung!$B$13&lt;&gt;"",1,0),(K91="x"))*(G91-IFERROR(H91,0))/IFERROR(IF(COUNTIF(J91:U91,"x")=0,COUNTA(Besatzung!$B$11:$B$22),COUNTIF(J91:U91,"x")),1)+IF(COUNTIF(J91:U91,"x")=0,(Besatzung!$F$13="x"),(K91="x")*(Besatzung!$F$13="x"))*IFERROR(H91,0)/IFERROR(IF(COUNTIF(J91:U91,"x")=0,SUMPRODUCT((Besatzung!$B$11:$B$22&lt;&gt;"")*(Besatzung!$F$11:$F$22="x")),SUMPRODUCT((J91:U91="x")*(Besatzung!$F$11:$F$22="x"))),1))))),0))))</f>
        <v/>
      </c>
      <c r="Y91" s="106">
        <f>IF(C91="Gutschrift","",IF(G91="","",IF(Besatzung!$B$14="","",IFERROR(IF(I91="Zeitanteilig",(Besatzung!$G$14*(G91-IFERROR(H91,0))+((Besatzung!$B$14&lt;&gt;"")*IF(B91="",1,(IF(Besatzung!$C$14="",Besatzung!$B$5,Besatzung!$C$14)&lt;=B91)*(IF(Besatzung!$D$14="",Besatzung!$B$6,Besatzung!$D$14)&gt;=B91)))*(Besatzung!$F$14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$14&lt;&gt;"")*IF(B91="",1,(IF(Besatzung!$C$14="",Besatzung!$B$5,Besatzung!$C$14)&lt;=B91)*(IF(Besatzung!$D$14="",Besatzung!$B$6,Besatzung!$D$14)&gt;=B91)))*((G91-IFERROR(H91,0))/IFERROR(SUMPRODUCT((Besatzung!$B$11:$B$22&lt;&gt;"")*(IF(Besatzung!$C$11:$C$22="",Besatzung!$B$5,Besatzung!$C$11:$C$22)&lt;=B91)*(IF(Besatzung!$D$11:$D$22="",Besatzung!$B$6,Besatzung!$D$11:$D$22)&gt;=B91)),1)+(Besatzung!$F$14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M91="x")*((G91-IFERROR(H91,0))/IFERROR(COUNTIF(J91:U91,"x"),1)+(Besatzung!$F$14="x")*IFERROR(H91,0)/IFERROR(SUMPRODUCT((J91:U91="x")*(Besatzung!$F$11:$F$22="x")),1))),(IF(COUNTIF(J91:U91,"x")=0,IF(Besatzung!$B$14&lt;&gt;"",1,0),(M91="x"))*(G91-IFERROR(H91,0))/IFERROR(IF(COUNTIF(J91:U91,"x")=0,COUNTA(Besatzung!$B$11:$B$22),COUNTIF(J91:U91,"x")),1)+IF(COUNTIF(J91:U91,"x")=0,(Besatzung!$F$14="x"),(M91="x")*(Besatzung!$F$14="x"))*IFERROR(H91,0)/IFERROR(IF(COUNTIF(J91:U91,"x")=0,SUMPRODUCT((Besatzung!$B$11:$B$22&lt;&gt;"")*(Besatzung!$F$11:$F$22="x")),SUMPRODUCT((J91:U91="x")*(Besatzung!$F$11:$F$22="x"))),1))))),0))))</f>
        <v/>
      </c>
      <c r="Z91" s="106">
        <f>IF(C91="Gutschrift","",IF(G91="","",IF(Besatzung!$B$13="","",IFERROR(IF(I91="Zeitanteilig",(Besatzung!$G$15*(G91-IFERROR(H91,0))+((Besatzung!$B$13&lt;&gt;"")*IF(B91="",1,(IF(Besatzung!$C$15="",Besatzung!$B$5,Besatzung!$C$15)&lt;=B91)*(IF(Besatzung!$D$15="",Besatzung!$B$6,Besatzung!$D$15)&gt;=B91)))*(Besatzung!$F$15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$13&lt;&gt;"")*IF(B91="",1,(IF(Besatzung!$C$15="",Besatzung!$B$5,Besatzung!$C$15)&lt;=B91)*(IF(Besatzung!$D$15="",Besatzung!$B$6,Besatzung!$D$15)&gt;=B91)))*((G91-IFERROR(H91,0))/IFERROR(SUMPRODUCT((Besatzung!$B$11:$B$22&lt;&gt;"")*(IF(Besatzung!$C$11:$C$22="",Besatzung!$B$5,Besatzung!$C$11:$C$22)&lt;=B91)*(IF(Besatzung!$D$11:$D$22="",Besatzung!$B$6,Besatzung!$D$11:$D$22)&gt;=B91)),1)+(Besatzung!$F$15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N91="x")*((G91-IFERROR(H91,0))/IFERROR(COUNTIF(J91:U91,"x"),1)+(Besatzung!$F$15="x")*IFERROR(H91,0)/IFERROR(SUMPRODUCT((J91:U91="x")*(Besatzung!$F$11:$F$22="x")),1))),(IF(COUNTIF(J91:U91,"x")=0,IF(Besatzung!$B$13&lt;&gt;"",1,0),(N91="x"))*(G91-IFERROR(H91,0))/IFERROR(IF(COUNTIF(J91:U91,"x")=0,COUNTA(Besatzung!$B$11:$B$22),COUNTIF(J91:U91,"x")),1)+IF(COUNTIF(J91:U91,"x")=0,(Besatzung!$F$15="x"),(N91="x")*(Besatzung!$F$15="x"))*IFERROR(H91,0)/IFERROR(IF(COUNTIF(J91:U91,"x")=0,SUMPRODUCT((Besatzung!$B$11:$B$22&lt;&gt;"")*(Besatzung!$F$11:$F$22="x")),SUMPRODUCT((J91:U91="x")*(Besatzung!$F$11:$F$22="x"))),1))))),0))))</f>
        <v/>
      </c>
      <c r="AA91" s="106">
        <f>IF(C91="Gutschrift","",IF(G91="","",IF(Besatzung!$B$15="","",IFERROR(IF(I91="Zeitanteilig",(Besatzung!$G$16*(G91-IFERROR(H91,0))+((Besatzung!$B$15&lt;&gt;"")*IF(B91="",1,(IF(Besatzung!$C$16="",Besatzung!$B$5,Besatzung!$C$16)&lt;=B91)*(IF(Besatzung!$D$16="",Besatzung!$B$6,Besatzung!$D$16)&gt;=B91)))*(Besatzung!$F$16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$15&lt;&gt;"")*IF(B91="",1,(IF(Besatzung!$C$16="",Besatzung!$B$5,Besatzung!$C$16)&lt;=B91)*(IF(Besatzung!$D$16="",Besatzung!$B$6,Besatzung!$D$16)&gt;=B91)))*((G91-IFERROR(H91,0))/IFERROR(SUMPRODUCT((Besatzung!$B$11:$B$22&lt;&gt;"")*(IF(Besatzung!$C$11:$C$22="",Besatzung!$B$5,Besatzung!$C$11:$C$22)&lt;=B91)*(IF(Besatzung!$D$11:$D$22="",Besatzung!$B$6,Besatzung!$D$11:$D$22)&gt;=B91)),1)+(Besatzung!$F$16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O91="x")*((G91-IFERROR(H91,0))/IFERROR(COUNTIF(J91:U91,"x"),1)+(Besatzung!$F$16="x")*IFERROR(H91,0)/IFERROR(SUMPRODUCT((J91:U91="x")*(Besatzung!$F$11:$F$22="x")),1))),(IF(COUNTIF(J91:U91,"x")=0,IF(Besatzung!$B$15&lt;&gt;"",1,0),(O91="x"))*(G91-IFERROR(H91,0))/IFERROR(IF(COUNTIF(J91:U91,"x")=0,COUNTA(Besatzung!$B$11:$B$22),COUNTIF(J91:U91,"x")),1)+IF(COUNTIF(J91:U91,"x")=0,(Besatzung!$F$16="x"),(O91="x")*(Besatzung!$F$16="x"))*IFERROR(H91,0)/IFERROR(IF(COUNTIF(J91:U91,"x")=0,SUMPRODUCT((Besatzung!$B$11:$B$22&lt;&gt;"")*(Besatzung!$F$11:$F$22="x")),SUMPRODUCT((J91:U91="x")*(Besatzung!$F$11:$F$22="x"))),1))))),0))))</f>
        <v/>
      </c>
      <c r="AB91" s="106">
        <f>IF(C91="Gutschrift","",IF(G91="","",IF(Besatzung!$B$17="","",IFERROR(IF(I91="Zeitanteilig",(Besatzung!$G$17*(G91-IFERROR(H91,0))+((Besatzung!$B$17&lt;&gt;"")*IF(B91="",1,(IF(Besatzung!$C$17="",Besatzung!$B$5,Besatzung!$C$17)&lt;=B91)*(IF(Besatzung!$D$17="",Besatzung!$B$6,Besatzung!$D$17)&gt;=B91)))*(Besatzung!$F$17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$17&lt;&gt;"")*IF(B91="",1,(IF(Besatzung!$C$17="",Besatzung!$B$5,Besatzung!$C$17)&lt;=B91)*(IF(Besatzung!$D$17="",Besatzung!$B$6,Besatzung!$D$17)&gt;=B91)))*((G91-IFERROR(H91,0))/IFERROR(SUMPRODUCT((Besatzung!$B$11:$B$22&lt;&gt;"")*(IF(Besatzung!$C$11:$C$22="",Besatzung!$B$5,Besatzung!$C$11:$C$22)&lt;=B91)*(IF(Besatzung!$D$11:$D$22="",Besatzung!$B$6,Besatzung!$D$11:$D$22)&gt;=B91)),1)+(Besatzung!$F$17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P91="x")*((G91-IFERROR(H91,0))/IFERROR(COUNTIF(J91:U91,"x"),1)+(Besatzung!$F$17="x")*IFERROR(H91,0)/IFERROR(SUMPRODUCT((J91:U91="x")*(Besatzung!$F$11:$F$22="x")),1))),(IF(COUNTIF(J91:U91,"x")=0,IF(Besatzung!$B$17&lt;&gt;"",1,0),(P91="x"))*(G91-IFERROR(H91,0))/IFERROR(IF(COUNTIF(J91:U91,"x")=0,COUNTA(Besatzung!$B$11:$B$22),COUNTIF(J91:U91,"x")),1)+IF(COUNTIF(J91:U91,"x")=0,(Besatzung!$F$17="x"),(P91="x")*(Besatzung!$F$17="x"))*IFERROR(H91,0)/IFERROR(IF(COUNTIF(J91:U91,"x")=0,SUMPRODUCT((Besatzung!$B$11:$B$22&lt;&gt;"")*(Besatzung!$F$11:$F$22="x")),SUMPRODUCT((J91:U91="x")*(Besatzung!$F$11:$F$22="x"))),1))))),0))))</f>
        <v/>
      </c>
      <c r="AC91" s="106">
        <f>IF(C91="Gutschrift","",IF(G91="","",IF(Besatzung!$B$18="","",IFERROR(IF(I91="Zeitanteilig",(Besatzung!$G$18*(G91-IFERROR(H91,0))+((Besatzung!$B$18&lt;&gt;"")*IF(B91="",1,(IF(Besatzung!$C$18="",Besatzung!$B$5,Besatzung!$C$18)&lt;=B91)*(IF(Besatzung!$D$18="",Besatzung!$B$6,Besatzung!$D$18)&gt;=B91)))*(Besatzung!$F$18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$18&lt;&gt;"")*IF(B91="",1,(IF(Besatzung!$C$18="",Besatzung!$B$5,Besatzung!$C$18)&lt;=B91)*(IF(Besatzung!$D$18="",Besatzung!$B$6,Besatzung!$D$18)&gt;=B91)))*((G91-IFERROR(H91,0))/IFERROR(SUMPRODUCT((Besatzung!$B$11:$B$22&lt;&gt;"")*(IF(Besatzung!$C$11:$C$22="",Besatzung!$B$5,Besatzung!$C$11:$C$22)&lt;=B91)*(IF(Besatzung!$D$11:$D$22="",Besatzung!$B$6,Besatzung!$D$11:$D$22)&gt;=B91)),1)+(Besatzung!$F$18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Q91="x")*((G91-IFERROR(H91,0))/IFERROR(COUNTIF(J91:U91,"x"),1)+(Besatzung!$F$18="x")*IFERROR(H91,0)/IFERROR(SUMPRODUCT((J91:U91="x")*(Besatzung!$F$11:$F$22="x")),1))),(IF(COUNTIF(J91:U91,"x")=0,IF(Besatzung!$B$18&lt;&gt;"",1,0),(Q91="x"))*(G91-IFERROR(H91,0))/IFERROR(IF(COUNTIF(J91:U91,"x")=0,COUNTA(Besatzung!$B$11:$B$22),COUNTIF(J91:U91,"x")),1)+IF(COUNTIF(J91:U91,"x")=0,(Besatzung!$F$18="x"),(Q91="x")*(Besatzung!$F$18="x"))*IFERROR(H91,0)/IFERROR(IF(COUNTIF(J91:U91,"x")=0,SUMPRODUCT((Besatzung!$B$11:$B$22&lt;&gt;"")*(Besatzung!$F$11:$F$22="x")),SUMPRODUCT((J91:U91="x")*(Besatzung!$F$11:$F$22="x"))),1))))),0))))</f>
        <v/>
      </c>
      <c r="AD91" s="106">
        <f>IF(C91="Gutschrift","",IF(G91="","",IF(Besatzung!$B$19="","",IFERROR(IF(I91="Zeitanteilig",(Besatzung!$G$19*(G91-IFERROR(H91,0))+((Besatzung!$B$19&lt;&gt;"")*IF(B91="",1,(IF(Besatzung!$C$19="",Besatzung!$B$5,Besatzung!$C$19)&lt;=B91)*(IF(Besatzung!$D$19="",Besatzung!$B$6,Besatzung!$D$19)&gt;=B91)))*(Besatzung!$F$19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$19&lt;&gt;"")*IF(B91="",1,(IF(Besatzung!$C$19="",Besatzung!$B$5,Besatzung!$C$19)&lt;=B91)*(IF(Besatzung!$D$19="",Besatzung!$B$6,Besatzung!$D$19)&gt;=B91)))*((G91-IFERROR(H91,0))/IFERROR(SUMPRODUCT((Besatzung!$B$11:$B$22&lt;&gt;"")*(IF(Besatzung!$C$11:$C$22="",Besatzung!$B$5,Besatzung!$C$11:$C$22)&lt;=B91)*(IF(Besatzung!$D$11:$D$22="",Besatzung!$B$6,Besatzung!$D$11:$D$22)&gt;=B91)),1)+(Besatzung!$F$19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R91="x")*((G91-IFERROR(H91,0))/IFERROR(COUNTIF(J91:U91,"x"),1)+(Besatzung!$F$19="x")*IFERROR(H91,0)/IFERROR(SUMPRODUCT((J91:U91="x")*(Besatzung!$F$11:$F$22="x")),1))),(IF(COUNTIF(J91:U91,"x")=0,IF(Besatzung!$B$19&lt;&gt;"",1,0),(R91="x"))*(G91-IFERROR(H91,0))/IFERROR(IF(COUNTIF(J91:U91,"x")=0,COUNTA(Besatzung!$B$11:$B$22),COUNTIF(J91:U91,"x")),1)+IF(COUNTIF(J91:U91,"x")=0,(Besatzung!$F$19="x"),(R91="x")*(Besatzung!$F$19="x"))*IFERROR(H91,0)/IFERROR(IF(COUNTIF(J91:U91,"x")=0,SUMPRODUCT((Besatzung!$B$11:$B$22&lt;&gt;"")*(Besatzung!$F$11:$F$22="x")),SUMPRODUCT((J91:U91="x")*(Besatzung!$F$11:$F$22="x"))),1))))),0))))</f>
        <v/>
      </c>
      <c r="AE91" s="106">
        <f>IF(C91="Gutschrift","",IF(G91="","",IF(Besatzung!$B$20="","",IFERROR(IF(I91="Zeitanteilig",(Besatzung!$G$20*(G91-IFERROR(H91,0))+((Besatzung!$B$20&lt;&gt;"")*IF(B91="",1,(IF(Besatzung!$C$20="",Besatzung!$B$5,Besatzung!$C$20)&lt;=B91)*(IF(Besatzung!$D$20="",Besatzung!$B$6,Besatzung!$D$20)&gt;=B91)))*(Besatzung!$F$20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$20&lt;&gt;"")*IF(B91="",1,(IF(Besatzung!$C$20="",Besatzung!$B$5,Besatzung!$C$20)&lt;=B91)*(IF(Besatzung!$D$20="",Besatzung!$B$6,Besatzung!$D$20)&gt;=B91)))*((G91-IFERROR(H91,0))/IFERROR(SUMPRODUCT((Besatzung!$B$11:$B$22&lt;&gt;"")*(IF(Besatzung!$C$11:$C$22="",Besatzung!$B$5,Besatzung!$C$11:$C$22)&lt;=B91)*(IF(Besatzung!$D$11:$D$22="",Besatzung!$B$6,Besatzung!$D$11:$D$22)&gt;=B91)),1)+(Besatzung!$F$20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S91="x")*((G91-IFERROR(H91,0))/IFERROR(COUNTIF(J91:U91,"x"),1)+(Besatzung!$F$20="x")*IFERROR(H91,0)/IFERROR(SUMPRODUCT((J91:U91="x")*(Besatzung!$F$11:$F$22="x")),1))),(IF(COUNTIF(J91:U91,"x")=0,IF(Besatzung!$B$20&lt;&gt;"",1,0),(S91="x"))*(G91-IFERROR(H91,0))/IFERROR(IF(COUNTIF(J91:U91,"x")=0,COUNTA(Besatzung!$B$11:$B$22),COUNTIF(J91:U91,"x")),1)+IF(COUNTIF(J91:U91,"x")=0,(Besatzung!$F$20="x"),(S91="x")*(Besatzung!$F$20="x"))*IFERROR(H91,0)/IFERROR(IF(COUNTIF(J91:U91,"x")=0,SUMPRODUCT((Besatzung!$B$11:$B$22&lt;&gt;"")*(Besatzung!$F$11:$F$22="x")),SUMPRODUCT((J91:U91="x")*(Besatzung!$F$11:$F$22="x"))),1))))),0))))</f>
        <v/>
      </c>
      <c r="AF91" s="106">
        <f>IF(C91="Gutschrift","",IF(G91="","",IF(Besatzung!$B$21="","",IFERROR(IF(I91="Zeitanteilig",(Besatzung!$G$21*(G91-IFERROR(H91,0))+((Besatzung!$B$21&lt;&gt;"")*IF(B91="",1,(IF(Besatzung!$C$21="",Besatzung!$B$5,Besatzung!$C$21)&lt;=B91)*(IF(Besatzung!$D$21="",Besatzung!$B$6,Besatzung!$D$21)&gt;=B91)))*(Besatzung!$F$21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$21&lt;&gt;"")*IF(B91="",1,(IF(Besatzung!$C$21="",Besatzung!$B$5,Besatzung!$C$21)&lt;=B91)*(IF(Besatzung!$D$21="",Besatzung!$B$6,Besatzung!$D$21)&gt;=B91)))*((G91-IFERROR(H91,0))/IFERROR(SUMPRODUCT((Besatzung!$B$11:$B$22&lt;&gt;"")*(IF(Besatzung!$C$11:$C$22="",Besatzung!$B$5,Besatzung!$C$11:$C$22)&lt;=B91)*(IF(Besatzung!$D$11:$D$22="",Besatzung!$B$6,Besatzung!$D$11:$D$22)&gt;=B91)),1)+(Besatzung!$F$21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T91="x")*((G91-IFERROR(H91,0))/IFERROR(COUNTIF(J91:U91,"x"),1)+(Besatzung!$F$21="x")*IFERROR(H91,0)/IFERROR(SUMPRODUCT((J91:U91="x")*(Besatzung!$F$11:$F$22="x")),1))),(IF(COUNTIF(J91:U91,"x")=0,IF(Besatzung!$B$21&lt;&gt;"",1,0),(T91="x"))*(G91-IFERROR(H91,0))/IFERROR(IF(COUNTIF(J91:U91,"x")=0,COUNTA(Besatzung!$B$11:$B$22),COUNTIF(J91:U91,"x")),1)+IF(COUNTIF(J91:U91,"x")=0,(Besatzung!$F$21="x"),(T91="x")*(Besatzung!$F$21="x"))*IFERROR(H91,0)/IFERROR(IF(COUNTIF(J91:U91,"x")=0,SUMPRODUCT((Besatzung!$B$11:$B$22&lt;&gt;"")*(Besatzung!$F$11:$F$22="x")),SUMPRODUCT((J91:U91="x")*(Besatzung!$F$11:$F$22="x"))),1))))),0))))</f>
        <v/>
      </c>
      <c r="AG91" s="106">
        <f>IF(C91="Gutschrift","",IF(G91="","",IF(Besatzung!$B$22="","",IFERROR(IF(I91="Zeitanteilig",(Besatzung!$G$22*(G91-IFERROR(H91,0))+((Besatzung!$B$22&lt;&gt;"")*IF(B91="",1,(IF(Besatzung!$C$22="",Besatzung!$B$5,Besatzung!$C$22)&lt;=B91)*(IF(Besatzung!$D$22="",Besatzung!$B$6,Besatzung!$D$22)&gt;=B91)))*(Besatzung!$F$22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$22&lt;&gt;"")*IF(B91="",1,(IF(Besatzung!$C$22="",Besatzung!$B$5,Besatzung!$C$22)&lt;=B91)*(IF(Besatzung!$D$22="",Besatzung!$B$6,Besatzung!$D$22)&gt;=B91)))*((G91-IFERROR(H91,0))/IFERROR(SUMPRODUCT((Besatzung!$B$11:$B$22&lt;&gt;"")*(IF(Besatzung!$C$11:$C$22="",Besatzung!$B$5,Besatzung!$C$11:$C$22)&lt;=B91)*(IF(Besatzung!$D$11:$D$22="",Besatzung!$B$6,Besatzung!$D$11:$D$22)&gt;=B91)),1)+(Besatzung!$F$22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U91="x")*((G91-IFERROR(H91,0))/IFERROR(COUNTIF(J91:U91,"x"),1)+(Besatzung!$F$22="x")*IFERROR(H91,0)/IFERROR(SUMPRODUCT((J91:U91="x")*(Besatzung!$F$11:$F$22="x")),1))),(IF(COUNTIF(J91:U91,"x")=0,IF(Besatzung!$B$22&lt;&gt;"",1,0),(U91="x"))*(G91-IFERROR(H91,0))/IFERROR(IF(COUNTIF(J91:U91,"x")=0,COUNTA(Besatzung!$B$11:$B$22),COUNTIF(J91:U91,"x")),1)+IF(COUNTIF(J91:U91,"x")=0,(Besatzung!$F$22="x"),(U91="x")*(Besatzung!$F$22="x"))*IFERROR(H91,0)/IFERROR(IF(COUNTIF(J91:U91,"x")=0,SUMPRODUCT((Besatzung!$B$11:$B$22&lt;&gt;"")*(Besatzung!$F$11:$F$22="x")),SUMPRODUCT((J91:U91="x")*(Besatzung!$F$11:$F$22="x"))),1))))),0))))</f>
        <v/>
      </c>
      <c r="AH91" s="107" t="n"/>
      <c r="AI91" s="107" t="n"/>
    </row>
    <row r="92" ht="21.75" customHeight="1" s="182">
      <c r="A92" s="97">
        <f>IF(AND(D92="",C92=""),"",89)</f>
        <v/>
      </c>
      <c r="B92" s="56" t="n"/>
      <c r="C92" s="98" t="n"/>
      <c r="D92" s="99" t="n"/>
      <c r="E92" s="100" t="n"/>
      <c r="F92" s="101" t="n"/>
      <c r="G92" s="102" t="n"/>
      <c r="H92" s="103" t="n"/>
      <c r="I92" s="104" t="n"/>
      <c r="J92" s="105" t="n"/>
      <c r="K92" s="105" t="n"/>
      <c r="L92" s="105" t="n"/>
      <c r="M92" s="105" t="n"/>
      <c r="N92" s="105" t="n"/>
      <c r="O92" s="105" t="n"/>
      <c r="P92" s="105" t="n"/>
      <c r="Q92" s="105" t="n"/>
      <c r="R92" s="105" t="n"/>
      <c r="S92" s="105" t="n"/>
      <c r="T92" s="105" t="n"/>
      <c r="U92" s="105" t="n"/>
      <c r="V92" s="106">
        <f>IF(C92="Gutschrift","",IF(G92="","",IF(Besatzung!$B$11="","",IFERROR(IF(I92="Zeitanteilig",(Besatzung!$G$11*(G92-IFERROR(H92,0))+((Besatzung!$B$11&lt;&gt;"")*IF(B92="",1,(IF(Besatzung!$C$11="",Besatzung!$B$5,Besatzung!$C$11)&lt;=B92)*(IF(Besatzung!$D$11="",Besatzung!$B$6,Besatzung!$D$11)&gt;=B92)))*(Besatzung!$F$11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$11&lt;&gt;"")*IF(B92="",1,(IF(Besatzung!$C$11="",Besatzung!$B$5,Besatzung!$C$11)&lt;=B92)*(IF(Besatzung!$D$11="",Besatzung!$B$6,Besatzung!$D$11)&gt;=B92)))*((G92-IFERROR(H92,0))/IFERROR(SUMPRODUCT((Besatzung!$B$11:$B$22&lt;&gt;"")*(IF(Besatzung!$C$11:$C$22="",Besatzung!$B$5,Besatzung!$C$11:$C$22)&lt;=B92)*(IF(Besatzung!$D$11:$D$22="",Besatzung!$B$6,Besatzung!$D$11:$D$22)&gt;=B92)),1)+(Besatzung!$F$11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J92="x")*((G92-IFERROR(H92,0))/IFERROR(COUNTIF(J92:U92,"x"),1)+(Besatzung!$F$11="x")*IFERROR(H92,0)/IFERROR(SUMPRODUCT((J92:U92="x")*(Besatzung!$F$11:$F$22="x")),1))),(IF(COUNTIF(J92:U92,"x")=0,IF(Besatzung!$B$11&lt;&gt;"",1,0),(J92="x"))*(G92-IFERROR(H92,0))/IFERROR(IF(COUNTIF(J92:U92,"x")=0,COUNTA(Besatzung!$B$11:$B$22),COUNTIF(J92:U92,"x")),1)+IF(COUNTIF(J92:U92,"x")=0,(Besatzung!$F$11="x"),(J92="x")*(Besatzung!$F$11="x"))*IFERROR(H92,0)/IFERROR(IF(COUNTIF(J92:U92,"x")=0,SUMPRODUCT((Besatzung!$B$11:$B$22&lt;&gt;"")*(Besatzung!$F$11:$F$22="x")),SUMPRODUCT((J92:U92="x")*(Besatzung!$F$11:$F$22="x"))),1))))),0))))</f>
        <v/>
      </c>
      <c r="W92" s="106">
        <f>IF(C92="Gutschrift","",IF(G92="","",IF(Besatzung!$B$12="","",IFERROR(IF(I92="Zeitanteilig",(Besatzung!$G$12*(G92-IFERROR(H92,0))+((Besatzung!$B$12&lt;&gt;"")*IF(B92="",1,(IF(Besatzung!$C$12="",Besatzung!$B$5,Besatzung!$C$12)&lt;=B92)*(IF(Besatzung!$D$12="",Besatzung!$B$6,Besatzung!$D$12)&gt;=B92)))*(Besatzung!$F$12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$12&lt;&gt;"")*IF(B92="",1,(IF(Besatzung!$C$12="",Besatzung!$B$5,Besatzung!$C$12)&lt;=B92)*(IF(Besatzung!$D$12="",Besatzung!$B$6,Besatzung!$D$12)&gt;=B92)))*((G92-IFERROR(H92,0))/IFERROR(SUMPRODUCT((Besatzung!$B$11:$B$22&lt;&gt;"")*(IF(Besatzung!$C$11:$C$22="",Besatzung!$B$5,Besatzung!$C$11:$C$22)&lt;=B92)*(IF(Besatzung!$D$11:$D$22="",Besatzung!$B$6,Besatzung!$D$11:$D$22)&gt;=B92)),1)+(Besatzung!$F$12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K92="x")*((G92-IFERROR(H92,0))/IFERROR(COUNTIF(J92:U92,"x"),1)+(Besatzung!$F$12="x")*IFERROR(H92,0)/IFERROR(SUMPRODUCT((J92:U92="x")*(Besatzung!$F$11:$F$22="x")),1))),(IF(COUNTIF(J92:U92,"x")=0,IF(Besatzung!$B$12&lt;&gt;"",1,0),(K92="x"))*(G92-IFERROR(H92,0))/IFERROR(IF(COUNTIF(J92:U92,"x")=0,COUNTA(Besatzung!$B$11:$B$22),COUNTIF(J92:U92,"x")),1)+IF(COUNTIF(J92:U92,"x")=0,(Besatzung!$F$12="x"),(K92="x")*(Besatzung!$F$12="x"))*IFERROR(H92,0)/IFERROR(IF(COUNTIF(J92:U92,"x")=0,SUMPRODUCT((Besatzung!$B$11:$B$22&lt;&gt;"")*(Besatzung!$F$11:$F$22="x")),SUMPRODUCT((J92:U92="x")*(Besatzung!$F$11:$F$22="x"))),1))))),0))))</f>
        <v/>
      </c>
      <c r="X92" s="106">
        <f>IF(C92="Gutschrift","",IF(G92="","",IF(Besatzung!$B$13="","",IFERROR(IF(I92="Zeitanteilig",(Besatzung!$G$13*(G92-IFERROR(H92,0))+((Besatzung!$B$13&lt;&gt;"")*IF(B92="",1,(IF(Besatzung!$C$13="",Besatzung!$B$5,Besatzung!$C$13)&lt;=B92)*(IF(Besatzung!$D$13="",Besatzung!$B$6,Besatzung!$D$13)&gt;=B92)))*(Besatzung!$F$13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$13&lt;&gt;"")*IF(B92="",1,(IF(Besatzung!$C$13="",Besatzung!$B$5,Besatzung!$C$13)&lt;=B92)*(IF(Besatzung!$D$13="",Besatzung!$B$6,Besatzung!$D$13)&gt;=B92)))*((G92-IFERROR(H92,0))/IFERROR(SUMPRODUCT((Besatzung!$B$11:$B$22&lt;&gt;"")*(IF(Besatzung!$C$11:$C$22="",Besatzung!$B$5,Besatzung!$C$11:$C$22)&lt;=B92)*(IF(Besatzung!$D$11:$D$22="",Besatzung!$B$6,Besatzung!$D$11:$D$22)&gt;=B92)),1)+(Besatzung!$F$13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K92="x")*((G92-IFERROR(H92,0))/IFERROR(COUNTIF(J92:U92,"x"),1)+(Besatzung!$F$13="x")*IFERROR(H92,0)/IFERROR(SUMPRODUCT((J92:U92="x")*(Besatzung!$F$11:$F$22="x")),1))),(IF(COUNTIF(J92:U92,"x")=0,IF(Besatzung!$B$13&lt;&gt;"",1,0),(K92="x"))*(G92-IFERROR(H92,0))/IFERROR(IF(COUNTIF(J92:U92,"x")=0,COUNTA(Besatzung!$B$11:$B$22),COUNTIF(J92:U92,"x")),1)+IF(COUNTIF(J92:U92,"x")=0,(Besatzung!$F$13="x"),(K92="x")*(Besatzung!$F$13="x"))*IFERROR(H92,0)/IFERROR(IF(COUNTIF(J92:U92,"x")=0,SUMPRODUCT((Besatzung!$B$11:$B$22&lt;&gt;"")*(Besatzung!$F$11:$F$22="x")),SUMPRODUCT((J92:U92="x")*(Besatzung!$F$11:$F$22="x"))),1))))),0))))</f>
        <v/>
      </c>
      <c r="Y92" s="106">
        <f>IF(C92="Gutschrift","",IF(G92="","",IF(Besatzung!$B$14="","",IFERROR(IF(I92="Zeitanteilig",(Besatzung!$G$14*(G92-IFERROR(H92,0))+((Besatzung!$B$14&lt;&gt;"")*IF(B92="",1,(IF(Besatzung!$C$14="",Besatzung!$B$5,Besatzung!$C$14)&lt;=B92)*(IF(Besatzung!$D$14="",Besatzung!$B$6,Besatzung!$D$14)&gt;=B92)))*(Besatzung!$F$14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$14&lt;&gt;"")*IF(B92="",1,(IF(Besatzung!$C$14="",Besatzung!$B$5,Besatzung!$C$14)&lt;=B92)*(IF(Besatzung!$D$14="",Besatzung!$B$6,Besatzung!$D$14)&gt;=B92)))*((G92-IFERROR(H92,0))/IFERROR(SUMPRODUCT((Besatzung!$B$11:$B$22&lt;&gt;"")*(IF(Besatzung!$C$11:$C$22="",Besatzung!$B$5,Besatzung!$C$11:$C$22)&lt;=B92)*(IF(Besatzung!$D$11:$D$22="",Besatzung!$B$6,Besatzung!$D$11:$D$22)&gt;=B92)),1)+(Besatzung!$F$14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M92="x")*((G92-IFERROR(H92,0))/IFERROR(COUNTIF(J92:U92,"x"),1)+(Besatzung!$F$14="x")*IFERROR(H92,0)/IFERROR(SUMPRODUCT((J92:U92="x")*(Besatzung!$F$11:$F$22="x")),1))),(IF(COUNTIF(J92:U92,"x")=0,IF(Besatzung!$B$14&lt;&gt;"",1,0),(M92="x"))*(G92-IFERROR(H92,0))/IFERROR(IF(COUNTIF(J92:U92,"x")=0,COUNTA(Besatzung!$B$11:$B$22),COUNTIF(J92:U92,"x")),1)+IF(COUNTIF(J92:U92,"x")=0,(Besatzung!$F$14="x"),(M92="x")*(Besatzung!$F$14="x"))*IFERROR(H92,0)/IFERROR(IF(COUNTIF(J92:U92,"x")=0,SUMPRODUCT((Besatzung!$B$11:$B$22&lt;&gt;"")*(Besatzung!$F$11:$F$22="x")),SUMPRODUCT((J92:U92="x")*(Besatzung!$F$11:$F$22="x"))),1))))),0))))</f>
        <v/>
      </c>
      <c r="Z92" s="106">
        <f>IF(C92="Gutschrift","",IF(G92="","",IF(Besatzung!$B$13="","",IFERROR(IF(I92="Zeitanteilig",(Besatzung!$G$15*(G92-IFERROR(H92,0))+((Besatzung!$B$13&lt;&gt;"")*IF(B92="",1,(IF(Besatzung!$C$15="",Besatzung!$B$5,Besatzung!$C$15)&lt;=B92)*(IF(Besatzung!$D$15="",Besatzung!$B$6,Besatzung!$D$15)&gt;=B92)))*(Besatzung!$F$15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$13&lt;&gt;"")*IF(B92="",1,(IF(Besatzung!$C$15="",Besatzung!$B$5,Besatzung!$C$15)&lt;=B92)*(IF(Besatzung!$D$15="",Besatzung!$B$6,Besatzung!$D$15)&gt;=B92)))*((G92-IFERROR(H92,0))/IFERROR(SUMPRODUCT((Besatzung!$B$11:$B$22&lt;&gt;"")*(IF(Besatzung!$C$11:$C$22="",Besatzung!$B$5,Besatzung!$C$11:$C$22)&lt;=B92)*(IF(Besatzung!$D$11:$D$22="",Besatzung!$B$6,Besatzung!$D$11:$D$22)&gt;=B92)),1)+(Besatzung!$F$15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N92="x")*((G92-IFERROR(H92,0))/IFERROR(COUNTIF(J92:U92,"x"),1)+(Besatzung!$F$15="x")*IFERROR(H92,0)/IFERROR(SUMPRODUCT((J92:U92="x")*(Besatzung!$F$11:$F$22="x")),1))),(IF(COUNTIF(J92:U92,"x")=0,IF(Besatzung!$B$13&lt;&gt;"",1,0),(N92="x"))*(G92-IFERROR(H92,0))/IFERROR(IF(COUNTIF(J92:U92,"x")=0,COUNTA(Besatzung!$B$11:$B$22),COUNTIF(J92:U92,"x")),1)+IF(COUNTIF(J92:U92,"x")=0,(Besatzung!$F$15="x"),(N92="x")*(Besatzung!$F$15="x"))*IFERROR(H92,0)/IFERROR(IF(COUNTIF(J92:U92,"x")=0,SUMPRODUCT((Besatzung!$B$11:$B$22&lt;&gt;"")*(Besatzung!$F$11:$F$22="x")),SUMPRODUCT((J92:U92="x")*(Besatzung!$F$11:$F$22="x"))),1))))),0))))</f>
        <v/>
      </c>
      <c r="AA92" s="106">
        <f>IF(C92="Gutschrift","",IF(G92="","",IF(Besatzung!$B$15="","",IFERROR(IF(I92="Zeitanteilig",(Besatzung!$G$16*(G92-IFERROR(H92,0))+((Besatzung!$B$15&lt;&gt;"")*IF(B92="",1,(IF(Besatzung!$C$16="",Besatzung!$B$5,Besatzung!$C$16)&lt;=B92)*(IF(Besatzung!$D$16="",Besatzung!$B$6,Besatzung!$D$16)&gt;=B92)))*(Besatzung!$F$16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$15&lt;&gt;"")*IF(B92="",1,(IF(Besatzung!$C$16="",Besatzung!$B$5,Besatzung!$C$16)&lt;=B92)*(IF(Besatzung!$D$16="",Besatzung!$B$6,Besatzung!$D$16)&gt;=B92)))*((G92-IFERROR(H92,0))/IFERROR(SUMPRODUCT((Besatzung!$B$11:$B$22&lt;&gt;"")*(IF(Besatzung!$C$11:$C$22="",Besatzung!$B$5,Besatzung!$C$11:$C$22)&lt;=B92)*(IF(Besatzung!$D$11:$D$22="",Besatzung!$B$6,Besatzung!$D$11:$D$22)&gt;=B92)),1)+(Besatzung!$F$16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O92="x")*((G92-IFERROR(H92,0))/IFERROR(COUNTIF(J92:U92,"x"),1)+(Besatzung!$F$16="x")*IFERROR(H92,0)/IFERROR(SUMPRODUCT((J92:U92="x")*(Besatzung!$F$11:$F$22="x")),1))),(IF(COUNTIF(J92:U92,"x")=0,IF(Besatzung!$B$15&lt;&gt;"",1,0),(O92="x"))*(G92-IFERROR(H92,0))/IFERROR(IF(COUNTIF(J92:U92,"x")=0,COUNTA(Besatzung!$B$11:$B$22),COUNTIF(J92:U92,"x")),1)+IF(COUNTIF(J92:U92,"x")=0,(Besatzung!$F$16="x"),(O92="x")*(Besatzung!$F$16="x"))*IFERROR(H92,0)/IFERROR(IF(COUNTIF(J92:U92,"x")=0,SUMPRODUCT((Besatzung!$B$11:$B$22&lt;&gt;"")*(Besatzung!$F$11:$F$22="x")),SUMPRODUCT((J92:U92="x")*(Besatzung!$F$11:$F$22="x"))),1))))),0))))</f>
        <v/>
      </c>
      <c r="AB92" s="106">
        <f>IF(C92="Gutschrift","",IF(G92="","",IF(Besatzung!$B$17="","",IFERROR(IF(I92="Zeitanteilig",(Besatzung!$G$17*(G92-IFERROR(H92,0))+((Besatzung!$B$17&lt;&gt;"")*IF(B92="",1,(IF(Besatzung!$C$17="",Besatzung!$B$5,Besatzung!$C$17)&lt;=B92)*(IF(Besatzung!$D$17="",Besatzung!$B$6,Besatzung!$D$17)&gt;=B92)))*(Besatzung!$F$17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$17&lt;&gt;"")*IF(B92="",1,(IF(Besatzung!$C$17="",Besatzung!$B$5,Besatzung!$C$17)&lt;=B92)*(IF(Besatzung!$D$17="",Besatzung!$B$6,Besatzung!$D$17)&gt;=B92)))*((G92-IFERROR(H92,0))/IFERROR(SUMPRODUCT((Besatzung!$B$11:$B$22&lt;&gt;"")*(IF(Besatzung!$C$11:$C$22="",Besatzung!$B$5,Besatzung!$C$11:$C$22)&lt;=B92)*(IF(Besatzung!$D$11:$D$22="",Besatzung!$B$6,Besatzung!$D$11:$D$22)&gt;=B92)),1)+(Besatzung!$F$17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P92="x")*((G92-IFERROR(H92,0))/IFERROR(COUNTIF(J92:U92,"x"),1)+(Besatzung!$F$17="x")*IFERROR(H92,0)/IFERROR(SUMPRODUCT((J92:U92="x")*(Besatzung!$F$11:$F$22="x")),1))),(IF(COUNTIF(J92:U92,"x")=0,IF(Besatzung!$B$17&lt;&gt;"",1,0),(P92="x"))*(G92-IFERROR(H92,0))/IFERROR(IF(COUNTIF(J92:U92,"x")=0,COUNTA(Besatzung!$B$11:$B$22),COUNTIF(J92:U92,"x")),1)+IF(COUNTIF(J92:U92,"x")=0,(Besatzung!$F$17="x"),(P92="x")*(Besatzung!$F$17="x"))*IFERROR(H92,0)/IFERROR(IF(COUNTIF(J92:U92,"x")=0,SUMPRODUCT((Besatzung!$B$11:$B$22&lt;&gt;"")*(Besatzung!$F$11:$F$22="x")),SUMPRODUCT((J92:U92="x")*(Besatzung!$F$11:$F$22="x"))),1))))),0))))</f>
        <v/>
      </c>
      <c r="AC92" s="106">
        <f>IF(C92="Gutschrift","",IF(G92="","",IF(Besatzung!$B$18="","",IFERROR(IF(I92="Zeitanteilig",(Besatzung!$G$18*(G92-IFERROR(H92,0))+((Besatzung!$B$18&lt;&gt;"")*IF(B92="",1,(IF(Besatzung!$C$18="",Besatzung!$B$5,Besatzung!$C$18)&lt;=B92)*(IF(Besatzung!$D$18="",Besatzung!$B$6,Besatzung!$D$18)&gt;=B92)))*(Besatzung!$F$18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$18&lt;&gt;"")*IF(B92="",1,(IF(Besatzung!$C$18="",Besatzung!$B$5,Besatzung!$C$18)&lt;=B92)*(IF(Besatzung!$D$18="",Besatzung!$B$6,Besatzung!$D$18)&gt;=B92)))*((G92-IFERROR(H92,0))/IFERROR(SUMPRODUCT((Besatzung!$B$11:$B$22&lt;&gt;"")*(IF(Besatzung!$C$11:$C$22="",Besatzung!$B$5,Besatzung!$C$11:$C$22)&lt;=B92)*(IF(Besatzung!$D$11:$D$22="",Besatzung!$B$6,Besatzung!$D$11:$D$22)&gt;=B92)),1)+(Besatzung!$F$18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Q92="x")*((G92-IFERROR(H92,0))/IFERROR(COUNTIF(J92:U92,"x"),1)+(Besatzung!$F$18="x")*IFERROR(H92,0)/IFERROR(SUMPRODUCT((J92:U92="x")*(Besatzung!$F$11:$F$22="x")),1))),(IF(COUNTIF(J92:U92,"x")=0,IF(Besatzung!$B$18&lt;&gt;"",1,0),(Q92="x"))*(G92-IFERROR(H92,0))/IFERROR(IF(COUNTIF(J92:U92,"x")=0,COUNTA(Besatzung!$B$11:$B$22),COUNTIF(J92:U92,"x")),1)+IF(COUNTIF(J92:U92,"x")=0,(Besatzung!$F$18="x"),(Q92="x")*(Besatzung!$F$18="x"))*IFERROR(H92,0)/IFERROR(IF(COUNTIF(J92:U92,"x")=0,SUMPRODUCT((Besatzung!$B$11:$B$22&lt;&gt;"")*(Besatzung!$F$11:$F$22="x")),SUMPRODUCT((J92:U92="x")*(Besatzung!$F$11:$F$22="x"))),1))))),0))))</f>
        <v/>
      </c>
      <c r="AD92" s="106">
        <f>IF(C92="Gutschrift","",IF(G92="","",IF(Besatzung!$B$19="","",IFERROR(IF(I92="Zeitanteilig",(Besatzung!$G$19*(G92-IFERROR(H92,0))+((Besatzung!$B$19&lt;&gt;"")*IF(B92="",1,(IF(Besatzung!$C$19="",Besatzung!$B$5,Besatzung!$C$19)&lt;=B92)*(IF(Besatzung!$D$19="",Besatzung!$B$6,Besatzung!$D$19)&gt;=B92)))*(Besatzung!$F$19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$19&lt;&gt;"")*IF(B92="",1,(IF(Besatzung!$C$19="",Besatzung!$B$5,Besatzung!$C$19)&lt;=B92)*(IF(Besatzung!$D$19="",Besatzung!$B$6,Besatzung!$D$19)&gt;=B92)))*((G92-IFERROR(H92,0))/IFERROR(SUMPRODUCT((Besatzung!$B$11:$B$22&lt;&gt;"")*(IF(Besatzung!$C$11:$C$22="",Besatzung!$B$5,Besatzung!$C$11:$C$22)&lt;=B92)*(IF(Besatzung!$D$11:$D$22="",Besatzung!$B$6,Besatzung!$D$11:$D$22)&gt;=B92)),1)+(Besatzung!$F$19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R92="x")*((G92-IFERROR(H92,0))/IFERROR(COUNTIF(J92:U92,"x"),1)+(Besatzung!$F$19="x")*IFERROR(H92,0)/IFERROR(SUMPRODUCT((J92:U92="x")*(Besatzung!$F$11:$F$22="x")),1))),(IF(COUNTIF(J92:U92,"x")=0,IF(Besatzung!$B$19&lt;&gt;"",1,0),(R92="x"))*(G92-IFERROR(H92,0))/IFERROR(IF(COUNTIF(J92:U92,"x")=0,COUNTA(Besatzung!$B$11:$B$22),COUNTIF(J92:U92,"x")),1)+IF(COUNTIF(J92:U92,"x")=0,(Besatzung!$F$19="x"),(R92="x")*(Besatzung!$F$19="x"))*IFERROR(H92,0)/IFERROR(IF(COUNTIF(J92:U92,"x")=0,SUMPRODUCT((Besatzung!$B$11:$B$22&lt;&gt;"")*(Besatzung!$F$11:$F$22="x")),SUMPRODUCT((J92:U92="x")*(Besatzung!$F$11:$F$22="x"))),1))))),0))))</f>
        <v/>
      </c>
      <c r="AE92" s="106">
        <f>IF(C92="Gutschrift","",IF(G92="","",IF(Besatzung!$B$20="","",IFERROR(IF(I92="Zeitanteilig",(Besatzung!$G$20*(G92-IFERROR(H92,0))+((Besatzung!$B$20&lt;&gt;"")*IF(B92="",1,(IF(Besatzung!$C$20="",Besatzung!$B$5,Besatzung!$C$20)&lt;=B92)*(IF(Besatzung!$D$20="",Besatzung!$B$6,Besatzung!$D$20)&gt;=B92)))*(Besatzung!$F$20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$20&lt;&gt;"")*IF(B92="",1,(IF(Besatzung!$C$20="",Besatzung!$B$5,Besatzung!$C$20)&lt;=B92)*(IF(Besatzung!$D$20="",Besatzung!$B$6,Besatzung!$D$20)&gt;=B92)))*((G92-IFERROR(H92,0))/IFERROR(SUMPRODUCT((Besatzung!$B$11:$B$22&lt;&gt;"")*(IF(Besatzung!$C$11:$C$22="",Besatzung!$B$5,Besatzung!$C$11:$C$22)&lt;=B92)*(IF(Besatzung!$D$11:$D$22="",Besatzung!$B$6,Besatzung!$D$11:$D$22)&gt;=B92)),1)+(Besatzung!$F$20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S92="x")*((G92-IFERROR(H92,0))/IFERROR(COUNTIF(J92:U92,"x"),1)+(Besatzung!$F$20="x")*IFERROR(H92,0)/IFERROR(SUMPRODUCT((J92:U92="x")*(Besatzung!$F$11:$F$22="x")),1))),(IF(COUNTIF(J92:U92,"x")=0,IF(Besatzung!$B$20&lt;&gt;"",1,0),(S92="x"))*(G92-IFERROR(H92,0))/IFERROR(IF(COUNTIF(J92:U92,"x")=0,COUNTA(Besatzung!$B$11:$B$22),COUNTIF(J92:U92,"x")),1)+IF(COUNTIF(J92:U92,"x")=0,(Besatzung!$F$20="x"),(S92="x")*(Besatzung!$F$20="x"))*IFERROR(H92,0)/IFERROR(IF(COUNTIF(J92:U92,"x")=0,SUMPRODUCT((Besatzung!$B$11:$B$22&lt;&gt;"")*(Besatzung!$F$11:$F$22="x")),SUMPRODUCT((J92:U92="x")*(Besatzung!$F$11:$F$22="x"))),1))))),0))))</f>
        <v/>
      </c>
      <c r="AF92" s="106">
        <f>IF(C92="Gutschrift","",IF(G92="","",IF(Besatzung!$B$21="","",IFERROR(IF(I92="Zeitanteilig",(Besatzung!$G$21*(G92-IFERROR(H92,0))+((Besatzung!$B$21&lt;&gt;"")*IF(B92="",1,(IF(Besatzung!$C$21="",Besatzung!$B$5,Besatzung!$C$21)&lt;=B92)*(IF(Besatzung!$D$21="",Besatzung!$B$6,Besatzung!$D$21)&gt;=B92)))*(Besatzung!$F$21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$21&lt;&gt;"")*IF(B92="",1,(IF(Besatzung!$C$21="",Besatzung!$B$5,Besatzung!$C$21)&lt;=B92)*(IF(Besatzung!$D$21="",Besatzung!$B$6,Besatzung!$D$21)&gt;=B92)))*((G92-IFERROR(H92,0))/IFERROR(SUMPRODUCT((Besatzung!$B$11:$B$22&lt;&gt;"")*(IF(Besatzung!$C$11:$C$22="",Besatzung!$B$5,Besatzung!$C$11:$C$22)&lt;=B92)*(IF(Besatzung!$D$11:$D$22="",Besatzung!$B$6,Besatzung!$D$11:$D$22)&gt;=B92)),1)+(Besatzung!$F$21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T92="x")*((G92-IFERROR(H92,0))/IFERROR(COUNTIF(J92:U92,"x"),1)+(Besatzung!$F$21="x")*IFERROR(H92,0)/IFERROR(SUMPRODUCT((J92:U92="x")*(Besatzung!$F$11:$F$22="x")),1))),(IF(COUNTIF(J92:U92,"x")=0,IF(Besatzung!$B$21&lt;&gt;"",1,0),(T92="x"))*(G92-IFERROR(H92,0))/IFERROR(IF(COUNTIF(J92:U92,"x")=0,COUNTA(Besatzung!$B$11:$B$22),COUNTIF(J92:U92,"x")),1)+IF(COUNTIF(J92:U92,"x")=0,(Besatzung!$F$21="x"),(T92="x")*(Besatzung!$F$21="x"))*IFERROR(H92,0)/IFERROR(IF(COUNTIF(J92:U92,"x")=0,SUMPRODUCT((Besatzung!$B$11:$B$22&lt;&gt;"")*(Besatzung!$F$11:$F$22="x")),SUMPRODUCT((J92:U92="x")*(Besatzung!$F$11:$F$22="x"))),1))))),0))))</f>
        <v/>
      </c>
      <c r="AG92" s="106">
        <f>IF(C92="Gutschrift","",IF(G92="","",IF(Besatzung!$B$22="","",IFERROR(IF(I92="Zeitanteilig",(Besatzung!$G$22*(G92-IFERROR(H92,0))+((Besatzung!$B$22&lt;&gt;"")*IF(B92="",1,(IF(Besatzung!$C$22="",Besatzung!$B$5,Besatzung!$C$22)&lt;=B92)*(IF(Besatzung!$D$22="",Besatzung!$B$6,Besatzung!$D$22)&gt;=B92)))*(Besatzung!$F$22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$22&lt;&gt;"")*IF(B92="",1,(IF(Besatzung!$C$22="",Besatzung!$B$5,Besatzung!$C$22)&lt;=B92)*(IF(Besatzung!$D$22="",Besatzung!$B$6,Besatzung!$D$22)&gt;=B92)))*((G92-IFERROR(H92,0))/IFERROR(SUMPRODUCT((Besatzung!$B$11:$B$22&lt;&gt;"")*(IF(Besatzung!$C$11:$C$22="",Besatzung!$B$5,Besatzung!$C$11:$C$22)&lt;=B92)*(IF(Besatzung!$D$11:$D$22="",Besatzung!$B$6,Besatzung!$D$11:$D$22)&gt;=B92)),1)+(Besatzung!$F$22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U92="x")*((G92-IFERROR(H92,0))/IFERROR(COUNTIF(J92:U92,"x"),1)+(Besatzung!$F$22="x")*IFERROR(H92,0)/IFERROR(SUMPRODUCT((J92:U92="x")*(Besatzung!$F$11:$F$22="x")),1))),(IF(COUNTIF(J92:U92,"x")=0,IF(Besatzung!$B$22&lt;&gt;"",1,0),(U92="x"))*(G92-IFERROR(H92,0))/IFERROR(IF(COUNTIF(J92:U92,"x")=0,COUNTA(Besatzung!$B$11:$B$22),COUNTIF(J92:U92,"x")),1)+IF(COUNTIF(J92:U92,"x")=0,(Besatzung!$F$22="x"),(U92="x")*(Besatzung!$F$22="x"))*IFERROR(H92,0)/IFERROR(IF(COUNTIF(J92:U92,"x")=0,SUMPRODUCT((Besatzung!$B$11:$B$22&lt;&gt;"")*(Besatzung!$F$11:$F$22="x")),SUMPRODUCT((J92:U92="x")*(Besatzung!$F$11:$F$22="x"))),1))))),0))))</f>
        <v/>
      </c>
      <c r="AH92" s="107" t="n"/>
      <c r="AI92" s="107" t="n"/>
    </row>
    <row r="93" ht="21.75" customHeight="1" s="182">
      <c r="A93" s="97">
        <f>IF(AND(D93="",C93=""),"",90)</f>
        <v/>
      </c>
      <c r="B93" s="63" t="n"/>
      <c r="C93" s="108" t="n"/>
      <c r="D93" s="109" t="n"/>
      <c r="E93" s="110" t="n"/>
      <c r="F93" s="111" t="n"/>
      <c r="G93" s="112" t="n"/>
      <c r="H93" s="113" t="n"/>
      <c r="I93" s="114" t="n"/>
      <c r="J93" s="115" t="n"/>
      <c r="K93" s="115" t="n"/>
      <c r="L93" s="115" t="n"/>
      <c r="M93" s="115" t="n"/>
      <c r="N93" s="115" t="n"/>
      <c r="O93" s="115" t="n"/>
      <c r="P93" s="115" t="n"/>
      <c r="Q93" s="115" t="n"/>
      <c r="R93" s="115" t="n"/>
      <c r="S93" s="115" t="n"/>
      <c r="T93" s="115" t="n"/>
      <c r="U93" s="115" t="n"/>
      <c r="V93" s="106">
        <f>IF(C93="Gutschrift","",IF(G93="","",IF(Besatzung!$B$11="","",IFERROR(IF(I93="Zeitanteilig",(Besatzung!$G$11*(G93-IFERROR(H93,0))+((Besatzung!$B$11&lt;&gt;"")*IF(B93="",1,(IF(Besatzung!$C$11="",Besatzung!$B$5,Besatzung!$C$11)&lt;=B93)*(IF(Besatzung!$D$11="",Besatzung!$B$6,Besatzung!$D$11)&gt;=B93)))*(Besatzung!$F$11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$11&lt;&gt;"")*IF(B93="",1,(IF(Besatzung!$C$11="",Besatzung!$B$5,Besatzung!$C$11)&lt;=B93)*(IF(Besatzung!$D$11="",Besatzung!$B$6,Besatzung!$D$11)&gt;=B93)))*((G93-IFERROR(H93,0))/IFERROR(SUMPRODUCT((Besatzung!$B$11:$B$22&lt;&gt;"")*(IF(Besatzung!$C$11:$C$22="",Besatzung!$B$5,Besatzung!$C$11:$C$22)&lt;=B93)*(IF(Besatzung!$D$11:$D$22="",Besatzung!$B$6,Besatzung!$D$11:$D$22)&gt;=B93)),1)+(Besatzung!$F$11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J93="x")*((G93-IFERROR(H93,0))/IFERROR(COUNTIF(J93:U93,"x"),1)+(Besatzung!$F$11="x")*IFERROR(H93,0)/IFERROR(SUMPRODUCT((J93:U93="x")*(Besatzung!$F$11:$F$22="x")),1))),(IF(COUNTIF(J93:U93,"x")=0,IF(Besatzung!$B$11&lt;&gt;"",1,0),(J93="x"))*(G93-IFERROR(H93,0))/IFERROR(IF(COUNTIF(J93:U93,"x")=0,COUNTA(Besatzung!$B$11:$B$22),COUNTIF(J93:U93,"x")),1)+IF(COUNTIF(J93:U93,"x")=0,(Besatzung!$F$11="x"),(J93="x")*(Besatzung!$F$11="x"))*IFERROR(H93,0)/IFERROR(IF(COUNTIF(J93:U93,"x")=0,SUMPRODUCT((Besatzung!$B$11:$B$22&lt;&gt;"")*(Besatzung!$F$11:$F$22="x")),SUMPRODUCT((J93:U93="x")*(Besatzung!$F$11:$F$22="x"))),1))))),0))))</f>
        <v/>
      </c>
      <c r="W93" s="106">
        <f>IF(C93="Gutschrift","",IF(G93="","",IF(Besatzung!$B$12="","",IFERROR(IF(I93="Zeitanteilig",(Besatzung!$G$12*(G93-IFERROR(H93,0))+((Besatzung!$B$12&lt;&gt;"")*IF(B93="",1,(IF(Besatzung!$C$12="",Besatzung!$B$5,Besatzung!$C$12)&lt;=B93)*(IF(Besatzung!$D$12="",Besatzung!$B$6,Besatzung!$D$12)&gt;=B93)))*(Besatzung!$F$12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$12&lt;&gt;"")*IF(B93="",1,(IF(Besatzung!$C$12="",Besatzung!$B$5,Besatzung!$C$12)&lt;=B93)*(IF(Besatzung!$D$12="",Besatzung!$B$6,Besatzung!$D$12)&gt;=B93)))*((G93-IFERROR(H93,0))/IFERROR(SUMPRODUCT((Besatzung!$B$11:$B$22&lt;&gt;"")*(IF(Besatzung!$C$11:$C$22="",Besatzung!$B$5,Besatzung!$C$11:$C$22)&lt;=B93)*(IF(Besatzung!$D$11:$D$22="",Besatzung!$B$6,Besatzung!$D$11:$D$22)&gt;=B93)),1)+(Besatzung!$F$12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K93="x")*((G93-IFERROR(H93,0))/IFERROR(COUNTIF(J93:U93,"x"),1)+(Besatzung!$F$12="x")*IFERROR(H93,0)/IFERROR(SUMPRODUCT((J93:U93="x")*(Besatzung!$F$11:$F$22="x")),1))),(IF(COUNTIF(J93:U93,"x")=0,IF(Besatzung!$B$12&lt;&gt;"",1,0),(K93="x"))*(G93-IFERROR(H93,0))/IFERROR(IF(COUNTIF(J93:U93,"x")=0,COUNTA(Besatzung!$B$11:$B$22),COUNTIF(J93:U93,"x")),1)+IF(COUNTIF(J93:U93,"x")=0,(Besatzung!$F$12="x"),(K93="x")*(Besatzung!$F$12="x"))*IFERROR(H93,0)/IFERROR(IF(COUNTIF(J93:U93,"x")=0,SUMPRODUCT((Besatzung!$B$11:$B$22&lt;&gt;"")*(Besatzung!$F$11:$F$22="x")),SUMPRODUCT((J93:U93="x")*(Besatzung!$F$11:$F$22="x"))),1))))),0))))</f>
        <v/>
      </c>
      <c r="X93" s="106">
        <f>IF(C93="Gutschrift","",IF(G93="","",IF(Besatzung!$B$13="","",IFERROR(IF(I93="Zeitanteilig",(Besatzung!$G$13*(G93-IFERROR(H93,0))+((Besatzung!$B$13&lt;&gt;"")*IF(B93="",1,(IF(Besatzung!$C$13="",Besatzung!$B$5,Besatzung!$C$13)&lt;=B93)*(IF(Besatzung!$D$13="",Besatzung!$B$6,Besatzung!$D$13)&gt;=B93)))*(Besatzung!$F$13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$13&lt;&gt;"")*IF(B93="",1,(IF(Besatzung!$C$13="",Besatzung!$B$5,Besatzung!$C$13)&lt;=B93)*(IF(Besatzung!$D$13="",Besatzung!$B$6,Besatzung!$D$13)&gt;=B93)))*((G93-IFERROR(H93,0))/IFERROR(SUMPRODUCT((Besatzung!$B$11:$B$22&lt;&gt;"")*(IF(Besatzung!$C$11:$C$22="",Besatzung!$B$5,Besatzung!$C$11:$C$22)&lt;=B93)*(IF(Besatzung!$D$11:$D$22="",Besatzung!$B$6,Besatzung!$D$11:$D$22)&gt;=B93)),1)+(Besatzung!$F$13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K93="x")*((G93-IFERROR(H93,0))/IFERROR(COUNTIF(J93:U93,"x"),1)+(Besatzung!$F$13="x")*IFERROR(H93,0)/IFERROR(SUMPRODUCT((J93:U93="x")*(Besatzung!$F$11:$F$22="x")),1))),(IF(COUNTIF(J93:U93,"x")=0,IF(Besatzung!$B$13&lt;&gt;"",1,0),(K93="x"))*(G93-IFERROR(H93,0))/IFERROR(IF(COUNTIF(J93:U93,"x")=0,COUNTA(Besatzung!$B$11:$B$22),COUNTIF(J93:U93,"x")),1)+IF(COUNTIF(J93:U93,"x")=0,(Besatzung!$F$13="x"),(K93="x")*(Besatzung!$F$13="x"))*IFERROR(H93,0)/IFERROR(IF(COUNTIF(J93:U93,"x")=0,SUMPRODUCT((Besatzung!$B$11:$B$22&lt;&gt;"")*(Besatzung!$F$11:$F$22="x")),SUMPRODUCT((J93:U93="x")*(Besatzung!$F$11:$F$22="x"))),1))))),0))))</f>
        <v/>
      </c>
      <c r="Y93" s="106">
        <f>IF(C93="Gutschrift","",IF(G93="","",IF(Besatzung!$B$14="","",IFERROR(IF(I93="Zeitanteilig",(Besatzung!$G$14*(G93-IFERROR(H93,0))+((Besatzung!$B$14&lt;&gt;"")*IF(B93="",1,(IF(Besatzung!$C$14="",Besatzung!$B$5,Besatzung!$C$14)&lt;=B93)*(IF(Besatzung!$D$14="",Besatzung!$B$6,Besatzung!$D$14)&gt;=B93)))*(Besatzung!$F$14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$14&lt;&gt;"")*IF(B93="",1,(IF(Besatzung!$C$14="",Besatzung!$B$5,Besatzung!$C$14)&lt;=B93)*(IF(Besatzung!$D$14="",Besatzung!$B$6,Besatzung!$D$14)&gt;=B93)))*((G93-IFERROR(H93,0))/IFERROR(SUMPRODUCT((Besatzung!$B$11:$B$22&lt;&gt;"")*(IF(Besatzung!$C$11:$C$22="",Besatzung!$B$5,Besatzung!$C$11:$C$22)&lt;=B93)*(IF(Besatzung!$D$11:$D$22="",Besatzung!$B$6,Besatzung!$D$11:$D$22)&gt;=B93)),1)+(Besatzung!$F$14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M93="x")*((G93-IFERROR(H93,0))/IFERROR(COUNTIF(J93:U93,"x"),1)+(Besatzung!$F$14="x")*IFERROR(H93,0)/IFERROR(SUMPRODUCT((J93:U93="x")*(Besatzung!$F$11:$F$22="x")),1))),(IF(COUNTIF(J93:U93,"x")=0,IF(Besatzung!$B$14&lt;&gt;"",1,0),(M93="x"))*(G93-IFERROR(H93,0))/IFERROR(IF(COUNTIF(J93:U93,"x")=0,COUNTA(Besatzung!$B$11:$B$22),COUNTIF(J93:U93,"x")),1)+IF(COUNTIF(J93:U93,"x")=0,(Besatzung!$F$14="x"),(M93="x")*(Besatzung!$F$14="x"))*IFERROR(H93,0)/IFERROR(IF(COUNTIF(J93:U93,"x")=0,SUMPRODUCT((Besatzung!$B$11:$B$22&lt;&gt;"")*(Besatzung!$F$11:$F$22="x")),SUMPRODUCT((J93:U93="x")*(Besatzung!$F$11:$F$22="x"))),1))))),0))))</f>
        <v/>
      </c>
      <c r="Z93" s="106">
        <f>IF(C93="Gutschrift","",IF(G93="","",IF(Besatzung!$B$13="","",IFERROR(IF(I93="Zeitanteilig",(Besatzung!$G$15*(G93-IFERROR(H93,0))+((Besatzung!$B$13&lt;&gt;"")*IF(B93="",1,(IF(Besatzung!$C$15="",Besatzung!$B$5,Besatzung!$C$15)&lt;=B93)*(IF(Besatzung!$D$15="",Besatzung!$B$6,Besatzung!$D$15)&gt;=B93)))*(Besatzung!$F$15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$13&lt;&gt;"")*IF(B93="",1,(IF(Besatzung!$C$15="",Besatzung!$B$5,Besatzung!$C$15)&lt;=B93)*(IF(Besatzung!$D$15="",Besatzung!$B$6,Besatzung!$D$15)&gt;=B93)))*((G93-IFERROR(H93,0))/IFERROR(SUMPRODUCT((Besatzung!$B$11:$B$22&lt;&gt;"")*(IF(Besatzung!$C$11:$C$22="",Besatzung!$B$5,Besatzung!$C$11:$C$22)&lt;=B93)*(IF(Besatzung!$D$11:$D$22="",Besatzung!$B$6,Besatzung!$D$11:$D$22)&gt;=B93)),1)+(Besatzung!$F$15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N93="x")*((G93-IFERROR(H93,0))/IFERROR(COUNTIF(J93:U93,"x"),1)+(Besatzung!$F$15="x")*IFERROR(H93,0)/IFERROR(SUMPRODUCT((J93:U93="x")*(Besatzung!$F$11:$F$22="x")),1))),(IF(COUNTIF(J93:U93,"x")=0,IF(Besatzung!$B$13&lt;&gt;"",1,0),(N93="x"))*(G93-IFERROR(H93,0))/IFERROR(IF(COUNTIF(J93:U93,"x")=0,COUNTA(Besatzung!$B$11:$B$22),COUNTIF(J93:U93,"x")),1)+IF(COUNTIF(J93:U93,"x")=0,(Besatzung!$F$15="x"),(N93="x")*(Besatzung!$F$15="x"))*IFERROR(H93,0)/IFERROR(IF(COUNTIF(J93:U93,"x")=0,SUMPRODUCT((Besatzung!$B$11:$B$22&lt;&gt;"")*(Besatzung!$F$11:$F$22="x")),SUMPRODUCT((J93:U93="x")*(Besatzung!$F$11:$F$22="x"))),1))))),0))))</f>
        <v/>
      </c>
      <c r="AA93" s="106">
        <f>IF(C93="Gutschrift","",IF(G93="","",IF(Besatzung!$B$15="","",IFERROR(IF(I93="Zeitanteilig",(Besatzung!$G$16*(G93-IFERROR(H93,0))+((Besatzung!$B$15&lt;&gt;"")*IF(B93="",1,(IF(Besatzung!$C$16="",Besatzung!$B$5,Besatzung!$C$16)&lt;=B93)*(IF(Besatzung!$D$16="",Besatzung!$B$6,Besatzung!$D$16)&gt;=B93)))*(Besatzung!$F$16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$15&lt;&gt;"")*IF(B93="",1,(IF(Besatzung!$C$16="",Besatzung!$B$5,Besatzung!$C$16)&lt;=B93)*(IF(Besatzung!$D$16="",Besatzung!$B$6,Besatzung!$D$16)&gt;=B93)))*((G93-IFERROR(H93,0))/IFERROR(SUMPRODUCT((Besatzung!$B$11:$B$22&lt;&gt;"")*(IF(Besatzung!$C$11:$C$22="",Besatzung!$B$5,Besatzung!$C$11:$C$22)&lt;=B93)*(IF(Besatzung!$D$11:$D$22="",Besatzung!$B$6,Besatzung!$D$11:$D$22)&gt;=B93)),1)+(Besatzung!$F$16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O93="x")*((G93-IFERROR(H93,0))/IFERROR(COUNTIF(J93:U93,"x"),1)+(Besatzung!$F$16="x")*IFERROR(H93,0)/IFERROR(SUMPRODUCT((J93:U93="x")*(Besatzung!$F$11:$F$22="x")),1))),(IF(COUNTIF(J93:U93,"x")=0,IF(Besatzung!$B$15&lt;&gt;"",1,0),(O93="x"))*(G93-IFERROR(H93,0))/IFERROR(IF(COUNTIF(J93:U93,"x")=0,COUNTA(Besatzung!$B$11:$B$22),COUNTIF(J93:U93,"x")),1)+IF(COUNTIF(J93:U93,"x")=0,(Besatzung!$F$16="x"),(O93="x")*(Besatzung!$F$16="x"))*IFERROR(H93,0)/IFERROR(IF(COUNTIF(J93:U93,"x")=0,SUMPRODUCT((Besatzung!$B$11:$B$22&lt;&gt;"")*(Besatzung!$F$11:$F$22="x")),SUMPRODUCT((J93:U93="x")*(Besatzung!$F$11:$F$22="x"))),1))))),0))))</f>
        <v/>
      </c>
      <c r="AB93" s="106">
        <f>IF(C93="Gutschrift","",IF(G93="","",IF(Besatzung!$B$17="","",IFERROR(IF(I93="Zeitanteilig",(Besatzung!$G$17*(G93-IFERROR(H93,0))+((Besatzung!$B$17&lt;&gt;"")*IF(B93="",1,(IF(Besatzung!$C$17="",Besatzung!$B$5,Besatzung!$C$17)&lt;=B93)*(IF(Besatzung!$D$17="",Besatzung!$B$6,Besatzung!$D$17)&gt;=B93)))*(Besatzung!$F$17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$17&lt;&gt;"")*IF(B93="",1,(IF(Besatzung!$C$17="",Besatzung!$B$5,Besatzung!$C$17)&lt;=B93)*(IF(Besatzung!$D$17="",Besatzung!$B$6,Besatzung!$D$17)&gt;=B93)))*((G93-IFERROR(H93,0))/IFERROR(SUMPRODUCT((Besatzung!$B$11:$B$22&lt;&gt;"")*(IF(Besatzung!$C$11:$C$22="",Besatzung!$B$5,Besatzung!$C$11:$C$22)&lt;=B93)*(IF(Besatzung!$D$11:$D$22="",Besatzung!$B$6,Besatzung!$D$11:$D$22)&gt;=B93)),1)+(Besatzung!$F$17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P93="x")*((G93-IFERROR(H93,0))/IFERROR(COUNTIF(J93:U93,"x"),1)+(Besatzung!$F$17="x")*IFERROR(H93,0)/IFERROR(SUMPRODUCT((J93:U93="x")*(Besatzung!$F$11:$F$22="x")),1))),(IF(COUNTIF(J93:U93,"x")=0,IF(Besatzung!$B$17&lt;&gt;"",1,0),(P93="x"))*(G93-IFERROR(H93,0))/IFERROR(IF(COUNTIF(J93:U93,"x")=0,COUNTA(Besatzung!$B$11:$B$22),COUNTIF(J93:U93,"x")),1)+IF(COUNTIF(J93:U93,"x")=0,(Besatzung!$F$17="x"),(P93="x")*(Besatzung!$F$17="x"))*IFERROR(H93,0)/IFERROR(IF(COUNTIF(J93:U93,"x")=0,SUMPRODUCT((Besatzung!$B$11:$B$22&lt;&gt;"")*(Besatzung!$F$11:$F$22="x")),SUMPRODUCT((J93:U93="x")*(Besatzung!$F$11:$F$22="x"))),1))))),0))))</f>
        <v/>
      </c>
      <c r="AC93" s="106">
        <f>IF(C93="Gutschrift","",IF(G93="","",IF(Besatzung!$B$18="","",IFERROR(IF(I93="Zeitanteilig",(Besatzung!$G$18*(G93-IFERROR(H93,0))+((Besatzung!$B$18&lt;&gt;"")*IF(B93="",1,(IF(Besatzung!$C$18="",Besatzung!$B$5,Besatzung!$C$18)&lt;=B93)*(IF(Besatzung!$D$18="",Besatzung!$B$6,Besatzung!$D$18)&gt;=B93)))*(Besatzung!$F$18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$18&lt;&gt;"")*IF(B93="",1,(IF(Besatzung!$C$18="",Besatzung!$B$5,Besatzung!$C$18)&lt;=B93)*(IF(Besatzung!$D$18="",Besatzung!$B$6,Besatzung!$D$18)&gt;=B93)))*((G93-IFERROR(H93,0))/IFERROR(SUMPRODUCT((Besatzung!$B$11:$B$22&lt;&gt;"")*(IF(Besatzung!$C$11:$C$22="",Besatzung!$B$5,Besatzung!$C$11:$C$22)&lt;=B93)*(IF(Besatzung!$D$11:$D$22="",Besatzung!$B$6,Besatzung!$D$11:$D$22)&gt;=B93)),1)+(Besatzung!$F$18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Q93="x")*((G93-IFERROR(H93,0))/IFERROR(COUNTIF(J93:U93,"x"),1)+(Besatzung!$F$18="x")*IFERROR(H93,0)/IFERROR(SUMPRODUCT((J93:U93="x")*(Besatzung!$F$11:$F$22="x")),1))),(IF(COUNTIF(J93:U93,"x")=0,IF(Besatzung!$B$18&lt;&gt;"",1,0),(Q93="x"))*(G93-IFERROR(H93,0))/IFERROR(IF(COUNTIF(J93:U93,"x")=0,COUNTA(Besatzung!$B$11:$B$22),COUNTIF(J93:U93,"x")),1)+IF(COUNTIF(J93:U93,"x")=0,(Besatzung!$F$18="x"),(Q93="x")*(Besatzung!$F$18="x"))*IFERROR(H93,0)/IFERROR(IF(COUNTIF(J93:U93,"x")=0,SUMPRODUCT((Besatzung!$B$11:$B$22&lt;&gt;"")*(Besatzung!$F$11:$F$22="x")),SUMPRODUCT((J93:U93="x")*(Besatzung!$F$11:$F$22="x"))),1))))),0))))</f>
        <v/>
      </c>
      <c r="AD93" s="106">
        <f>IF(C93="Gutschrift","",IF(G93="","",IF(Besatzung!$B$19="","",IFERROR(IF(I93="Zeitanteilig",(Besatzung!$G$19*(G93-IFERROR(H93,0))+((Besatzung!$B$19&lt;&gt;"")*IF(B93="",1,(IF(Besatzung!$C$19="",Besatzung!$B$5,Besatzung!$C$19)&lt;=B93)*(IF(Besatzung!$D$19="",Besatzung!$B$6,Besatzung!$D$19)&gt;=B93)))*(Besatzung!$F$19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$19&lt;&gt;"")*IF(B93="",1,(IF(Besatzung!$C$19="",Besatzung!$B$5,Besatzung!$C$19)&lt;=B93)*(IF(Besatzung!$D$19="",Besatzung!$B$6,Besatzung!$D$19)&gt;=B93)))*((G93-IFERROR(H93,0))/IFERROR(SUMPRODUCT((Besatzung!$B$11:$B$22&lt;&gt;"")*(IF(Besatzung!$C$11:$C$22="",Besatzung!$B$5,Besatzung!$C$11:$C$22)&lt;=B93)*(IF(Besatzung!$D$11:$D$22="",Besatzung!$B$6,Besatzung!$D$11:$D$22)&gt;=B93)),1)+(Besatzung!$F$19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R93="x")*((G93-IFERROR(H93,0))/IFERROR(COUNTIF(J93:U93,"x"),1)+(Besatzung!$F$19="x")*IFERROR(H93,0)/IFERROR(SUMPRODUCT((J93:U93="x")*(Besatzung!$F$11:$F$22="x")),1))),(IF(COUNTIF(J93:U93,"x")=0,IF(Besatzung!$B$19&lt;&gt;"",1,0),(R93="x"))*(G93-IFERROR(H93,0))/IFERROR(IF(COUNTIF(J93:U93,"x")=0,COUNTA(Besatzung!$B$11:$B$22),COUNTIF(J93:U93,"x")),1)+IF(COUNTIF(J93:U93,"x")=0,(Besatzung!$F$19="x"),(R93="x")*(Besatzung!$F$19="x"))*IFERROR(H93,0)/IFERROR(IF(COUNTIF(J93:U93,"x")=0,SUMPRODUCT((Besatzung!$B$11:$B$22&lt;&gt;"")*(Besatzung!$F$11:$F$22="x")),SUMPRODUCT((J93:U93="x")*(Besatzung!$F$11:$F$22="x"))),1))))),0))))</f>
        <v/>
      </c>
      <c r="AE93" s="106">
        <f>IF(C93="Gutschrift","",IF(G93="","",IF(Besatzung!$B$20="","",IFERROR(IF(I93="Zeitanteilig",(Besatzung!$G$20*(G93-IFERROR(H93,0))+((Besatzung!$B$20&lt;&gt;"")*IF(B93="",1,(IF(Besatzung!$C$20="",Besatzung!$B$5,Besatzung!$C$20)&lt;=B93)*(IF(Besatzung!$D$20="",Besatzung!$B$6,Besatzung!$D$20)&gt;=B93)))*(Besatzung!$F$20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$20&lt;&gt;"")*IF(B93="",1,(IF(Besatzung!$C$20="",Besatzung!$B$5,Besatzung!$C$20)&lt;=B93)*(IF(Besatzung!$D$20="",Besatzung!$B$6,Besatzung!$D$20)&gt;=B93)))*((G93-IFERROR(H93,0))/IFERROR(SUMPRODUCT((Besatzung!$B$11:$B$22&lt;&gt;"")*(IF(Besatzung!$C$11:$C$22="",Besatzung!$B$5,Besatzung!$C$11:$C$22)&lt;=B93)*(IF(Besatzung!$D$11:$D$22="",Besatzung!$B$6,Besatzung!$D$11:$D$22)&gt;=B93)),1)+(Besatzung!$F$20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S93="x")*((G93-IFERROR(H93,0))/IFERROR(COUNTIF(J93:U93,"x"),1)+(Besatzung!$F$20="x")*IFERROR(H93,0)/IFERROR(SUMPRODUCT((J93:U93="x")*(Besatzung!$F$11:$F$22="x")),1))),(IF(COUNTIF(J93:U93,"x")=0,IF(Besatzung!$B$20&lt;&gt;"",1,0),(S93="x"))*(G93-IFERROR(H93,0))/IFERROR(IF(COUNTIF(J93:U93,"x")=0,COUNTA(Besatzung!$B$11:$B$22),COUNTIF(J93:U93,"x")),1)+IF(COUNTIF(J93:U93,"x")=0,(Besatzung!$F$20="x"),(S93="x")*(Besatzung!$F$20="x"))*IFERROR(H93,0)/IFERROR(IF(COUNTIF(J93:U93,"x")=0,SUMPRODUCT((Besatzung!$B$11:$B$22&lt;&gt;"")*(Besatzung!$F$11:$F$22="x")),SUMPRODUCT((J93:U93="x")*(Besatzung!$F$11:$F$22="x"))),1))))),0))))</f>
        <v/>
      </c>
      <c r="AF93" s="106">
        <f>IF(C93="Gutschrift","",IF(G93="","",IF(Besatzung!$B$21="","",IFERROR(IF(I93="Zeitanteilig",(Besatzung!$G$21*(G93-IFERROR(H93,0))+((Besatzung!$B$21&lt;&gt;"")*IF(B93="",1,(IF(Besatzung!$C$21="",Besatzung!$B$5,Besatzung!$C$21)&lt;=B93)*(IF(Besatzung!$D$21="",Besatzung!$B$6,Besatzung!$D$21)&gt;=B93)))*(Besatzung!$F$21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$21&lt;&gt;"")*IF(B93="",1,(IF(Besatzung!$C$21="",Besatzung!$B$5,Besatzung!$C$21)&lt;=B93)*(IF(Besatzung!$D$21="",Besatzung!$B$6,Besatzung!$D$21)&gt;=B93)))*((G93-IFERROR(H93,0))/IFERROR(SUMPRODUCT((Besatzung!$B$11:$B$22&lt;&gt;"")*(IF(Besatzung!$C$11:$C$22="",Besatzung!$B$5,Besatzung!$C$11:$C$22)&lt;=B93)*(IF(Besatzung!$D$11:$D$22="",Besatzung!$B$6,Besatzung!$D$11:$D$22)&gt;=B93)),1)+(Besatzung!$F$21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T93="x")*((G93-IFERROR(H93,0))/IFERROR(COUNTIF(J93:U93,"x"),1)+(Besatzung!$F$21="x")*IFERROR(H93,0)/IFERROR(SUMPRODUCT((J93:U93="x")*(Besatzung!$F$11:$F$22="x")),1))),(IF(COUNTIF(J93:U93,"x")=0,IF(Besatzung!$B$21&lt;&gt;"",1,0),(T93="x"))*(G93-IFERROR(H93,0))/IFERROR(IF(COUNTIF(J93:U93,"x")=0,COUNTA(Besatzung!$B$11:$B$22),COUNTIF(J93:U93,"x")),1)+IF(COUNTIF(J93:U93,"x")=0,(Besatzung!$F$21="x"),(T93="x")*(Besatzung!$F$21="x"))*IFERROR(H93,0)/IFERROR(IF(COUNTIF(J93:U93,"x")=0,SUMPRODUCT((Besatzung!$B$11:$B$22&lt;&gt;"")*(Besatzung!$F$11:$F$22="x")),SUMPRODUCT((J93:U93="x")*(Besatzung!$F$11:$F$22="x"))),1))))),0))))</f>
        <v/>
      </c>
      <c r="AG93" s="106">
        <f>IF(C93="Gutschrift","",IF(G93="","",IF(Besatzung!$B$22="","",IFERROR(IF(I93="Zeitanteilig",(Besatzung!$G$22*(G93-IFERROR(H93,0))+((Besatzung!$B$22&lt;&gt;"")*IF(B93="",1,(IF(Besatzung!$C$22="",Besatzung!$B$5,Besatzung!$C$22)&lt;=B93)*(IF(Besatzung!$D$22="",Besatzung!$B$6,Besatzung!$D$22)&gt;=B93)))*(Besatzung!$F$22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$22&lt;&gt;"")*IF(B93="",1,(IF(Besatzung!$C$22="",Besatzung!$B$5,Besatzung!$C$22)&lt;=B93)*(IF(Besatzung!$D$22="",Besatzung!$B$6,Besatzung!$D$22)&gt;=B93)))*((G93-IFERROR(H93,0))/IFERROR(SUMPRODUCT((Besatzung!$B$11:$B$22&lt;&gt;"")*(IF(Besatzung!$C$11:$C$22="",Besatzung!$B$5,Besatzung!$C$11:$C$22)&lt;=B93)*(IF(Besatzung!$D$11:$D$22="",Besatzung!$B$6,Besatzung!$D$11:$D$22)&gt;=B93)),1)+(Besatzung!$F$22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U93="x")*((G93-IFERROR(H93,0))/IFERROR(COUNTIF(J93:U93,"x"),1)+(Besatzung!$F$22="x")*IFERROR(H93,0)/IFERROR(SUMPRODUCT((J93:U93="x")*(Besatzung!$F$11:$F$22="x")),1))),(IF(COUNTIF(J93:U93,"x")=0,IF(Besatzung!$B$22&lt;&gt;"",1,0),(U93="x"))*(G93-IFERROR(H93,0))/IFERROR(IF(COUNTIF(J93:U93,"x")=0,COUNTA(Besatzung!$B$11:$B$22),COUNTIF(J93:U93,"x")),1)+IF(COUNTIF(J93:U93,"x")=0,(Besatzung!$F$22="x"),(U93="x")*(Besatzung!$F$22="x"))*IFERROR(H93,0)/IFERROR(IF(COUNTIF(J93:U93,"x")=0,SUMPRODUCT((Besatzung!$B$11:$B$22&lt;&gt;"")*(Besatzung!$F$11:$F$22="x")),SUMPRODUCT((J93:U93="x")*(Besatzung!$F$11:$F$22="x"))),1))))),0))))</f>
        <v/>
      </c>
      <c r="AH93" s="107" t="n"/>
      <c r="AI93" s="107" t="n"/>
    </row>
    <row r="94" ht="21.75" customHeight="1" s="182">
      <c r="A94" s="97">
        <f>IF(AND(D94="",C94=""),"",91)</f>
        <v/>
      </c>
      <c r="B94" s="56" t="n"/>
      <c r="C94" s="98" t="n"/>
      <c r="D94" s="99" t="n"/>
      <c r="E94" s="100" t="n"/>
      <c r="F94" s="101" t="n"/>
      <c r="G94" s="102" t="n"/>
      <c r="H94" s="103" t="n"/>
      <c r="I94" s="104" t="n"/>
      <c r="J94" s="105" t="n"/>
      <c r="K94" s="105" t="n"/>
      <c r="L94" s="105" t="n"/>
      <c r="M94" s="105" t="n"/>
      <c r="N94" s="105" t="n"/>
      <c r="O94" s="105" t="n"/>
      <c r="P94" s="105" t="n"/>
      <c r="Q94" s="105" t="n"/>
      <c r="R94" s="105" t="n"/>
      <c r="S94" s="105" t="n"/>
      <c r="T94" s="105" t="n"/>
      <c r="U94" s="105" t="n"/>
      <c r="V94" s="106">
        <f>IF(C94="Gutschrift","",IF(G94="","",IF(Besatzung!$B$11="","",IFERROR(IF(I94="Zeitanteilig",(Besatzung!$G$11*(G94-IFERROR(H94,0))+((Besatzung!$B$11&lt;&gt;"")*IF(B94="",1,(IF(Besatzung!$C$11="",Besatzung!$B$5,Besatzung!$C$11)&lt;=B94)*(IF(Besatzung!$D$11="",Besatzung!$B$6,Besatzung!$D$11)&gt;=B94)))*(Besatzung!$F$11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$11&lt;&gt;"")*IF(B94="",1,(IF(Besatzung!$C$11="",Besatzung!$B$5,Besatzung!$C$11)&lt;=B94)*(IF(Besatzung!$D$11="",Besatzung!$B$6,Besatzung!$D$11)&gt;=B94)))*((G94-IFERROR(H94,0))/IFERROR(SUMPRODUCT((Besatzung!$B$11:$B$22&lt;&gt;"")*(IF(Besatzung!$C$11:$C$22="",Besatzung!$B$5,Besatzung!$C$11:$C$22)&lt;=B94)*(IF(Besatzung!$D$11:$D$22="",Besatzung!$B$6,Besatzung!$D$11:$D$22)&gt;=B94)),1)+(Besatzung!$F$11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J94="x")*((G94-IFERROR(H94,0))/IFERROR(COUNTIF(J94:U94,"x"),1)+(Besatzung!$F$11="x")*IFERROR(H94,0)/IFERROR(SUMPRODUCT((J94:U94="x")*(Besatzung!$F$11:$F$22="x")),1))),(IF(COUNTIF(J94:U94,"x")=0,IF(Besatzung!$B$11&lt;&gt;"",1,0),(J94="x"))*(G94-IFERROR(H94,0))/IFERROR(IF(COUNTIF(J94:U94,"x")=0,COUNTA(Besatzung!$B$11:$B$22),COUNTIF(J94:U94,"x")),1)+IF(COUNTIF(J94:U94,"x")=0,(Besatzung!$F$11="x"),(J94="x")*(Besatzung!$F$11="x"))*IFERROR(H94,0)/IFERROR(IF(COUNTIF(J94:U94,"x")=0,SUMPRODUCT((Besatzung!$B$11:$B$22&lt;&gt;"")*(Besatzung!$F$11:$F$22="x")),SUMPRODUCT((J94:U94="x")*(Besatzung!$F$11:$F$22="x"))),1))))),0))))</f>
        <v/>
      </c>
      <c r="W94" s="106">
        <f>IF(C94="Gutschrift","",IF(G94="","",IF(Besatzung!$B$12="","",IFERROR(IF(I94="Zeitanteilig",(Besatzung!$G$12*(G94-IFERROR(H94,0))+((Besatzung!$B$12&lt;&gt;"")*IF(B94="",1,(IF(Besatzung!$C$12="",Besatzung!$B$5,Besatzung!$C$12)&lt;=B94)*(IF(Besatzung!$D$12="",Besatzung!$B$6,Besatzung!$D$12)&gt;=B94)))*(Besatzung!$F$12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$12&lt;&gt;"")*IF(B94="",1,(IF(Besatzung!$C$12="",Besatzung!$B$5,Besatzung!$C$12)&lt;=B94)*(IF(Besatzung!$D$12="",Besatzung!$B$6,Besatzung!$D$12)&gt;=B94)))*((G94-IFERROR(H94,0))/IFERROR(SUMPRODUCT((Besatzung!$B$11:$B$22&lt;&gt;"")*(IF(Besatzung!$C$11:$C$22="",Besatzung!$B$5,Besatzung!$C$11:$C$22)&lt;=B94)*(IF(Besatzung!$D$11:$D$22="",Besatzung!$B$6,Besatzung!$D$11:$D$22)&gt;=B94)),1)+(Besatzung!$F$12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K94="x")*((G94-IFERROR(H94,0))/IFERROR(COUNTIF(J94:U94,"x"),1)+(Besatzung!$F$12="x")*IFERROR(H94,0)/IFERROR(SUMPRODUCT((J94:U94="x")*(Besatzung!$F$11:$F$22="x")),1))),(IF(COUNTIF(J94:U94,"x")=0,IF(Besatzung!$B$12&lt;&gt;"",1,0),(K94="x"))*(G94-IFERROR(H94,0))/IFERROR(IF(COUNTIF(J94:U94,"x")=0,COUNTA(Besatzung!$B$11:$B$22),COUNTIF(J94:U94,"x")),1)+IF(COUNTIF(J94:U94,"x")=0,(Besatzung!$F$12="x"),(K94="x")*(Besatzung!$F$12="x"))*IFERROR(H94,0)/IFERROR(IF(COUNTIF(J94:U94,"x")=0,SUMPRODUCT((Besatzung!$B$11:$B$22&lt;&gt;"")*(Besatzung!$F$11:$F$22="x")),SUMPRODUCT((J94:U94="x")*(Besatzung!$F$11:$F$22="x"))),1))))),0))))</f>
        <v/>
      </c>
      <c r="X94" s="106">
        <f>IF(C94="Gutschrift","",IF(G94="","",IF(Besatzung!$B$13="","",IFERROR(IF(I94="Zeitanteilig",(Besatzung!$G$13*(G94-IFERROR(H94,0))+((Besatzung!$B$13&lt;&gt;"")*IF(B94="",1,(IF(Besatzung!$C$13="",Besatzung!$B$5,Besatzung!$C$13)&lt;=B94)*(IF(Besatzung!$D$13="",Besatzung!$B$6,Besatzung!$D$13)&gt;=B94)))*(Besatzung!$F$13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$13&lt;&gt;"")*IF(B94="",1,(IF(Besatzung!$C$13="",Besatzung!$B$5,Besatzung!$C$13)&lt;=B94)*(IF(Besatzung!$D$13="",Besatzung!$B$6,Besatzung!$D$13)&gt;=B94)))*((G94-IFERROR(H94,0))/IFERROR(SUMPRODUCT((Besatzung!$B$11:$B$22&lt;&gt;"")*(IF(Besatzung!$C$11:$C$22="",Besatzung!$B$5,Besatzung!$C$11:$C$22)&lt;=B94)*(IF(Besatzung!$D$11:$D$22="",Besatzung!$B$6,Besatzung!$D$11:$D$22)&gt;=B94)),1)+(Besatzung!$F$13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K94="x")*((G94-IFERROR(H94,0))/IFERROR(COUNTIF(J94:U94,"x"),1)+(Besatzung!$F$13="x")*IFERROR(H94,0)/IFERROR(SUMPRODUCT((J94:U94="x")*(Besatzung!$F$11:$F$22="x")),1))),(IF(COUNTIF(J94:U94,"x")=0,IF(Besatzung!$B$13&lt;&gt;"",1,0),(K94="x"))*(G94-IFERROR(H94,0))/IFERROR(IF(COUNTIF(J94:U94,"x")=0,COUNTA(Besatzung!$B$11:$B$22),COUNTIF(J94:U94,"x")),1)+IF(COUNTIF(J94:U94,"x")=0,(Besatzung!$F$13="x"),(K94="x")*(Besatzung!$F$13="x"))*IFERROR(H94,0)/IFERROR(IF(COUNTIF(J94:U94,"x")=0,SUMPRODUCT((Besatzung!$B$11:$B$22&lt;&gt;"")*(Besatzung!$F$11:$F$22="x")),SUMPRODUCT((J94:U94="x")*(Besatzung!$F$11:$F$22="x"))),1))))),0))))</f>
        <v/>
      </c>
      <c r="Y94" s="106">
        <f>IF(C94="Gutschrift","",IF(G94="","",IF(Besatzung!$B$14="","",IFERROR(IF(I94="Zeitanteilig",(Besatzung!$G$14*(G94-IFERROR(H94,0))+((Besatzung!$B$14&lt;&gt;"")*IF(B94="",1,(IF(Besatzung!$C$14="",Besatzung!$B$5,Besatzung!$C$14)&lt;=B94)*(IF(Besatzung!$D$14="",Besatzung!$B$6,Besatzung!$D$14)&gt;=B94)))*(Besatzung!$F$14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$14&lt;&gt;"")*IF(B94="",1,(IF(Besatzung!$C$14="",Besatzung!$B$5,Besatzung!$C$14)&lt;=B94)*(IF(Besatzung!$D$14="",Besatzung!$B$6,Besatzung!$D$14)&gt;=B94)))*((G94-IFERROR(H94,0))/IFERROR(SUMPRODUCT((Besatzung!$B$11:$B$22&lt;&gt;"")*(IF(Besatzung!$C$11:$C$22="",Besatzung!$B$5,Besatzung!$C$11:$C$22)&lt;=B94)*(IF(Besatzung!$D$11:$D$22="",Besatzung!$B$6,Besatzung!$D$11:$D$22)&gt;=B94)),1)+(Besatzung!$F$14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M94="x")*((G94-IFERROR(H94,0))/IFERROR(COUNTIF(J94:U94,"x"),1)+(Besatzung!$F$14="x")*IFERROR(H94,0)/IFERROR(SUMPRODUCT((J94:U94="x")*(Besatzung!$F$11:$F$22="x")),1))),(IF(COUNTIF(J94:U94,"x")=0,IF(Besatzung!$B$14&lt;&gt;"",1,0),(M94="x"))*(G94-IFERROR(H94,0))/IFERROR(IF(COUNTIF(J94:U94,"x")=0,COUNTA(Besatzung!$B$11:$B$22),COUNTIF(J94:U94,"x")),1)+IF(COUNTIF(J94:U94,"x")=0,(Besatzung!$F$14="x"),(M94="x")*(Besatzung!$F$14="x"))*IFERROR(H94,0)/IFERROR(IF(COUNTIF(J94:U94,"x")=0,SUMPRODUCT((Besatzung!$B$11:$B$22&lt;&gt;"")*(Besatzung!$F$11:$F$22="x")),SUMPRODUCT((J94:U94="x")*(Besatzung!$F$11:$F$22="x"))),1))))),0))))</f>
        <v/>
      </c>
      <c r="Z94" s="106">
        <f>IF(C94="Gutschrift","",IF(G94="","",IF(Besatzung!$B$13="","",IFERROR(IF(I94="Zeitanteilig",(Besatzung!$G$15*(G94-IFERROR(H94,0))+((Besatzung!$B$13&lt;&gt;"")*IF(B94="",1,(IF(Besatzung!$C$15="",Besatzung!$B$5,Besatzung!$C$15)&lt;=B94)*(IF(Besatzung!$D$15="",Besatzung!$B$6,Besatzung!$D$15)&gt;=B94)))*(Besatzung!$F$15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$13&lt;&gt;"")*IF(B94="",1,(IF(Besatzung!$C$15="",Besatzung!$B$5,Besatzung!$C$15)&lt;=B94)*(IF(Besatzung!$D$15="",Besatzung!$B$6,Besatzung!$D$15)&gt;=B94)))*((G94-IFERROR(H94,0))/IFERROR(SUMPRODUCT((Besatzung!$B$11:$B$22&lt;&gt;"")*(IF(Besatzung!$C$11:$C$22="",Besatzung!$B$5,Besatzung!$C$11:$C$22)&lt;=B94)*(IF(Besatzung!$D$11:$D$22="",Besatzung!$B$6,Besatzung!$D$11:$D$22)&gt;=B94)),1)+(Besatzung!$F$15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N94="x")*((G94-IFERROR(H94,0))/IFERROR(COUNTIF(J94:U94,"x"),1)+(Besatzung!$F$15="x")*IFERROR(H94,0)/IFERROR(SUMPRODUCT((J94:U94="x")*(Besatzung!$F$11:$F$22="x")),1))),(IF(COUNTIF(J94:U94,"x")=0,IF(Besatzung!$B$13&lt;&gt;"",1,0),(N94="x"))*(G94-IFERROR(H94,0))/IFERROR(IF(COUNTIF(J94:U94,"x")=0,COUNTA(Besatzung!$B$11:$B$22),COUNTIF(J94:U94,"x")),1)+IF(COUNTIF(J94:U94,"x")=0,(Besatzung!$F$15="x"),(N94="x")*(Besatzung!$F$15="x"))*IFERROR(H94,0)/IFERROR(IF(COUNTIF(J94:U94,"x")=0,SUMPRODUCT((Besatzung!$B$11:$B$22&lt;&gt;"")*(Besatzung!$F$11:$F$22="x")),SUMPRODUCT((J94:U94="x")*(Besatzung!$F$11:$F$22="x"))),1))))),0))))</f>
        <v/>
      </c>
      <c r="AA94" s="106">
        <f>IF(C94="Gutschrift","",IF(G94="","",IF(Besatzung!$B$15="","",IFERROR(IF(I94="Zeitanteilig",(Besatzung!$G$16*(G94-IFERROR(H94,0))+((Besatzung!$B$15&lt;&gt;"")*IF(B94="",1,(IF(Besatzung!$C$16="",Besatzung!$B$5,Besatzung!$C$16)&lt;=B94)*(IF(Besatzung!$D$16="",Besatzung!$B$6,Besatzung!$D$16)&gt;=B94)))*(Besatzung!$F$16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$15&lt;&gt;"")*IF(B94="",1,(IF(Besatzung!$C$16="",Besatzung!$B$5,Besatzung!$C$16)&lt;=B94)*(IF(Besatzung!$D$16="",Besatzung!$B$6,Besatzung!$D$16)&gt;=B94)))*((G94-IFERROR(H94,0))/IFERROR(SUMPRODUCT((Besatzung!$B$11:$B$22&lt;&gt;"")*(IF(Besatzung!$C$11:$C$22="",Besatzung!$B$5,Besatzung!$C$11:$C$22)&lt;=B94)*(IF(Besatzung!$D$11:$D$22="",Besatzung!$B$6,Besatzung!$D$11:$D$22)&gt;=B94)),1)+(Besatzung!$F$16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O94="x")*((G94-IFERROR(H94,0))/IFERROR(COUNTIF(J94:U94,"x"),1)+(Besatzung!$F$16="x")*IFERROR(H94,0)/IFERROR(SUMPRODUCT((J94:U94="x")*(Besatzung!$F$11:$F$22="x")),1))),(IF(COUNTIF(J94:U94,"x")=0,IF(Besatzung!$B$15&lt;&gt;"",1,0),(O94="x"))*(G94-IFERROR(H94,0))/IFERROR(IF(COUNTIF(J94:U94,"x")=0,COUNTA(Besatzung!$B$11:$B$22),COUNTIF(J94:U94,"x")),1)+IF(COUNTIF(J94:U94,"x")=0,(Besatzung!$F$16="x"),(O94="x")*(Besatzung!$F$16="x"))*IFERROR(H94,0)/IFERROR(IF(COUNTIF(J94:U94,"x")=0,SUMPRODUCT((Besatzung!$B$11:$B$22&lt;&gt;"")*(Besatzung!$F$11:$F$22="x")),SUMPRODUCT((J94:U94="x")*(Besatzung!$F$11:$F$22="x"))),1))))),0))))</f>
        <v/>
      </c>
      <c r="AB94" s="106">
        <f>IF(C94="Gutschrift","",IF(G94="","",IF(Besatzung!$B$17="","",IFERROR(IF(I94="Zeitanteilig",(Besatzung!$G$17*(G94-IFERROR(H94,0))+((Besatzung!$B$17&lt;&gt;"")*IF(B94="",1,(IF(Besatzung!$C$17="",Besatzung!$B$5,Besatzung!$C$17)&lt;=B94)*(IF(Besatzung!$D$17="",Besatzung!$B$6,Besatzung!$D$17)&gt;=B94)))*(Besatzung!$F$17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$17&lt;&gt;"")*IF(B94="",1,(IF(Besatzung!$C$17="",Besatzung!$B$5,Besatzung!$C$17)&lt;=B94)*(IF(Besatzung!$D$17="",Besatzung!$B$6,Besatzung!$D$17)&gt;=B94)))*((G94-IFERROR(H94,0))/IFERROR(SUMPRODUCT((Besatzung!$B$11:$B$22&lt;&gt;"")*(IF(Besatzung!$C$11:$C$22="",Besatzung!$B$5,Besatzung!$C$11:$C$22)&lt;=B94)*(IF(Besatzung!$D$11:$D$22="",Besatzung!$B$6,Besatzung!$D$11:$D$22)&gt;=B94)),1)+(Besatzung!$F$17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P94="x")*((G94-IFERROR(H94,0))/IFERROR(COUNTIF(J94:U94,"x"),1)+(Besatzung!$F$17="x")*IFERROR(H94,0)/IFERROR(SUMPRODUCT((J94:U94="x")*(Besatzung!$F$11:$F$22="x")),1))),(IF(COUNTIF(J94:U94,"x")=0,IF(Besatzung!$B$17&lt;&gt;"",1,0),(P94="x"))*(G94-IFERROR(H94,0))/IFERROR(IF(COUNTIF(J94:U94,"x")=0,COUNTA(Besatzung!$B$11:$B$22),COUNTIF(J94:U94,"x")),1)+IF(COUNTIF(J94:U94,"x")=0,(Besatzung!$F$17="x"),(P94="x")*(Besatzung!$F$17="x"))*IFERROR(H94,0)/IFERROR(IF(COUNTIF(J94:U94,"x")=0,SUMPRODUCT((Besatzung!$B$11:$B$22&lt;&gt;"")*(Besatzung!$F$11:$F$22="x")),SUMPRODUCT((J94:U94="x")*(Besatzung!$F$11:$F$22="x"))),1))))),0))))</f>
        <v/>
      </c>
      <c r="AC94" s="106">
        <f>IF(C94="Gutschrift","",IF(G94="","",IF(Besatzung!$B$18="","",IFERROR(IF(I94="Zeitanteilig",(Besatzung!$G$18*(G94-IFERROR(H94,0))+((Besatzung!$B$18&lt;&gt;"")*IF(B94="",1,(IF(Besatzung!$C$18="",Besatzung!$B$5,Besatzung!$C$18)&lt;=B94)*(IF(Besatzung!$D$18="",Besatzung!$B$6,Besatzung!$D$18)&gt;=B94)))*(Besatzung!$F$18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$18&lt;&gt;"")*IF(B94="",1,(IF(Besatzung!$C$18="",Besatzung!$B$5,Besatzung!$C$18)&lt;=B94)*(IF(Besatzung!$D$18="",Besatzung!$B$6,Besatzung!$D$18)&gt;=B94)))*((G94-IFERROR(H94,0))/IFERROR(SUMPRODUCT((Besatzung!$B$11:$B$22&lt;&gt;"")*(IF(Besatzung!$C$11:$C$22="",Besatzung!$B$5,Besatzung!$C$11:$C$22)&lt;=B94)*(IF(Besatzung!$D$11:$D$22="",Besatzung!$B$6,Besatzung!$D$11:$D$22)&gt;=B94)),1)+(Besatzung!$F$18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Q94="x")*((G94-IFERROR(H94,0))/IFERROR(COUNTIF(J94:U94,"x"),1)+(Besatzung!$F$18="x")*IFERROR(H94,0)/IFERROR(SUMPRODUCT((J94:U94="x")*(Besatzung!$F$11:$F$22="x")),1))),(IF(COUNTIF(J94:U94,"x")=0,IF(Besatzung!$B$18&lt;&gt;"",1,0),(Q94="x"))*(G94-IFERROR(H94,0))/IFERROR(IF(COUNTIF(J94:U94,"x")=0,COUNTA(Besatzung!$B$11:$B$22),COUNTIF(J94:U94,"x")),1)+IF(COUNTIF(J94:U94,"x")=0,(Besatzung!$F$18="x"),(Q94="x")*(Besatzung!$F$18="x"))*IFERROR(H94,0)/IFERROR(IF(COUNTIF(J94:U94,"x")=0,SUMPRODUCT((Besatzung!$B$11:$B$22&lt;&gt;"")*(Besatzung!$F$11:$F$22="x")),SUMPRODUCT((J94:U94="x")*(Besatzung!$F$11:$F$22="x"))),1))))),0))))</f>
        <v/>
      </c>
      <c r="AD94" s="106">
        <f>IF(C94="Gutschrift","",IF(G94="","",IF(Besatzung!$B$19="","",IFERROR(IF(I94="Zeitanteilig",(Besatzung!$G$19*(G94-IFERROR(H94,0))+((Besatzung!$B$19&lt;&gt;"")*IF(B94="",1,(IF(Besatzung!$C$19="",Besatzung!$B$5,Besatzung!$C$19)&lt;=B94)*(IF(Besatzung!$D$19="",Besatzung!$B$6,Besatzung!$D$19)&gt;=B94)))*(Besatzung!$F$19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$19&lt;&gt;"")*IF(B94="",1,(IF(Besatzung!$C$19="",Besatzung!$B$5,Besatzung!$C$19)&lt;=B94)*(IF(Besatzung!$D$19="",Besatzung!$B$6,Besatzung!$D$19)&gt;=B94)))*((G94-IFERROR(H94,0))/IFERROR(SUMPRODUCT((Besatzung!$B$11:$B$22&lt;&gt;"")*(IF(Besatzung!$C$11:$C$22="",Besatzung!$B$5,Besatzung!$C$11:$C$22)&lt;=B94)*(IF(Besatzung!$D$11:$D$22="",Besatzung!$B$6,Besatzung!$D$11:$D$22)&gt;=B94)),1)+(Besatzung!$F$19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R94="x")*((G94-IFERROR(H94,0))/IFERROR(COUNTIF(J94:U94,"x"),1)+(Besatzung!$F$19="x")*IFERROR(H94,0)/IFERROR(SUMPRODUCT((J94:U94="x")*(Besatzung!$F$11:$F$22="x")),1))),(IF(COUNTIF(J94:U94,"x")=0,IF(Besatzung!$B$19&lt;&gt;"",1,0),(R94="x"))*(G94-IFERROR(H94,0))/IFERROR(IF(COUNTIF(J94:U94,"x")=0,COUNTA(Besatzung!$B$11:$B$22),COUNTIF(J94:U94,"x")),1)+IF(COUNTIF(J94:U94,"x")=0,(Besatzung!$F$19="x"),(R94="x")*(Besatzung!$F$19="x"))*IFERROR(H94,0)/IFERROR(IF(COUNTIF(J94:U94,"x")=0,SUMPRODUCT((Besatzung!$B$11:$B$22&lt;&gt;"")*(Besatzung!$F$11:$F$22="x")),SUMPRODUCT((J94:U94="x")*(Besatzung!$F$11:$F$22="x"))),1))))),0))))</f>
        <v/>
      </c>
      <c r="AE94" s="106">
        <f>IF(C94="Gutschrift","",IF(G94="","",IF(Besatzung!$B$20="","",IFERROR(IF(I94="Zeitanteilig",(Besatzung!$G$20*(G94-IFERROR(H94,0))+((Besatzung!$B$20&lt;&gt;"")*IF(B94="",1,(IF(Besatzung!$C$20="",Besatzung!$B$5,Besatzung!$C$20)&lt;=B94)*(IF(Besatzung!$D$20="",Besatzung!$B$6,Besatzung!$D$20)&gt;=B94)))*(Besatzung!$F$20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$20&lt;&gt;"")*IF(B94="",1,(IF(Besatzung!$C$20="",Besatzung!$B$5,Besatzung!$C$20)&lt;=B94)*(IF(Besatzung!$D$20="",Besatzung!$B$6,Besatzung!$D$20)&gt;=B94)))*((G94-IFERROR(H94,0))/IFERROR(SUMPRODUCT((Besatzung!$B$11:$B$22&lt;&gt;"")*(IF(Besatzung!$C$11:$C$22="",Besatzung!$B$5,Besatzung!$C$11:$C$22)&lt;=B94)*(IF(Besatzung!$D$11:$D$22="",Besatzung!$B$6,Besatzung!$D$11:$D$22)&gt;=B94)),1)+(Besatzung!$F$20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S94="x")*((G94-IFERROR(H94,0))/IFERROR(COUNTIF(J94:U94,"x"),1)+(Besatzung!$F$20="x")*IFERROR(H94,0)/IFERROR(SUMPRODUCT((J94:U94="x")*(Besatzung!$F$11:$F$22="x")),1))),(IF(COUNTIF(J94:U94,"x")=0,IF(Besatzung!$B$20&lt;&gt;"",1,0),(S94="x"))*(G94-IFERROR(H94,0))/IFERROR(IF(COUNTIF(J94:U94,"x")=0,COUNTA(Besatzung!$B$11:$B$22),COUNTIF(J94:U94,"x")),1)+IF(COUNTIF(J94:U94,"x")=0,(Besatzung!$F$20="x"),(S94="x")*(Besatzung!$F$20="x"))*IFERROR(H94,0)/IFERROR(IF(COUNTIF(J94:U94,"x")=0,SUMPRODUCT((Besatzung!$B$11:$B$22&lt;&gt;"")*(Besatzung!$F$11:$F$22="x")),SUMPRODUCT((J94:U94="x")*(Besatzung!$F$11:$F$22="x"))),1))))),0))))</f>
        <v/>
      </c>
      <c r="AF94" s="106">
        <f>IF(C94="Gutschrift","",IF(G94="","",IF(Besatzung!$B$21="","",IFERROR(IF(I94="Zeitanteilig",(Besatzung!$G$21*(G94-IFERROR(H94,0))+((Besatzung!$B$21&lt;&gt;"")*IF(B94="",1,(IF(Besatzung!$C$21="",Besatzung!$B$5,Besatzung!$C$21)&lt;=B94)*(IF(Besatzung!$D$21="",Besatzung!$B$6,Besatzung!$D$21)&gt;=B94)))*(Besatzung!$F$21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$21&lt;&gt;"")*IF(B94="",1,(IF(Besatzung!$C$21="",Besatzung!$B$5,Besatzung!$C$21)&lt;=B94)*(IF(Besatzung!$D$21="",Besatzung!$B$6,Besatzung!$D$21)&gt;=B94)))*((G94-IFERROR(H94,0))/IFERROR(SUMPRODUCT((Besatzung!$B$11:$B$22&lt;&gt;"")*(IF(Besatzung!$C$11:$C$22="",Besatzung!$B$5,Besatzung!$C$11:$C$22)&lt;=B94)*(IF(Besatzung!$D$11:$D$22="",Besatzung!$B$6,Besatzung!$D$11:$D$22)&gt;=B94)),1)+(Besatzung!$F$21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T94="x")*((G94-IFERROR(H94,0))/IFERROR(COUNTIF(J94:U94,"x"),1)+(Besatzung!$F$21="x")*IFERROR(H94,0)/IFERROR(SUMPRODUCT((J94:U94="x")*(Besatzung!$F$11:$F$22="x")),1))),(IF(COUNTIF(J94:U94,"x")=0,IF(Besatzung!$B$21&lt;&gt;"",1,0),(T94="x"))*(G94-IFERROR(H94,0))/IFERROR(IF(COUNTIF(J94:U94,"x")=0,COUNTA(Besatzung!$B$11:$B$22),COUNTIF(J94:U94,"x")),1)+IF(COUNTIF(J94:U94,"x")=0,(Besatzung!$F$21="x"),(T94="x")*(Besatzung!$F$21="x"))*IFERROR(H94,0)/IFERROR(IF(COUNTIF(J94:U94,"x")=0,SUMPRODUCT((Besatzung!$B$11:$B$22&lt;&gt;"")*(Besatzung!$F$11:$F$22="x")),SUMPRODUCT((J94:U94="x")*(Besatzung!$F$11:$F$22="x"))),1))))),0))))</f>
        <v/>
      </c>
      <c r="AG94" s="106">
        <f>IF(C94="Gutschrift","",IF(G94="","",IF(Besatzung!$B$22="","",IFERROR(IF(I94="Zeitanteilig",(Besatzung!$G$22*(G94-IFERROR(H94,0))+((Besatzung!$B$22&lt;&gt;"")*IF(B94="",1,(IF(Besatzung!$C$22="",Besatzung!$B$5,Besatzung!$C$22)&lt;=B94)*(IF(Besatzung!$D$22="",Besatzung!$B$6,Besatzung!$D$22)&gt;=B94)))*(Besatzung!$F$22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$22&lt;&gt;"")*IF(B94="",1,(IF(Besatzung!$C$22="",Besatzung!$B$5,Besatzung!$C$22)&lt;=B94)*(IF(Besatzung!$D$22="",Besatzung!$B$6,Besatzung!$D$22)&gt;=B94)))*((G94-IFERROR(H94,0))/IFERROR(SUMPRODUCT((Besatzung!$B$11:$B$22&lt;&gt;"")*(IF(Besatzung!$C$11:$C$22="",Besatzung!$B$5,Besatzung!$C$11:$C$22)&lt;=B94)*(IF(Besatzung!$D$11:$D$22="",Besatzung!$B$6,Besatzung!$D$11:$D$22)&gt;=B94)),1)+(Besatzung!$F$22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U94="x")*((G94-IFERROR(H94,0))/IFERROR(COUNTIF(J94:U94,"x"),1)+(Besatzung!$F$22="x")*IFERROR(H94,0)/IFERROR(SUMPRODUCT((J94:U94="x")*(Besatzung!$F$11:$F$22="x")),1))),(IF(COUNTIF(J94:U94,"x")=0,IF(Besatzung!$B$22&lt;&gt;"",1,0),(U94="x"))*(G94-IFERROR(H94,0))/IFERROR(IF(COUNTIF(J94:U94,"x")=0,COUNTA(Besatzung!$B$11:$B$22),COUNTIF(J94:U94,"x")),1)+IF(COUNTIF(J94:U94,"x")=0,(Besatzung!$F$22="x"),(U94="x")*(Besatzung!$F$22="x"))*IFERROR(H94,0)/IFERROR(IF(COUNTIF(J94:U94,"x")=0,SUMPRODUCT((Besatzung!$B$11:$B$22&lt;&gt;"")*(Besatzung!$F$11:$F$22="x")),SUMPRODUCT((J94:U94="x")*(Besatzung!$F$11:$F$22="x"))),1))))),0))))</f>
        <v/>
      </c>
      <c r="AH94" s="107" t="n"/>
      <c r="AI94" s="107" t="n"/>
    </row>
    <row r="95" ht="21.75" customHeight="1" s="182">
      <c r="A95" s="97">
        <f>IF(AND(D95="",C95=""),"",92)</f>
        <v/>
      </c>
      <c r="B95" s="63" t="n"/>
      <c r="C95" s="108" t="n"/>
      <c r="D95" s="109" t="n"/>
      <c r="E95" s="110" t="n"/>
      <c r="F95" s="111" t="n"/>
      <c r="G95" s="112" t="n"/>
      <c r="H95" s="113" t="n"/>
      <c r="I95" s="114" t="n"/>
      <c r="J95" s="115" t="n"/>
      <c r="K95" s="115" t="n"/>
      <c r="L95" s="115" t="n"/>
      <c r="M95" s="115" t="n"/>
      <c r="N95" s="115" t="n"/>
      <c r="O95" s="115" t="n"/>
      <c r="P95" s="115" t="n"/>
      <c r="Q95" s="115" t="n"/>
      <c r="R95" s="115" t="n"/>
      <c r="S95" s="115" t="n"/>
      <c r="T95" s="115" t="n"/>
      <c r="U95" s="115" t="n"/>
      <c r="V95" s="106">
        <f>IF(C95="Gutschrift","",IF(G95="","",IF(Besatzung!$B$11="","",IFERROR(IF(I95="Zeitanteilig",(Besatzung!$G$11*(G95-IFERROR(H95,0))+((Besatzung!$B$11&lt;&gt;"")*IF(B95="",1,(IF(Besatzung!$C$11="",Besatzung!$B$5,Besatzung!$C$11)&lt;=B95)*(IF(Besatzung!$D$11="",Besatzung!$B$6,Besatzung!$D$11)&gt;=B95)))*(Besatzung!$F$11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$11&lt;&gt;"")*IF(B95="",1,(IF(Besatzung!$C$11="",Besatzung!$B$5,Besatzung!$C$11)&lt;=B95)*(IF(Besatzung!$D$11="",Besatzung!$B$6,Besatzung!$D$11)&gt;=B95)))*((G95-IFERROR(H95,0))/IFERROR(SUMPRODUCT((Besatzung!$B$11:$B$22&lt;&gt;"")*(IF(Besatzung!$C$11:$C$22="",Besatzung!$B$5,Besatzung!$C$11:$C$22)&lt;=B95)*(IF(Besatzung!$D$11:$D$22="",Besatzung!$B$6,Besatzung!$D$11:$D$22)&gt;=B95)),1)+(Besatzung!$F$11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J95="x")*((G95-IFERROR(H95,0))/IFERROR(COUNTIF(J95:U95,"x"),1)+(Besatzung!$F$11="x")*IFERROR(H95,0)/IFERROR(SUMPRODUCT((J95:U95="x")*(Besatzung!$F$11:$F$22="x")),1))),(IF(COUNTIF(J95:U95,"x")=0,IF(Besatzung!$B$11&lt;&gt;"",1,0),(J95="x"))*(G95-IFERROR(H95,0))/IFERROR(IF(COUNTIF(J95:U95,"x")=0,COUNTA(Besatzung!$B$11:$B$22),COUNTIF(J95:U95,"x")),1)+IF(COUNTIF(J95:U95,"x")=0,(Besatzung!$F$11="x"),(J95="x")*(Besatzung!$F$11="x"))*IFERROR(H95,0)/IFERROR(IF(COUNTIF(J95:U95,"x")=0,SUMPRODUCT((Besatzung!$B$11:$B$22&lt;&gt;"")*(Besatzung!$F$11:$F$22="x")),SUMPRODUCT((J95:U95="x")*(Besatzung!$F$11:$F$22="x"))),1))))),0))))</f>
        <v/>
      </c>
      <c r="W95" s="106">
        <f>IF(C95="Gutschrift","",IF(G95="","",IF(Besatzung!$B$12="","",IFERROR(IF(I95="Zeitanteilig",(Besatzung!$G$12*(G95-IFERROR(H95,0))+((Besatzung!$B$12&lt;&gt;"")*IF(B95="",1,(IF(Besatzung!$C$12="",Besatzung!$B$5,Besatzung!$C$12)&lt;=B95)*(IF(Besatzung!$D$12="",Besatzung!$B$6,Besatzung!$D$12)&gt;=B95)))*(Besatzung!$F$12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$12&lt;&gt;"")*IF(B95="",1,(IF(Besatzung!$C$12="",Besatzung!$B$5,Besatzung!$C$12)&lt;=B95)*(IF(Besatzung!$D$12="",Besatzung!$B$6,Besatzung!$D$12)&gt;=B95)))*((G95-IFERROR(H95,0))/IFERROR(SUMPRODUCT((Besatzung!$B$11:$B$22&lt;&gt;"")*(IF(Besatzung!$C$11:$C$22="",Besatzung!$B$5,Besatzung!$C$11:$C$22)&lt;=B95)*(IF(Besatzung!$D$11:$D$22="",Besatzung!$B$6,Besatzung!$D$11:$D$22)&gt;=B95)),1)+(Besatzung!$F$12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K95="x")*((G95-IFERROR(H95,0))/IFERROR(COUNTIF(J95:U95,"x"),1)+(Besatzung!$F$12="x")*IFERROR(H95,0)/IFERROR(SUMPRODUCT((J95:U95="x")*(Besatzung!$F$11:$F$22="x")),1))),(IF(COUNTIF(J95:U95,"x")=0,IF(Besatzung!$B$12&lt;&gt;"",1,0),(K95="x"))*(G95-IFERROR(H95,0))/IFERROR(IF(COUNTIF(J95:U95,"x")=0,COUNTA(Besatzung!$B$11:$B$22),COUNTIF(J95:U95,"x")),1)+IF(COUNTIF(J95:U95,"x")=0,(Besatzung!$F$12="x"),(K95="x")*(Besatzung!$F$12="x"))*IFERROR(H95,0)/IFERROR(IF(COUNTIF(J95:U95,"x")=0,SUMPRODUCT((Besatzung!$B$11:$B$22&lt;&gt;"")*(Besatzung!$F$11:$F$22="x")),SUMPRODUCT((J95:U95="x")*(Besatzung!$F$11:$F$22="x"))),1))))),0))))</f>
        <v/>
      </c>
      <c r="X95" s="106">
        <f>IF(C95="Gutschrift","",IF(G95="","",IF(Besatzung!$B$13="","",IFERROR(IF(I95="Zeitanteilig",(Besatzung!$G$13*(G95-IFERROR(H95,0))+((Besatzung!$B$13&lt;&gt;"")*IF(B95="",1,(IF(Besatzung!$C$13="",Besatzung!$B$5,Besatzung!$C$13)&lt;=B95)*(IF(Besatzung!$D$13="",Besatzung!$B$6,Besatzung!$D$13)&gt;=B95)))*(Besatzung!$F$13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$13&lt;&gt;"")*IF(B95="",1,(IF(Besatzung!$C$13="",Besatzung!$B$5,Besatzung!$C$13)&lt;=B95)*(IF(Besatzung!$D$13="",Besatzung!$B$6,Besatzung!$D$13)&gt;=B95)))*((G95-IFERROR(H95,0))/IFERROR(SUMPRODUCT((Besatzung!$B$11:$B$22&lt;&gt;"")*(IF(Besatzung!$C$11:$C$22="",Besatzung!$B$5,Besatzung!$C$11:$C$22)&lt;=B95)*(IF(Besatzung!$D$11:$D$22="",Besatzung!$B$6,Besatzung!$D$11:$D$22)&gt;=B95)),1)+(Besatzung!$F$13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K95="x")*((G95-IFERROR(H95,0))/IFERROR(COUNTIF(J95:U95,"x"),1)+(Besatzung!$F$13="x")*IFERROR(H95,0)/IFERROR(SUMPRODUCT((J95:U95="x")*(Besatzung!$F$11:$F$22="x")),1))),(IF(COUNTIF(J95:U95,"x")=0,IF(Besatzung!$B$13&lt;&gt;"",1,0),(K95="x"))*(G95-IFERROR(H95,0))/IFERROR(IF(COUNTIF(J95:U95,"x")=0,COUNTA(Besatzung!$B$11:$B$22),COUNTIF(J95:U95,"x")),1)+IF(COUNTIF(J95:U95,"x")=0,(Besatzung!$F$13="x"),(K95="x")*(Besatzung!$F$13="x"))*IFERROR(H95,0)/IFERROR(IF(COUNTIF(J95:U95,"x")=0,SUMPRODUCT((Besatzung!$B$11:$B$22&lt;&gt;"")*(Besatzung!$F$11:$F$22="x")),SUMPRODUCT((J95:U95="x")*(Besatzung!$F$11:$F$22="x"))),1))))),0))))</f>
        <v/>
      </c>
      <c r="Y95" s="106">
        <f>IF(C95="Gutschrift","",IF(G95="","",IF(Besatzung!$B$14="","",IFERROR(IF(I95="Zeitanteilig",(Besatzung!$G$14*(G95-IFERROR(H95,0))+((Besatzung!$B$14&lt;&gt;"")*IF(B95="",1,(IF(Besatzung!$C$14="",Besatzung!$B$5,Besatzung!$C$14)&lt;=B95)*(IF(Besatzung!$D$14="",Besatzung!$B$6,Besatzung!$D$14)&gt;=B95)))*(Besatzung!$F$14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$14&lt;&gt;"")*IF(B95="",1,(IF(Besatzung!$C$14="",Besatzung!$B$5,Besatzung!$C$14)&lt;=B95)*(IF(Besatzung!$D$14="",Besatzung!$B$6,Besatzung!$D$14)&gt;=B95)))*((G95-IFERROR(H95,0))/IFERROR(SUMPRODUCT((Besatzung!$B$11:$B$22&lt;&gt;"")*(IF(Besatzung!$C$11:$C$22="",Besatzung!$B$5,Besatzung!$C$11:$C$22)&lt;=B95)*(IF(Besatzung!$D$11:$D$22="",Besatzung!$B$6,Besatzung!$D$11:$D$22)&gt;=B95)),1)+(Besatzung!$F$14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M95="x")*((G95-IFERROR(H95,0))/IFERROR(COUNTIF(J95:U95,"x"),1)+(Besatzung!$F$14="x")*IFERROR(H95,0)/IFERROR(SUMPRODUCT((J95:U95="x")*(Besatzung!$F$11:$F$22="x")),1))),(IF(COUNTIF(J95:U95,"x")=0,IF(Besatzung!$B$14&lt;&gt;"",1,0),(M95="x"))*(G95-IFERROR(H95,0))/IFERROR(IF(COUNTIF(J95:U95,"x")=0,COUNTA(Besatzung!$B$11:$B$22),COUNTIF(J95:U95,"x")),1)+IF(COUNTIF(J95:U95,"x")=0,(Besatzung!$F$14="x"),(M95="x")*(Besatzung!$F$14="x"))*IFERROR(H95,0)/IFERROR(IF(COUNTIF(J95:U95,"x")=0,SUMPRODUCT((Besatzung!$B$11:$B$22&lt;&gt;"")*(Besatzung!$F$11:$F$22="x")),SUMPRODUCT((J95:U95="x")*(Besatzung!$F$11:$F$22="x"))),1))))),0))))</f>
        <v/>
      </c>
      <c r="Z95" s="106">
        <f>IF(C95="Gutschrift","",IF(G95="","",IF(Besatzung!$B$13="","",IFERROR(IF(I95="Zeitanteilig",(Besatzung!$G$15*(G95-IFERROR(H95,0))+((Besatzung!$B$13&lt;&gt;"")*IF(B95="",1,(IF(Besatzung!$C$15="",Besatzung!$B$5,Besatzung!$C$15)&lt;=B95)*(IF(Besatzung!$D$15="",Besatzung!$B$6,Besatzung!$D$15)&gt;=B95)))*(Besatzung!$F$15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$13&lt;&gt;"")*IF(B95="",1,(IF(Besatzung!$C$15="",Besatzung!$B$5,Besatzung!$C$15)&lt;=B95)*(IF(Besatzung!$D$15="",Besatzung!$B$6,Besatzung!$D$15)&gt;=B95)))*((G95-IFERROR(H95,0))/IFERROR(SUMPRODUCT((Besatzung!$B$11:$B$22&lt;&gt;"")*(IF(Besatzung!$C$11:$C$22="",Besatzung!$B$5,Besatzung!$C$11:$C$22)&lt;=B95)*(IF(Besatzung!$D$11:$D$22="",Besatzung!$B$6,Besatzung!$D$11:$D$22)&gt;=B95)),1)+(Besatzung!$F$15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N95="x")*((G95-IFERROR(H95,0))/IFERROR(COUNTIF(J95:U95,"x"),1)+(Besatzung!$F$15="x")*IFERROR(H95,0)/IFERROR(SUMPRODUCT((J95:U95="x")*(Besatzung!$F$11:$F$22="x")),1))),(IF(COUNTIF(J95:U95,"x")=0,IF(Besatzung!$B$13&lt;&gt;"",1,0),(N95="x"))*(G95-IFERROR(H95,0))/IFERROR(IF(COUNTIF(J95:U95,"x")=0,COUNTA(Besatzung!$B$11:$B$22),COUNTIF(J95:U95,"x")),1)+IF(COUNTIF(J95:U95,"x")=0,(Besatzung!$F$15="x"),(N95="x")*(Besatzung!$F$15="x"))*IFERROR(H95,0)/IFERROR(IF(COUNTIF(J95:U95,"x")=0,SUMPRODUCT((Besatzung!$B$11:$B$22&lt;&gt;"")*(Besatzung!$F$11:$F$22="x")),SUMPRODUCT((J95:U95="x")*(Besatzung!$F$11:$F$22="x"))),1))))),0))))</f>
        <v/>
      </c>
      <c r="AA95" s="106">
        <f>IF(C95="Gutschrift","",IF(G95="","",IF(Besatzung!$B$15="","",IFERROR(IF(I95="Zeitanteilig",(Besatzung!$G$16*(G95-IFERROR(H95,0))+((Besatzung!$B$15&lt;&gt;"")*IF(B95="",1,(IF(Besatzung!$C$16="",Besatzung!$B$5,Besatzung!$C$16)&lt;=B95)*(IF(Besatzung!$D$16="",Besatzung!$B$6,Besatzung!$D$16)&gt;=B95)))*(Besatzung!$F$16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$15&lt;&gt;"")*IF(B95="",1,(IF(Besatzung!$C$16="",Besatzung!$B$5,Besatzung!$C$16)&lt;=B95)*(IF(Besatzung!$D$16="",Besatzung!$B$6,Besatzung!$D$16)&gt;=B95)))*((G95-IFERROR(H95,0))/IFERROR(SUMPRODUCT((Besatzung!$B$11:$B$22&lt;&gt;"")*(IF(Besatzung!$C$11:$C$22="",Besatzung!$B$5,Besatzung!$C$11:$C$22)&lt;=B95)*(IF(Besatzung!$D$11:$D$22="",Besatzung!$B$6,Besatzung!$D$11:$D$22)&gt;=B95)),1)+(Besatzung!$F$16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O95="x")*((G95-IFERROR(H95,0))/IFERROR(COUNTIF(J95:U95,"x"),1)+(Besatzung!$F$16="x")*IFERROR(H95,0)/IFERROR(SUMPRODUCT((J95:U95="x")*(Besatzung!$F$11:$F$22="x")),1))),(IF(COUNTIF(J95:U95,"x")=0,IF(Besatzung!$B$15&lt;&gt;"",1,0),(O95="x"))*(G95-IFERROR(H95,0))/IFERROR(IF(COUNTIF(J95:U95,"x")=0,COUNTA(Besatzung!$B$11:$B$22),COUNTIF(J95:U95,"x")),1)+IF(COUNTIF(J95:U95,"x")=0,(Besatzung!$F$16="x"),(O95="x")*(Besatzung!$F$16="x"))*IFERROR(H95,0)/IFERROR(IF(COUNTIF(J95:U95,"x")=0,SUMPRODUCT((Besatzung!$B$11:$B$22&lt;&gt;"")*(Besatzung!$F$11:$F$22="x")),SUMPRODUCT((J95:U95="x")*(Besatzung!$F$11:$F$22="x"))),1))))),0))))</f>
        <v/>
      </c>
      <c r="AB95" s="106">
        <f>IF(C95="Gutschrift","",IF(G95="","",IF(Besatzung!$B$17="","",IFERROR(IF(I95="Zeitanteilig",(Besatzung!$G$17*(G95-IFERROR(H95,0))+((Besatzung!$B$17&lt;&gt;"")*IF(B95="",1,(IF(Besatzung!$C$17="",Besatzung!$B$5,Besatzung!$C$17)&lt;=B95)*(IF(Besatzung!$D$17="",Besatzung!$B$6,Besatzung!$D$17)&gt;=B95)))*(Besatzung!$F$17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$17&lt;&gt;"")*IF(B95="",1,(IF(Besatzung!$C$17="",Besatzung!$B$5,Besatzung!$C$17)&lt;=B95)*(IF(Besatzung!$D$17="",Besatzung!$B$6,Besatzung!$D$17)&gt;=B95)))*((G95-IFERROR(H95,0))/IFERROR(SUMPRODUCT((Besatzung!$B$11:$B$22&lt;&gt;"")*(IF(Besatzung!$C$11:$C$22="",Besatzung!$B$5,Besatzung!$C$11:$C$22)&lt;=B95)*(IF(Besatzung!$D$11:$D$22="",Besatzung!$B$6,Besatzung!$D$11:$D$22)&gt;=B95)),1)+(Besatzung!$F$17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P95="x")*((G95-IFERROR(H95,0))/IFERROR(COUNTIF(J95:U95,"x"),1)+(Besatzung!$F$17="x")*IFERROR(H95,0)/IFERROR(SUMPRODUCT((J95:U95="x")*(Besatzung!$F$11:$F$22="x")),1))),(IF(COUNTIF(J95:U95,"x")=0,IF(Besatzung!$B$17&lt;&gt;"",1,0),(P95="x"))*(G95-IFERROR(H95,0))/IFERROR(IF(COUNTIF(J95:U95,"x")=0,COUNTA(Besatzung!$B$11:$B$22),COUNTIF(J95:U95,"x")),1)+IF(COUNTIF(J95:U95,"x")=0,(Besatzung!$F$17="x"),(P95="x")*(Besatzung!$F$17="x"))*IFERROR(H95,0)/IFERROR(IF(COUNTIF(J95:U95,"x")=0,SUMPRODUCT((Besatzung!$B$11:$B$22&lt;&gt;"")*(Besatzung!$F$11:$F$22="x")),SUMPRODUCT((J95:U95="x")*(Besatzung!$F$11:$F$22="x"))),1))))),0))))</f>
        <v/>
      </c>
      <c r="AC95" s="106">
        <f>IF(C95="Gutschrift","",IF(G95="","",IF(Besatzung!$B$18="","",IFERROR(IF(I95="Zeitanteilig",(Besatzung!$G$18*(G95-IFERROR(H95,0))+((Besatzung!$B$18&lt;&gt;"")*IF(B95="",1,(IF(Besatzung!$C$18="",Besatzung!$B$5,Besatzung!$C$18)&lt;=B95)*(IF(Besatzung!$D$18="",Besatzung!$B$6,Besatzung!$D$18)&gt;=B95)))*(Besatzung!$F$18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$18&lt;&gt;"")*IF(B95="",1,(IF(Besatzung!$C$18="",Besatzung!$B$5,Besatzung!$C$18)&lt;=B95)*(IF(Besatzung!$D$18="",Besatzung!$B$6,Besatzung!$D$18)&gt;=B95)))*((G95-IFERROR(H95,0))/IFERROR(SUMPRODUCT((Besatzung!$B$11:$B$22&lt;&gt;"")*(IF(Besatzung!$C$11:$C$22="",Besatzung!$B$5,Besatzung!$C$11:$C$22)&lt;=B95)*(IF(Besatzung!$D$11:$D$22="",Besatzung!$B$6,Besatzung!$D$11:$D$22)&gt;=B95)),1)+(Besatzung!$F$18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Q95="x")*((G95-IFERROR(H95,0))/IFERROR(COUNTIF(J95:U95,"x"),1)+(Besatzung!$F$18="x")*IFERROR(H95,0)/IFERROR(SUMPRODUCT((J95:U95="x")*(Besatzung!$F$11:$F$22="x")),1))),(IF(COUNTIF(J95:U95,"x")=0,IF(Besatzung!$B$18&lt;&gt;"",1,0),(Q95="x"))*(G95-IFERROR(H95,0))/IFERROR(IF(COUNTIF(J95:U95,"x")=0,COUNTA(Besatzung!$B$11:$B$22),COUNTIF(J95:U95,"x")),1)+IF(COUNTIF(J95:U95,"x")=0,(Besatzung!$F$18="x"),(Q95="x")*(Besatzung!$F$18="x"))*IFERROR(H95,0)/IFERROR(IF(COUNTIF(J95:U95,"x")=0,SUMPRODUCT((Besatzung!$B$11:$B$22&lt;&gt;"")*(Besatzung!$F$11:$F$22="x")),SUMPRODUCT((J95:U95="x")*(Besatzung!$F$11:$F$22="x"))),1))))),0))))</f>
        <v/>
      </c>
      <c r="AD95" s="106">
        <f>IF(C95="Gutschrift","",IF(G95="","",IF(Besatzung!$B$19="","",IFERROR(IF(I95="Zeitanteilig",(Besatzung!$G$19*(G95-IFERROR(H95,0))+((Besatzung!$B$19&lt;&gt;"")*IF(B95="",1,(IF(Besatzung!$C$19="",Besatzung!$B$5,Besatzung!$C$19)&lt;=B95)*(IF(Besatzung!$D$19="",Besatzung!$B$6,Besatzung!$D$19)&gt;=B95)))*(Besatzung!$F$19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$19&lt;&gt;"")*IF(B95="",1,(IF(Besatzung!$C$19="",Besatzung!$B$5,Besatzung!$C$19)&lt;=B95)*(IF(Besatzung!$D$19="",Besatzung!$B$6,Besatzung!$D$19)&gt;=B95)))*((G95-IFERROR(H95,0))/IFERROR(SUMPRODUCT((Besatzung!$B$11:$B$22&lt;&gt;"")*(IF(Besatzung!$C$11:$C$22="",Besatzung!$B$5,Besatzung!$C$11:$C$22)&lt;=B95)*(IF(Besatzung!$D$11:$D$22="",Besatzung!$B$6,Besatzung!$D$11:$D$22)&gt;=B95)),1)+(Besatzung!$F$19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R95="x")*((G95-IFERROR(H95,0))/IFERROR(COUNTIF(J95:U95,"x"),1)+(Besatzung!$F$19="x")*IFERROR(H95,0)/IFERROR(SUMPRODUCT((J95:U95="x")*(Besatzung!$F$11:$F$22="x")),1))),(IF(COUNTIF(J95:U95,"x")=0,IF(Besatzung!$B$19&lt;&gt;"",1,0),(R95="x"))*(G95-IFERROR(H95,0))/IFERROR(IF(COUNTIF(J95:U95,"x")=0,COUNTA(Besatzung!$B$11:$B$22),COUNTIF(J95:U95,"x")),1)+IF(COUNTIF(J95:U95,"x")=0,(Besatzung!$F$19="x"),(R95="x")*(Besatzung!$F$19="x"))*IFERROR(H95,0)/IFERROR(IF(COUNTIF(J95:U95,"x")=0,SUMPRODUCT((Besatzung!$B$11:$B$22&lt;&gt;"")*(Besatzung!$F$11:$F$22="x")),SUMPRODUCT((J95:U95="x")*(Besatzung!$F$11:$F$22="x"))),1))))),0))))</f>
        <v/>
      </c>
      <c r="AE95" s="106">
        <f>IF(C95="Gutschrift","",IF(G95="","",IF(Besatzung!$B$20="","",IFERROR(IF(I95="Zeitanteilig",(Besatzung!$G$20*(G95-IFERROR(H95,0))+((Besatzung!$B$20&lt;&gt;"")*IF(B95="",1,(IF(Besatzung!$C$20="",Besatzung!$B$5,Besatzung!$C$20)&lt;=B95)*(IF(Besatzung!$D$20="",Besatzung!$B$6,Besatzung!$D$20)&gt;=B95)))*(Besatzung!$F$20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$20&lt;&gt;"")*IF(B95="",1,(IF(Besatzung!$C$20="",Besatzung!$B$5,Besatzung!$C$20)&lt;=B95)*(IF(Besatzung!$D$20="",Besatzung!$B$6,Besatzung!$D$20)&gt;=B95)))*((G95-IFERROR(H95,0))/IFERROR(SUMPRODUCT((Besatzung!$B$11:$B$22&lt;&gt;"")*(IF(Besatzung!$C$11:$C$22="",Besatzung!$B$5,Besatzung!$C$11:$C$22)&lt;=B95)*(IF(Besatzung!$D$11:$D$22="",Besatzung!$B$6,Besatzung!$D$11:$D$22)&gt;=B95)),1)+(Besatzung!$F$20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S95="x")*((G95-IFERROR(H95,0))/IFERROR(COUNTIF(J95:U95,"x"),1)+(Besatzung!$F$20="x")*IFERROR(H95,0)/IFERROR(SUMPRODUCT((J95:U95="x")*(Besatzung!$F$11:$F$22="x")),1))),(IF(COUNTIF(J95:U95,"x")=0,IF(Besatzung!$B$20&lt;&gt;"",1,0),(S95="x"))*(G95-IFERROR(H95,0))/IFERROR(IF(COUNTIF(J95:U95,"x")=0,COUNTA(Besatzung!$B$11:$B$22),COUNTIF(J95:U95,"x")),1)+IF(COUNTIF(J95:U95,"x")=0,(Besatzung!$F$20="x"),(S95="x")*(Besatzung!$F$20="x"))*IFERROR(H95,0)/IFERROR(IF(COUNTIF(J95:U95,"x")=0,SUMPRODUCT((Besatzung!$B$11:$B$22&lt;&gt;"")*(Besatzung!$F$11:$F$22="x")),SUMPRODUCT((J95:U95="x")*(Besatzung!$F$11:$F$22="x"))),1))))),0))))</f>
        <v/>
      </c>
      <c r="AF95" s="106">
        <f>IF(C95="Gutschrift","",IF(G95="","",IF(Besatzung!$B$21="","",IFERROR(IF(I95="Zeitanteilig",(Besatzung!$G$21*(G95-IFERROR(H95,0))+((Besatzung!$B$21&lt;&gt;"")*IF(B95="",1,(IF(Besatzung!$C$21="",Besatzung!$B$5,Besatzung!$C$21)&lt;=B95)*(IF(Besatzung!$D$21="",Besatzung!$B$6,Besatzung!$D$21)&gt;=B95)))*(Besatzung!$F$21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$21&lt;&gt;"")*IF(B95="",1,(IF(Besatzung!$C$21="",Besatzung!$B$5,Besatzung!$C$21)&lt;=B95)*(IF(Besatzung!$D$21="",Besatzung!$B$6,Besatzung!$D$21)&gt;=B95)))*((G95-IFERROR(H95,0))/IFERROR(SUMPRODUCT((Besatzung!$B$11:$B$22&lt;&gt;"")*(IF(Besatzung!$C$11:$C$22="",Besatzung!$B$5,Besatzung!$C$11:$C$22)&lt;=B95)*(IF(Besatzung!$D$11:$D$22="",Besatzung!$B$6,Besatzung!$D$11:$D$22)&gt;=B95)),1)+(Besatzung!$F$21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T95="x")*((G95-IFERROR(H95,0))/IFERROR(COUNTIF(J95:U95,"x"),1)+(Besatzung!$F$21="x")*IFERROR(H95,0)/IFERROR(SUMPRODUCT((J95:U95="x")*(Besatzung!$F$11:$F$22="x")),1))),(IF(COUNTIF(J95:U95,"x")=0,IF(Besatzung!$B$21&lt;&gt;"",1,0),(T95="x"))*(G95-IFERROR(H95,0))/IFERROR(IF(COUNTIF(J95:U95,"x")=0,COUNTA(Besatzung!$B$11:$B$22),COUNTIF(J95:U95,"x")),1)+IF(COUNTIF(J95:U95,"x")=0,(Besatzung!$F$21="x"),(T95="x")*(Besatzung!$F$21="x"))*IFERROR(H95,0)/IFERROR(IF(COUNTIF(J95:U95,"x")=0,SUMPRODUCT((Besatzung!$B$11:$B$22&lt;&gt;"")*(Besatzung!$F$11:$F$22="x")),SUMPRODUCT((J95:U95="x")*(Besatzung!$F$11:$F$22="x"))),1))))),0))))</f>
        <v/>
      </c>
      <c r="AG95" s="106">
        <f>IF(C95="Gutschrift","",IF(G95="","",IF(Besatzung!$B$22="","",IFERROR(IF(I95="Zeitanteilig",(Besatzung!$G$22*(G95-IFERROR(H95,0))+((Besatzung!$B$22&lt;&gt;"")*IF(B95="",1,(IF(Besatzung!$C$22="",Besatzung!$B$5,Besatzung!$C$22)&lt;=B95)*(IF(Besatzung!$D$22="",Besatzung!$B$6,Besatzung!$D$22)&gt;=B95)))*(Besatzung!$F$22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$22&lt;&gt;"")*IF(B95="",1,(IF(Besatzung!$C$22="",Besatzung!$B$5,Besatzung!$C$22)&lt;=B95)*(IF(Besatzung!$D$22="",Besatzung!$B$6,Besatzung!$D$22)&gt;=B95)))*((G95-IFERROR(H95,0))/IFERROR(SUMPRODUCT((Besatzung!$B$11:$B$22&lt;&gt;"")*(IF(Besatzung!$C$11:$C$22="",Besatzung!$B$5,Besatzung!$C$11:$C$22)&lt;=B95)*(IF(Besatzung!$D$11:$D$22="",Besatzung!$B$6,Besatzung!$D$11:$D$22)&gt;=B95)),1)+(Besatzung!$F$22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U95="x")*((G95-IFERROR(H95,0))/IFERROR(COUNTIF(J95:U95,"x"),1)+(Besatzung!$F$22="x")*IFERROR(H95,0)/IFERROR(SUMPRODUCT((J95:U95="x")*(Besatzung!$F$11:$F$22="x")),1))),(IF(COUNTIF(J95:U95,"x")=0,IF(Besatzung!$B$22&lt;&gt;"",1,0),(U95="x"))*(G95-IFERROR(H95,0))/IFERROR(IF(COUNTIF(J95:U95,"x")=0,COUNTA(Besatzung!$B$11:$B$22),COUNTIF(J95:U95,"x")),1)+IF(COUNTIF(J95:U95,"x")=0,(Besatzung!$F$22="x"),(U95="x")*(Besatzung!$F$22="x"))*IFERROR(H95,0)/IFERROR(IF(COUNTIF(J95:U95,"x")=0,SUMPRODUCT((Besatzung!$B$11:$B$22&lt;&gt;"")*(Besatzung!$F$11:$F$22="x")),SUMPRODUCT((J95:U95="x")*(Besatzung!$F$11:$F$22="x"))),1))))),0))))</f>
        <v/>
      </c>
      <c r="AH95" s="107" t="n"/>
      <c r="AI95" s="107" t="n"/>
    </row>
    <row r="96" ht="21.75" customHeight="1" s="182">
      <c r="A96" s="97">
        <f>IF(AND(D96="",C96=""),"",93)</f>
        <v/>
      </c>
      <c r="B96" s="56" t="n"/>
      <c r="C96" s="98" t="n"/>
      <c r="D96" s="99" t="n"/>
      <c r="E96" s="100" t="n"/>
      <c r="F96" s="101" t="n"/>
      <c r="G96" s="102" t="n"/>
      <c r="H96" s="103" t="n"/>
      <c r="I96" s="104" t="n"/>
      <c r="J96" s="105" t="n"/>
      <c r="K96" s="105" t="n"/>
      <c r="L96" s="105" t="n"/>
      <c r="M96" s="105" t="n"/>
      <c r="N96" s="105" t="n"/>
      <c r="O96" s="105" t="n"/>
      <c r="P96" s="105" t="n"/>
      <c r="Q96" s="105" t="n"/>
      <c r="R96" s="105" t="n"/>
      <c r="S96" s="105" t="n"/>
      <c r="T96" s="105" t="n"/>
      <c r="U96" s="105" t="n"/>
      <c r="V96" s="106">
        <f>IF(C96="Gutschrift","",IF(G96="","",IF(Besatzung!$B$11="","",IFERROR(IF(I96="Zeitanteilig",(Besatzung!$G$11*(G96-IFERROR(H96,0))+((Besatzung!$B$11&lt;&gt;"")*IF(B96="",1,(IF(Besatzung!$C$11="",Besatzung!$B$5,Besatzung!$C$11)&lt;=B96)*(IF(Besatzung!$D$11="",Besatzung!$B$6,Besatzung!$D$11)&gt;=B96)))*(Besatzung!$F$11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$11&lt;&gt;"")*IF(B96="",1,(IF(Besatzung!$C$11="",Besatzung!$B$5,Besatzung!$C$11)&lt;=B96)*(IF(Besatzung!$D$11="",Besatzung!$B$6,Besatzung!$D$11)&gt;=B96)))*((G96-IFERROR(H96,0))/IFERROR(SUMPRODUCT((Besatzung!$B$11:$B$22&lt;&gt;"")*(IF(Besatzung!$C$11:$C$22="",Besatzung!$B$5,Besatzung!$C$11:$C$22)&lt;=B96)*(IF(Besatzung!$D$11:$D$22="",Besatzung!$B$6,Besatzung!$D$11:$D$22)&gt;=B96)),1)+(Besatzung!$F$11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J96="x")*((G96-IFERROR(H96,0))/IFERROR(COUNTIF(J96:U96,"x"),1)+(Besatzung!$F$11="x")*IFERROR(H96,0)/IFERROR(SUMPRODUCT((J96:U96="x")*(Besatzung!$F$11:$F$22="x")),1))),(IF(COUNTIF(J96:U96,"x")=0,IF(Besatzung!$B$11&lt;&gt;"",1,0),(J96="x"))*(G96-IFERROR(H96,0))/IFERROR(IF(COUNTIF(J96:U96,"x")=0,COUNTA(Besatzung!$B$11:$B$22),COUNTIF(J96:U96,"x")),1)+IF(COUNTIF(J96:U96,"x")=0,(Besatzung!$F$11="x"),(J96="x")*(Besatzung!$F$11="x"))*IFERROR(H96,0)/IFERROR(IF(COUNTIF(J96:U96,"x")=0,SUMPRODUCT((Besatzung!$B$11:$B$22&lt;&gt;"")*(Besatzung!$F$11:$F$22="x")),SUMPRODUCT((J96:U96="x")*(Besatzung!$F$11:$F$22="x"))),1))))),0))))</f>
        <v/>
      </c>
      <c r="W96" s="106">
        <f>IF(C96="Gutschrift","",IF(G96="","",IF(Besatzung!$B$12="","",IFERROR(IF(I96="Zeitanteilig",(Besatzung!$G$12*(G96-IFERROR(H96,0))+((Besatzung!$B$12&lt;&gt;"")*IF(B96="",1,(IF(Besatzung!$C$12="",Besatzung!$B$5,Besatzung!$C$12)&lt;=B96)*(IF(Besatzung!$D$12="",Besatzung!$B$6,Besatzung!$D$12)&gt;=B96)))*(Besatzung!$F$12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$12&lt;&gt;"")*IF(B96="",1,(IF(Besatzung!$C$12="",Besatzung!$B$5,Besatzung!$C$12)&lt;=B96)*(IF(Besatzung!$D$12="",Besatzung!$B$6,Besatzung!$D$12)&gt;=B96)))*((G96-IFERROR(H96,0))/IFERROR(SUMPRODUCT((Besatzung!$B$11:$B$22&lt;&gt;"")*(IF(Besatzung!$C$11:$C$22="",Besatzung!$B$5,Besatzung!$C$11:$C$22)&lt;=B96)*(IF(Besatzung!$D$11:$D$22="",Besatzung!$B$6,Besatzung!$D$11:$D$22)&gt;=B96)),1)+(Besatzung!$F$12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K96="x")*((G96-IFERROR(H96,0))/IFERROR(COUNTIF(J96:U96,"x"),1)+(Besatzung!$F$12="x")*IFERROR(H96,0)/IFERROR(SUMPRODUCT((J96:U96="x")*(Besatzung!$F$11:$F$22="x")),1))),(IF(COUNTIF(J96:U96,"x")=0,IF(Besatzung!$B$12&lt;&gt;"",1,0),(K96="x"))*(G96-IFERROR(H96,0))/IFERROR(IF(COUNTIF(J96:U96,"x")=0,COUNTA(Besatzung!$B$11:$B$22),COUNTIF(J96:U96,"x")),1)+IF(COUNTIF(J96:U96,"x")=0,(Besatzung!$F$12="x"),(K96="x")*(Besatzung!$F$12="x"))*IFERROR(H96,0)/IFERROR(IF(COUNTIF(J96:U96,"x")=0,SUMPRODUCT((Besatzung!$B$11:$B$22&lt;&gt;"")*(Besatzung!$F$11:$F$22="x")),SUMPRODUCT((J96:U96="x")*(Besatzung!$F$11:$F$22="x"))),1))))),0))))</f>
        <v/>
      </c>
      <c r="X96" s="106">
        <f>IF(C96="Gutschrift","",IF(G96="","",IF(Besatzung!$B$13="","",IFERROR(IF(I96="Zeitanteilig",(Besatzung!$G$13*(G96-IFERROR(H96,0))+((Besatzung!$B$13&lt;&gt;"")*IF(B96="",1,(IF(Besatzung!$C$13="",Besatzung!$B$5,Besatzung!$C$13)&lt;=B96)*(IF(Besatzung!$D$13="",Besatzung!$B$6,Besatzung!$D$13)&gt;=B96)))*(Besatzung!$F$13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$13&lt;&gt;"")*IF(B96="",1,(IF(Besatzung!$C$13="",Besatzung!$B$5,Besatzung!$C$13)&lt;=B96)*(IF(Besatzung!$D$13="",Besatzung!$B$6,Besatzung!$D$13)&gt;=B96)))*((G96-IFERROR(H96,0))/IFERROR(SUMPRODUCT((Besatzung!$B$11:$B$22&lt;&gt;"")*(IF(Besatzung!$C$11:$C$22="",Besatzung!$B$5,Besatzung!$C$11:$C$22)&lt;=B96)*(IF(Besatzung!$D$11:$D$22="",Besatzung!$B$6,Besatzung!$D$11:$D$22)&gt;=B96)),1)+(Besatzung!$F$13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K96="x")*((G96-IFERROR(H96,0))/IFERROR(COUNTIF(J96:U96,"x"),1)+(Besatzung!$F$13="x")*IFERROR(H96,0)/IFERROR(SUMPRODUCT((J96:U96="x")*(Besatzung!$F$11:$F$22="x")),1))),(IF(COUNTIF(J96:U96,"x")=0,IF(Besatzung!$B$13&lt;&gt;"",1,0),(K96="x"))*(G96-IFERROR(H96,0))/IFERROR(IF(COUNTIF(J96:U96,"x")=0,COUNTA(Besatzung!$B$11:$B$22),COUNTIF(J96:U96,"x")),1)+IF(COUNTIF(J96:U96,"x")=0,(Besatzung!$F$13="x"),(K96="x")*(Besatzung!$F$13="x"))*IFERROR(H96,0)/IFERROR(IF(COUNTIF(J96:U96,"x")=0,SUMPRODUCT((Besatzung!$B$11:$B$22&lt;&gt;"")*(Besatzung!$F$11:$F$22="x")),SUMPRODUCT((J96:U96="x")*(Besatzung!$F$11:$F$22="x"))),1))))),0))))</f>
        <v/>
      </c>
      <c r="Y96" s="106">
        <f>IF(C96="Gutschrift","",IF(G96="","",IF(Besatzung!$B$14="","",IFERROR(IF(I96="Zeitanteilig",(Besatzung!$G$14*(G96-IFERROR(H96,0))+((Besatzung!$B$14&lt;&gt;"")*IF(B96="",1,(IF(Besatzung!$C$14="",Besatzung!$B$5,Besatzung!$C$14)&lt;=B96)*(IF(Besatzung!$D$14="",Besatzung!$B$6,Besatzung!$D$14)&gt;=B96)))*(Besatzung!$F$14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$14&lt;&gt;"")*IF(B96="",1,(IF(Besatzung!$C$14="",Besatzung!$B$5,Besatzung!$C$14)&lt;=B96)*(IF(Besatzung!$D$14="",Besatzung!$B$6,Besatzung!$D$14)&gt;=B96)))*((G96-IFERROR(H96,0))/IFERROR(SUMPRODUCT((Besatzung!$B$11:$B$22&lt;&gt;"")*(IF(Besatzung!$C$11:$C$22="",Besatzung!$B$5,Besatzung!$C$11:$C$22)&lt;=B96)*(IF(Besatzung!$D$11:$D$22="",Besatzung!$B$6,Besatzung!$D$11:$D$22)&gt;=B96)),1)+(Besatzung!$F$14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M96="x")*((G96-IFERROR(H96,0))/IFERROR(COUNTIF(J96:U96,"x"),1)+(Besatzung!$F$14="x")*IFERROR(H96,0)/IFERROR(SUMPRODUCT((J96:U96="x")*(Besatzung!$F$11:$F$22="x")),1))),(IF(COUNTIF(J96:U96,"x")=0,IF(Besatzung!$B$14&lt;&gt;"",1,0),(M96="x"))*(G96-IFERROR(H96,0))/IFERROR(IF(COUNTIF(J96:U96,"x")=0,COUNTA(Besatzung!$B$11:$B$22),COUNTIF(J96:U96,"x")),1)+IF(COUNTIF(J96:U96,"x")=0,(Besatzung!$F$14="x"),(M96="x")*(Besatzung!$F$14="x"))*IFERROR(H96,0)/IFERROR(IF(COUNTIF(J96:U96,"x")=0,SUMPRODUCT((Besatzung!$B$11:$B$22&lt;&gt;"")*(Besatzung!$F$11:$F$22="x")),SUMPRODUCT((J96:U96="x")*(Besatzung!$F$11:$F$22="x"))),1))))),0))))</f>
        <v/>
      </c>
      <c r="Z96" s="106">
        <f>IF(C96="Gutschrift","",IF(G96="","",IF(Besatzung!$B$13="","",IFERROR(IF(I96="Zeitanteilig",(Besatzung!$G$15*(G96-IFERROR(H96,0))+((Besatzung!$B$13&lt;&gt;"")*IF(B96="",1,(IF(Besatzung!$C$15="",Besatzung!$B$5,Besatzung!$C$15)&lt;=B96)*(IF(Besatzung!$D$15="",Besatzung!$B$6,Besatzung!$D$15)&gt;=B96)))*(Besatzung!$F$15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$13&lt;&gt;"")*IF(B96="",1,(IF(Besatzung!$C$15="",Besatzung!$B$5,Besatzung!$C$15)&lt;=B96)*(IF(Besatzung!$D$15="",Besatzung!$B$6,Besatzung!$D$15)&gt;=B96)))*((G96-IFERROR(H96,0))/IFERROR(SUMPRODUCT((Besatzung!$B$11:$B$22&lt;&gt;"")*(IF(Besatzung!$C$11:$C$22="",Besatzung!$B$5,Besatzung!$C$11:$C$22)&lt;=B96)*(IF(Besatzung!$D$11:$D$22="",Besatzung!$B$6,Besatzung!$D$11:$D$22)&gt;=B96)),1)+(Besatzung!$F$15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N96="x")*((G96-IFERROR(H96,0))/IFERROR(COUNTIF(J96:U96,"x"),1)+(Besatzung!$F$15="x")*IFERROR(H96,0)/IFERROR(SUMPRODUCT((J96:U96="x")*(Besatzung!$F$11:$F$22="x")),1))),(IF(COUNTIF(J96:U96,"x")=0,IF(Besatzung!$B$13&lt;&gt;"",1,0),(N96="x"))*(G96-IFERROR(H96,0))/IFERROR(IF(COUNTIF(J96:U96,"x")=0,COUNTA(Besatzung!$B$11:$B$22),COUNTIF(J96:U96,"x")),1)+IF(COUNTIF(J96:U96,"x")=0,(Besatzung!$F$15="x"),(N96="x")*(Besatzung!$F$15="x"))*IFERROR(H96,0)/IFERROR(IF(COUNTIF(J96:U96,"x")=0,SUMPRODUCT((Besatzung!$B$11:$B$22&lt;&gt;"")*(Besatzung!$F$11:$F$22="x")),SUMPRODUCT((J96:U96="x")*(Besatzung!$F$11:$F$22="x"))),1))))),0))))</f>
        <v/>
      </c>
      <c r="AA96" s="106">
        <f>IF(C96="Gutschrift","",IF(G96="","",IF(Besatzung!$B$15="","",IFERROR(IF(I96="Zeitanteilig",(Besatzung!$G$16*(G96-IFERROR(H96,0))+((Besatzung!$B$15&lt;&gt;"")*IF(B96="",1,(IF(Besatzung!$C$16="",Besatzung!$B$5,Besatzung!$C$16)&lt;=B96)*(IF(Besatzung!$D$16="",Besatzung!$B$6,Besatzung!$D$16)&gt;=B96)))*(Besatzung!$F$16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$15&lt;&gt;"")*IF(B96="",1,(IF(Besatzung!$C$16="",Besatzung!$B$5,Besatzung!$C$16)&lt;=B96)*(IF(Besatzung!$D$16="",Besatzung!$B$6,Besatzung!$D$16)&gt;=B96)))*((G96-IFERROR(H96,0))/IFERROR(SUMPRODUCT((Besatzung!$B$11:$B$22&lt;&gt;"")*(IF(Besatzung!$C$11:$C$22="",Besatzung!$B$5,Besatzung!$C$11:$C$22)&lt;=B96)*(IF(Besatzung!$D$11:$D$22="",Besatzung!$B$6,Besatzung!$D$11:$D$22)&gt;=B96)),1)+(Besatzung!$F$16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O96="x")*((G96-IFERROR(H96,0))/IFERROR(COUNTIF(J96:U96,"x"),1)+(Besatzung!$F$16="x")*IFERROR(H96,0)/IFERROR(SUMPRODUCT((J96:U96="x")*(Besatzung!$F$11:$F$22="x")),1))),(IF(COUNTIF(J96:U96,"x")=0,IF(Besatzung!$B$15&lt;&gt;"",1,0),(O96="x"))*(G96-IFERROR(H96,0))/IFERROR(IF(COUNTIF(J96:U96,"x")=0,COUNTA(Besatzung!$B$11:$B$22),COUNTIF(J96:U96,"x")),1)+IF(COUNTIF(J96:U96,"x")=0,(Besatzung!$F$16="x"),(O96="x")*(Besatzung!$F$16="x"))*IFERROR(H96,0)/IFERROR(IF(COUNTIF(J96:U96,"x")=0,SUMPRODUCT((Besatzung!$B$11:$B$22&lt;&gt;"")*(Besatzung!$F$11:$F$22="x")),SUMPRODUCT((J96:U96="x")*(Besatzung!$F$11:$F$22="x"))),1))))),0))))</f>
        <v/>
      </c>
      <c r="AB96" s="106">
        <f>IF(C96="Gutschrift","",IF(G96="","",IF(Besatzung!$B$17="","",IFERROR(IF(I96="Zeitanteilig",(Besatzung!$G$17*(G96-IFERROR(H96,0))+((Besatzung!$B$17&lt;&gt;"")*IF(B96="",1,(IF(Besatzung!$C$17="",Besatzung!$B$5,Besatzung!$C$17)&lt;=B96)*(IF(Besatzung!$D$17="",Besatzung!$B$6,Besatzung!$D$17)&gt;=B96)))*(Besatzung!$F$17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$17&lt;&gt;"")*IF(B96="",1,(IF(Besatzung!$C$17="",Besatzung!$B$5,Besatzung!$C$17)&lt;=B96)*(IF(Besatzung!$D$17="",Besatzung!$B$6,Besatzung!$D$17)&gt;=B96)))*((G96-IFERROR(H96,0))/IFERROR(SUMPRODUCT((Besatzung!$B$11:$B$22&lt;&gt;"")*(IF(Besatzung!$C$11:$C$22="",Besatzung!$B$5,Besatzung!$C$11:$C$22)&lt;=B96)*(IF(Besatzung!$D$11:$D$22="",Besatzung!$B$6,Besatzung!$D$11:$D$22)&gt;=B96)),1)+(Besatzung!$F$17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P96="x")*((G96-IFERROR(H96,0))/IFERROR(COUNTIF(J96:U96,"x"),1)+(Besatzung!$F$17="x")*IFERROR(H96,0)/IFERROR(SUMPRODUCT((J96:U96="x")*(Besatzung!$F$11:$F$22="x")),1))),(IF(COUNTIF(J96:U96,"x")=0,IF(Besatzung!$B$17&lt;&gt;"",1,0),(P96="x"))*(G96-IFERROR(H96,0))/IFERROR(IF(COUNTIF(J96:U96,"x")=0,COUNTA(Besatzung!$B$11:$B$22),COUNTIF(J96:U96,"x")),1)+IF(COUNTIF(J96:U96,"x")=0,(Besatzung!$F$17="x"),(P96="x")*(Besatzung!$F$17="x"))*IFERROR(H96,0)/IFERROR(IF(COUNTIF(J96:U96,"x")=0,SUMPRODUCT((Besatzung!$B$11:$B$22&lt;&gt;"")*(Besatzung!$F$11:$F$22="x")),SUMPRODUCT((J96:U96="x")*(Besatzung!$F$11:$F$22="x"))),1))))),0))))</f>
        <v/>
      </c>
      <c r="AC96" s="106">
        <f>IF(C96="Gutschrift","",IF(G96="","",IF(Besatzung!$B$18="","",IFERROR(IF(I96="Zeitanteilig",(Besatzung!$G$18*(G96-IFERROR(H96,0))+((Besatzung!$B$18&lt;&gt;"")*IF(B96="",1,(IF(Besatzung!$C$18="",Besatzung!$B$5,Besatzung!$C$18)&lt;=B96)*(IF(Besatzung!$D$18="",Besatzung!$B$6,Besatzung!$D$18)&gt;=B96)))*(Besatzung!$F$18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$18&lt;&gt;"")*IF(B96="",1,(IF(Besatzung!$C$18="",Besatzung!$B$5,Besatzung!$C$18)&lt;=B96)*(IF(Besatzung!$D$18="",Besatzung!$B$6,Besatzung!$D$18)&gt;=B96)))*((G96-IFERROR(H96,0))/IFERROR(SUMPRODUCT((Besatzung!$B$11:$B$22&lt;&gt;"")*(IF(Besatzung!$C$11:$C$22="",Besatzung!$B$5,Besatzung!$C$11:$C$22)&lt;=B96)*(IF(Besatzung!$D$11:$D$22="",Besatzung!$B$6,Besatzung!$D$11:$D$22)&gt;=B96)),1)+(Besatzung!$F$18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Q96="x")*((G96-IFERROR(H96,0))/IFERROR(COUNTIF(J96:U96,"x"),1)+(Besatzung!$F$18="x")*IFERROR(H96,0)/IFERROR(SUMPRODUCT((J96:U96="x")*(Besatzung!$F$11:$F$22="x")),1))),(IF(COUNTIF(J96:U96,"x")=0,IF(Besatzung!$B$18&lt;&gt;"",1,0),(Q96="x"))*(G96-IFERROR(H96,0))/IFERROR(IF(COUNTIF(J96:U96,"x")=0,COUNTA(Besatzung!$B$11:$B$22),COUNTIF(J96:U96,"x")),1)+IF(COUNTIF(J96:U96,"x")=0,(Besatzung!$F$18="x"),(Q96="x")*(Besatzung!$F$18="x"))*IFERROR(H96,0)/IFERROR(IF(COUNTIF(J96:U96,"x")=0,SUMPRODUCT((Besatzung!$B$11:$B$22&lt;&gt;"")*(Besatzung!$F$11:$F$22="x")),SUMPRODUCT((J96:U96="x")*(Besatzung!$F$11:$F$22="x"))),1))))),0))))</f>
        <v/>
      </c>
      <c r="AD96" s="106">
        <f>IF(C96="Gutschrift","",IF(G96="","",IF(Besatzung!$B$19="","",IFERROR(IF(I96="Zeitanteilig",(Besatzung!$G$19*(G96-IFERROR(H96,0))+((Besatzung!$B$19&lt;&gt;"")*IF(B96="",1,(IF(Besatzung!$C$19="",Besatzung!$B$5,Besatzung!$C$19)&lt;=B96)*(IF(Besatzung!$D$19="",Besatzung!$B$6,Besatzung!$D$19)&gt;=B96)))*(Besatzung!$F$19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$19&lt;&gt;"")*IF(B96="",1,(IF(Besatzung!$C$19="",Besatzung!$B$5,Besatzung!$C$19)&lt;=B96)*(IF(Besatzung!$D$19="",Besatzung!$B$6,Besatzung!$D$19)&gt;=B96)))*((G96-IFERROR(H96,0))/IFERROR(SUMPRODUCT((Besatzung!$B$11:$B$22&lt;&gt;"")*(IF(Besatzung!$C$11:$C$22="",Besatzung!$B$5,Besatzung!$C$11:$C$22)&lt;=B96)*(IF(Besatzung!$D$11:$D$22="",Besatzung!$B$6,Besatzung!$D$11:$D$22)&gt;=B96)),1)+(Besatzung!$F$19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R96="x")*((G96-IFERROR(H96,0))/IFERROR(COUNTIF(J96:U96,"x"),1)+(Besatzung!$F$19="x")*IFERROR(H96,0)/IFERROR(SUMPRODUCT((J96:U96="x")*(Besatzung!$F$11:$F$22="x")),1))),(IF(COUNTIF(J96:U96,"x")=0,IF(Besatzung!$B$19&lt;&gt;"",1,0),(R96="x"))*(G96-IFERROR(H96,0))/IFERROR(IF(COUNTIF(J96:U96,"x")=0,COUNTA(Besatzung!$B$11:$B$22),COUNTIF(J96:U96,"x")),1)+IF(COUNTIF(J96:U96,"x")=0,(Besatzung!$F$19="x"),(R96="x")*(Besatzung!$F$19="x"))*IFERROR(H96,0)/IFERROR(IF(COUNTIF(J96:U96,"x")=0,SUMPRODUCT((Besatzung!$B$11:$B$22&lt;&gt;"")*(Besatzung!$F$11:$F$22="x")),SUMPRODUCT((J96:U96="x")*(Besatzung!$F$11:$F$22="x"))),1))))),0))))</f>
        <v/>
      </c>
      <c r="AE96" s="106">
        <f>IF(C96="Gutschrift","",IF(G96="","",IF(Besatzung!$B$20="","",IFERROR(IF(I96="Zeitanteilig",(Besatzung!$G$20*(G96-IFERROR(H96,0))+((Besatzung!$B$20&lt;&gt;"")*IF(B96="",1,(IF(Besatzung!$C$20="",Besatzung!$B$5,Besatzung!$C$20)&lt;=B96)*(IF(Besatzung!$D$20="",Besatzung!$B$6,Besatzung!$D$20)&gt;=B96)))*(Besatzung!$F$20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$20&lt;&gt;"")*IF(B96="",1,(IF(Besatzung!$C$20="",Besatzung!$B$5,Besatzung!$C$20)&lt;=B96)*(IF(Besatzung!$D$20="",Besatzung!$B$6,Besatzung!$D$20)&gt;=B96)))*((G96-IFERROR(H96,0))/IFERROR(SUMPRODUCT((Besatzung!$B$11:$B$22&lt;&gt;"")*(IF(Besatzung!$C$11:$C$22="",Besatzung!$B$5,Besatzung!$C$11:$C$22)&lt;=B96)*(IF(Besatzung!$D$11:$D$22="",Besatzung!$B$6,Besatzung!$D$11:$D$22)&gt;=B96)),1)+(Besatzung!$F$20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S96="x")*((G96-IFERROR(H96,0))/IFERROR(COUNTIF(J96:U96,"x"),1)+(Besatzung!$F$20="x")*IFERROR(H96,0)/IFERROR(SUMPRODUCT((J96:U96="x")*(Besatzung!$F$11:$F$22="x")),1))),(IF(COUNTIF(J96:U96,"x")=0,IF(Besatzung!$B$20&lt;&gt;"",1,0),(S96="x"))*(G96-IFERROR(H96,0))/IFERROR(IF(COUNTIF(J96:U96,"x")=0,COUNTA(Besatzung!$B$11:$B$22),COUNTIF(J96:U96,"x")),1)+IF(COUNTIF(J96:U96,"x")=0,(Besatzung!$F$20="x"),(S96="x")*(Besatzung!$F$20="x"))*IFERROR(H96,0)/IFERROR(IF(COUNTIF(J96:U96,"x")=0,SUMPRODUCT((Besatzung!$B$11:$B$22&lt;&gt;"")*(Besatzung!$F$11:$F$22="x")),SUMPRODUCT((J96:U96="x")*(Besatzung!$F$11:$F$22="x"))),1))))),0))))</f>
        <v/>
      </c>
      <c r="AF96" s="106">
        <f>IF(C96="Gutschrift","",IF(G96="","",IF(Besatzung!$B$21="","",IFERROR(IF(I96="Zeitanteilig",(Besatzung!$G$21*(G96-IFERROR(H96,0))+((Besatzung!$B$21&lt;&gt;"")*IF(B96="",1,(IF(Besatzung!$C$21="",Besatzung!$B$5,Besatzung!$C$21)&lt;=B96)*(IF(Besatzung!$D$21="",Besatzung!$B$6,Besatzung!$D$21)&gt;=B96)))*(Besatzung!$F$21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$21&lt;&gt;"")*IF(B96="",1,(IF(Besatzung!$C$21="",Besatzung!$B$5,Besatzung!$C$21)&lt;=B96)*(IF(Besatzung!$D$21="",Besatzung!$B$6,Besatzung!$D$21)&gt;=B96)))*((G96-IFERROR(H96,0))/IFERROR(SUMPRODUCT((Besatzung!$B$11:$B$22&lt;&gt;"")*(IF(Besatzung!$C$11:$C$22="",Besatzung!$B$5,Besatzung!$C$11:$C$22)&lt;=B96)*(IF(Besatzung!$D$11:$D$22="",Besatzung!$B$6,Besatzung!$D$11:$D$22)&gt;=B96)),1)+(Besatzung!$F$21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T96="x")*((G96-IFERROR(H96,0))/IFERROR(COUNTIF(J96:U96,"x"),1)+(Besatzung!$F$21="x")*IFERROR(H96,0)/IFERROR(SUMPRODUCT((J96:U96="x")*(Besatzung!$F$11:$F$22="x")),1))),(IF(COUNTIF(J96:U96,"x")=0,IF(Besatzung!$B$21&lt;&gt;"",1,0),(T96="x"))*(G96-IFERROR(H96,0))/IFERROR(IF(COUNTIF(J96:U96,"x")=0,COUNTA(Besatzung!$B$11:$B$22),COUNTIF(J96:U96,"x")),1)+IF(COUNTIF(J96:U96,"x")=0,(Besatzung!$F$21="x"),(T96="x")*(Besatzung!$F$21="x"))*IFERROR(H96,0)/IFERROR(IF(COUNTIF(J96:U96,"x")=0,SUMPRODUCT((Besatzung!$B$11:$B$22&lt;&gt;"")*(Besatzung!$F$11:$F$22="x")),SUMPRODUCT((J96:U96="x")*(Besatzung!$F$11:$F$22="x"))),1))))),0))))</f>
        <v/>
      </c>
      <c r="AG96" s="106">
        <f>IF(C96="Gutschrift","",IF(G96="","",IF(Besatzung!$B$22="","",IFERROR(IF(I96="Zeitanteilig",(Besatzung!$G$22*(G96-IFERROR(H96,0))+((Besatzung!$B$22&lt;&gt;"")*IF(B96="",1,(IF(Besatzung!$C$22="",Besatzung!$B$5,Besatzung!$C$22)&lt;=B96)*(IF(Besatzung!$D$22="",Besatzung!$B$6,Besatzung!$D$22)&gt;=B96)))*(Besatzung!$F$22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$22&lt;&gt;"")*IF(B96="",1,(IF(Besatzung!$C$22="",Besatzung!$B$5,Besatzung!$C$22)&lt;=B96)*(IF(Besatzung!$D$22="",Besatzung!$B$6,Besatzung!$D$22)&gt;=B96)))*((G96-IFERROR(H96,0))/IFERROR(SUMPRODUCT((Besatzung!$B$11:$B$22&lt;&gt;"")*(IF(Besatzung!$C$11:$C$22="",Besatzung!$B$5,Besatzung!$C$11:$C$22)&lt;=B96)*(IF(Besatzung!$D$11:$D$22="",Besatzung!$B$6,Besatzung!$D$11:$D$22)&gt;=B96)),1)+(Besatzung!$F$22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U96="x")*((G96-IFERROR(H96,0))/IFERROR(COUNTIF(J96:U96,"x"),1)+(Besatzung!$F$22="x")*IFERROR(H96,0)/IFERROR(SUMPRODUCT((J96:U96="x")*(Besatzung!$F$11:$F$22="x")),1))),(IF(COUNTIF(J96:U96,"x")=0,IF(Besatzung!$B$22&lt;&gt;"",1,0),(U96="x"))*(G96-IFERROR(H96,0))/IFERROR(IF(COUNTIF(J96:U96,"x")=0,COUNTA(Besatzung!$B$11:$B$22),COUNTIF(J96:U96,"x")),1)+IF(COUNTIF(J96:U96,"x")=0,(Besatzung!$F$22="x"),(U96="x")*(Besatzung!$F$22="x"))*IFERROR(H96,0)/IFERROR(IF(COUNTIF(J96:U96,"x")=0,SUMPRODUCT((Besatzung!$B$11:$B$22&lt;&gt;"")*(Besatzung!$F$11:$F$22="x")),SUMPRODUCT((J96:U96="x")*(Besatzung!$F$11:$F$22="x"))),1))))),0))))</f>
        <v/>
      </c>
      <c r="AH96" s="107" t="n"/>
      <c r="AI96" s="107" t="n"/>
    </row>
    <row r="97" ht="21.75" customHeight="1" s="182">
      <c r="A97" s="97">
        <f>IF(AND(D97="",C97=""),"",94)</f>
        <v/>
      </c>
      <c r="B97" s="63" t="n"/>
      <c r="C97" s="108" t="n"/>
      <c r="D97" s="109" t="n"/>
      <c r="E97" s="110" t="n"/>
      <c r="F97" s="111" t="n"/>
      <c r="G97" s="112" t="n"/>
      <c r="H97" s="113" t="n"/>
      <c r="I97" s="114" t="n"/>
      <c r="J97" s="115" t="n"/>
      <c r="K97" s="115" t="n"/>
      <c r="L97" s="115" t="n"/>
      <c r="M97" s="115" t="n"/>
      <c r="N97" s="115" t="n"/>
      <c r="O97" s="115" t="n"/>
      <c r="P97" s="115" t="n"/>
      <c r="Q97" s="115" t="n"/>
      <c r="R97" s="115" t="n"/>
      <c r="S97" s="115" t="n"/>
      <c r="T97" s="115" t="n"/>
      <c r="U97" s="115" t="n"/>
      <c r="V97" s="106">
        <f>IF(C97="Gutschrift","",IF(G97="","",IF(Besatzung!$B$11="","",IFERROR(IF(I97="Zeitanteilig",(Besatzung!$G$11*(G97-IFERROR(H97,0))+((Besatzung!$B$11&lt;&gt;"")*IF(B97="",1,(IF(Besatzung!$C$11="",Besatzung!$B$5,Besatzung!$C$11)&lt;=B97)*(IF(Besatzung!$D$11="",Besatzung!$B$6,Besatzung!$D$11)&gt;=B97)))*(Besatzung!$F$11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$11&lt;&gt;"")*IF(B97="",1,(IF(Besatzung!$C$11="",Besatzung!$B$5,Besatzung!$C$11)&lt;=B97)*(IF(Besatzung!$D$11="",Besatzung!$B$6,Besatzung!$D$11)&gt;=B97)))*((G97-IFERROR(H97,0))/IFERROR(SUMPRODUCT((Besatzung!$B$11:$B$22&lt;&gt;"")*(IF(Besatzung!$C$11:$C$22="",Besatzung!$B$5,Besatzung!$C$11:$C$22)&lt;=B97)*(IF(Besatzung!$D$11:$D$22="",Besatzung!$B$6,Besatzung!$D$11:$D$22)&gt;=B97)),1)+(Besatzung!$F$11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J97="x")*((G97-IFERROR(H97,0))/IFERROR(COUNTIF(J97:U97,"x"),1)+(Besatzung!$F$11="x")*IFERROR(H97,0)/IFERROR(SUMPRODUCT((J97:U97="x")*(Besatzung!$F$11:$F$22="x")),1))),(IF(COUNTIF(J97:U97,"x")=0,IF(Besatzung!$B$11&lt;&gt;"",1,0),(J97="x"))*(G97-IFERROR(H97,0))/IFERROR(IF(COUNTIF(J97:U97,"x")=0,COUNTA(Besatzung!$B$11:$B$22),COUNTIF(J97:U97,"x")),1)+IF(COUNTIF(J97:U97,"x")=0,(Besatzung!$F$11="x"),(J97="x")*(Besatzung!$F$11="x"))*IFERROR(H97,0)/IFERROR(IF(COUNTIF(J97:U97,"x")=0,SUMPRODUCT((Besatzung!$B$11:$B$22&lt;&gt;"")*(Besatzung!$F$11:$F$22="x")),SUMPRODUCT((J97:U97="x")*(Besatzung!$F$11:$F$22="x"))),1))))),0))))</f>
        <v/>
      </c>
      <c r="W97" s="106">
        <f>IF(C97="Gutschrift","",IF(G97="","",IF(Besatzung!$B$12="","",IFERROR(IF(I97="Zeitanteilig",(Besatzung!$G$12*(G97-IFERROR(H97,0))+((Besatzung!$B$12&lt;&gt;"")*IF(B97="",1,(IF(Besatzung!$C$12="",Besatzung!$B$5,Besatzung!$C$12)&lt;=B97)*(IF(Besatzung!$D$12="",Besatzung!$B$6,Besatzung!$D$12)&gt;=B97)))*(Besatzung!$F$12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$12&lt;&gt;"")*IF(B97="",1,(IF(Besatzung!$C$12="",Besatzung!$B$5,Besatzung!$C$12)&lt;=B97)*(IF(Besatzung!$D$12="",Besatzung!$B$6,Besatzung!$D$12)&gt;=B97)))*((G97-IFERROR(H97,0))/IFERROR(SUMPRODUCT((Besatzung!$B$11:$B$22&lt;&gt;"")*(IF(Besatzung!$C$11:$C$22="",Besatzung!$B$5,Besatzung!$C$11:$C$22)&lt;=B97)*(IF(Besatzung!$D$11:$D$22="",Besatzung!$B$6,Besatzung!$D$11:$D$22)&gt;=B97)),1)+(Besatzung!$F$12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K97="x")*((G97-IFERROR(H97,0))/IFERROR(COUNTIF(J97:U97,"x"),1)+(Besatzung!$F$12="x")*IFERROR(H97,0)/IFERROR(SUMPRODUCT((J97:U97="x")*(Besatzung!$F$11:$F$22="x")),1))),(IF(COUNTIF(J97:U97,"x")=0,IF(Besatzung!$B$12&lt;&gt;"",1,0),(K97="x"))*(G97-IFERROR(H97,0))/IFERROR(IF(COUNTIF(J97:U97,"x")=0,COUNTA(Besatzung!$B$11:$B$22),COUNTIF(J97:U97,"x")),1)+IF(COUNTIF(J97:U97,"x")=0,(Besatzung!$F$12="x"),(K97="x")*(Besatzung!$F$12="x"))*IFERROR(H97,0)/IFERROR(IF(COUNTIF(J97:U97,"x")=0,SUMPRODUCT((Besatzung!$B$11:$B$22&lt;&gt;"")*(Besatzung!$F$11:$F$22="x")),SUMPRODUCT((J97:U97="x")*(Besatzung!$F$11:$F$22="x"))),1))))),0))))</f>
        <v/>
      </c>
      <c r="X97" s="106">
        <f>IF(C97="Gutschrift","",IF(G97="","",IF(Besatzung!$B$13="","",IFERROR(IF(I97="Zeitanteilig",(Besatzung!$G$13*(G97-IFERROR(H97,0))+((Besatzung!$B$13&lt;&gt;"")*IF(B97="",1,(IF(Besatzung!$C$13="",Besatzung!$B$5,Besatzung!$C$13)&lt;=B97)*(IF(Besatzung!$D$13="",Besatzung!$B$6,Besatzung!$D$13)&gt;=B97)))*(Besatzung!$F$13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$13&lt;&gt;"")*IF(B97="",1,(IF(Besatzung!$C$13="",Besatzung!$B$5,Besatzung!$C$13)&lt;=B97)*(IF(Besatzung!$D$13="",Besatzung!$B$6,Besatzung!$D$13)&gt;=B97)))*((G97-IFERROR(H97,0))/IFERROR(SUMPRODUCT((Besatzung!$B$11:$B$22&lt;&gt;"")*(IF(Besatzung!$C$11:$C$22="",Besatzung!$B$5,Besatzung!$C$11:$C$22)&lt;=B97)*(IF(Besatzung!$D$11:$D$22="",Besatzung!$B$6,Besatzung!$D$11:$D$22)&gt;=B97)),1)+(Besatzung!$F$13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K97="x")*((G97-IFERROR(H97,0))/IFERROR(COUNTIF(J97:U97,"x"),1)+(Besatzung!$F$13="x")*IFERROR(H97,0)/IFERROR(SUMPRODUCT((J97:U97="x")*(Besatzung!$F$11:$F$22="x")),1))),(IF(COUNTIF(J97:U97,"x")=0,IF(Besatzung!$B$13&lt;&gt;"",1,0),(K97="x"))*(G97-IFERROR(H97,0))/IFERROR(IF(COUNTIF(J97:U97,"x")=0,COUNTA(Besatzung!$B$11:$B$22),COUNTIF(J97:U97,"x")),1)+IF(COUNTIF(J97:U97,"x")=0,(Besatzung!$F$13="x"),(K97="x")*(Besatzung!$F$13="x"))*IFERROR(H97,0)/IFERROR(IF(COUNTIF(J97:U97,"x")=0,SUMPRODUCT((Besatzung!$B$11:$B$22&lt;&gt;"")*(Besatzung!$F$11:$F$22="x")),SUMPRODUCT((J97:U97="x")*(Besatzung!$F$11:$F$22="x"))),1))))),0))))</f>
        <v/>
      </c>
      <c r="Y97" s="106">
        <f>IF(C97="Gutschrift","",IF(G97="","",IF(Besatzung!$B$14="","",IFERROR(IF(I97="Zeitanteilig",(Besatzung!$G$14*(G97-IFERROR(H97,0))+((Besatzung!$B$14&lt;&gt;"")*IF(B97="",1,(IF(Besatzung!$C$14="",Besatzung!$B$5,Besatzung!$C$14)&lt;=B97)*(IF(Besatzung!$D$14="",Besatzung!$B$6,Besatzung!$D$14)&gt;=B97)))*(Besatzung!$F$14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$14&lt;&gt;"")*IF(B97="",1,(IF(Besatzung!$C$14="",Besatzung!$B$5,Besatzung!$C$14)&lt;=B97)*(IF(Besatzung!$D$14="",Besatzung!$B$6,Besatzung!$D$14)&gt;=B97)))*((G97-IFERROR(H97,0))/IFERROR(SUMPRODUCT((Besatzung!$B$11:$B$22&lt;&gt;"")*(IF(Besatzung!$C$11:$C$22="",Besatzung!$B$5,Besatzung!$C$11:$C$22)&lt;=B97)*(IF(Besatzung!$D$11:$D$22="",Besatzung!$B$6,Besatzung!$D$11:$D$22)&gt;=B97)),1)+(Besatzung!$F$14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M97="x")*((G97-IFERROR(H97,0))/IFERROR(COUNTIF(J97:U97,"x"),1)+(Besatzung!$F$14="x")*IFERROR(H97,0)/IFERROR(SUMPRODUCT((J97:U97="x")*(Besatzung!$F$11:$F$22="x")),1))),(IF(COUNTIF(J97:U97,"x")=0,IF(Besatzung!$B$14&lt;&gt;"",1,0),(M97="x"))*(G97-IFERROR(H97,0))/IFERROR(IF(COUNTIF(J97:U97,"x")=0,COUNTA(Besatzung!$B$11:$B$22),COUNTIF(J97:U97,"x")),1)+IF(COUNTIF(J97:U97,"x")=0,(Besatzung!$F$14="x"),(M97="x")*(Besatzung!$F$14="x"))*IFERROR(H97,0)/IFERROR(IF(COUNTIF(J97:U97,"x")=0,SUMPRODUCT((Besatzung!$B$11:$B$22&lt;&gt;"")*(Besatzung!$F$11:$F$22="x")),SUMPRODUCT((J97:U97="x")*(Besatzung!$F$11:$F$22="x"))),1))))),0))))</f>
        <v/>
      </c>
      <c r="Z97" s="106">
        <f>IF(C97="Gutschrift","",IF(G97="","",IF(Besatzung!$B$13="","",IFERROR(IF(I97="Zeitanteilig",(Besatzung!$G$15*(G97-IFERROR(H97,0))+((Besatzung!$B$13&lt;&gt;"")*IF(B97="",1,(IF(Besatzung!$C$15="",Besatzung!$B$5,Besatzung!$C$15)&lt;=B97)*(IF(Besatzung!$D$15="",Besatzung!$B$6,Besatzung!$D$15)&gt;=B97)))*(Besatzung!$F$15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$13&lt;&gt;"")*IF(B97="",1,(IF(Besatzung!$C$15="",Besatzung!$B$5,Besatzung!$C$15)&lt;=B97)*(IF(Besatzung!$D$15="",Besatzung!$B$6,Besatzung!$D$15)&gt;=B97)))*((G97-IFERROR(H97,0))/IFERROR(SUMPRODUCT((Besatzung!$B$11:$B$22&lt;&gt;"")*(IF(Besatzung!$C$11:$C$22="",Besatzung!$B$5,Besatzung!$C$11:$C$22)&lt;=B97)*(IF(Besatzung!$D$11:$D$22="",Besatzung!$B$6,Besatzung!$D$11:$D$22)&gt;=B97)),1)+(Besatzung!$F$15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N97="x")*((G97-IFERROR(H97,0))/IFERROR(COUNTIF(J97:U97,"x"),1)+(Besatzung!$F$15="x")*IFERROR(H97,0)/IFERROR(SUMPRODUCT((J97:U97="x")*(Besatzung!$F$11:$F$22="x")),1))),(IF(COUNTIF(J97:U97,"x")=0,IF(Besatzung!$B$13&lt;&gt;"",1,0),(N97="x"))*(G97-IFERROR(H97,0))/IFERROR(IF(COUNTIF(J97:U97,"x")=0,COUNTA(Besatzung!$B$11:$B$22),COUNTIF(J97:U97,"x")),1)+IF(COUNTIF(J97:U97,"x")=0,(Besatzung!$F$15="x"),(N97="x")*(Besatzung!$F$15="x"))*IFERROR(H97,0)/IFERROR(IF(COUNTIF(J97:U97,"x")=0,SUMPRODUCT((Besatzung!$B$11:$B$22&lt;&gt;"")*(Besatzung!$F$11:$F$22="x")),SUMPRODUCT((J97:U97="x")*(Besatzung!$F$11:$F$22="x"))),1))))),0))))</f>
        <v/>
      </c>
      <c r="AA97" s="106">
        <f>IF(C97="Gutschrift","",IF(G97="","",IF(Besatzung!$B$15="","",IFERROR(IF(I97="Zeitanteilig",(Besatzung!$G$16*(G97-IFERROR(H97,0))+((Besatzung!$B$15&lt;&gt;"")*IF(B97="",1,(IF(Besatzung!$C$16="",Besatzung!$B$5,Besatzung!$C$16)&lt;=B97)*(IF(Besatzung!$D$16="",Besatzung!$B$6,Besatzung!$D$16)&gt;=B97)))*(Besatzung!$F$16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$15&lt;&gt;"")*IF(B97="",1,(IF(Besatzung!$C$16="",Besatzung!$B$5,Besatzung!$C$16)&lt;=B97)*(IF(Besatzung!$D$16="",Besatzung!$B$6,Besatzung!$D$16)&gt;=B97)))*((G97-IFERROR(H97,0))/IFERROR(SUMPRODUCT((Besatzung!$B$11:$B$22&lt;&gt;"")*(IF(Besatzung!$C$11:$C$22="",Besatzung!$B$5,Besatzung!$C$11:$C$22)&lt;=B97)*(IF(Besatzung!$D$11:$D$22="",Besatzung!$B$6,Besatzung!$D$11:$D$22)&gt;=B97)),1)+(Besatzung!$F$16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O97="x")*((G97-IFERROR(H97,0))/IFERROR(COUNTIF(J97:U97,"x"),1)+(Besatzung!$F$16="x")*IFERROR(H97,0)/IFERROR(SUMPRODUCT((J97:U97="x")*(Besatzung!$F$11:$F$22="x")),1))),(IF(COUNTIF(J97:U97,"x")=0,IF(Besatzung!$B$15&lt;&gt;"",1,0),(O97="x"))*(G97-IFERROR(H97,0))/IFERROR(IF(COUNTIF(J97:U97,"x")=0,COUNTA(Besatzung!$B$11:$B$22),COUNTIF(J97:U97,"x")),1)+IF(COUNTIF(J97:U97,"x")=0,(Besatzung!$F$16="x"),(O97="x")*(Besatzung!$F$16="x"))*IFERROR(H97,0)/IFERROR(IF(COUNTIF(J97:U97,"x")=0,SUMPRODUCT((Besatzung!$B$11:$B$22&lt;&gt;"")*(Besatzung!$F$11:$F$22="x")),SUMPRODUCT((J97:U97="x")*(Besatzung!$F$11:$F$22="x"))),1))))),0))))</f>
        <v/>
      </c>
      <c r="AB97" s="106">
        <f>IF(C97="Gutschrift","",IF(G97="","",IF(Besatzung!$B$17="","",IFERROR(IF(I97="Zeitanteilig",(Besatzung!$G$17*(G97-IFERROR(H97,0))+((Besatzung!$B$17&lt;&gt;"")*IF(B97="",1,(IF(Besatzung!$C$17="",Besatzung!$B$5,Besatzung!$C$17)&lt;=B97)*(IF(Besatzung!$D$17="",Besatzung!$B$6,Besatzung!$D$17)&gt;=B97)))*(Besatzung!$F$17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$17&lt;&gt;"")*IF(B97="",1,(IF(Besatzung!$C$17="",Besatzung!$B$5,Besatzung!$C$17)&lt;=B97)*(IF(Besatzung!$D$17="",Besatzung!$B$6,Besatzung!$D$17)&gt;=B97)))*((G97-IFERROR(H97,0))/IFERROR(SUMPRODUCT((Besatzung!$B$11:$B$22&lt;&gt;"")*(IF(Besatzung!$C$11:$C$22="",Besatzung!$B$5,Besatzung!$C$11:$C$22)&lt;=B97)*(IF(Besatzung!$D$11:$D$22="",Besatzung!$B$6,Besatzung!$D$11:$D$22)&gt;=B97)),1)+(Besatzung!$F$17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P97="x")*((G97-IFERROR(H97,0))/IFERROR(COUNTIF(J97:U97,"x"),1)+(Besatzung!$F$17="x")*IFERROR(H97,0)/IFERROR(SUMPRODUCT((J97:U97="x")*(Besatzung!$F$11:$F$22="x")),1))),(IF(COUNTIF(J97:U97,"x")=0,IF(Besatzung!$B$17&lt;&gt;"",1,0),(P97="x"))*(G97-IFERROR(H97,0))/IFERROR(IF(COUNTIF(J97:U97,"x")=0,COUNTA(Besatzung!$B$11:$B$22),COUNTIF(J97:U97,"x")),1)+IF(COUNTIF(J97:U97,"x")=0,(Besatzung!$F$17="x"),(P97="x")*(Besatzung!$F$17="x"))*IFERROR(H97,0)/IFERROR(IF(COUNTIF(J97:U97,"x")=0,SUMPRODUCT((Besatzung!$B$11:$B$22&lt;&gt;"")*(Besatzung!$F$11:$F$22="x")),SUMPRODUCT((J97:U97="x")*(Besatzung!$F$11:$F$22="x"))),1))))),0))))</f>
        <v/>
      </c>
      <c r="AC97" s="106">
        <f>IF(C97="Gutschrift","",IF(G97="","",IF(Besatzung!$B$18="","",IFERROR(IF(I97="Zeitanteilig",(Besatzung!$G$18*(G97-IFERROR(H97,0))+((Besatzung!$B$18&lt;&gt;"")*IF(B97="",1,(IF(Besatzung!$C$18="",Besatzung!$B$5,Besatzung!$C$18)&lt;=B97)*(IF(Besatzung!$D$18="",Besatzung!$B$6,Besatzung!$D$18)&gt;=B97)))*(Besatzung!$F$18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$18&lt;&gt;"")*IF(B97="",1,(IF(Besatzung!$C$18="",Besatzung!$B$5,Besatzung!$C$18)&lt;=B97)*(IF(Besatzung!$D$18="",Besatzung!$B$6,Besatzung!$D$18)&gt;=B97)))*((G97-IFERROR(H97,0))/IFERROR(SUMPRODUCT((Besatzung!$B$11:$B$22&lt;&gt;"")*(IF(Besatzung!$C$11:$C$22="",Besatzung!$B$5,Besatzung!$C$11:$C$22)&lt;=B97)*(IF(Besatzung!$D$11:$D$22="",Besatzung!$B$6,Besatzung!$D$11:$D$22)&gt;=B97)),1)+(Besatzung!$F$18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Q97="x")*((G97-IFERROR(H97,0))/IFERROR(COUNTIF(J97:U97,"x"),1)+(Besatzung!$F$18="x")*IFERROR(H97,0)/IFERROR(SUMPRODUCT((J97:U97="x")*(Besatzung!$F$11:$F$22="x")),1))),(IF(COUNTIF(J97:U97,"x")=0,IF(Besatzung!$B$18&lt;&gt;"",1,0),(Q97="x"))*(G97-IFERROR(H97,0))/IFERROR(IF(COUNTIF(J97:U97,"x")=0,COUNTA(Besatzung!$B$11:$B$22),COUNTIF(J97:U97,"x")),1)+IF(COUNTIF(J97:U97,"x")=0,(Besatzung!$F$18="x"),(Q97="x")*(Besatzung!$F$18="x"))*IFERROR(H97,0)/IFERROR(IF(COUNTIF(J97:U97,"x")=0,SUMPRODUCT((Besatzung!$B$11:$B$22&lt;&gt;"")*(Besatzung!$F$11:$F$22="x")),SUMPRODUCT((J97:U97="x")*(Besatzung!$F$11:$F$22="x"))),1))))),0))))</f>
        <v/>
      </c>
      <c r="AD97" s="106">
        <f>IF(C97="Gutschrift","",IF(G97="","",IF(Besatzung!$B$19="","",IFERROR(IF(I97="Zeitanteilig",(Besatzung!$G$19*(G97-IFERROR(H97,0))+((Besatzung!$B$19&lt;&gt;"")*IF(B97="",1,(IF(Besatzung!$C$19="",Besatzung!$B$5,Besatzung!$C$19)&lt;=B97)*(IF(Besatzung!$D$19="",Besatzung!$B$6,Besatzung!$D$19)&gt;=B97)))*(Besatzung!$F$19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$19&lt;&gt;"")*IF(B97="",1,(IF(Besatzung!$C$19="",Besatzung!$B$5,Besatzung!$C$19)&lt;=B97)*(IF(Besatzung!$D$19="",Besatzung!$B$6,Besatzung!$D$19)&gt;=B97)))*((G97-IFERROR(H97,0))/IFERROR(SUMPRODUCT((Besatzung!$B$11:$B$22&lt;&gt;"")*(IF(Besatzung!$C$11:$C$22="",Besatzung!$B$5,Besatzung!$C$11:$C$22)&lt;=B97)*(IF(Besatzung!$D$11:$D$22="",Besatzung!$B$6,Besatzung!$D$11:$D$22)&gt;=B97)),1)+(Besatzung!$F$19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R97="x")*((G97-IFERROR(H97,0))/IFERROR(COUNTIF(J97:U97,"x"),1)+(Besatzung!$F$19="x")*IFERROR(H97,0)/IFERROR(SUMPRODUCT((J97:U97="x")*(Besatzung!$F$11:$F$22="x")),1))),(IF(COUNTIF(J97:U97,"x")=0,IF(Besatzung!$B$19&lt;&gt;"",1,0),(R97="x"))*(G97-IFERROR(H97,0))/IFERROR(IF(COUNTIF(J97:U97,"x")=0,COUNTA(Besatzung!$B$11:$B$22),COUNTIF(J97:U97,"x")),1)+IF(COUNTIF(J97:U97,"x")=0,(Besatzung!$F$19="x"),(R97="x")*(Besatzung!$F$19="x"))*IFERROR(H97,0)/IFERROR(IF(COUNTIF(J97:U97,"x")=0,SUMPRODUCT((Besatzung!$B$11:$B$22&lt;&gt;"")*(Besatzung!$F$11:$F$22="x")),SUMPRODUCT((J97:U97="x")*(Besatzung!$F$11:$F$22="x"))),1))))),0))))</f>
        <v/>
      </c>
      <c r="AE97" s="106">
        <f>IF(C97="Gutschrift","",IF(G97="","",IF(Besatzung!$B$20="","",IFERROR(IF(I97="Zeitanteilig",(Besatzung!$G$20*(G97-IFERROR(H97,0))+((Besatzung!$B$20&lt;&gt;"")*IF(B97="",1,(IF(Besatzung!$C$20="",Besatzung!$B$5,Besatzung!$C$20)&lt;=B97)*(IF(Besatzung!$D$20="",Besatzung!$B$6,Besatzung!$D$20)&gt;=B97)))*(Besatzung!$F$20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$20&lt;&gt;"")*IF(B97="",1,(IF(Besatzung!$C$20="",Besatzung!$B$5,Besatzung!$C$20)&lt;=B97)*(IF(Besatzung!$D$20="",Besatzung!$B$6,Besatzung!$D$20)&gt;=B97)))*((G97-IFERROR(H97,0))/IFERROR(SUMPRODUCT((Besatzung!$B$11:$B$22&lt;&gt;"")*(IF(Besatzung!$C$11:$C$22="",Besatzung!$B$5,Besatzung!$C$11:$C$22)&lt;=B97)*(IF(Besatzung!$D$11:$D$22="",Besatzung!$B$6,Besatzung!$D$11:$D$22)&gt;=B97)),1)+(Besatzung!$F$20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S97="x")*((G97-IFERROR(H97,0))/IFERROR(COUNTIF(J97:U97,"x"),1)+(Besatzung!$F$20="x")*IFERROR(H97,0)/IFERROR(SUMPRODUCT((J97:U97="x")*(Besatzung!$F$11:$F$22="x")),1))),(IF(COUNTIF(J97:U97,"x")=0,IF(Besatzung!$B$20&lt;&gt;"",1,0),(S97="x"))*(G97-IFERROR(H97,0))/IFERROR(IF(COUNTIF(J97:U97,"x")=0,COUNTA(Besatzung!$B$11:$B$22),COUNTIF(J97:U97,"x")),1)+IF(COUNTIF(J97:U97,"x")=0,(Besatzung!$F$20="x"),(S97="x")*(Besatzung!$F$20="x"))*IFERROR(H97,0)/IFERROR(IF(COUNTIF(J97:U97,"x")=0,SUMPRODUCT((Besatzung!$B$11:$B$22&lt;&gt;"")*(Besatzung!$F$11:$F$22="x")),SUMPRODUCT((J97:U97="x")*(Besatzung!$F$11:$F$22="x"))),1))))),0))))</f>
        <v/>
      </c>
      <c r="AF97" s="106">
        <f>IF(C97="Gutschrift","",IF(G97="","",IF(Besatzung!$B$21="","",IFERROR(IF(I97="Zeitanteilig",(Besatzung!$G$21*(G97-IFERROR(H97,0))+((Besatzung!$B$21&lt;&gt;"")*IF(B97="",1,(IF(Besatzung!$C$21="",Besatzung!$B$5,Besatzung!$C$21)&lt;=B97)*(IF(Besatzung!$D$21="",Besatzung!$B$6,Besatzung!$D$21)&gt;=B97)))*(Besatzung!$F$21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$21&lt;&gt;"")*IF(B97="",1,(IF(Besatzung!$C$21="",Besatzung!$B$5,Besatzung!$C$21)&lt;=B97)*(IF(Besatzung!$D$21="",Besatzung!$B$6,Besatzung!$D$21)&gt;=B97)))*((G97-IFERROR(H97,0))/IFERROR(SUMPRODUCT((Besatzung!$B$11:$B$22&lt;&gt;"")*(IF(Besatzung!$C$11:$C$22="",Besatzung!$B$5,Besatzung!$C$11:$C$22)&lt;=B97)*(IF(Besatzung!$D$11:$D$22="",Besatzung!$B$6,Besatzung!$D$11:$D$22)&gt;=B97)),1)+(Besatzung!$F$21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T97="x")*((G97-IFERROR(H97,0))/IFERROR(COUNTIF(J97:U97,"x"),1)+(Besatzung!$F$21="x")*IFERROR(H97,0)/IFERROR(SUMPRODUCT((J97:U97="x")*(Besatzung!$F$11:$F$22="x")),1))),(IF(COUNTIF(J97:U97,"x")=0,IF(Besatzung!$B$21&lt;&gt;"",1,0),(T97="x"))*(G97-IFERROR(H97,0))/IFERROR(IF(COUNTIF(J97:U97,"x")=0,COUNTA(Besatzung!$B$11:$B$22),COUNTIF(J97:U97,"x")),1)+IF(COUNTIF(J97:U97,"x")=0,(Besatzung!$F$21="x"),(T97="x")*(Besatzung!$F$21="x"))*IFERROR(H97,0)/IFERROR(IF(COUNTIF(J97:U97,"x")=0,SUMPRODUCT((Besatzung!$B$11:$B$22&lt;&gt;"")*(Besatzung!$F$11:$F$22="x")),SUMPRODUCT((J97:U97="x")*(Besatzung!$F$11:$F$22="x"))),1))))),0))))</f>
        <v/>
      </c>
      <c r="AG97" s="106">
        <f>IF(C97="Gutschrift","",IF(G97="","",IF(Besatzung!$B$22="","",IFERROR(IF(I97="Zeitanteilig",(Besatzung!$G$22*(G97-IFERROR(H97,0))+((Besatzung!$B$22&lt;&gt;"")*IF(B97="",1,(IF(Besatzung!$C$22="",Besatzung!$B$5,Besatzung!$C$22)&lt;=B97)*(IF(Besatzung!$D$22="",Besatzung!$B$6,Besatzung!$D$22)&gt;=B97)))*(Besatzung!$F$22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$22&lt;&gt;"")*IF(B97="",1,(IF(Besatzung!$C$22="",Besatzung!$B$5,Besatzung!$C$22)&lt;=B97)*(IF(Besatzung!$D$22="",Besatzung!$B$6,Besatzung!$D$22)&gt;=B97)))*((G97-IFERROR(H97,0))/IFERROR(SUMPRODUCT((Besatzung!$B$11:$B$22&lt;&gt;"")*(IF(Besatzung!$C$11:$C$22="",Besatzung!$B$5,Besatzung!$C$11:$C$22)&lt;=B97)*(IF(Besatzung!$D$11:$D$22="",Besatzung!$B$6,Besatzung!$D$11:$D$22)&gt;=B97)),1)+(Besatzung!$F$22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U97="x")*((G97-IFERROR(H97,0))/IFERROR(COUNTIF(J97:U97,"x"),1)+(Besatzung!$F$22="x")*IFERROR(H97,0)/IFERROR(SUMPRODUCT((J97:U97="x")*(Besatzung!$F$11:$F$22="x")),1))),(IF(COUNTIF(J97:U97,"x")=0,IF(Besatzung!$B$22&lt;&gt;"",1,0),(U97="x"))*(G97-IFERROR(H97,0))/IFERROR(IF(COUNTIF(J97:U97,"x")=0,COUNTA(Besatzung!$B$11:$B$22),COUNTIF(J97:U97,"x")),1)+IF(COUNTIF(J97:U97,"x")=0,(Besatzung!$F$22="x"),(U97="x")*(Besatzung!$F$22="x"))*IFERROR(H97,0)/IFERROR(IF(COUNTIF(J97:U97,"x")=0,SUMPRODUCT((Besatzung!$B$11:$B$22&lt;&gt;"")*(Besatzung!$F$11:$F$22="x")),SUMPRODUCT((J97:U97="x")*(Besatzung!$F$11:$F$22="x"))),1))))),0))))</f>
        <v/>
      </c>
      <c r="AH97" s="107" t="n"/>
      <c r="AI97" s="107" t="n"/>
    </row>
    <row r="98" ht="21.75" customHeight="1" s="182">
      <c r="A98" s="97">
        <f>IF(AND(D98="",C98=""),"",95)</f>
        <v/>
      </c>
      <c r="B98" s="56" t="n"/>
      <c r="C98" s="98" t="n"/>
      <c r="D98" s="99" t="n"/>
      <c r="E98" s="100" t="n"/>
      <c r="F98" s="101" t="n"/>
      <c r="G98" s="102" t="n"/>
      <c r="H98" s="103" t="n"/>
      <c r="I98" s="104" t="n"/>
      <c r="J98" s="105" t="n"/>
      <c r="K98" s="105" t="n"/>
      <c r="L98" s="105" t="n"/>
      <c r="M98" s="105" t="n"/>
      <c r="N98" s="105" t="n"/>
      <c r="O98" s="105" t="n"/>
      <c r="P98" s="105" t="n"/>
      <c r="Q98" s="105" t="n"/>
      <c r="R98" s="105" t="n"/>
      <c r="S98" s="105" t="n"/>
      <c r="T98" s="105" t="n"/>
      <c r="U98" s="105" t="n"/>
      <c r="V98" s="106">
        <f>IF(C98="Gutschrift","",IF(G98="","",IF(Besatzung!$B$11="","",IFERROR(IF(I98="Zeitanteilig",(Besatzung!$G$11*(G98-IFERROR(H98,0))+((Besatzung!$B$11&lt;&gt;"")*IF(B98="",1,(IF(Besatzung!$C$11="",Besatzung!$B$5,Besatzung!$C$11)&lt;=B98)*(IF(Besatzung!$D$11="",Besatzung!$B$6,Besatzung!$D$11)&gt;=B98)))*(Besatzung!$F$11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$11&lt;&gt;"")*IF(B98="",1,(IF(Besatzung!$C$11="",Besatzung!$B$5,Besatzung!$C$11)&lt;=B98)*(IF(Besatzung!$D$11="",Besatzung!$B$6,Besatzung!$D$11)&gt;=B98)))*((G98-IFERROR(H98,0))/IFERROR(SUMPRODUCT((Besatzung!$B$11:$B$22&lt;&gt;"")*(IF(Besatzung!$C$11:$C$22="",Besatzung!$B$5,Besatzung!$C$11:$C$22)&lt;=B98)*(IF(Besatzung!$D$11:$D$22="",Besatzung!$B$6,Besatzung!$D$11:$D$22)&gt;=B98)),1)+(Besatzung!$F$11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J98="x")*((G98-IFERROR(H98,0))/IFERROR(COUNTIF(J98:U98,"x"),1)+(Besatzung!$F$11="x")*IFERROR(H98,0)/IFERROR(SUMPRODUCT((J98:U98="x")*(Besatzung!$F$11:$F$22="x")),1))),(IF(COUNTIF(J98:U98,"x")=0,IF(Besatzung!$B$11&lt;&gt;"",1,0),(J98="x"))*(G98-IFERROR(H98,0))/IFERROR(IF(COUNTIF(J98:U98,"x")=0,COUNTA(Besatzung!$B$11:$B$22),COUNTIF(J98:U98,"x")),1)+IF(COUNTIF(J98:U98,"x")=0,(Besatzung!$F$11="x"),(J98="x")*(Besatzung!$F$11="x"))*IFERROR(H98,0)/IFERROR(IF(COUNTIF(J98:U98,"x")=0,SUMPRODUCT((Besatzung!$B$11:$B$22&lt;&gt;"")*(Besatzung!$F$11:$F$22="x")),SUMPRODUCT((J98:U98="x")*(Besatzung!$F$11:$F$22="x"))),1))))),0))))</f>
        <v/>
      </c>
      <c r="W98" s="106">
        <f>IF(C98="Gutschrift","",IF(G98="","",IF(Besatzung!$B$12="","",IFERROR(IF(I98="Zeitanteilig",(Besatzung!$G$12*(G98-IFERROR(H98,0))+((Besatzung!$B$12&lt;&gt;"")*IF(B98="",1,(IF(Besatzung!$C$12="",Besatzung!$B$5,Besatzung!$C$12)&lt;=B98)*(IF(Besatzung!$D$12="",Besatzung!$B$6,Besatzung!$D$12)&gt;=B98)))*(Besatzung!$F$12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$12&lt;&gt;"")*IF(B98="",1,(IF(Besatzung!$C$12="",Besatzung!$B$5,Besatzung!$C$12)&lt;=B98)*(IF(Besatzung!$D$12="",Besatzung!$B$6,Besatzung!$D$12)&gt;=B98)))*((G98-IFERROR(H98,0))/IFERROR(SUMPRODUCT((Besatzung!$B$11:$B$22&lt;&gt;"")*(IF(Besatzung!$C$11:$C$22="",Besatzung!$B$5,Besatzung!$C$11:$C$22)&lt;=B98)*(IF(Besatzung!$D$11:$D$22="",Besatzung!$B$6,Besatzung!$D$11:$D$22)&gt;=B98)),1)+(Besatzung!$F$12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K98="x")*((G98-IFERROR(H98,0))/IFERROR(COUNTIF(J98:U98,"x"),1)+(Besatzung!$F$12="x")*IFERROR(H98,0)/IFERROR(SUMPRODUCT((J98:U98="x")*(Besatzung!$F$11:$F$22="x")),1))),(IF(COUNTIF(J98:U98,"x")=0,IF(Besatzung!$B$12&lt;&gt;"",1,0),(K98="x"))*(G98-IFERROR(H98,0))/IFERROR(IF(COUNTIF(J98:U98,"x")=0,COUNTA(Besatzung!$B$11:$B$22),COUNTIF(J98:U98,"x")),1)+IF(COUNTIF(J98:U98,"x")=0,(Besatzung!$F$12="x"),(K98="x")*(Besatzung!$F$12="x"))*IFERROR(H98,0)/IFERROR(IF(COUNTIF(J98:U98,"x")=0,SUMPRODUCT((Besatzung!$B$11:$B$22&lt;&gt;"")*(Besatzung!$F$11:$F$22="x")),SUMPRODUCT((J98:U98="x")*(Besatzung!$F$11:$F$22="x"))),1))))),0))))</f>
        <v/>
      </c>
      <c r="X98" s="106">
        <f>IF(C98="Gutschrift","",IF(G98="","",IF(Besatzung!$B$13="","",IFERROR(IF(I98="Zeitanteilig",(Besatzung!$G$13*(G98-IFERROR(H98,0))+((Besatzung!$B$13&lt;&gt;"")*IF(B98="",1,(IF(Besatzung!$C$13="",Besatzung!$B$5,Besatzung!$C$13)&lt;=B98)*(IF(Besatzung!$D$13="",Besatzung!$B$6,Besatzung!$D$13)&gt;=B98)))*(Besatzung!$F$13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$13&lt;&gt;"")*IF(B98="",1,(IF(Besatzung!$C$13="",Besatzung!$B$5,Besatzung!$C$13)&lt;=B98)*(IF(Besatzung!$D$13="",Besatzung!$B$6,Besatzung!$D$13)&gt;=B98)))*((G98-IFERROR(H98,0))/IFERROR(SUMPRODUCT((Besatzung!$B$11:$B$22&lt;&gt;"")*(IF(Besatzung!$C$11:$C$22="",Besatzung!$B$5,Besatzung!$C$11:$C$22)&lt;=B98)*(IF(Besatzung!$D$11:$D$22="",Besatzung!$B$6,Besatzung!$D$11:$D$22)&gt;=B98)),1)+(Besatzung!$F$13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K98="x")*((G98-IFERROR(H98,0))/IFERROR(COUNTIF(J98:U98,"x"),1)+(Besatzung!$F$13="x")*IFERROR(H98,0)/IFERROR(SUMPRODUCT((J98:U98="x")*(Besatzung!$F$11:$F$22="x")),1))),(IF(COUNTIF(J98:U98,"x")=0,IF(Besatzung!$B$13&lt;&gt;"",1,0),(K98="x"))*(G98-IFERROR(H98,0))/IFERROR(IF(COUNTIF(J98:U98,"x")=0,COUNTA(Besatzung!$B$11:$B$22),COUNTIF(J98:U98,"x")),1)+IF(COUNTIF(J98:U98,"x")=0,(Besatzung!$F$13="x"),(K98="x")*(Besatzung!$F$13="x"))*IFERROR(H98,0)/IFERROR(IF(COUNTIF(J98:U98,"x")=0,SUMPRODUCT((Besatzung!$B$11:$B$22&lt;&gt;"")*(Besatzung!$F$11:$F$22="x")),SUMPRODUCT((J98:U98="x")*(Besatzung!$F$11:$F$22="x"))),1))))),0))))</f>
        <v/>
      </c>
      <c r="Y98" s="106">
        <f>IF(C98="Gutschrift","",IF(G98="","",IF(Besatzung!$B$14="","",IFERROR(IF(I98="Zeitanteilig",(Besatzung!$G$14*(G98-IFERROR(H98,0))+((Besatzung!$B$14&lt;&gt;"")*IF(B98="",1,(IF(Besatzung!$C$14="",Besatzung!$B$5,Besatzung!$C$14)&lt;=B98)*(IF(Besatzung!$D$14="",Besatzung!$B$6,Besatzung!$D$14)&gt;=B98)))*(Besatzung!$F$14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$14&lt;&gt;"")*IF(B98="",1,(IF(Besatzung!$C$14="",Besatzung!$B$5,Besatzung!$C$14)&lt;=B98)*(IF(Besatzung!$D$14="",Besatzung!$B$6,Besatzung!$D$14)&gt;=B98)))*((G98-IFERROR(H98,0))/IFERROR(SUMPRODUCT((Besatzung!$B$11:$B$22&lt;&gt;"")*(IF(Besatzung!$C$11:$C$22="",Besatzung!$B$5,Besatzung!$C$11:$C$22)&lt;=B98)*(IF(Besatzung!$D$11:$D$22="",Besatzung!$B$6,Besatzung!$D$11:$D$22)&gt;=B98)),1)+(Besatzung!$F$14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M98="x")*((G98-IFERROR(H98,0))/IFERROR(COUNTIF(J98:U98,"x"),1)+(Besatzung!$F$14="x")*IFERROR(H98,0)/IFERROR(SUMPRODUCT((J98:U98="x")*(Besatzung!$F$11:$F$22="x")),1))),(IF(COUNTIF(J98:U98,"x")=0,IF(Besatzung!$B$14&lt;&gt;"",1,0),(M98="x"))*(G98-IFERROR(H98,0))/IFERROR(IF(COUNTIF(J98:U98,"x")=0,COUNTA(Besatzung!$B$11:$B$22),COUNTIF(J98:U98,"x")),1)+IF(COUNTIF(J98:U98,"x")=0,(Besatzung!$F$14="x"),(M98="x")*(Besatzung!$F$14="x"))*IFERROR(H98,0)/IFERROR(IF(COUNTIF(J98:U98,"x")=0,SUMPRODUCT((Besatzung!$B$11:$B$22&lt;&gt;"")*(Besatzung!$F$11:$F$22="x")),SUMPRODUCT((J98:U98="x")*(Besatzung!$F$11:$F$22="x"))),1))))),0))))</f>
        <v/>
      </c>
      <c r="Z98" s="106">
        <f>IF(C98="Gutschrift","",IF(G98="","",IF(Besatzung!$B$13="","",IFERROR(IF(I98="Zeitanteilig",(Besatzung!$G$15*(G98-IFERROR(H98,0))+((Besatzung!$B$13&lt;&gt;"")*IF(B98="",1,(IF(Besatzung!$C$15="",Besatzung!$B$5,Besatzung!$C$15)&lt;=B98)*(IF(Besatzung!$D$15="",Besatzung!$B$6,Besatzung!$D$15)&gt;=B98)))*(Besatzung!$F$15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$13&lt;&gt;"")*IF(B98="",1,(IF(Besatzung!$C$15="",Besatzung!$B$5,Besatzung!$C$15)&lt;=B98)*(IF(Besatzung!$D$15="",Besatzung!$B$6,Besatzung!$D$15)&gt;=B98)))*((G98-IFERROR(H98,0))/IFERROR(SUMPRODUCT((Besatzung!$B$11:$B$22&lt;&gt;"")*(IF(Besatzung!$C$11:$C$22="",Besatzung!$B$5,Besatzung!$C$11:$C$22)&lt;=B98)*(IF(Besatzung!$D$11:$D$22="",Besatzung!$B$6,Besatzung!$D$11:$D$22)&gt;=B98)),1)+(Besatzung!$F$15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N98="x")*((G98-IFERROR(H98,0))/IFERROR(COUNTIF(J98:U98,"x"),1)+(Besatzung!$F$15="x")*IFERROR(H98,0)/IFERROR(SUMPRODUCT((J98:U98="x")*(Besatzung!$F$11:$F$22="x")),1))),(IF(COUNTIF(J98:U98,"x")=0,IF(Besatzung!$B$13&lt;&gt;"",1,0),(N98="x"))*(G98-IFERROR(H98,0))/IFERROR(IF(COUNTIF(J98:U98,"x")=0,COUNTA(Besatzung!$B$11:$B$22),COUNTIF(J98:U98,"x")),1)+IF(COUNTIF(J98:U98,"x")=0,(Besatzung!$F$15="x"),(N98="x")*(Besatzung!$F$15="x"))*IFERROR(H98,0)/IFERROR(IF(COUNTIF(J98:U98,"x")=0,SUMPRODUCT((Besatzung!$B$11:$B$22&lt;&gt;"")*(Besatzung!$F$11:$F$22="x")),SUMPRODUCT((J98:U98="x")*(Besatzung!$F$11:$F$22="x"))),1))))),0))))</f>
        <v/>
      </c>
      <c r="AA98" s="106">
        <f>IF(C98="Gutschrift","",IF(G98="","",IF(Besatzung!$B$15="","",IFERROR(IF(I98="Zeitanteilig",(Besatzung!$G$16*(G98-IFERROR(H98,0))+((Besatzung!$B$15&lt;&gt;"")*IF(B98="",1,(IF(Besatzung!$C$16="",Besatzung!$B$5,Besatzung!$C$16)&lt;=B98)*(IF(Besatzung!$D$16="",Besatzung!$B$6,Besatzung!$D$16)&gt;=B98)))*(Besatzung!$F$16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$15&lt;&gt;"")*IF(B98="",1,(IF(Besatzung!$C$16="",Besatzung!$B$5,Besatzung!$C$16)&lt;=B98)*(IF(Besatzung!$D$16="",Besatzung!$B$6,Besatzung!$D$16)&gt;=B98)))*((G98-IFERROR(H98,0))/IFERROR(SUMPRODUCT((Besatzung!$B$11:$B$22&lt;&gt;"")*(IF(Besatzung!$C$11:$C$22="",Besatzung!$B$5,Besatzung!$C$11:$C$22)&lt;=B98)*(IF(Besatzung!$D$11:$D$22="",Besatzung!$B$6,Besatzung!$D$11:$D$22)&gt;=B98)),1)+(Besatzung!$F$16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O98="x")*((G98-IFERROR(H98,0))/IFERROR(COUNTIF(J98:U98,"x"),1)+(Besatzung!$F$16="x")*IFERROR(H98,0)/IFERROR(SUMPRODUCT((J98:U98="x")*(Besatzung!$F$11:$F$22="x")),1))),(IF(COUNTIF(J98:U98,"x")=0,IF(Besatzung!$B$15&lt;&gt;"",1,0),(O98="x"))*(G98-IFERROR(H98,0))/IFERROR(IF(COUNTIF(J98:U98,"x")=0,COUNTA(Besatzung!$B$11:$B$22),COUNTIF(J98:U98,"x")),1)+IF(COUNTIF(J98:U98,"x")=0,(Besatzung!$F$16="x"),(O98="x")*(Besatzung!$F$16="x"))*IFERROR(H98,0)/IFERROR(IF(COUNTIF(J98:U98,"x")=0,SUMPRODUCT((Besatzung!$B$11:$B$22&lt;&gt;"")*(Besatzung!$F$11:$F$22="x")),SUMPRODUCT((J98:U98="x")*(Besatzung!$F$11:$F$22="x"))),1))))),0))))</f>
        <v/>
      </c>
      <c r="AB98" s="106">
        <f>IF(C98="Gutschrift","",IF(G98="","",IF(Besatzung!$B$17="","",IFERROR(IF(I98="Zeitanteilig",(Besatzung!$G$17*(G98-IFERROR(H98,0))+((Besatzung!$B$17&lt;&gt;"")*IF(B98="",1,(IF(Besatzung!$C$17="",Besatzung!$B$5,Besatzung!$C$17)&lt;=B98)*(IF(Besatzung!$D$17="",Besatzung!$B$6,Besatzung!$D$17)&gt;=B98)))*(Besatzung!$F$17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$17&lt;&gt;"")*IF(B98="",1,(IF(Besatzung!$C$17="",Besatzung!$B$5,Besatzung!$C$17)&lt;=B98)*(IF(Besatzung!$D$17="",Besatzung!$B$6,Besatzung!$D$17)&gt;=B98)))*((G98-IFERROR(H98,0))/IFERROR(SUMPRODUCT((Besatzung!$B$11:$B$22&lt;&gt;"")*(IF(Besatzung!$C$11:$C$22="",Besatzung!$B$5,Besatzung!$C$11:$C$22)&lt;=B98)*(IF(Besatzung!$D$11:$D$22="",Besatzung!$B$6,Besatzung!$D$11:$D$22)&gt;=B98)),1)+(Besatzung!$F$17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P98="x")*((G98-IFERROR(H98,0))/IFERROR(COUNTIF(J98:U98,"x"),1)+(Besatzung!$F$17="x")*IFERROR(H98,0)/IFERROR(SUMPRODUCT((J98:U98="x")*(Besatzung!$F$11:$F$22="x")),1))),(IF(COUNTIF(J98:U98,"x")=0,IF(Besatzung!$B$17&lt;&gt;"",1,0),(P98="x"))*(G98-IFERROR(H98,0))/IFERROR(IF(COUNTIF(J98:U98,"x")=0,COUNTA(Besatzung!$B$11:$B$22),COUNTIF(J98:U98,"x")),1)+IF(COUNTIF(J98:U98,"x")=0,(Besatzung!$F$17="x"),(P98="x")*(Besatzung!$F$17="x"))*IFERROR(H98,0)/IFERROR(IF(COUNTIF(J98:U98,"x")=0,SUMPRODUCT((Besatzung!$B$11:$B$22&lt;&gt;"")*(Besatzung!$F$11:$F$22="x")),SUMPRODUCT((J98:U98="x")*(Besatzung!$F$11:$F$22="x"))),1))))),0))))</f>
        <v/>
      </c>
      <c r="AC98" s="106">
        <f>IF(C98="Gutschrift","",IF(G98="","",IF(Besatzung!$B$18="","",IFERROR(IF(I98="Zeitanteilig",(Besatzung!$G$18*(G98-IFERROR(H98,0))+((Besatzung!$B$18&lt;&gt;"")*IF(B98="",1,(IF(Besatzung!$C$18="",Besatzung!$B$5,Besatzung!$C$18)&lt;=B98)*(IF(Besatzung!$D$18="",Besatzung!$B$6,Besatzung!$D$18)&gt;=B98)))*(Besatzung!$F$18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$18&lt;&gt;"")*IF(B98="",1,(IF(Besatzung!$C$18="",Besatzung!$B$5,Besatzung!$C$18)&lt;=B98)*(IF(Besatzung!$D$18="",Besatzung!$B$6,Besatzung!$D$18)&gt;=B98)))*((G98-IFERROR(H98,0))/IFERROR(SUMPRODUCT((Besatzung!$B$11:$B$22&lt;&gt;"")*(IF(Besatzung!$C$11:$C$22="",Besatzung!$B$5,Besatzung!$C$11:$C$22)&lt;=B98)*(IF(Besatzung!$D$11:$D$22="",Besatzung!$B$6,Besatzung!$D$11:$D$22)&gt;=B98)),1)+(Besatzung!$F$18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Q98="x")*((G98-IFERROR(H98,0))/IFERROR(COUNTIF(J98:U98,"x"),1)+(Besatzung!$F$18="x")*IFERROR(H98,0)/IFERROR(SUMPRODUCT((J98:U98="x")*(Besatzung!$F$11:$F$22="x")),1))),(IF(COUNTIF(J98:U98,"x")=0,IF(Besatzung!$B$18&lt;&gt;"",1,0),(Q98="x"))*(G98-IFERROR(H98,0))/IFERROR(IF(COUNTIF(J98:U98,"x")=0,COUNTA(Besatzung!$B$11:$B$22),COUNTIF(J98:U98,"x")),1)+IF(COUNTIF(J98:U98,"x")=0,(Besatzung!$F$18="x"),(Q98="x")*(Besatzung!$F$18="x"))*IFERROR(H98,0)/IFERROR(IF(COUNTIF(J98:U98,"x")=0,SUMPRODUCT((Besatzung!$B$11:$B$22&lt;&gt;"")*(Besatzung!$F$11:$F$22="x")),SUMPRODUCT((J98:U98="x")*(Besatzung!$F$11:$F$22="x"))),1))))),0))))</f>
        <v/>
      </c>
      <c r="AD98" s="106">
        <f>IF(C98="Gutschrift","",IF(G98="","",IF(Besatzung!$B$19="","",IFERROR(IF(I98="Zeitanteilig",(Besatzung!$G$19*(G98-IFERROR(H98,0))+((Besatzung!$B$19&lt;&gt;"")*IF(B98="",1,(IF(Besatzung!$C$19="",Besatzung!$B$5,Besatzung!$C$19)&lt;=B98)*(IF(Besatzung!$D$19="",Besatzung!$B$6,Besatzung!$D$19)&gt;=B98)))*(Besatzung!$F$19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$19&lt;&gt;"")*IF(B98="",1,(IF(Besatzung!$C$19="",Besatzung!$B$5,Besatzung!$C$19)&lt;=B98)*(IF(Besatzung!$D$19="",Besatzung!$B$6,Besatzung!$D$19)&gt;=B98)))*((G98-IFERROR(H98,0))/IFERROR(SUMPRODUCT((Besatzung!$B$11:$B$22&lt;&gt;"")*(IF(Besatzung!$C$11:$C$22="",Besatzung!$B$5,Besatzung!$C$11:$C$22)&lt;=B98)*(IF(Besatzung!$D$11:$D$22="",Besatzung!$B$6,Besatzung!$D$11:$D$22)&gt;=B98)),1)+(Besatzung!$F$19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R98="x")*((G98-IFERROR(H98,0))/IFERROR(COUNTIF(J98:U98,"x"),1)+(Besatzung!$F$19="x")*IFERROR(H98,0)/IFERROR(SUMPRODUCT((J98:U98="x")*(Besatzung!$F$11:$F$22="x")),1))),(IF(COUNTIF(J98:U98,"x")=0,IF(Besatzung!$B$19&lt;&gt;"",1,0),(R98="x"))*(G98-IFERROR(H98,0))/IFERROR(IF(COUNTIF(J98:U98,"x")=0,COUNTA(Besatzung!$B$11:$B$22),COUNTIF(J98:U98,"x")),1)+IF(COUNTIF(J98:U98,"x")=0,(Besatzung!$F$19="x"),(R98="x")*(Besatzung!$F$19="x"))*IFERROR(H98,0)/IFERROR(IF(COUNTIF(J98:U98,"x")=0,SUMPRODUCT((Besatzung!$B$11:$B$22&lt;&gt;"")*(Besatzung!$F$11:$F$22="x")),SUMPRODUCT((J98:U98="x")*(Besatzung!$F$11:$F$22="x"))),1))))),0))))</f>
        <v/>
      </c>
      <c r="AE98" s="106">
        <f>IF(C98="Gutschrift","",IF(G98="","",IF(Besatzung!$B$20="","",IFERROR(IF(I98="Zeitanteilig",(Besatzung!$G$20*(G98-IFERROR(H98,0))+((Besatzung!$B$20&lt;&gt;"")*IF(B98="",1,(IF(Besatzung!$C$20="",Besatzung!$B$5,Besatzung!$C$20)&lt;=B98)*(IF(Besatzung!$D$20="",Besatzung!$B$6,Besatzung!$D$20)&gt;=B98)))*(Besatzung!$F$20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$20&lt;&gt;"")*IF(B98="",1,(IF(Besatzung!$C$20="",Besatzung!$B$5,Besatzung!$C$20)&lt;=B98)*(IF(Besatzung!$D$20="",Besatzung!$B$6,Besatzung!$D$20)&gt;=B98)))*((G98-IFERROR(H98,0))/IFERROR(SUMPRODUCT((Besatzung!$B$11:$B$22&lt;&gt;"")*(IF(Besatzung!$C$11:$C$22="",Besatzung!$B$5,Besatzung!$C$11:$C$22)&lt;=B98)*(IF(Besatzung!$D$11:$D$22="",Besatzung!$B$6,Besatzung!$D$11:$D$22)&gt;=B98)),1)+(Besatzung!$F$20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S98="x")*((G98-IFERROR(H98,0))/IFERROR(COUNTIF(J98:U98,"x"),1)+(Besatzung!$F$20="x")*IFERROR(H98,0)/IFERROR(SUMPRODUCT((J98:U98="x")*(Besatzung!$F$11:$F$22="x")),1))),(IF(COUNTIF(J98:U98,"x")=0,IF(Besatzung!$B$20&lt;&gt;"",1,0),(S98="x"))*(G98-IFERROR(H98,0))/IFERROR(IF(COUNTIF(J98:U98,"x")=0,COUNTA(Besatzung!$B$11:$B$22),COUNTIF(J98:U98,"x")),1)+IF(COUNTIF(J98:U98,"x")=0,(Besatzung!$F$20="x"),(S98="x")*(Besatzung!$F$20="x"))*IFERROR(H98,0)/IFERROR(IF(COUNTIF(J98:U98,"x")=0,SUMPRODUCT((Besatzung!$B$11:$B$22&lt;&gt;"")*(Besatzung!$F$11:$F$22="x")),SUMPRODUCT((J98:U98="x")*(Besatzung!$F$11:$F$22="x"))),1))))),0))))</f>
        <v/>
      </c>
      <c r="AF98" s="106">
        <f>IF(C98="Gutschrift","",IF(G98="","",IF(Besatzung!$B$21="","",IFERROR(IF(I98="Zeitanteilig",(Besatzung!$G$21*(G98-IFERROR(H98,0))+((Besatzung!$B$21&lt;&gt;"")*IF(B98="",1,(IF(Besatzung!$C$21="",Besatzung!$B$5,Besatzung!$C$21)&lt;=B98)*(IF(Besatzung!$D$21="",Besatzung!$B$6,Besatzung!$D$21)&gt;=B98)))*(Besatzung!$F$21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$21&lt;&gt;"")*IF(B98="",1,(IF(Besatzung!$C$21="",Besatzung!$B$5,Besatzung!$C$21)&lt;=B98)*(IF(Besatzung!$D$21="",Besatzung!$B$6,Besatzung!$D$21)&gt;=B98)))*((G98-IFERROR(H98,0))/IFERROR(SUMPRODUCT((Besatzung!$B$11:$B$22&lt;&gt;"")*(IF(Besatzung!$C$11:$C$22="",Besatzung!$B$5,Besatzung!$C$11:$C$22)&lt;=B98)*(IF(Besatzung!$D$11:$D$22="",Besatzung!$B$6,Besatzung!$D$11:$D$22)&gt;=B98)),1)+(Besatzung!$F$21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T98="x")*((G98-IFERROR(H98,0))/IFERROR(COUNTIF(J98:U98,"x"),1)+(Besatzung!$F$21="x")*IFERROR(H98,0)/IFERROR(SUMPRODUCT((J98:U98="x")*(Besatzung!$F$11:$F$22="x")),1))),(IF(COUNTIF(J98:U98,"x")=0,IF(Besatzung!$B$21&lt;&gt;"",1,0),(T98="x"))*(G98-IFERROR(H98,0))/IFERROR(IF(COUNTIF(J98:U98,"x")=0,COUNTA(Besatzung!$B$11:$B$22),COUNTIF(J98:U98,"x")),1)+IF(COUNTIF(J98:U98,"x")=0,(Besatzung!$F$21="x"),(T98="x")*(Besatzung!$F$21="x"))*IFERROR(H98,0)/IFERROR(IF(COUNTIF(J98:U98,"x")=0,SUMPRODUCT((Besatzung!$B$11:$B$22&lt;&gt;"")*(Besatzung!$F$11:$F$22="x")),SUMPRODUCT((J98:U98="x")*(Besatzung!$F$11:$F$22="x"))),1))))),0))))</f>
        <v/>
      </c>
      <c r="AG98" s="106">
        <f>IF(C98="Gutschrift","",IF(G98="","",IF(Besatzung!$B$22="","",IFERROR(IF(I98="Zeitanteilig",(Besatzung!$G$22*(G98-IFERROR(H98,0))+((Besatzung!$B$22&lt;&gt;"")*IF(B98="",1,(IF(Besatzung!$C$22="",Besatzung!$B$5,Besatzung!$C$22)&lt;=B98)*(IF(Besatzung!$D$22="",Besatzung!$B$6,Besatzung!$D$22)&gt;=B98)))*(Besatzung!$F$22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$22&lt;&gt;"")*IF(B98="",1,(IF(Besatzung!$C$22="",Besatzung!$B$5,Besatzung!$C$22)&lt;=B98)*(IF(Besatzung!$D$22="",Besatzung!$B$6,Besatzung!$D$22)&gt;=B98)))*((G98-IFERROR(H98,0))/IFERROR(SUMPRODUCT((Besatzung!$B$11:$B$22&lt;&gt;"")*(IF(Besatzung!$C$11:$C$22="",Besatzung!$B$5,Besatzung!$C$11:$C$22)&lt;=B98)*(IF(Besatzung!$D$11:$D$22="",Besatzung!$B$6,Besatzung!$D$11:$D$22)&gt;=B98)),1)+(Besatzung!$F$22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U98="x")*((G98-IFERROR(H98,0))/IFERROR(COUNTIF(J98:U98,"x"),1)+(Besatzung!$F$22="x")*IFERROR(H98,0)/IFERROR(SUMPRODUCT((J98:U98="x")*(Besatzung!$F$11:$F$22="x")),1))),(IF(COUNTIF(J98:U98,"x")=0,IF(Besatzung!$B$22&lt;&gt;"",1,0),(U98="x"))*(G98-IFERROR(H98,0))/IFERROR(IF(COUNTIF(J98:U98,"x")=0,COUNTA(Besatzung!$B$11:$B$22),COUNTIF(J98:U98,"x")),1)+IF(COUNTIF(J98:U98,"x")=0,(Besatzung!$F$22="x"),(U98="x")*(Besatzung!$F$22="x"))*IFERROR(H98,0)/IFERROR(IF(COUNTIF(J98:U98,"x")=0,SUMPRODUCT((Besatzung!$B$11:$B$22&lt;&gt;"")*(Besatzung!$F$11:$F$22="x")),SUMPRODUCT((J98:U98="x")*(Besatzung!$F$11:$F$22="x"))),1))))),0))))</f>
        <v/>
      </c>
      <c r="AH98" s="107" t="n"/>
      <c r="AI98" s="107" t="n"/>
    </row>
    <row r="99" ht="21.75" customHeight="1" s="182">
      <c r="A99" s="97">
        <f>IF(AND(D99="",C99=""),"",96)</f>
        <v/>
      </c>
      <c r="B99" s="63" t="n"/>
      <c r="C99" s="108" t="n"/>
      <c r="D99" s="109" t="n"/>
      <c r="E99" s="110" t="n"/>
      <c r="F99" s="111" t="n"/>
      <c r="G99" s="112" t="n"/>
      <c r="H99" s="113" t="n"/>
      <c r="I99" s="114" t="n"/>
      <c r="J99" s="115" t="n"/>
      <c r="K99" s="115" t="n"/>
      <c r="L99" s="115" t="n"/>
      <c r="M99" s="115" t="n"/>
      <c r="N99" s="115" t="n"/>
      <c r="O99" s="115" t="n"/>
      <c r="P99" s="115" t="n"/>
      <c r="Q99" s="115" t="n"/>
      <c r="R99" s="115" t="n"/>
      <c r="S99" s="115" t="n"/>
      <c r="T99" s="115" t="n"/>
      <c r="U99" s="115" t="n"/>
      <c r="V99" s="106">
        <f>IF(C99="Gutschrift","",IF(G99="","",IF(Besatzung!$B$11="","",IFERROR(IF(I99="Zeitanteilig",(Besatzung!$G$11*(G99-IFERROR(H99,0))+((Besatzung!$B$11&lt;&gt;"")*IF(B99="",1,(IF(Besatzung!$C$11="",Besatzung!$B$5,Besatzung!$C$11)&lt;=B99)*(IF(Besatzung!$D$11="",Besatzung!$B$6,Besatzung!$D$11)&gt;=B99)))*(Besatzung!$F$11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$11&lt;&gt;"")*IF(B99="",1,(IF(Besatzung!$C$11="",Besatzung!$B$5,Besatzung!$C$11)&lt;=B99)*(IF(Besatzung!$D$11="",Besatzung!$B$6,Besatzung!$D$11)&gt;=B99)))*((G99-IFERROR(H99,0))/IFERROR(SUMPRODUCT((Besatzung!$B$11:$B$22&lt;&gt;"")*(IF(Besatzung!$C$11:$C$22="",Besatzung!$B$5,Besatzung!$C$11:$C$22)&lt;=B99)*(IF(Besatzung!$D$11:$D$22="",Besatzung!$B$6,Besatzung!$D$11:$D$22)&gt;=B99)),1)+(Besatzung!$F$11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J99="x")*((G99-IFERROR(H99,0))/IFERROR(COUNTIF(J99:U99,"x"),1)+(Besatzung!$F$11="x")*IFERROR(H99,0)/IFERROR(SUMPRODUCT((J99:U99="x")*(Besatzung!$F$11:$F$22="x")),1))),(IF(COUNTIF(J99:U99,"x")=0,IF(Besatzung!$B$11&lt;&gt;"",1,0),(J99="x"))*(G99-IFERROR(H99,0))/IFERROR(IF(COUNTIF(J99:U99,"x")=0,COUNTA(Besatzung!$B$11:$B$22),COUNTIF(J99:U99,"x")),1)+IF(COUNTIF(J99:U99,"x")=0,(Besatzung!$F$11="x"),(J99="x")*(Besatzung!$F$11="x"))*IFERROR(H99,0)/IFERROR(IF(COUNTIF(J99:U99,"x")=0,SUMPRODUCT((Besatzung!$B$11:$B$22&lt;&gt;"")*(Besatzung!$F$11:$F$22="x")),SUMPRODUCT((J99:U99="x")*(Besatzung!$F$11:$F$22="x"))),1))))),0))))</f>
        <v/>
      </c>
      <c r="W99" s="106">
        <f>IF(C99="Gutschrift","",IF(G99="","",IF(Besatzung!$B$12="","",IFERROR(IF(I99="Zeitanteilig",(Besatzung!$G$12*(G99-IFERROR(H99,0))+((Besatzung!$B$12&lt;&gt;"")*IF(B99="",1,(IF(Besatzung!$C$12="",Besatzung!$B$5,Besatzung!$C$12)&lt;=B99)*(IF(Besatzung!$D$12="",Besatzung!$B$6,Besatzung!$D$12)&gt;=B99)))*(Besatzung!$F$12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$12&lt;&gt;"")*IF(B99="",1,(IF(Besatzung!$C$12="",Besatzung!$B$5,Besatzung!$C$12)&lt;=B99)*(IF(Besatzung!$D$12="",Besatzung!$B$6,Besatzung!$D$12)&gt;=B99)))*((G99-IFERROR(H99,0))/IFERROR(SUMPRODUCT((Besatzung!$B$11:$B$22&lt;&gt;"")*(IF(Besatzung!$C$11:$C$22="",Besatzung!$B$5,Besatzung!$C$11:$C$22)&lt;=B99)*(IF(Besatzung!$D$11:$D$22="",Besatzung!$B$6,Besatzung!$D$11:$D$22)&gt;=B99)),1)+(Besatzung!$F$12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K99="x")*((G99-IFERROR(H99,0))/IFERROR(COUNTIF(J99:U99,"x"),1)+(Besatzung!$F$12="x")*IFERROR(H99,0)/IFERROR(SUMPRODUCT((J99:U99="x")*(Besatzung!$F$11:$F$22="x")),1))),(IF(COUNTIF(J99:U99,"x")=0,IF(Besatzung!$B$12&lt;&gt;"",1,0),(K99="x"))*(G99-IFERROR(H99,0))/IFERROR(IF(COUNTIF(J99:U99,"x")=0,COUNTA(Besatzung!$B$11:$B$22),COUNTIF(J99:U99,"x")),1)+IF(COUNTIF(J99:U99,"x")=0,(Besatzung!$F$12="x"),(K99="x")*(Besatzung!$F$12="x"))*IFERROR(H99,0)/IFERROR(IF(COUNTIF(J99:U99,"x")=0,SUMPRODUCT((Besatzung!$B$11:$B$22&lt;&gt;"")*(Besatzung!$F$11:$F$22="x")),SUMPRODUCT((J99:U99="x")*(Besatzung!$F$11:$F$22="x"))),1))))),0))))</f>
        <v/>
      </c>
      <c r="X99" s="106">
        <f>IF(C99="Gutschrift","",IF(G99="","",IF(Besatzung!$B$13="","",IFERROR(IF(I99="Zeitanteilig",(Besatzung!$G$13*(G99-IFERROR(H99,0))+((Besatzung!$B$13&lt;&gt;"")*IF(B99="",1,(IF(Besatzung!$C$13="",Besatzung!$B$5,Besatzung!$C$13)&lt;=B99)*(IF(Besatzung!$D$13="",Besatzung!$B$6,Besatzung!$D$13)&gt;=B99)))*(Besatzung!$F$13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$13&lt;&gt;"")*IF(B99="",1,(IF(Besatzung!$C$13="",Besatzung!$B$5,Besatzung!$C$13)&lt;=B99)*(IF(Besatzung!$D$13="",Besatzung!$B$6,Besatzung!$D$13)&gt;=B99)))*((G99-IFERROR(H99,0))/IFERROR(SUMPRODUCT((Besatzung!$B$11:$B$22&lt;&gt;"")*(IF(Besatzung!$C$11:$C$22="",Besatzung!$B$5,Besatzung!$C$11:$C$22)&lt;=B99)*(IF(Besatzung!$D$11:$D$22="",Besatzung!$B$6,Besatzung!$D$11:$D$22)&gt;=B99)),1)+(Besatzung!$F$13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K99="x")*((G99-IFERROR(H99,0))/IFERROR(COUNTIF(J99:U99,"x"),1)+(Besatzung!$F$13="x")*IFERROR(H99,0)/IFERROR(SUMPRODUCT((J99:U99="x")*(Besatzung!$F$11:$F$22="x")),1))),(IF(COUNTIF(J99:U99,"x")=0,IF(Besatzung!$B$13&lt;&gt;"",1,0),(K99="x"))*(G99-IFERROR(H99,0))/IFERROR(IF(COUNTIF(J99:U99,"x")=0,COUNTA(Besatzung!$B$11:$B$22),COUNTIF(J99:U99,"x")),1)+IF(COUNTIF(J99:U99,"x")=0,(Besatzung!$F$13="x"),(K99="x")*(Besatzung!$F$13="x"))*IFERROR(H99,0)/IFERROR(IF(COUNTIF(J99:U99,"x")=0,SUMPRODUCT((Besatzung!$B$11:$B$22&lt;&gt;"")*(Besatzung!$F$11:$F$22="x")),SUMPRODUCT((J99:U99="x")*(Besatzung!$F$11:$F$22="x"))),1))))),0))))</f>
        <v/>
      </c>
      <c r="Y99" s="106">
        <f>IF(C99="Gutschrift","",IF(G99="","",IF(Besatzung!$B$14="","",IFERROR(IF(I99="Zeitanteilig",(Besatzung!$G$14*(G99-IFERROR(H99,0))+((Besatzung!$B$14&lt;&gt;"")*IF(B99="",1,(IF(Besatzung!$C$14="",Besatzung!$B$5,Besatzung!$C$14)&lt;=B99)*(IF(Besatzung!$D$14="",Besatzung!$B$6,Besatzung!$D$14)&gt;=B99)))*(Besatzung!$F$14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$14&lt;&gt;"")*IF(B99="",1,(IF(Besatzung!$C$14="",Besatzung!$B$5,Besatzung!$C$14)&lt;=B99)*(IF(Besatzung!$D$14="",Besatzung!$B$6,Besatzung!$D$14)&gt;=B99)))*((G99-IFERROR(H99,0))/IFERROR(SUMPRODUCT((Besatzung!$B$11:$B$22&lt;&gt;"")*(IF(Besatzung!$C$11:$C$22="",Besatzung!$B$5,Besatzung!$C$11:$C$22)&lt;=B99)*(IF(Besatzung!$D$11:$D$22="",Besatzung!$B$6,Besatzung!$D$11:$D$22)&gt;=B99)),1)+(Besatzung!$F$14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M99="x")*((G99-IFERROR(H99,0))/IFERROR(COUNTIF(J99:U99,"x"),1)+(Besatzung!$F$14="x")*IFERROR(H99,0)/IFERROR(SUMPRODUCT((J99:U99="x")*(Besatzung!$F$11:$F$22="x")),1))),(IF(COUNTIF(J99:U99,"x")=0,IF(Besatzung!$B$14&lt;&gt;"",1,0),(M99="x"))*(G99-IFERROR(H99,0))/IFERROR(IF(COUNTIF(J99:U99,"x")=0,COUNTA(Besatzung!$B$11:$B$22),COUNTIF(J99:U99,"x")),1)+IF(COUNTIF(J99:U99,"x")=0,(Besatzung!$F$14="x"),(M99="x")*(Besatzung!$F$14="x"))*IFERROR(H99,0)/IFERROR(IF(COUNTIF(J99:U99,"x")=0,SUMPRODUCT((Besatzung!$B$11:$B$22&lt;&gt;"")*(Besatzung!$F$11:$F$22="x")),SUMPRODUCT((J99:U99="x")*(Besatzung!$F$11:$F$22="x"))),1))))),0))))</f>
        <v/>
      </c>
      <c r="Z99" s="106">
        <f>IF(C99="Gutschrift","",IF(G99="","",IF(Besatzung!$B$13="","",IFERROR(IF(I99="Zeitanteilig",(Besatzung!$G$15*(G99-IFERROR(H99,0))+((Besatzung!$B$13&lt;&gt;"")*IF(B99="",1,(IF(Besatzung!$C$15="",Besatzung!$B$5,Besatzung!$C$15)&lt;=B99)*(IF(Besatzung!$D$15="",Besatzung!$B$6,Besatzung!$D$15)&gt;=B99)))*(Besatzung!$F$15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$13&lt;&gt;"")*IF(B99="",1,(IF(Besatzung!$C$15="",Besatzung!$B$5,Besatzung!$C$15)&lt;=B99)*(IF(Besatzung!$D$15="",Besatzung!$B$6,Besatzung!$D$15)&gt;=B99)))*((G99-IFERROR(H99,0))/IFERROR(SUMPRODUCT((Besatzung!$B$11:$B$22&lt;&gt;"")*(IF(Besatzung!$C$11:$C$22="",Besatzung!$B$5,Besatzung!$C$11:$C$22)&lt;=B99)*(IF(Besatzung!$D$11:$D$22="",Besatzung!$B$6,Besatzung!$D$11:$D$22)&gt;=B99)),1)+(Besatzung!$F$15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N99="x")*((G99-IFERROR(H99,0))/IFERROR(COUNTIF(J99:U99,"x"),1)+(Besatzung!$F$15="x")*IFERROR(H99,0)/IFERROR(SUMPRODUCT((J99:U99="x")*(Besatzung!$F$11:$F$22="x")),1))),(IF(COUNTIF(J99:U99,"x")=0,IF(Besatzung!$B$13&lt;&gt;"",1,0),(N99="x"))*(G99-IFERROR(H99,0))/IFERROR(IF(COUNTIF(J99:U99,"x")=0,COUNTA(Besatzung!$B$11:$B$22),COUNTIF(J99:U99,"x")),1)+IF(COUNTIF(J99:U99,"x")=0,(Besatzung!$F$15="x"),(N99="x")*(Besatzung!$F$15="x"))*IFERROR(H99,0)/IFERROR(IF(COUNTIF(J99:U99,"x")=0,SUMPRODUCT((Besatzung!$B$11:$B$22&lt;&gt;"")*(Besatzung!$F$11:$F$22="x")),SUMPRODUCT((J99:U99="x")*(Besatzung!$F$11:$F$22="x"))),1))))),0))))</f>
        <v/>
      </c>
      <c r="AA99" s="106">
        <f>IF(C99="Gutschrift","",IF(G99="","",IF(Besatzung!$B$15="","",IFERROR(IF(I99="Zeitanteilig",(Besatzung!$G$16*(G99-IFERROR(H99,0))+((Besatzung!$B$15&lt;&gt;"")*IF(B99="",1,(IF(Besatzung!$C$16="",Besatzung!$B$5,Besatzung!$C$16)&lt;=B99)*(IF(Besatzung!$D$16="",Besatzung!$B$6,Besatzung!$D$16)&gt;=B99)))*(Besatzung!$F$16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$15&lt;&gt;"")*IF(B99="",1,(IF(Besatzung!$C$16="",Besatzung!$B$5,Besatzung!$C$16)&lt;=B99)*(IF(Besatzung!$D$16="",Besatzung!$B$6,Besatzung!$D$16)&gt;=B99)))*((G99-IFERROR(H99,0))/IFERROR(SUMPRODUCT((Besatzung!$B$11:$B$22&lt;&gt;"")*(IF(Besatzung!$C$11:$C$22="",Besatzung!$B$5,Besatzung!$C$11:$C$22)&lt;=B99)*(IF(Besatzung!$D$11:$D$22="",Besatzung!$B$6,Besatzung!$D$11:$D$22)&gt;=B99)),1)+(Besatzung!$F$16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O99="x")*((G99-IFERROR(H99,0))/IFERROR(COUNTIF(J99:U99,"x"),1)+(Besatzung!$F$16="x")*IFERROR(H99,0)/IFERROR(SUMPRODUCT((J99:U99="x")*(Besatzung!$F$11:$F$22="x")),1))),(IF(COUNTIF(J99:U99,"x")=0,IF(Besatzung!$B$15&lt;&gt;"",1,0),(O99="x"))*(G99-IFERROR(H99,0))/IFERROR(IF(COUNTIF(J99:U99,"x")=0,COUNTA(Besatzung!$B$11:$B$22),COUNTIF(J99:U99,"x")),1)+IF(COUNTIF(J99:U99,"x")=0,(Besatzung!$F$16="x"),(O99="x")*(Besatzung!$F$16="x"))*IFERROR(H99,0)/IFERROR(IF(COUNTIF(J99:U99,"x")=0,SUMPRODUCT((Besatzung!$B$11:$B$22&lt;&gt;"")*(Besatzung!$F$11:$F$22="x")),SUMPRODUCT((J99:U99="x")*(Besatzung!$F$11:$F$22="x"))),1))))),0))))</f>
        <v/>
      </c>
      <c r="AB99" s="106">
        <f>IF(C99="Gutschrift","",IF(G99="","",IF(Besatzung!$B$17="","",IFERROR(IF(I99="Zeitanteilig",(Besatzung!$G$17*(G99-IFERROR(H99,0))+((Besatzung!$B$17&lt;&gt;"")*IF(B99="",1,(IF(Besatzung!$C$17="",Besatzung!$B$5,Besatzung!$C$17)&lt;=B99)*(IF(Besatzung!$D$17="",Besatzung!$B$6,Besatzung!$D$17)&gt;=B99)))*(Besatzung!$F$17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$17&lt;&gt;"")*IF(B99="",1,(IF(Besatzung!$C$17="",Besatzung!$B$5,Besatzung!$C$17)&lt;=B99)*(IF(Besatzung!$D$17="",Besatzung!$B$6,Besatzung!$D$17)&gt;=B99)))*((G99-IFERROR(H99,0))/IFERROR(SUMPRODUCT((Besatzung!$B$11:$B$22&lt;&gt;"")*(IF(Besatzung!$C$11:$C$22="",Besatzung!$B$5,Besatzung!$C$11:$C$22)&lt;=B99)*(IF(Besatzung!$D$11:$D$22="",Besatzung!$B$6,Besatzung!$D$11:$D$22)&gt;=B99)),1)+(Besatzung!$F$17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P99="x")*((G99-IFERROR(H99,0))/IFERROR(COUNTIF(J99:U99,"x"),1)+(Besatzung!$F$17="x")*IFERROR(H99,0)/IFERROR(SUMPRODUCT((J99:U99="x")*(Besatzung!$F$11:$F$22="x")),1))),(IF(COUNTIF(J99:U99,"x")=0,IF(Besatzung!$B$17&lt;&gt;"",1,0),(P99="x"))*(G99-IFERROR(H99,0))/IFERROR(IF(COUNTIF(J99:U99,"x")=0,COUNTA(Besatzung!$B$11:$B$22),COUNTIF(J99:U99,"x")),1)+IF(COUNTIF(J99:U99,"x")=0,(Besatzung!$F$17="x"),(P99="x")*(Besatzung!$F$17="x"))*IFERROR(H99,0)/IFERROR(IF(COUNTIF(J99:U99,"x")=0,SUMPRODUCT((Besatzung!$B$11:$B$22&lt;&gt;"")*(Besatzung!$F$11:$F$22="x")),SUMPRODUCT((J99:U99="x")*(Besatzung!$F$11:$F$22="x"))),1))))),0))))</f>
        <v/>
      </c>
      <c r="AC99" s="106">
        <f>IF(C99="Gutschrift","",IF(G99="","",IF(Besatzung!$B$18="","",IFERROR(IF(I99="Zeitanteilig",(Besatzung!$G$18*(G99-IFERROR(H99,0))+((Besatzung!$B$18&lt;&gt;"")*IF(B99="",1,(IF(Besatzung!$C$18="",Besatzung!$B$5,Besatzung!$C$18)&lt;=B99)*(IF(Besatzung!$D$18="",Besatzung!$B$6,Besatzung!$D$18)&gt;=B99)))*(Besatzung!$F$18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$18&lt;&gt;"")*IF(B99="",1,(IF(Besatzung!$C$18="",Besatzung!$B$5,Besatzung!$C$18)&lt;=B99)*(IF(Besatzung!$D$18="",Besatzung!$B$6,Besatzung!$D$18)&gt;=B99)))*((G99-IFERROR(H99,0))/IFERROR(SUMPRODUCT((Besatzung!$B$11:$B$22&lt;&gt;"")*(IF(Besatzung!$C$11:$C$22="",Besatzung!$B$5,Besatzung!$C$11:$C$22)&lt;=B99)*(IF(Besatzung!$D$11:$D$22="",Besatzung!$B$6,Besatzung!$D$11:$D$22)&gt;=B99)),1)+(Besatzung!$F$18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Q99="x")*((G99-IFERROR(H99,0))/IFERROR(COUNTIF(J99:U99,"x"),1)+(Besatzung!$F$18="x")*IFERROR(H99,0)/IFERROR(SUMPRODUCT((J99:U99="x")*(Besatzung!$F$11:$F$22="x")),1))),(IF(COUNTIF(J99:U99,"x")=0,IF(Besatzung!$B$18&lt;&gt;"",1,0),(Q99="x"))*(G99-IFERROR(H99,0))/IFERROR(IF(COUNTIF(J99:U99,"x")=0,COUNTA(Besatzung!$B$11:$B$22),COUNTIF(J99:U99,"x")),1)+IF(COUNTIF(J99:U99,"x")=0,(Besatzung!$F$18="x"),(Q99="x")*(Besatzung!$F$18="x"))*IFERROR(H99,0)/IFERROR(IF(COUNTIF(J99:U99,"x")=0,SUMPRODUCT((Besatzung!$B$11:$B$22&lt;&gt;"")*(Besatzung!$F$11:$F$22="x")),SUMPRODUCT((J99:U99="x")*(Besatzung!$F$11:$F$22="x"))),1))))),0))))</f>
        <v/>
      </c>
      <c r="AD99" s="106">
        <f>IF(C99="Gutschrift","",IF(G99="","",IF(Besatzung!$B$19="","",IFERROR(IF(I99="Zeitanteilig",(Besatzung!$G$19*(G99-IFERROR(H99,0))+((Besatzung!$B$19&lt;&gt;"")*IF(B99="",1,(IF(Besatzung!$C$19="",Besatzung!$B$5,Besatzung!$C$19)&lt;=B99)*(IF(Besatzung!$D$19="",Besatzung!$B$6,Besatzung!$D$19)&gt;=B99)))*(Besatzung!$F$19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$19&lt;&gt;"")*IF(B99="",1,(IF(Besatzung!$C$19="",Besatzung!$B$5,Besatzung!$C$19)&lt;=B99)*(IF(Besatzung!$D$19="",Besatzung!$B$6,Besatzung!$D$19)&gt;=B99)))*((G99-IFERROR(H99,0))/IFERROR(SUMPRODUCT((Besatzung!$B$11:$B$22&lt;&gt;"")*(IF(Besatzung!$C$11:$C$22="",Besatzung!$B$5,Besatzung!$C$11:$C$22)&lt;=B99)*(IF(Besatzung!$D$11:$D$22="",Besatzung!$B$6,Besatzung!$D$11:$D$22)&gt;=B99)),1)+(Besatzung!$F$19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R99="x")*((G99-IFERROR(H99,0))/IFERROR(COUNTIF(J99:U99,"x"),1)+(Besatzung!$F$19="x")*IFERROR(H99,0)/IFERROR(SUMPRODUCT((J99:U99="x")*(Besatzung!$F$11:$F$22="x")),1))),(IF(COUNTIF(J99:U99,"x")=0,IF(Besatzung!$B$19&lt;&gt;"",1,0),(R99="x"))*(G99-IFERROR(H99,0))/IFERROR(IF(COUNTIF(J99:U99,"x")=0,COUNTA(Besatzung!$B$11:$B$22),COUNTIF(J99:U99,"x")),1)+IF(COUNTIF(J99:U99,"x")=0,(Besatzung!$F$19="x"),(R99="x")*(Besatzung!$F$19="x"))*IFERROR(H99,0)/IFERROR(IF(COUNTIF(J99:U99,"x")=0,SUMPRODUCT((Besatzung!$B$11:$B$22&lt;&gt;"")*(Besatzung!$F$11:$F$22="x")),SUMPRODUCT((J99:U99="x")*(Besatzung!$F$11:$F$22="x"))),1))))),0))))</f>
        <v/>
      </c>
      <c r="AE99" s="106">
        <f>IF(C99="Gutschrift","",IF(G99="","",IF(Besatzung!$B$20="","",IFERROR(IF(I99="Zeitanteilig",(Besatzung!$G$20*(G99-IFERROR(H99,0))+((Besatzung!$B$20&lt;&gt;"")*IF(B99="",1,(IF(Besatzung!$C$20="",Besatzung!$B$5,Besatzung!$C$20)&lt;=B99)*(IF(Besatzung!$D$20="",Besatzung!$B$6,Besatzung!$D$20)&gt;=B99)))*(Besatzung!$F$20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$20&lt;&gt;"")*IF(B99="",1,(IF(Besatzung!$C$20="",Besatzung!$B$5,Besatzung!$C$20)&lt;=B99)*(IF(Besatzung!$D$20="",Besatzung!$B$6,Besatzung!$D$20)&gt;=B99)))*((G99-IFERROR(H99,0))/IFERROR(SUMPRODUCT((Besatzung!$B$11:$B$22&lt;&gt;"")*(IF(Besatzung!$C$11:$C$22="",Besatzung!$B$5,Besatzung!$C$11:$C$22)&lt;=B99)*(IF(Besatzung!$D$11:$D$22="",Besatzung!$B$6,Besatzung!$D$11:$D$22)&gt;=B99)),1)+(Besatzung!$F$20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S99="x")*((G99-IFERROR(H99,0))/IFERROR(COUNTIF(J99:U99,"x"),1)+(Besatzung!$F$20="x")*IFERROR(H99,0)/IFERROR(SUMPRODUCT((J99:U99="x")*(Besatzung!$F$11:$F$22="x")),1))),(IF(COUNTIF(J99:U99,"x")=0,IF(Besatzung!$B$20&lt;&gt;"",1,0),(S99="x"))*(G99-IFERROR(H99,0))/IFERROR(IF(COUNTIF(J99:U99,"x")=0,COUNTA(Besatzung!$B$11:$B$22),COUNTIF(J99:U99,"x")),1)+IF(COUNTIF(J99:U99,"x")=0,(Besatzung!$F$20="x"),(S99="x")*(Besatzung!$F$20="x"))*IFERROR(H99,0)/IFERROR(IF(COUNTIF(J99:U99,"x")=0,SUMPRODUCT((Besatzung!$B$11:$B$22&lt;&gt;"")*(Besatzung!$F$11:$F$22="x")),SUMPRODUCT((J99:U99="x")*(Besatzung!$F$11:$F$22="x"))),1))))),0))))</f>
        <v/>
      </c>
      <c r="AF99" s="106">
        <f>IF(C99="Gutschrift","",IF(G99="","",IF(Besatzung!$B$21="","",IFERROR(IF(I99="Zeitanteilig",(Besatzung!$G$21*(G99-IFERROR(H99,0))+((Besatzung!$B$21&lt;&gt;"")*IF(B99="",1,(IF(Besatzung!$C$21="",Besatzung!$B$5,Besatzung!$C$21)&lt;=B99)*(IF(Besatzung!$D$21="",Besatzung!$B$6,Besatzung!$D$21)&gt;=B99)))*(Besatzung!$F$21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$21&lt;&gt;"")*IF(B99="",1,(IF(Besatzung!$C$21="",Besatzung!$B$5,Besatzung!$C$21)&lt;=B99)*(IF(Besatzung!$D$21="",Besatzung!$B$6,Besatzung!$D$21)&gt;=B99)))*((G99-IFERROR(H99,0))/IFERROR(SUMPRODUCT((Besatzung!$B$11:$B$22&lt;&gt;"")*(IF(Besatzung!$C$11:$C$22="",Besatzung!$B$5,Besatzung!$C$11:$C$22)&lt;=B99)*(IF(Besatzung!$D$11:$D$22="",Besatzung!$B$6,Besatzung!$D$11:$D$22)&gt;=B99)),1)+(Besatzung!$F$21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T99="x")*((G99-IFERROR(H99,0))/IFERROR(COUNTIF(J99:U99,"x"),1)+(Besatzung!$F$21="x")*IFERROR(H99,0)/IFERROR(SUMPRODUCT((J99:U99="x")*(Besatzung!$F$11:$F$22="x")),1))),(IF(COUNTIF(J99:U99,"x")=0,IF(Besatzung!$B$21&lt;&gt;"",1,0),(T99="x"))*(G99-IFERROR(H99,0))/IFERROR(IF(COUNTIF(J99:U99,"x")=0,COUNTA(Besatzung!$B$11:$B$22),COUNTIF(J99:U99,"x")),1)+IF(COUNTIF(J99:U99,"x")=0,(Besatzung!$F$21="x"),(T99="x")*(Besatzung!$F$21="x"))*IFERROR(H99,0)/IFERROR(IF(COUNTIF(J99:U99,"x")=0,SUMPRODUCT((Besatzung!$B$11:$B$22&lt;&gt;"")*(Besatzung!$F$11:$F$22="x")),SUMPRODUCT((J99:U99="x")*(Besatzung!$F$11:$F$22="x"))),1))))),0))))</f>
        <v/>
      </c>
      <c r="AG99" s="106">
        <f>IF(C99="Gutschrift","",IF(G99="","",IF(Besatzung!$B$22="","",IFERROR(IF(I99="Zeitanteilig",(Besatzung!$G$22*(G99-IFERROR(H99,0))+((Besatzung!$B$22&lt;&gt;"")*IF(B99="",1,(IF(Besatzung!$C$22="",Besatzung!$B$5,Besatzung!$C$22)&lt;=B99)*(IF(Besatzung!$D$22="",Besatzung!$B$6,Besatzung!$D$22)&gt;=B99)))*(Besatzung!$F$22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$22&lt;&gt;"")*IF(B99="",1,(IF(Besatzung!$C$22="",Besatzung!$B$5,Besatzung!$C$22)&lt;=B99)*(IF(Besatzung!$D$22="",Besatzung!$B$6,Besatzung!$D$22)&gt;=B99)))*((G99-IFERROR(H99,0))/IFERROR(SUMPRODUCT((Besatzung!$B$11:$B$22&lt;&gt;"")*(IF(Besatzung!$C$11:$C$22="",Besatzung!$B$5,Besatzung!$C$11:$C$22)&lt;=B99)*(IF(Besatzung!$D$11:$D$22="",Besatzung!$B$6,Besatzung!$D$11:$D$22)&gt;=B99)),1)+(Besatzung!$F$22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U99="x")*((G99-IFERROR(H99,0))/IFERROR(COUNTIF(J99:U99,"x"),1)+(Besatzung!$F$22="x")*IFERROR(H99,0)/IFERROR(SUMPRODUCT((J99:U99="x")*(Besatzung!$F$11:$F$22="x")),1))),(IF(COUNTIF(J99:U99,"x")=0,IF(Besatzung!$B$22&lt;&gt;"",1,0),(U99="x"))*(G99-IFERROR(H99,0))/IFERROR(IF(COUNTIF(J99:U99,"x")=0,COUNTA(Besatzung!$B$11:$B$22),COUNTIF(J99:U99,"x")),1)+IF(COUNTIF(J99:U99,"x")=0,(Besatzung!$F$22="x"),(U99="x")*(Besatzung!$F$22="x"))*IFERROR(H99,0)/IFERROR(IF(COUNTIF(J99:U99,"x")=0,SUMPRODUCT((Besatzung!$B$11:$B$22&lt;&gt;"")*(Besatzung!$F$11:$F$22="x")),SUMPRODUCT((J99:U99="x")*(Besatzung!$F$11:$F$22="x"))),1))))),0))))</f>
        <v/>
      </c>
      <c r="AH99" s="107" t="n"/>
      <c r="AI99" s="107" t="n"/>
    </row>
    <row r="100" ht="21.75" customHeight="1" s="182">
      <c r="A100" s="97">
        <f>IF(AND(D100="",C100=""),"",97)</f>
        <v/>
      </c>
      <c r="B100" s="56" t="n"/>
      <c r="C100" s="98" t="n"/>
      <c r="D100" s="99" t="n"/>
      <c r="E100" s="100" t="n"/>
      <c r="F100" s="101" t="n"/>
      <c r="G100" s="102" t="n"/>
      <c r="H100" s="103" t="n"/>
      <c r="I100" s="104" t="n"/>
      <c r="J100" s="105" t="n"/>
      <c r="K100" s="105" t="n"/>
      <c r="L100" s="105" t="n"/>
      <c r="M100" s="105" t="n"/>
      <c r="N100" s="105" t="n"/>
      <c r="O100" s="105" t="n"/>
      <c r="P100" s="105" t="n"/>
      <c r="Q100" s="105" t="n"/>
      <c r="R100" s="105" t="n"/>
      <c r="S100" s="105" t="n"/>
      <c r="T100" s="105" t="n"/>
      <c r="U100" s="105" t="n"/>
      <c r="V100" s="106">
        <f>IF(C100="Gutschrift","",IF(G100="","",IF(Besatzung!$B$11="","",IFERROR(IF(I100="Zeitanteilig",(Besatzung!$G$11*(G100-IFERROR(H100,0))+((Besatzung!$B$11&lt;&gt;"")*IF(B100="",1,(IF(Besatzung!$C$11="",Besatzung!$B$5,Besatzung!$C$11)&lt;=B100)*(IF(Besatzung!$D$11="",Besatzung!$B$6,Besatzung!$D$11)&gt;=B100)))*(Besatzung!$F$11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$11&lt;&gt;"")*IF(B100="",1,(IF(Besatzung!$C$11="",Besatzung!$B$5,Besatzung!$C$11)&lt;=B100)*(IF(Besatzung!$D$11="",Besatzung!$B$6,Besatzung!$D$11)&gt;=B100)))*((G100-IFERROR(H100,0))/IFERROR(SUMPRODUCT((Besatzung!$B$11:$B$22&lt;&gt;"")*(IF(Besatzung!$C$11:$C$22="",Besatzung!$B$5,Besatzung!$C$11:$C$22)&lt;=B100)*(IF(Besatzung!$D$11:$D$22="",Besatzung!$B$6,Besatzung!$D$11:$D$22)&gt;=B100)),1)+(Besatzung!$F$11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J100="x")*((G100-IFERROR(H100,0))/IFERROR(COUNTIF(J100:U100,"x"),1)+(Besatzung!$F$11="x")*IFERROR(H100,0)/IFERROR(SUMPRODUCT((J100:U100="x")*(Besatzung!$F$11:$F$22="x")),1))),(IF(COUNTIF(J100:U100,"x")=0,IF(Besatzung!$B$11&lt;&gt;"",1,0),(J100="x"))*(G100-IFERROR(H100,0))/IFERROR(IF(COUNTIF(J100:U100,"x")=0,COUNTA(Besatzung!$B$11:$B$22),COUNTIF(J100:U100,"x")),1)+IF(COUNTIF(J100:U100,"x")=0,(Besatzung!$F$11="x"),(J100="x")*(Besatzung!$F$11="x"))*IFERROR(H100,0)/IFERROR(IF(COUNTIF(J100:U100,"x")=0,SUMPRODUCT((Besatzung!$B$11:$B$22&lt;&gt;"")*(Besatzung!$F$11:$F$22="x")),SUMPRODUCT((J100:U100="x")*(Besatzung!$F$11:$F$22="x"))),1))))),0))))</f>
        <v/>
      </c>
      <c r="W100" s="106">
        <f>IF(C100="Gutschrift","",IF(G100="","",IF(Besatzung!$B$12="","",IFERROR(IF(I100="Zeitanteilig",(Besatzung!$G$12*(G100-IFERROR(H100,0))+((Besatzung!$B$12&lt;&gt;"")*IF(B100="",1,(IF(Besatzung!$C$12="",Besatzung!$B$5,Besatzung!$C$12)&lt;=B100)*(IF(Besatzung!$D$12="",Besatzung!$B$6,Besatzung!$D$12)&gt;=B100)))*(Besatzung!$F$12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$12&lt;&gt;"")*IF(B100="",1,(IF(Besatzung!$C$12="",Besatzung!$B$5,Besatzung!$C$12)&lt;=B100)*(IF(Besatzung!$D$12="",Besatzung!$B$6,Besatzung!$D$12)&gt;=B100)))*((G100-IFERROR(H100,0))/IFERROR(SUMPRODUCT((Besatzung!$B$11:$B$22&lt;&gt;"")*(IF(Besatzung!$C$11:$C$22="",Besatzung!$B$5,Besatzung!$C$11:$C$22)&lt;=B100)*(IF(Besatzung!$D$11:$D$22="",Besatzung!$B$6,Besatzung!$D$11:$D$22)&gt;=B100)),1)+(Besatzung!$F$12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K100="x")*((G100-IFERROR(H100,0))/IFERROR(COUNTIF(J100:U100,"x"),1)+(Besatzung!$F$12="x")*IFERROR(H100,0)/IFERROR(SUMPRODUCT((J100:U100="x")*(Besatzung!$F$11:$F$22="x")),1))),(IF(COUNTIF(J100:U100,"x")=0,IF(Besatzung!$B$12&lt;&gt;"",1,0),(K100="x"))*(G100-IFERROR(H100,0))/IFERROR(IF(COUNTIF(J100:U100,"x")=0,COUNTA(Besatzung!$B$11:$B$22),COUNTIF(J100:U100,"x")),1)+IF(COUNTIF(J100:U100,"x")=0,(Besatzung!$F$12="x"),(K100="x")*(Besatzung!$F$12="x"))*IFERROR(H100,0)/IFERROR(IF(COUNTIF(J100:U100,"x")=0,SUMPRODUCT((Besatzung!$B$11:$B$22&lt;&gt;"")*(Besatzung!$F$11:$F$22="x")),SUMPRODUCT((J100:U100="x")*(Besatzung!$F$11:$F$22="x"))),1))))),0))))</f>
        <v/>
      </c>
      <c r="X100" s="106">
        <f>IF(C100="Gutschrift","",IF(G100="","",IF(Besatzung!$B$13="","",IFERROR(IF(I100="Zeitanteilig",(Besatzung!$G$13*(G100-IFERROR(H100,0))+((Besatzung!$B$13&lt;&gt;"")*IF(B100="",1,(IF(Besatzung!$C$13="",Besatzung!$B$5,Besatzung!$C$13)&lt;=B100)*(IF(Besatzung!$D$13="",Besatzung!$B$6,Besatzung!$D$13)&gt;=B100)))*(Besatzung!$F$13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$13&lt;&gt;"")*IF(B100="",1,(IF(Besatzung!$C$13="",Besatzung!$B$5,Besatzung!$C$13)&lt;=B100)*(IF(Besatzung!$D$13="",Besatzung!$B$6,Besatzung!$D$13)&gt;=B100)))*((G100-IFERROR(H100,0))/IFERROR(SUMPRODUCT((Besatzung!$B$11:$B$22&lt;&gt;"")*(IF(Besatzung!$C$11:$C$22="",Besatzung!$B$5,Besatzung!$C$11:$C$22)&lt;=B100)*(IF(Besatzung!$D$11:$D$22="",Besatzung!$B$6,Besatzung!$D$11:$D$22)&gt;=B100)),1)+(Besatzung!$F$13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K100="x")*((G100-IFERROR(H100,0))/IFERROR(COUNTIF(J100:U100,"x"),1)+(Besatzung!$F$13="x")*IFERROR(H100,0)/IFERROR(SUMPRODUCT((J100:U100="x")*(Besatzung!$F$11:$F$22="x")),1))),(IF(COUNTIF(J100:U100,"x")=0,IF(Besatzung!$B$13&lt;&gt;"",1,0),(K100="x"))*(G100-IFERROR(H100,0))/IFERROR(IF(COUNTIF(J100:U100,"x")=0,COUNTA(Besatzung!$B$11:$B$22),COUNTIF(J100:U100,"x")),1)+IF(COUNTIF(J100:U100,"x")=0,(Besatzung!$F$13="x"),(K100="x")*(Besatzung!$F$13="x"))*IFERROR(H100,0)/IFERROR(IF(COUNTIF(J100:U100,"x")=0,SUMPRODUCT((Besatzung!$B$11:$B$22&lt;&gt;"")*(Besatzung!$F$11:$F$22="x")),SUMPRODUCT((J100:U100="x")*(Besatzung!$F$11:$F$22="x"))),1))))),0))))</f>
        <v/>
      </c>
      <c r="Y100" s="106">
        <f>IF(C100="Gutschrift","",IF(G100="","",IF(Besatzung!$B$14="","",IFERROR(IF(I100="Zeitanteilig",(Besatzung!$G$14*(G100-IFERROR(H100,0))+((Besatzung!$B$14&lt;&gt;"")*IF(B100="",1,(IF(Besatzung!$C$14="",Besatzung!$B$5,Besatzung!$C$14)&lt;=B100)*(IF(Besatzung!$D$14="",Besatzung!$B$6,Besatzung!$D$14)&gt;=B100)))*(Besatzung!$F$14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$14&lt;&gt;"")*IF(B100="",1,(IF(Besatzung!$C$14="",Besatzung!$B$5,Besatzung!$C$14)&lt;=B100)*(IF(Besatzung!$D$14="",Besatzung!$B$6,Besatzung!$D$14)&gt;=B100)))*((G100-IFERROR(H100,0))/IFERROR(SUMPRODUCT((Besatzung!$B$11:$B$22&lt;&gt;"")*(IF(Besatzung!$C$11:$C$22="",Besatzung!$B$5,Besatzung!$C$11:$C$22)&lt;=B100)*(IF(Besatzung!$D$11:$D$22="",Besatzung!$B$6,Besatzung!$D$11:$D$22)&gt;=B100)),1)+(Besatzung!$F$14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M100="x")*((G100-IFERROR(H100,0))/IFERROR(COUNTIF(J100:U100,"x"),1)+(Besatzung!$F$14="x")*IFERROR(H100,0)/IFERROR(SUMPRODUCT((J100:U100="x")*(Besatzung!$F$11:$F$22="x")),1))),(IF(COUNTIF(J100:U100,"x")=0,IF(Besatzung!$B$14&lt;&gt;"",1,0),(M100="x"))*(G100-IFERROR(H100,0))/IFERROR(IF(COUNTIF(J100:U100,"x")=0,COUNTA(Besatzung!$B$11:$B$22),COUNTIF(J100:U100,"x")),1)+IF(COUNTIF(J100:U100,"x")=0,(Besatzung!$F$14="x"),(M100="x")*(Besatzung!$F$14="x"))*IFERROR(H100,0)/IFERROR(IF(COUNTIF(J100:U100,"x")=0,SUMPRODUCT((Besatzung!$B$11:$B$22&lt;&gt;"")*(Besatzung!$F$11:$F$22="x")),SUMPRODUCT((J100:U100="x")*(Besatzung!$F$11:$F$22="x"))),1))))),0))))</f>
        <v/>
      </c>
      <c r="Z100" s="106">
        <f>IF(C100="Gutschrift","",IF(G100="","",IF(Besatzung!$B$13="","",IFERROR(IF(I100="Zeitanteilig",(Besatzung!$G$15*(G100-IFERROR(H100,0))+((Besatzung!$B$13&lt;&gt;"")*IF(B100="",1,(IF(Besatzung!$C$15="",Besatzung!$B$5,Besatzung!$C$15)&lt;=B100)*(IF(Besatzung!$D$15="",Besatzung!$B$6,Besatzung!$D$15)&gt;=B100)))*(Besatzung!$F$15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$13&lt;&gt;"")*IF(B100="",1,(IF(Besatzung!$C$15="",Besatzung!$B$5,Besatzung!$C$15)&lt;=B100)*(IF(Besatzung!$D$15="",Besatzung!$B$6,Besatzung!$D$15)&gt;=B100)))*((G100-IFERROR(H100,0))/IFERROR(SUMPRODUCT((Besatzung!$B$11:$B$22&lt;&gt;"")*(IF(Besatzung!$C$11:$C$22="",Besatzung!$B$5,Besatzung!$C$11:$C$22)&lt;=B100)*(IF(Besatzung!$D$11:$D$22="",Besatzung!$B$6,Besatzung!$D$11:$D$22)&gt;=B100)),1)+(Besatzung!$F$15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N100="x")*((G100-IFERROR(H100,0))/IFERROR(COUNTIF(J100:U100,"x"),1)+(Besatzung!$F$15="x")*IFERROR(H100,0)/IFERROR(SUMPRODUCT((J100:U100="x")*(Besatzung!$F$11:$F$22="x")),1))),(IF(COUNTIF(J100:U100,"x")=0,IF(Besatzung!$B$13&lt;&gt;"",1,0),(N100="x"))*(G100-IFERROR(H100,0))/IFERROR(IF(COUNTIF(J100:U100,"x")=0,COUNTA(Besatzung!$B$11:$B$22),COUNTIF(J100:U100,"x")),1)+IF(COUNTIF(J100:U100,"x")=0,(Besatzung!$F$15="x"),(N100="x")*(Besatzung!$F$15="x"))*IFERROR(H100,0)/IFERROR(IF(COUNTIF(J100:U100,"x")=0,SUMPRODUCT((Besatzung!$B$11:$B$22&lt;&gt;"")*(Besatzung!$F$11:$F$22="x")),SUMPRODUCT((J100:U100="x")*(Besatzung!$F$11:$F$22="x"))),1))))),0))))</f>
        <v/>
      </c>
      <c r="AA100" s="106">
        <f>IF(C100="Gutschrift","",IF(G100="","",IF(Besatzung!$B$15="","",IFERROR(IF(I100="Zeitanteilig",(Besatzung!$G$16*(G100-IFERROR(H100,0))+((Besatzung!$B$15&lt;&gt;"")*IF(B100="",1,(IF(Besatzung!$C$16="",Besatzung!$B$5,Besatzung!$C$16)&lt;=B100)*(IF(Besatzung!$D$16="",Besatzung!$B$6,Besatzung!$D$16)&gt;=B100)))*(Besatzung!$F$16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$15&lt;&gt;"")*IF(B100="",1,(IF(Besatzung!$C$16="",Besatzung!$B$5,Besatzung!$C$16)&lt;=B100)*(IF(Besatzung!$D$16="",Besatzung!$B$6,Besatzung!$D$16)&gt;=B100)))*((G100-IFERROR(H100,0))/IFERROR(SUMPRODUCT((Besatzung!$B$11:$B$22&lt;&gt;"")*(IF(Besatzung!$C$11:$C$22="",Besatzung!$B$5,Besatzung!$C$11:$C$22)&lt;=B100)*(IF(Besatzung!$D$11:$D$22="",Besatzung!$B$6,Besatzung!$D$11:$D$22)&gt;=B100)),1)+(Besatzung!$F$16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O100="x")*((G100-IFERROR(H100,0))/IFERROR(COUNTIF(J100:U100,"x"),1)+(Besatzung!$F$16="x")*IFERROR(H100,0)/IFERROR(SUMPRODUCT((J100:U100="x")*(Besatzung!$F$11:$F$22="x")),1))),(IF(COUNTIF(J100:U100,"x")=0,IF(Besatzung!$B$15&lt;&gt;"",1,0),(O100="x"))*(G100-IFERROR(H100,0))/IFERROR(IF(COUNTIF(J100:U100,"x")=0,COUNTA(Besatzung!$B$11:$B$22),COUNTIF(J100:U100,"x")),1)+IF(COUNTIF(J100:U100,"x")=0,(Besatzung!$F$16="x"),(O100="x")*(Besatzung!$F$16="x"))*IFERROR(H100,0)/IFERROR(IF(COUNTIF(J100:U100,"x")=0,SUMPRODUCT((Besatzung!$B$11:$B$22&lt;&gt;"")*(Besatzung!$F$11:$F$22="x")),SUMPRODUCT((J100:U100="x")*(Besatzung!$F$11:$F$22="x"))),1))))),0))))</f>
        <v/>
      </c>
      <c r="AB100" s="106">
        <f>IF(C100="Gutschrift","",IF(G100="","",IF(Besatzung!$B$17="","",IFERROR(IF(I100="Zeitanteilig",(Besatzung!$G$17*(G100-IFERROR(H100,0))+((Besatzung!$B$17&lt;&gt;"")*IF(B100="",1,(IF(Besatzung!$C$17="",Besatzung!$B$5,Besatzung!$C$17)&lt;=B100)*(IF(Besatzung!$D$17="",Besatzung!$B$6,Besatzung!$D$17)&gt;=B100)))*(Besatzung!$F$17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$17&lt;&gt;"")*IF(B100="",1,(IF(Besatzung!$C$17="",Besatzung!$B$5,Besatzung!$C$17)&lt;=B100)*(IF(Besatzung!$D$17="",Besatzung!$B$6,Besatzung!$D$17)&gt;=B100)))*((G100-IFERROR(H100,0))/IFERROR(SUMPRODUCT((Besatzung!$B$11:$B$22&lt;&gt;"")*(IF(Besatzung!$C$11:$C$22="",Besatzung!$B$5,Besatzung!$C$11:$C$22)&lt;=B100)*(IF(Besatzung!$D$11:$D$22="",Besatzung!$B$6,Besatzung!$D$11:$D$22)&gt;=B100)),1)+(Besatzung!$F$17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P100="x")*((G100-IFERROR(H100,0))/IFERROR(COUNTIF(J100:U100,"x"),1)+(Besatzung!$F$17="x")*IFERROR(H100,0)/IFERROR(SUMPRODUCT((J100:U100="x")*(Besatzung!$F$11:$F$22="x")),1))),(IF(COUNTIF(J100:U100,"x")=0,IF(Besatzung!$B$17&lt;&gt;"",1,0),(P100="x"))*(G100-IFERROR(H100,0))/IFERROR(IF(COUNTIF(J100:U100,"x")=0,COUNTA(Besatzung!$B$11:$B$22),COUNTIF(J100:U100,"x")),1)+IF(COUNTIF(J100:U100,"x")=0,(Besatzung!$F$17="x"),(P100="x")*(Besatzung!$F$17="x"))*IFERROR(H100,0)/IFERROR(IF(COUNTIF(J100:U100,"x")=0,SUMPRODUCT((Besatzung!$B$11:$B$22&lt;&gt;"")*(Besatzung!$F$11:$F$22="x")),SUMPRODUCT((J100:U100="x")*(Besatzung!$F$11:$F$22="x"))),1))))),0))))</f>
        <v/>
      </c>
      <c r="AC100" s="106">
        <f>IF(C100="Gutschrift","",IF(G100="","",IF(Besatzung!$B$18="","",IFERROR(IF(I100="Zeitanteilig",(Besatzung!$G$18*(G100-IFERROR(H100,0))+((Besatzung!$B$18&lt;&gt;"")*IF(B100="",1,(IF(Besatzung!$C$18="",Besatzung!$B$5,Besatzung!$C$18)&lt;=B100)*(IF(Besatzung!$D$18="",Besatzung!$B$6,Besatzung!$D$18)&gt;=B100)))*(Besatzung!$F$18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$18&lt;&gt;"")*IF(B100="",1,(IF(Besatzung!$C$18="",Besatzung!$B$5,Besatzung!$C$18)&lt;=B100)*(IF(Besatzung!$D$18="",Besatzung!$B$6,Besatzung!$D$18)&gt;=B100)))*((G100-IFERROR(H100,0))/IFERROR(SUMPRODUCT((Besatzung!$B$11:$B$22&lt;&gt;"")*(IF(Besatzung!$C$11:$C$22="",Besatzung!$B$5,Besatzung!$C$11:$C$22)&lt;=B100)*(IF(Besatzung!$D$11:$D$22="",Besatzung!$B$6,Besatzung!$D$11:$D$22)&gt;=B100)),1)+(Besatzung!$F$18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Q100="x")*((G100-IFERROR(H100,0))/IFERROR(COUNTIF(J100:U100,"x"),1)+(Besatzung!$F$18="x")*IFERROR(H100,0)/IFERROR(SUMPRODUCT((J100:U100="x")*(Besatzung!$F$11:$F$22="x")),1))),(IF(COUNTIF(J100:U100,"x")=0,IF(Besatzung!$B$18&lt;&gt;"",1,0),(Q100="x"))*(G100-IFERROR(H100,0))/IFERROR(IF(COUNTIF(J100:U100,"x")=0,COUNTA(Besatzung!$B$11:$B$22),COUNTIF(J100:U100,"x")),1)+IF(COUNTIF(J100:U100,"x")=0,(Besatzung!$F$18="x"),(Q100="x")*(Besatzung!$F$18="x"))*IFERROR(H100,0)/IFERROR(IF(COUNTIF(J100:U100,"x")=0,SUMPRODUCT((Besatzung!$B$11:$B$22&lt;&gt;"")*(Besatzung!$F$11:$F$22="x")),SUMPRODUCT((J100:U100="x")*(Besatzung!$F$11:$F$22="x"))),1))))),0))))</f>
        <v/>
      </c>
      <c r="AD100" s="106">
        <f>IF(C100="Gutschrift","",IF(G100="","",IF(Besatzung!$B$19="","",IFERROR(IF(I100="Zeitanteilig",(Besatzung!$G$19*(G100-IFERROR(H100,0))+((Besatzung!$B$19&lt;&gt;"")*IF(B100="",1,(IF(Besatzung!$C$19="",Besatzung!$B$5,Besatzung!$C$19)&lt;=B100)*(IF(Besatzung!$D$19="",Besatzung!$B$6,Besatzung!$D$19)&gt;=B100)))*(Besatzung!$F$19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$19&lt;&gt;"")*IF(B100="",1,(IF(Besatzung!$C$19="",Besatzung!$B$5,Besatzung!$C$19)&lt;=B100)*(IF(Besatzung!$D$19="",Besatzung!$B$6,Besatzung!$D$19)&gt;=B100)))*((G100-IFERROR(H100,0))/IFERROR(SUMPRODUCT((Besatzung!$B$11:$B$22&lt;&gt;"")*(IF(Besatzung!$C$11:$C$22="",Besatzung!$B$5,Besatzung!$C$11:$C$22)&lt;=B100)*(IF(Besatzung!$D$11:$D$22="",Besatzung!$B$6,Besatzung!$D$11:$D$22)&gt;=B100)),1)+(Besatzung!$F$19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R100="x")*((G100-IFERROR(H100,0))/IFERROR(COUNTIF(J100:U100,"x"),1)+(Besatzung!$F$19="x")*IFERROR(H100,0)/IFERROR(SUMPRODUCT((J100:U100="x")*(Besatzung!$F$11:$F$22="x")),1))),(IF(COUNTIF(J100:U100,"x")=0,IF(Besatzung!$B$19&lt;&gt;"",1,0),(R100="x"))*(G100-IFERROR(H100,0))/IFERROR(IF(COUNTIF(J100:U100,"x")=0,COUNTA(Besatzung!$B$11:$B$22),COUNTIF(J100:U100,"x")),1)+IF(COUNTIF(J100:U100,"x")=0,(Besatzung!$F$19="x"),(R100="x")*(Besatzung!$F$19="x"))*IFERROR(H100,0)/IFERROR(IF(COUNTIF(J100:U100,"x")=0,SUMPRODUCT((Besatzung!$B$11:$B$22&lt;&gt;"")*(Besatzung!$F$11:$F$22="x")),SUMPRODUCT((J100:U100="x")*(Besatzung!$F$11:$F$22="x"))),1))))),0))))</f>
        <v/>
      </c>
      <c r="AE100" s="106">
        <f>IF(C100="Gutschrift","",IF(G100="","",IF(Besatzung!$B$20="","",IFERROR(IF(I100="Zeitanteilig",(Besatzung!$G$20*(G100-IFERROR(H100,0))+((Besatzung!$B$20&lt;&gt;"")*IF(B100="",1,(IF(Besatzung!$C$20="",Besatzung!$B$5,Besatzung!$C$20)&lt;=B100)*(IF(Besatzung!$D$20="",Besatzung!$B$6,Besatzung!$D$20)&gt;=B100)))*(Besatzung!$F$20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$20&lt;&gt;"")*IF(B100="",1,(IF(Besatzung!$C$20="",Besatzung!$B$5,Besatzung!$C$20)&lt;=B100)*(IF(Besatzung!$D$20="",Besatzung!$B$6,Besatzung!$D$20)&gt;=B100)))*((G100-IFERROR(H100,0))/IFERROR(SUMPRODUCT((Besatzung!$B$11:$B$22&lt;&gt;"")*(IF(Besatzung!$C$11:$C$22="",Besatzung!$B$5,Besatzung!$C$11:$C$22)&lt;=B100)*(IF(Besatzung!$D$11:$D$22="",Besatzung!$B$6,Besatzung!$D$11:$D$22)&gt;=B100)),1)+(Besatzung!$F$20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S100="x")*((G100-IFERROR(H100,0))/IFERROR(COUNTIF(J100:U100,"x"),1)+(Besatzung!$F$20="x")*IFERROR(H100,0)/IFERROR(SUMPRODUCT((J100:U100="x")*(Besatzung!$F$11:$F$22="x")),1))),(IF(COUNTIF(J100:U100,"x")=0,IF(Besatzung!$B$20&lt;&gt;"",1,0),(S100="x"))*(G100-IFERROR(H100,0))/IFERROR(IF(COUNTIF(J100:U100,"x")=0,COUNTA(Besatzung!$B$11:$B$22),COUNTIF(J100:U100,"x")),1)+IF(COUNTIF(J100:U100,"x")=0,(Besatzung!$F$20="x"),(S100="x")*(Besatzung!$F$20="x"))*IFERROR(H100,0)/IFERROR(IF(COUNTIF(J100:U100,"x")=0,SUMPRODUCT((Besatzung!$B$11:$B$22&lt;&gt;"")*(Besatzung!$F$11:$F$22="x")),SUMPRODUCT((J100:U100="x")*(Besatzung!$F$11:$F$22="x"))),1))))),0))))</f>
        <v/>
      </c>
      <c r="AF100" s="106">
        <f>IF(C100="Gutschrift","",IF(G100="","",IF(Besatzung!$B$21="","",IFERROR(IF(I100="Zeitanteilig",(Besatzung!$G$21*(G100-IFERROR(H100,0))+((Besatzung!$B$21&lt;&gt;"")*IF(B100="",1,(IF(Besatzung!$C$21="",Besatzung!$B$5,Besatzung!$C$21)&lt;=B100)*(IF(Besatzung!$D$21="",Besatzung!$B$6,Besatzung!$D$21)&gt;=B100)))*(Besatzung!$F$21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$21&lt;&gt;"")*IF(B100="",1,(IF(Besatzung!$C$21="",Besatzung!$B$5,Besatzung!$C$21)&lt;=B100)*(IF(Besatzung!$D$21="",Besatzung!$B$6,Besatzung!$D$21)&gt;=B100)))*((G100-IFERROR(H100,0))/IFERROR(SUMPRODUCT((Besatzung!$B$11:$B$22&lt;&gt;"")*(IF(Besatzung!$C$11:$C$22="",Besatzung!$B$5,Besatzung!$C$11:$C$22)&lt;=B100)*(IF(Besatzung!$D$11:$D$22="",Besatzung!$B$6,Besatzung!$D$11:$D$22)&gt;=B100)),1)+(Besatzung!$F$21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T100="x")*((G100-IFERROR(H100,0))/IFERROR(COUNTIF(J100:U100,"x"),1)+(Besatzung!$F$21="x")*IFERROR(H100,0)/IFERROR(SUMPRODUCT((J100:U100="x")*(Besatzung!$F$11:$F$22="x")),1))),(IF(COUNTIF(J100:U100,"x")=0,IF(Besatzung!$B$21&lt;&gt;"",1,0),(T100="x"))*(G100-IFERROR(H100,0))/IFERROR(IF(COUNTIF(J100:U100,"x")=0,COUNTA(Besatzung!$B$11:$B$22),COUNTIF(J100:U100,"x")),1)+IF(COUNTIF(J100:U100,"x")=0,(Besatzung!$F$21="x"),(T100="x")*(Besatzung!$F$21="x"))*IFERROR(H100,0)/IFERROR(IF(COUNTIF(J100:U100,"x")=0,SUMPRODUCT((Besatzung!$B$11:$B$22&lt;&gt;"")*(Besatzung!$F$11:$F$22="x")),SUMPRODUCT((J100:U100="x")*(Besatzung!$F$11:$F$22="x"))),1))))),0))))</f>
        <v/>
      </c>
      <c r="AG100" s="106">
        <f>IF(C100="Gutschrift","",IF(G100="","",IF(Besatzung!$B$22="","",IFERROR(IF(I100="Zeitanteilig",(Besatzung!$G$22*(G100-IFERROR(H100,0))+((Besatzung!$B$22&lt;&gt;"")*IF(B100="",1,(IF(Besatzung!$C$22="",Besatzung!$B$5,Besatzung!$C$22)&lt;=B100)*(IF(Besatzung!$D$22="",Besatzung!$B$6,Besatzung!$D$22)&gt;=B100)))*(Besatzung!$F$22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$22&lt;&gt;"")*IF(B100="",1,(IF(Besatzung!$C$22="",Besatzung!$B$5,Besatzung!$C$22)&lt;=B100)*(IF(Besatzung!$D$22="",Besatzung!$B$6,Besatzung!$D$22)&gt;=B100)))*((G100-IFERROR(H100,0))/IFERROR(SUMPRODUCT((Besatzung!$B$11:$B$22&lt;&gt;"")*(IF(Besatzung!$C$11:$C$22="",Besatzung!$B$5,Besatzung!$C$11:$C$22)&lt;=B100)*(IF(Besatzung!$D$11:$D$22="",Besatzung!$B$6,Besatzung!$D$11:$D$22)&gt;=B100)),1)+(Besatzung!$F$22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U100="x")*((G100-IFERROR(H100,0))/IFERROR(COUNTIF(J100:U100,"x"),1)+(Besatzung!$F$22="x")*IFERROR(H100,0)/IFERROR(SUMPRODUCT((J100:U100="x")*(Besatzung!$F$11:$F$22="x")),1))),(IF(COUNTIF(J100:U100,"x")=0,IF(Besatzung!$B$22&lt;&gt;"",1,0),(U100="x"))*(G100-IFERROR(H100,0))/IFERROR(IF(COUNTIF(J100:U100,"x")=0,COUNTA(Besatzung!$B$11:$B$22),COUNTIF(J100:U100,"x")),1)+IF(COUNTIF(J100:U100,"x")=0,(Besatzung!$F$22="x"),(U100="x")*(Besatzung!$F$22="x"))*IFERROR(H100,0)/IFERROR(IF(COUNTIF(J100:U100,"x")=0,SUMPRODUCT((Besatzung!$B$11:$B$22&lt;&gt;"")*(Besatzung!$F$11:$F$22="x")),SUMPRODUCT((J100:U100="x")*(Besatzung!$F$11:$F$22="x"))),1))))),0))))</f>
        <v/>
      </c>
      <c r="AH100" s="107" t="n"/>
      <c r="AI100" s="107" t="n"/>
    </row>
    <row r="101" ht="21.75" customHeight="1" s="182">
      <c r="A101" s="97">
        <f>IF(AND(D101="",C101=""),"",98)</f>
        <v/>
      </c>
      <c r="B101" s="63" t="n"/>
      <c r="C101" s="108" t="n"/>
      <c r="D101" s="109" t="n"/>
      <c r="E101" s="110" t="n"/>
      <c r="F101" s="111" t="n"/>
      <c r="G101" s="112" t="n"/>
      <c r="H101" s="113" t="n"/>
      <c r="I101" s="114" t="n"/>
      <c r="J101" s="115" t="n"/>
      <c r="K101" s="115" t="n"/>
      <c r="L101" s="115" t="n"/>
      <c r="M101" s="115" t="n"/>
      <c r="N101" s="115" t="n"/>
      <c r="O101" s="115" t="n"/>
      <c r="P101" s="115" t="n"/>
      <c r="Q101" s="115" t="n"/>
      <c r="R101" s="115" t="n"/>
      <c r="S101" s="115" t="n"/>
      <c r="T101" s="115" t="n"/>
      <c r="U101" s="115" t="n"/>
      <c r="V101" s="106">
        <f>IF(C101="Gutschrift","",IF(G101="","",IF(Besatzung!$B$11="","",IFERROR(IF(I101="Zeitanteilig",(Besatzung!$G$11*(G101-IFERROR(H101,0))+((Besatzung!$B$11&lt;&gt;"")*IF(B101="",1,(IF(Besatzung!$C$11="",Besatzung!$B$5,Besatzung!$C$11)&lt;=B101)*(IF(Besatzung!$D$11="",Besatzung!$B$6,Besatzung!$D$11)&gt;=B101)))*(Besatzung!$F$11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$11&lt;&gt;"")*IF(B101="",1,(IF(Besatzung!$C$11="",Besatzung!$B$5,Besatzung!$C$11)&lt;=B101)*(IF(Besatzung!$D$11="",Besatzung!$B$6,Besatzung!$D$11)&gt;=B101)))*((G101-IFERROR(H101,0))/IFERROR(SUMPRODUCT((Besatzung!$B$11:$B$22&lt;&gt;"")*(IF(Besatzung!$C$11:$C$22="",Besatzung!$B$5,Besatzung!$C$11:$C$22)&lt;=B101)*(IF(Besatzung!$D$11:$D$22="",Besatzung!$B$6,Besatzung!$D$11:$D$22)&gt;=B101)),1)+(Besatzung!$F$11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J101="x")*((G101-IFERROR(H101,0))/IFERROR(COUNTIF(J101:U101,"x"),1)+(Besatzung!$F$11="x")*IFERROR(H101,0)/IFERROR(SUMPRODUCT((J101:U101="x")*(Besatzung!$F$11:$F$22="x")),1))),(IF(COUNTIF(J101:U101,"x")=0,IF(Besatzung!$B$11&lt;&gt;"",1,0),(J101="x"))*(G101-IFERROR(H101,0))/IFERROR(IF(COUNTIF(J101:U101,"x")=0,COUNTA(Besatzung!$B$11:$B$22),COUNTIF(J101:U101,"x")),1)+IF(COUNTIF(J101:U101,"x")=0,(Besatzung!$F$11="x"),(J101="x")*(Besatzung!$F$11="x"))*IFERROR(H101,0)/IFERROR(IF(COUNTIF(J101:U101,"x")=0,SUMPRODUCT((Besatzung!$B$11:$B$22&lt;&gt;"")*(Besatzung!$F$11:$F$22="x")),SUMPRODUCT((J101:U101="x")*(Besatzung!$F$11:$F$22="x"))),1))))),0))))</f>
        <v/>
      </c>
      <c r="W101" s="106">
        <f>IF(C101="Gutschrift","",IF(G101="","",IF(Besatzung!$B$12="","",IFERROR(IF(I101="Zeitanteilig",(Besatzung!$G$12*(G101-IFERROR(H101,0))+((Besatzung!$B$12&lt;&gt;"")*IF(B101="",1,(IF(Besatzung!$C$12="",Besatzung!$B$5,Besatzung!$C$12)&lt;=B101)*(IF(Besatzung!$D$12="",Besatzung!$B$6,Besatzung!$D$12)&gt;=B101)))*(Besatzung!$F$12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$12&lt;&gt;"")*IF(B101="",1,(IF(Besatzung!$C$12="",Besatzung!$B$5,Besatzung!$C$12)&lt;=B101)*(IF(Besatzung!$D$12="",Besatzung!$B$6,Besatzung!$D$12)&gt;=B101)))*((G101-IFERROR(H101,0))/IFERROR(SUMPRODUCT((Besatzung!$B$11:$B$22&lt;&gt;"")*(IF(Besatzung!$C$11:$C$22="",Besatzung!$B$5,Besatzung!$C$11:$C$22)&lt;=B101)*(IF(Besatzung!$D$11:$D$22="",Besatzung!$B$6,Besatzung!$D$11:$D$22)&gt;=B101)),1)+(Besatzung!$F$12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K101="x")*((G101-IFERROR(H101,0))/IFERROR(COUNTIF(J101:U101,"x"),1)+(Besatzung!$F$12="x")*IFERROR(H101,0)/IFERROR(SUMPRODUCT((J101:U101="x")*(Besatzung!$F$11:$F$22="x")),1))),(IF(COUNTIF(J101:U101,"x")=0,IF(Besatzung!$B$12&lt;&gt;"",1,0),(K101="x"))*(G101-IFERROR(H101,0))/IFERROR(IF(COUNTIF(J101:U101,"x")=0,COUNTA(Besatzung!$B$11:$B$22),COUNTIF(J101:U101,"x")),1)+IF(COUNTIF(J101:U101,"x")=0,(Besatzung!$F$12="x"),(K101="x")*(Besatzung!$F$12="x"))*IFERROR(H101,0)/IFERROR(IF(COUNTIF(J101:U101,"x")=0,SUMPRODUCT((Besatzung!$B$11:$B$22&lt;&gt;"")*(Besatzung!$F$11:$F$22="x")),SUMPRODUCT((J101:U101="x")*(Besatzung!$F$11:$F$22="x"))),1))))),0))))</f>
        <v/>
      </c>
      <c r="X101" s="106">
        <f>IF(C101="Gutschrift","",IF(G101="","",IF(Besatzung!$B$13="","",IFERROR(IF(I101="Zeitanteilig",(Besatzung!$G$13*(G101-IFERROR(H101,0))+((Besatzung!$B$13&lt;&gt;"")*IF(B101="",1,(IF(Besatzung!$C$13="",Besatzung!$B$5,Besatzung!$C$13)&lt;=B101)*(IF(Besatzung!$D$13="",Besatzung!$B$6,Besatzung!$D$13)&gt;=B101)))*(Besatzung!$F$13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$13&lt;&gt;"")*IF(B101="",1,(IF(Besatzung!$C$13="",Besatzung!$B$5,Besatzung!$C$13)&lt;=B101)*(IF(Besatzung!$D$13="",Besatzung!$B$6,Besatzung!$D$13)&gt;=B101)))*((G101-IFERROR(H101,0))/IFERROR(SUMPRODUCT((Besatzung!$B$11:$B$22&lt;&gt;"")*(IF(Besatzung!$C$11:$C$22="",Besatzung!$B$5,Besatzung!$C$11:$C$22)&lt;=B101)*(IF(Besatzung!$D$11:$D$22="",Besatzung!$B$6,Besatzung!$D$11:$D$22)&gt;=B101)),1)+(Besatzung!$F$13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K101="x")*((G101-IFERROR(H101,0))/IFERROR(COUNTIF(J101:U101,"x"),1)+(Besatzung!$F$13="x")*IFERROR(H101,0)/IFERROR(SUMPRODUCT((J101:U101="x")*(Besatzung!$F$11:$F$22="x")),1))),(IF(COUNTIF(J101:U101,"x")=0,IF(Besatzung!$B$13&lt;&gt;"",1,0),(K101="x"))*(G101-IFERROR(H101,0))/IFERROR(IF(COUNTIF(J101:U101,"x")=0,COUNTA(Besatzung!$B$11:$B$22),COUNTIF(J101:U101,"x")),1)+IF(COUNTIF(J101:U101,"x")=0,(Besatzung!$F$13="x"),(K101="x")*(Besatzung!$F$13="x"))*IFERROR(H101,0)/IFERROR(IF(COUNTIF(J101:U101,"x")=0,SUMPRODUCT((Besatzung!$B$11:$B$22&lt;&gt;"")*(Besatzung!$F$11:$F$22="x")),SUMPRODUCT((J101:U101="x")*(Besatzung!$F$11:$F$22="x"))),1))))),0))))</f>
        <v/>
      </c>
      <c r="Y101" s="106">
        <f>IF(C101="Gutschrift","",IF(G101="","",IF(Besatzung!$B$14="","",IFERROR(IF(I101="Zeitanteilig",(Besatzung!$G$14*(G101-IFERROR(H101,0))+((Besatzung!$B$14&lt;&gt;"")*IF(B101="",1,(IF(Besatzung!$C$14="",Besatzung!$B$5,Besatzung!$C$14)&lt;=B101)*(IF(Besatzung!$D$14="",Besatzung!$B$6,Besatzung!$D$14)&gt;=B101)))*(Besatzung!$F$14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$14&lt;&gt;"")*IF(B101="",1,(IF(Besatzung!$C$14="",Besatzung!$B$5,Besatzung!$C$14)&lt;=B101)*(IF(Besatzung!$D$14="",Besatzung!$B$6,Besatzung!$D$14)&gt;=B101)))*((G101-IFERROR(H101,0))/IFERROR(SUMPRODUCT((Besatzung!$B$11:$B$22&lt;&gt;"")*(IF(Besatzung!$C$11:$C$22="",Besatzung!$B$5,Besatzung!$C$11:$C$22)&lt;=B101)*(IF(Besatzung!$D$11:$D$22="",Besatzung!$B$6,Besatzung!$D$11:$D$22)&gt;=B101)),1)+(Besatzung!$F$14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M101="x")*((G101-IFERROR(H101,0))/IFERROR(COUNTIF(J101:U101,"x"),1)+(Besatzung!$F$14="x")*IFERROR(H101,0)/IFERROR(SUMPRODUCT((J101:U101="x")*(Besatzung!$F$11:$F$22="x")),1))),(IF(COUNTIF(J101:U101,"x")=0,IF(Besatzung!$B$14&lt;&gt;"",1,0),(M101="x"))*(G101-IFERROR(H101,0))/IFERROR(IF(COUNTIF(J101:U101,"x")=0,COUNTA(Besatzung!$B$11:$B$22),COUNTIF(J101:U101,"x")),1)+IF(COUNTIF(J101:U101,"x")=0,(Besatzung!$F$14="x"),(M101="x")*(Besatzung!$F$14="x"))*IFERROR(H101,0)/IFERROR(IF(COUNTIF(J101:U101,"x")=0,SUMPRODUCT((Besatzung!$B$11:$B$22&lt;&gt;"")*(Besatzung!$F$11:$F$22="x")),SUMPRODUCT((J101:U101="x")*(Besatzung!$F$11:$F$22="x"))),1))))),0))))</f>
        <v/>
      </c>
      <c r="Z101" s="106">
        <f>IF(C101="Gutschrift","",IF(G101="","",IF(Besatzung!$B$13="","",IFERROR(IF(I101="Zeitanteilig",(Besatzung!$G$15*(G101-IFERROR(H101,0))+((Besatzung!$B$13&lt;&gt;"")*IF(B101="",1,(IF(Besatzung!$C$15="",Besatzung!$B$5,Besatzung!$C$15)&lt;=B101)*(IF(Besatzung!$D$15="",Besatzung!$B$6,Besatzung!$D$15)&gt;=B101)))*(Besatzung!$F$15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$13&lt;&gt;"")*IF(B101="",1,(IF(Besatzung!$C$15="",Besatzung!$B$5,Besatzung!$C$15)&lt;=B101)*(IF(Besatzung!$D$15="",Besatzung!$B$6,Besatzung!$D$15)&gt;=B101)))*((G101-IFERROR(H101,0))/IFERROR(SUMPRODUCT((Besatzung!$B$11:$B$22&lt;&gt;"")*(IF(Besatzung!$C$11:$C$22="",Besatzung!$B$5,Besatzung!$C$11:$C$22)&lt;=B101)*(IF(Besatzung!$D$11:$D$22="",Besatzung!$B$6,Besatzung!$D$11:$D$22)&gt;=B101)),1)+(Besatzung!$F$15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N101="x")*((G101-IFERROR(H101,0))/IFERROR(COUNTIF(J101:U101,"x"),1)+(Besatzung!$F$15="x")*IFERROR(H101,0)/IFERROR(SUMPRODUCT((J101:U101="x")*(Besatzung!$F$11:$F$22="x")),1))),(IF(COUNTIF(J101:U101,"x")=0,IF(Besatzung!$B$13&lt;&gt;"",1,0),(N101="x"))*(G101-IFERROR(H101,0))/IFERROR(IF(COUNTIF(J101:U101,"x")=0,COUNTA(Besatzung!$B$11:$B$22),COUNTIF(J101:U101,"x")),1)+IF(COUNTIF(J101:U101,"x")=0,(Besatzung!$F$15="x"),(N101="x")*(Besatzung!$F$15="x"))*IFERROR(H101,0)/IFERROR(IF(COUNTIF(J101:U101,"x")=0,SUMPRODUCT((Besatzung!$B$11:$B$22&lt;&gt;"")*(Besatzung!$F$11:$F$22="x")),SUMPRODUCT((J101:U101="x")*(Besatzung!$F$11:$F$22="x"))),1))))),0))))</f>
        <v/>
      </c>
      <c r="AA101" s="106">
        <f>IF(C101="Gutschrift","",IF(G101="","",IF(Besatzung!$B$15="","",IFERROR(IF(I101="Zeitanteilig",(Besatzung!$G$16*(G101-IFERROR(H101,0))+((Besatzung!$B$15&lt;&gt;"")*IF(B101="",1,(IF(Besatzung!$C$16="",Besatzung!$B$5,Besatzung!$C$16)&lt;=B101)*(IF(Besatzung!$D$16="",Besatzung!$B$6,Besatzung!$D$16)&gt;=B101)))*(Besatzung!$F$16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$15&lt;&gt;"")*IF(B101="",1,(IF(Besatzung!$C$16="",Besatzung!$B$5,Besatzung!$C$16)&lt;=B101)*(IF(Besatzung!$D$16="",Besatzung!$B$6,Besatzung!$D$16)&gt;=B101)))*((G101-IFERROR(H101,0))/IFERROR(SUMPRODUCT((Besatzung!$B$11:$B$22&lt;&gt;"")*(IF(Besatzung!$C$11:$C$22="",Besatzung!$B$5,Besatzung!$C$11:$C$22)&lt;=B101)*(IF(Besatzung!$D$11:$D$22="",Besatzung!$B$6,Besatzung!$D$11:$D$22)&gt;=B101)),1)+(Besatzung!$F$16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O101="x")*((G101-IFERROR(H101,0))/IFERROR(COUNTIF(J101:U101,"x"),1)+(Besatzung!$F$16="x")*IFERROR(H101,0)/IFERROR(SUMPRODUCT((J101:U101="x")*(Besatzung!$F$11:$F$22="x")),1))),(IF(COUNTIF(J101:U101,"x")=0,IF(Besatzung!$B$15&lt;&gt;"",1,0),(O101="x"))*(G101-IFERROR(H101,0))/IFERROR(IF(COUNTIF(J101:U101,"x")=0,COUNTA(Besatzung!$B$11:$B$22),COUNTIF(J101:U101,"x")),1)+IF(COUNTIF(J101:U101,"x")=0,(Besatzung!$F$16="x"),(O101="x")*(Besatzung!$F$16="x"))*IFERROR(H101,0)/IFERROR(IF(COUNTIF(J101:U101,"x")=0,SUMPRODUCT((Besatzung!$B$11:$B$22&lt;&gt;"")*(Besatzung!$F$11:$F$22="x")),SUMPRODUCT((J101:U101="x")*(Besatzung!$F$11:$F$22="x"))),1))))),0))))</f>
        <v/>
      </c>
      <c r="AB101" s="106">
        <f>IF(C101="Gutschrift","",IF(G101="","",IF(Besatzung!$B$17="","",IFERROR(IF(I101="Zeitanteilig",(Besatzung!$G$17*(G101-IFERROR(H101,0))+((Besatzung!$B$17&lt;&gt;"")*IF(B101="",1,(IF(Besatzung!$C$17="",Besatzung!$B$5,Besatzung!$C$17)&lt;=B101)*(IF(Besatzung!$D$17="",Besatzung!$B$6,Besatzung!$D$17)&gt;=B101)))*(Besatzung!$F$17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$17&lt;&gt;"")*IF(B101="",1,(IF(Besatzung!$C$17="",Besatzung!$B$5,Besatzung!$C$17)&lt;=B101)*(IF(Besatzung!$D$17="",Besatzung!$B$6,Besatzung!$D$17)&gt;=B101)))*((G101-IFERROR(H101,0))/IFERROR(SUMPRODUCT((Besatzung!$B$11:$B$22&lt;&gt;"")*(IF(Besatzung!$C$11:$C$22="",Besatzung!$B$5,Besatzung!$C$11:$C$22)&lt;=B101)*(IF(Besatzung!$D$11:$D$22="",Besatzung!$B$6,Besatzung!$D$11:$D$22)&gt;=B101)),1)+(Besatzung!$F$17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P101="x")*((G101-IFERROR(H101,0))/IFERROR(COUNTIF(J101:U101,"x"),1)+(Besatzung!$F$17="x")*IFERROR(H101,0)/IFERROR(SUMPRODUCT((J101:U101="x")*(Besatzung!$F$11:$F$22="x")),1))),(IF(COUNTIF(J101:U101,"x")=0,IF(Besatzung!$B$17&lt;&gt;"",1,0),(P101="x"))*(G101-IFERROR(H101,0))/IFERROR(IF(COUNTIF(J101:U101,"x")=0,COUNTA(Besatzung!$B$11:$B$22),COUNTIF(J101:U101,"x")),1)+IF(COUNTIF(J101:U101,"x")=0,(Besatzung!$F$17="x"),(P101="x")*(Besatzung!$F$17="x"))*IFERROR(H101,0)/IFERROR(IF(COUNTIF(J101:U101,"x")=0,SUMPRODUCT((Besatzung!$B$11:$B$22&lt;&gt;"")*(Besatzung!$F$11:$F$22="x")),SUMPRODUCT((J101:U101="x")*(Besatzung!$F$11:$F$22="x"))),1))))),0))))</f>
        <v/>
      </c>
      <c r="AC101" s="106">
        <f>IF(C101="Gutschrift","",IF(G101="","",IF(Besatzung!$B$18="","",IFERROR(IF(I101="Zeitanteilig",(Besatzung!$G$18*(G101-IFERROR(H101,0))+((Besatzung!$B$18&lt;&gt;"")*IF(B101="",1,(IF(Besatzung!$C$18="",Besatzung!$B$5,Besatzung!$C$18)&lt;=B101)*(IF(Besatzung!$D$18="",Besatzung!$B$6,Besatzung!$D$18)&gt;=B101)))*(Besatzung!$F$18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$18&lt;&gt;"")*IF(B101="",1,(IF(Besatzung!$C$18="",Besatzung!$B$5,Besatzung!$C$18)&lt;=B101)*(IF(Besatzung!$D$18="",Besatzung!$B$6,Besatzung!$D$18)&gt;=B101)))*((G101-IFERROR(H101,0))/IFERROR(SUMPRODUCT((Besatzung!$B$11:$B$22&lt;&gt;"")*(IF(Besatzung!$C$11:$C$22="",Besatzung!$B$5,Besatzung!$C$11:$C$22)&lt;=B101)*(IF(Besatzung!$D$11:$D$22="",Besatzung!$B$6,Besatzung!$D$11:$D$22)&gt;=B101)),1)+(Besatzung!$F$18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Q101="x")*((G101-IFERROR(H101,0))/IFERROR(COUNTIF(J101:U101,"x"),1)+(Besatzung!$F$18="x")*IFERROR(H101,0)/IFERROR(SUMPRODUCT((J101:U101="x")*(Besatzung!$F$11:$F$22="x")),1))),(IF(COUNTIF(J101:U101,"x")=0,IF(Besatzung!$B$18&lt;&gt;"",1,0),(Q101="x"))*(G101-IFERROR(H101,0))/IFERROR(IF(COUNTIF(J101:U101,"x")=0,COUNTA(Besatzung!$B$11:$B$22),COUNTIF(J101:U101,"x")),1)+IF(COUNTIF(J101:U101,"x")=0,(Besatzung!$F$18="x"),(Q101="x")*(Besatzung!$F$18="x"))*IFERROR(H101,0)/IFERROR(IF(COUNTIF(J101:U101,"x")=0,SUMPRODUCT((Besatzung!$B$11:$B$22&lt;&gt;"")*(Besatzung!$F$11:$F$22="x")),SUMPRODUCT((J101:U101="x")*(Besatzung!$F$11:$F$22="x"))),1))))),0))))</f>
        <v/>
      </c>
      <c r="AD101" s="106">
        <f>IF(C101="Gutschrift","",IF(G101="","",IF(Besatzung!$B$19="","",IFERROR(IF(I101="Zeitanteilig",(Besatzung!$G$19*(G101-IFERROR(H101,0))+((Besatzung!$B$19&lt;&gt;"")*IF(B101="",1,(IF(Besatzung!$C$19="",Besatzung!$B$5,Besatzung!$C$19)&lt;=B101)*(IF(Besatzung!$D$19="",Besatzung!$B$6,Besatzung!$D$19)&gt;=B101)))*(Besatzung!$F$19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$19&lt;&gt;"")*IF(B101="",1,(IF(Besatzung!$C$19="",Besatzung!$B$5,Besatzung!$C$19)&lt;=B101)*(IF(Besatzung!$D$19="",Besatzung!$B$6,Besatzung!$D$19)&gt;=B101)))*((G101-IFERROR(H101,0))/IFERROR(SUMPRODUCT((Besatzung!$B$11:$B$22&lt;&gt;"")*(IF(Besatzung!$C$11:$C$22="",Besatzung!$B$5,Besatzung!$C$11:$C$22)&lt;=B101)*(IF(Besatzung!$D$11:$D$22="",Besatzung!$B$6,Besatzung!$D$11:$D$22)&gt;=B101)),1)+(Besatzung!$F$19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R101="x")*((G101-IFERROR(H101,0))/IFERROR(COUNTIF(J101:U101,"x"),1)+(Besatzung!$F$19="x")*IFERROR(H101,0)/IFERROR(SUMPRODUCT((J101:U101="x")*(Besatzung!$F$11:$F$22="x")),1))),(IF(COUNTIF(J101:U101,"x")=0,IF(Besatzung!$B$19&lt;&gt;"",1,0),(R101="x"))*(G101-IFERROR(H101,0))/IFERROR(IF(COUNTIF(J101:U101,"x")=0,COUNTA(Besatzung!$B$11:$B$22),COUNTIF(J101:U101,"x")),1)+IF(COUNTIF(J101:U101,"x")=0,(Besatzung!$F$19="x"),(R101="x")*(Besatzung!$F$19="x"))*IFERROR(H101,0)/IFERROR(IF(COUNTIF(J101:U101,"x")=0,SUMPRODUCT((Besatzung!$B$11:$B$22&lt;&gt;"")*(Besatzung!$F$11:$F$22="x")),SUMPRODUCT((J101:U101="x")*(Besatzung!$F$11:$F$22="x"))),1))))),0))))</f>
        <v/>
      </c>
      <c r="AE101" s="106">
        <f>IF(C101="Gutschrift","",IF(G101="","",IF(Besatzung!$B$20="","",IFERROR(IF(I101="Zeitanteilig",(Besatzung!$G$20*(G101-IFERROR(H101,0))+((Besatzung!$B$20&lt;&gt;"")*IF(B101="",1,(IF(Besatzung!$C$20="",Besatzung!$B$5,Besatzung!$C$20)&lt;=B101)*(IF(Besatzung!$D$20="",Besatzung!$B$6,Besatzung!$D$20)&gt;=B101)))*(Besatzung!$F$20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$20&lt;&gt;"")*IF(B101="",1,(IF(Besatzung!$C$20="",Besatzung!$B$5,Besatzung!$C$20)&lt;=B101)*(IF(Besatzung!$D$20="",Besatzung!$B$6,Besatzung!$D$20)&gt;=B101)))*((G101-IFERROR(H101,0))/IFERROR(SUMPRODUCT((Besatzung!$B$11:$B$22&lt;&gt;"")*(IF(Besatzung!$C$11:$C$22="",Besatzung!$B$5,Besatzung!$C$11:$C$22)&lt;=B101)*(IF(Besatzung!$D$11:$D$22="",Besatzung!$B$6,Besatzung!$D$11:$D$22)&gt;=B101)),1)+(Besatzung!$F$20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S101="x")*((G101-IFERROR(H101,0))/IFERROR(COUNTIF(J101:U101,"x"),1)+(Besatzung!$F$20="x")*IFERROR(H101,0)/IFERROR(SUMPRODUCT((J101:U101="x")*(Besatzung!$F$11:$F$22="x")),1))),(IF(COUNTIF(J101:U101,"x")=0,IF(Besatzung!$B$20&lt;&gt;"",1,0),(S101="x"))*(G101-IFERROR(H101,0))/IFERROR(IF(COUNTIF(J101:U101,"x")=0,COUNTA(Besatzung!$B$11:$B$22),COUNTIF(J101:U101,"x")),1)+IF(COUNTIF(J101:U101,"x")=0,(Besatzung!$F$20="x"),(S101="x")*(Besatzung!$F$20="x"))*IFERROR(H101,0)/IFERROR(IF(COUNTIF(J101:U101,"x")=0,SUMPRODUCT((Besatzung!$B$11:$B$22&lt;&gt;"")*(Besatzung!$F$11:$F$22="x")),SUMPRODUCT((J101:U101="x")*(Besatzung!$F$11:$F$22="x"))),1))))),0))))</f>
        <v/>
      </c>
      <c r="AF101" s="106">
        <f>IF(C101="Gutschrift","",IF(G101="","",IF(Besatzung!$B$21="","",IFERROR(IF(I101="Zeitanteilig",(Besatzung!$G$21*(G101-IFERROR(H101,0))+((Besatzung!$B$21&lt;&gt;"")*IF(B101="",1,(IF(Besatzung!$C$21="",Besatzung!$B$5,Besatzung!$C$21)&lt;=B101)*(IF(Besatzung!$D$21="",Besatzung!$B$6,Besatzung!$D$21)&gt;=B101)))*(Besatzung!$F$21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$21&lt;&gt;"")*IF(B101="",1,(IF(Besatzung!$C$21="",Besatzung!$B$5,Besatzung!$C$21)&lt;=B101)*(IF(Besatzung!$D$21="",Besatzung!$B$6,Besatzung!$D$21)&gt;=B101)))*((G101-IFERROR(H101,0))/IFERROR(SUMPRODUCT((Besatzung!$B$11:$B$22&lt;&gt;"")*(IF(Besatzung!$C$11:$C$22="",Besatzung!$B$5,Besatzung!$C$11:$C$22)&lt;=B101)*(IF(Besatzung!$D$11:$D$22="",Besatzung!$B$6,Besatzung!$D$11:$D$22)&gt;=B101)),1)+(Besatzung!$F$21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T101="x")*((G101-IFERROR(H101,0))/IFERROR(COUNTIF(J101:U101,"x"),1)+(Besatzung!$F$21="x")*IFERROR(H101,0)/IFERROR(SUMPRODUCT((J101:U101="x")*(Besatzung!$F$11:$F$22="x")),1))),(IF(COUNTIF(J101:U101,"x")=0,IF(Besatzung!$B$21&lt;&gt;"",1,0),(T101="x"))*(G101-IFERROR(H101,0))/IFERROR(IF(COUNTIF(J101:U101,"x")=0,COUNTA(Besatzung!$B$11:$B$22),COUNTIF(J101:U101,"x")),1)+IF(COUNTIF(J101:U101,"x")=0,(Besatzung!$F$21="x"),(T101="x")*(Besatzung!$F$21="x"))*IFERROR(H101,0)/IFERROR(IF(COUNTIF(J101:U101,"x")=0,SUMPRODUCT((Besatzung!$B$11:$B$22&lt;&gt;"")*(Besatzung!$F$11:$F$22="x")),SUMPRODUCT((J101:U101="x")*(Besatzung!$F$11:$F$22="x"))),1))))),0))))</f>
        <v/>
      </c>
      <c r="AG101" s="106">
        <f>IF(C101="Gutschrift","",IF(G101="","",IF(Besatzung!$B$22="","",IFERROR(IF(I101="Zeitanteilig",(Besatzung!$G$22*(G101-IFERROR(H101,0))+((Besatzung!$B$22&lt;&gt;"")*IF(B101="",1,(IF(Besatzung!$C$22="",Besatzung!$B$5,Besatzung!$C$22)&lt;=B101)*(IF(Besatzung!$D$22="",Besatzung!$B$6,Besatzung!$D$22)&gt;=B101)))*(Besatzung!$F$22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$22&lt;&gt;"")*IF(B101="",1,(IF(Besatzung!$C$22="",Besatzung!$B$5,Besatzung!$C$22)&lt;=B101)*(IF(Besatzung!$D$22="",Besatzung!$B$6,Besatzung!$D$22)&gt;=B101)))*((G101-IFERROR(H101,0))/IFERROR(SUMPRODUCT((Besatzung!$B$11:$B$22&lt;&gt;"")*(IF(Besatzung!$C$11:$C$22="",Besatzung!$B$5,Besatzung!$C$11:$C$22)&lt;=B101)*(IF(Besatzung!$D$11:$D$22="",Besatzung!$B$6,Besatzung!$D$11:$D$22)&gt;=B101)),1)+(Besatzung!$F$22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U101="x")*((G101-IFERROR(H101,0))/IFERROR(COUNTIF(J101:U101,"x"),1)+(Besatzung!$F$22="x")*IFERROR(H101,0)/IFERROR(SUMPRODUCT((J101:U101="x")*(Besatzung!$F$11:$F$22="x")),1))),(IF(COUNTIF(J101:U101,"x")=0,IF(Besatzung!$B$22&lt;&gt;"",1,0),(U101="x"))*(G101-IFERROR(H101,0))/IFERROR(IF(COUNTIF(J101:U101,"x")=0,COUNTA(Besatzung!$B$11:$B$22),COUNTIF(J101:U101,"x")),1)+IF(COUNTIF(J101:U101,"x")=0,(Besatzung!$F$22="x"),(U101="x")*(Besatzung!$F$22="x"))*IFERROR(H101,0)/IFERROR(IF(COUNTIF(J101:U101,"x")=0,SUMPRODUCT((Besatzung!$B$11:$B$22&lt;&gt;"")*(Besatzung!$F$11:$F$22="x")),SUMPRODUCT((J101:U101="x")*(Besatzung!$F$11:$F$22="x"))),1))))),0))))</f>
        <v/>
      </c>
      <c r="AH101" s="107" t="n"/>
      <c r="AI101" s="107" t="n"/>
    </row>
    <row r="102" ht="21.75" customHeight="1" s="182">
      <c r="A102" s="97">
        <f>IF(AND(D102="",C102=""),"",99)</f>
        <v/>
      </c>
      <c r="B102" s="56" t="n"/>
      <c r="C102" s="98" t="n"/>
      <c r="D102" s="99" t="n"/>
      <c r="E102" s="100" t="n"/>
      <c r="F102" s="101" t="n"/>
      <c r="G102" s="102" t="n"/>
      <c r="H102" s="103" t="n"/>
      <c r="I102" s="104" t="n"/>
      <c r="J102" s="105" t="n"/>
      <c r="K102" s="105" t="n"/>
      <c r="L102" s="105" t="n"/>
      <c r="M102" s="105" t="n"/>
      <c r="N102" s="105" t="n"/>
      <c r="O102" s="105" t="n"/>
      <c r="P102" s="105" t="n"/>
      <c r="Q102" s="105" t="n"/>
      <c r="R102" s="105" t="n"/>
      <c r="S102" s="105" t="n"/>
      <c r="T102" s="105" t="n"/>
      <c r="U102" s="105" t="n"/>
      <c r="V102" s="106">
        <f>IF(C102="Gutschrift","",IF(G102="","",IF(Besatzung!$B$11="","",IFERROR(IF(I102="Zeitanteilig",(Besatzung!$G$11*(G102-IFERROR(H102,0))+((Besatzung!$B$11&lt;&gt;"")*IF(B102="",1,(IF(Besatzung!$C$11="",Besatzung!$B$5,Besatzung!$C$11)&lt;=B102)*(IF(Besatzung!$D$11="",Besatzung!$B$6,Besatzung!$D$11)&gt;=B102)))*(Besatzung!$F$11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$11&lt;&gt;"")*IF(B102="",1,(IF(Besatzung!$C$11="",Besatzung!$B$5,Besatzung!$C$11)&lt;=B102)*(IF(Besatzung!$D$11="",Besatzung!$B$6,Besatzung!$D$11)&gt;=B102)))*((G102-IFERROR(H102,0))/IFERROR(SUMPRODUCT((Besatzung!$B$11:$B$22&lt;&gt;"")*(IF(Besatzung!$C$11:$C$22="",Besatzung!$B$5,Besatzung!$C$11:$C$22)&lt;=B102)*(IF(Besatzung!$D$11:$D$22="",Besatzung!$B$6,Besatzung!$D$11:$D$22)&gt;=B102)),1)+(Besatzung!$F$11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J102="x")*((G102-IFERROR(H102,0))/IFERROR(COUNTIF(J102:U102,"x"),1)+(Besatzung!$F$11="x")*IFERROR(H102,0)/IFERROR(SUMPRODUCT((J102:U102="x")*(Besatzung!$F$11:$F$22="x")),1))),(IF(COUNTIF(J102:U102,"x")=0,IF(Besatzung!$B$11&lt;&gt;"",1,0),(J102="x"))*(G102-IFERROR(H102,0))/IFERROR(IF(COUNTIF(J102:U102,"x")=0,COUNTA(Besatzung!$B$11:$B$22),COUNTIF(J102:U102,"x")),1)+IF(COUNTIF(J102:U102,"x")=0,(Besatzung!$F$11="x"),(J102="x")*(Besatzung!$F$11="x"))*IFERROR(H102,0)/IFERROR(IF(COUNTIF(J102:U102,"x")=0,SUMPRODUCT((Besatzung!$B$11:$B$22&lt;&gt;"")*(Besatzung!$F$11:$F$22="x")),SUMPRODUCT((J102:U102="x")*(Besatzung!$F$11:$F$22="x"))),1))))),0))))</f>
        <v/>
      </c>
      <c r="W102" s="106">
        <f>IF(C102="Gutschrift","",IF(G102="","",IF(Besatzung!$B$12="","",IFERROR(IF(I102="Zeitanteilig",(Besatzung!$G$12*(G102-IFERROR(H102,0))+((Besatzung!$B$12&lt;&gt;"")*IF(B102="",1,(IF(Besatzung!$C$12="",Besatzung!$B$5,Besatzung!$C$12)&lt;=B102)*(IF(Besatzung!$D$12="",Besatzung!$B$6,Besatzung!$D$12)&gt;=B102)))*(Besatzung!$F$12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$12&lt;&gt;"")*IF(B102="",1,(IF(Besatzung!$C$12="",Besatzung!$B$5,Besatzung!$C$12)&lt;=B102)*(IF(Besatzung!$D$12="",Besatzung!$B$6,Besatzung!$D$12)&gt;=B102)))*((G102-IFERROR(H102,0))/IFERROR(SUMPRODUCT((Besatzung!$B$11:$B$22&lt;&gt;"")*(IF(Besatzung!$C$11:$C$22="",Besatzung!$B$5,Besatzung!$C$11:$C$22)&lt;=B102)*(IF(Besatzung!$D$11:$D$22="",Besatzung!$B$6,Besatzung!$D$11:$D$22)&gt;=B102)),1)+(Besatzung!$F$12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K102="x")*((G102-IFERROR(H102,0))/IFERROR(COUNTIF(J102:U102,"x"),1)+(Besatzung!$F$12="x")*IFERROR(H102,0)/IFERROR(SUMPRODUCT((J102:U102="x")*(Besatzung!$F$11:$F$22="x")),1))),(IF(COUNTIF(J102:U102,"x")=0,IF(Besatzung!$B$12&lt;&gt;"",1,0),(K102="x"))*(G102-IFERROR(H102,0))/IFERROR(IF(COUNTIF(J102:U102,"x")=0,COUNTA(Besatzung!$B$11:$B$22),COUNTIF(J102:U102,"x")),1)+IF(COUNTIF(J102:U102,"x")=0,(Besatzung!$F$12="x"),(K102="x")*(Besatzung!$F$12="x"))*IFERROR(H102,0)/IFERROR(IF(COUNTIF(J102:U102,"x")=0,SUMPRODUCT((Besatzung!$B$11:$B$22&lt;&gt;"")*(Besatzung!$F$11:$F$22="x")),SUMPRODUCT((J102:U102="x")*(Besatzung!$F$11:$F$22="x"))),1))))),0))))</f>
        <v/>
      </c>
      <c r="X102" s="106">
        <f>IF(C102="Gutschrift","",IF(G102="","",IF(Besatzung!$B$13="","",IFERROR(IF(I102="Zeitanteilig",(Besatzung!$G$13*(G102-IFERROR(H102,0))+((Besatzung!$B$13&lt;&gt;"")*IF(B102="",1,(IF(Besatzung!$C$13="",Besatzung!$B$5,Besatzung!$C$13)&lt;=B102)*(IF(Besatzung!$D$13="",Besatzung!$B$6,Besatzung!$D$13)&gt;=B102)))*(Besatzung!$F$13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$13&lt;&gt;"")*IF(B102="",1,(IF(Besatzung!$C$13="",Besatzung!$B$5,Besatzung!$C$13)&lt;=B102)*(IF(Besatzung!$D$13="",Besatzung!$B$6,Besatzung!$D$13)&gt;=B102)))*((G102-IFERROR(H102,0))/IFERROR(SUMPRODUCT((Besatzung!$B$11:$B$22&lt;&gt;"")*(IF(Besatzung!$C$11:$C$22="",Besatzung!$B$5,Besatzung!$C$11:$C$22)&lt;=B102)*(IF(Besatzung!$D$11:$D$22="",Besatzung!$B$6,Besatzung!$D$11:$D$22)&gt;=B102)),1)+(Besatzung!$F$13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K102="x")*((G102-IFERROR(H102,0))/IFERROR(COUNTIF(J102:U102,"x"),1)+(Besatzung!$F$13="x")*IFERROR(H102,0)/IFERROR(SUMPRODUCT((J102:U102="x")*(Besatzung!$F$11:$F$22="x")),1))),(IF(COUNTIF(J102:U102,"x")=0,IF(Besatzung!$B$13&lt;&gt;"",1,0),(K102="x"))*(G102-IFERROR(H102,0))/IFERROR(IF(COUNTIF(J102:U102,"x")=0,COUNTA(Besatzung!$B$11:$B$22),COUNTIF(J102:U102,"x")),1)+IF(COUNTIF(J102:U102,"x")=0,(Besatzung!$F$13="x"),(K102="x")*(Besatzung!$F$13="x"))*IFERROR(H102,0)/IFERROR(IF(COUNTIF(J102:U102,"x")=0,SUMPRODUCT((Besatzung!$B$11:$B$22&lt;&gt;"")*(Besatzung!$F$11:$F$22="x")),SUMPRODUCT((J102:U102="x")*(Besatzung!$F$11:$F$22="x"))),1))))),0))))</f>
        <v/>
      </c>
      <c r="Y102" s="106">
        <f>IF(C102="Gutschrift","",IF(G102="","",IF(Besatzung!$B$14="","",IFERROR(IF(I102="Zeitanteilig",(Besatzung!$G$14*(G102-IFERROR(H102,0))+((Besatzung!$B$14&lt;&gt;"")*IF(B102="",1,(IF(Besatzung!$C$14="",Besatzung!$B$5,Besatzung!$C$14)&lt;=B102)*(IF(Besatzung!$D$14="",Besatzung!$B$6,Besatzung!$D$14)&gt;=B102)))*(Besatzung!$F$14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$14&lt;&gt;"")*IF(B102="",1,(IF(Besatzung!$C$14="",Besatzung!$B$5,Besatzung!$C$14)&lt;=B102)*(IF(Besatzung!$D$14="",Besatzung!$B$6,Besatzung!$D$14)&gt;=B102)))*((G102-IFERROR(H102,0))/IFERROR(SUMPRODUCT((Besatzung!$B$11:$B$22&lt;&gt;"")*(IF(Besatzung!$C$11:$C$22="",Besatzung!$B$5,Besatzung!$C$11:$C$22)&lt;=B102)*(IF(Besatzung!$D$11:$D$22="",Besatzung!$B$6,Besatzung!$D$11:$D$22)&gt;=B102)),1)+(Besatzung!$F$14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M102="x")*((G102-IFERROR(H102,0))/IFERROR(COUNTIF(J102:U102,"x"),1)+(Besatzung!$F$14="x")*IFERROR(H102,0)/IFERROR(SUMPRODUCT((J102:U102="x")*(Besatzung!$F$11:$F$22="x")),1))),(IF(COUNTIF(J102:U102,"x")=0,IF(Besatzung!$B$14&lt;&gt;"",1,0),(M102="x"))*(G102-IFERROR(H102,0))/IFERROR(IF(COUNTIF(J102:U102,"x")=0,COUNTA(Besatzung!$B$11:$B$22),COUNTIF(J102:U102,"x")),1)+IF(COUNTIF(J102:U102,"x")=0,(Besatzung!$F$14="x"),(M102="x")*(Besatzung!$F$14="x"))*IFERROR(H102,0)/IFERROR(IF(COUNTIF(J102:U102,"x")=0,SUMPRODUCT((Besatzung!$B$11:$B$22&lt;&gt;"")*(Besatzung!$F$11:$F$22="x")),SUMPRODUCT((J102:U102="x")*(Besatzung!$F$11:$F$22="x"))),1))))),0))))</f>
        <v/>
      </c>
      <c r="Z102" s="106">
        <f>IF(C102="Gutschrift","",IF(G102="","",IF(Besatzung!$B$13="","",IFERROR(IF(I102="Zeitanteilig",(Besatzung!$G$15*(G102-IFERROR(H102,0))+((Besatzung!$B$13&lt;&gt;"")*IF(B102="",1,(IF(Besatzung!$C$15="",Besatzung!$B$5,Besatzung!$C$15)&lt;=B102)*(IF(Besatzung!$D$15="",Besatzung!$B$6,Besatzung!$D$15)&gt;=B102)))*(Besatzung!$F$15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$13&lt;&gt;"")*IF(B102="",1,(IF(Besatzung!$C$15="",Besatzung!$B$5,Besatzung!$C$15)&lt;=B102)*(IF(Besatzung!$D$15="",Besatzung!$B$6,Besatzung!$D$15)&gt;=B102)))*((G102-IFERROR(H102,0))/IFERROR(SUMPRODUCT((Besatzung!$B$11:$B$22&lt;&gt;"")*(IF(Besatzung!$C$11:$C$22="",Besatzung!$B$5,Besatzung!$C$11:$C$22)&lt;=B102)*(IF(Besatzung!$D$11:$D$22="",Besatzung!$B$6,Besatzung!$D$11:$D$22)&gt;=B102)),1)+(Besatzung!$F$15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N102="x")*((G102-IFERROR(H102,0))/IFERROR(COUNTIF(J102:U102,"x"),1)+(Besatzung!$F$15="x")*IFERROR(H102,0)/IFERROR(SUMPRODUCT((J102:U102="x")*(Besatzung!$F$11:$F$22="x")),1))),(IF(COUNTIF(J102:U102,"x")=0,IF(Besatzung!$B$13&lt;&gt;"",1,0),(N102="x"))*(G102-IFERROR(H102,0))/IFERROR(IF(COUNTIF(J102:U102,"x")=0,COUNTA(Besatzung!$B$11:$B$22),COUNTIF(J102:U102,"x")),1)+IF(COUNTIF(J102:U102,"x")=0,(Besatzung!$F$15="x"),(N102="x")*(Besatzung!$F$15="x"))*IFERROR(H102,0)/IFERROR(IF(COUNTIF(J102:U102,"x")=0,SUMPRODUCT((Besatzung!$B$11:$B$22&lt;&gt;"")*(Besatzung!$F$11:$F$22="x")),SUMPRODUCT((J102:U102="x")*(Besatzung!$F$11:$F$22="x"))),1))))),0))))</f>
        <v/>
      </c>
      <c r="AA102" s="106">
        <f>IF(C102="Gutschrift","",IF(G102="","",IF(Besatzung!$B$15="","",IFERROR(IF(I102="Zeitanteilig",(Besatzung!$G$16*(G102-IFERROR(H102,0))+((Besatzung!$B$15&lt;&gt;"")*IF(B102="",1,(IF(Besatzung!$C$16="",Besatzung!$B$5,Besatzung!$C$16)&lt;=B102)*(IF(Besatzung!$D$16="",Besatzung!$B$6,Besatzung!$D$16)&gt;=B102)))*(Besatzung!$F$16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$15&lt;&gt;"")*IF(B102="",1,(IF(Besatzung!$C$16="",Besatzung!$B$5,Besatzung!$C$16)&lt;=B102)*(IF(Besatzung!$D$16="",Besatzung!$B$6,Besatzung!$D$16)&gt;=B102)))*((G102-IFERROR(H102,0))/IFERROR(SUMPRODUCT((Besatzung!$B$11:$B$22&lt;&gt;"")*(IF(Besatzung!$C$11:$C$22="",Besatzung!$B$5,Besatzung!$C$11:$C$22)&lt;=B102)*(IF(Besatzung!$D$11:$D$22="",Besatzung!$B$6,Besatzung!$D$11:$D$22)&gt;=B102)),1)+(Besatzung!$F$16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O102="x")*((G102-IFERROR(H102,0))/IFERROR(COUNTIF(J102:U102,"x"),1)+(Besatzung!$F$16="x")*IFERROR(H102,0)/IFERROR(SUMPRODUCT((J102:U102="x")*(Besatzung!$F$11:$F$22="x")),1))),(IF(COUNTIF(J102:U102,"x")=0,IF(Besatzung!$B$15&lt;&gt;"",1,0),(O102="x"))*(G102-IFERROR(H102,0))/IFERROR(IF(COUNTIF(J102:U102,"x")=0,COUNTA(Besatzung!$B$11:$B$22),COUNTIF(J102:U102,"x")),1)+IF(COUNTIF(J102:U102,"x")=0,(Besatzung!$F$16="x"),(O102="x")*(Besatzung!$F$16="x"))*IFERROR(H102,0)/IFERROR(IF(COUNTIF(J102:U102,"x")=0,SUMPRODUCT((Besatzung!$B$11:$B$22&lt;&gt;"")*(Besatzung!$F$11:$F$22="x")),SUMPRODUCT((J102:U102="x")*(Besatzung!$F$11:$F$22="x"))),1))))),0))))</f>
        <v/>
      </c>
      <c r="AB102" s="106">
        <f>IF(C102="Gutschrift","",IF(G102="","",IF(Besatzung!$B$17="","",IFERROR(IF(I102="Zeitanteilig",(Besatzung!$G$17*(G102-IFERROR(H102,0))+((Besatzung!$B$17&lt;&gt;"")*IF(B102="",1,(IF(Besatzung!$C$17="",Besatzung!$B$5,Besatzung!$C$17)&lt;=B102)*(IF(Besatzung!$D$17="",Besatzung!$B$6,Besatzung!$D$17)&gt;=B102)))*(Besatzung!$F$17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$17&lt;&gt;"")*IF(B102="",1,(IF(Besatzung!$C$17="",Besatzung!$B$5,Besatzung!$C$17)&lt;=B102)*(IF(Besatzung!$D$17="",Besatzung!$B$6,Besatzung!$D$17)&gt;=B102)))*((G102-IFERROR(H102,0))/IFERROR(SUMPRODUCT((Besatzung!$B$11:$B$22&lt;&gt;"")*(IF(Besatzung!$C$11:$C$22="",Besatzung!$B$5,Besatzung!$C$11:$C$22)&lt;=B102)*(IF(Besatzung!$D$11:$D$22="",Besatzung!$B$6,Besatzung!$D$11:$D$22)&gt;=B102)),1)+(Besatzung!$F$17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P102="x")*((G102-IFERROR(H102,0))/IFERROR(COUNTIF(J102:U102,"x"),1)+(Besatzung!$F$17="x")*IFERROR(H102,0)/IFERROR(SUMPRODUCT((J102:U102="x")*(Besatzung!$F$11:$F$22="x")),1))),(IF(COUNTIF(J102:U102,"x")=0,IF(Besatzung!$B$17&lt;&gt;"",1,0),(P102="x"))*(G102-IFERROR(H102,0))/IFERROR(IF(COUNTIF(J102:U102,"x")=0,COUNTA(Besatzung!$B$11:$B$22),COUNTIF(J102:U102,"x")),1)+IF(COUNTIF(J102:U102,"x")=0,(Besatzung!$F$17="x"),(P102="x")*(Besatzung!$F$17="x"))*IFERROR(H102,0)/IFERROR(IF(COUNTIF(J102:U102,"x")=0,SUMPRODUCT((Besatzung!$B$11:$B$22&lt;&gt;"")*(Besatzung!$F$11:$F$22="x")),SUMPRODUCT((J102:U102="x")*(Besatzung!$F$11:$F$22="x"))),1))))),0))))</f>
        <v/>
      </c>
      <c r="AC102" s="106">
        <f>IF(C102="Gutschrift","",IF(G102="","",IF(Besatzung!$B$18="","",IFERROR(IF(I102="Zeitanteilig",(Besatzung!$G$18*(G102-IFERROR(H102,0))+((Besatzung!$B$18&lt;&gt;"")*IF(B102="",1,(IF(Besatzung!$C$18="",Besatzung!$B$5,Besatzung!$C$18)&lt;=B102)*(IF(Besatzung!$D$18="",Besatzung!$B$6,Besatzung!$D$18)&gt;=B102)))*(Besatzung!$F$18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$18&lt;&gt;"")*IF(B102="",1,(IF(Besatzung!$C$18="",Besatzung!$B$5,Besatzung!$C$18)&lt;=B102)*(IF(Besatzung!$D$18="",Besatzung!$B$6,Besatzung!$D$18)&gt;=B102)))*((G102-IFERROR(H102,0))/IFERROR(SUMPRODUCT((Besatzung!$B$11:$B$22&lt;&gt;"")*(IF(Besatzung!$C$11:$C$22="",Besatzung!$B$5,Besatzung!$C$11:$C$22)&lt;=B102)*(IF(Besatzung!$D$11:$D$22="",Besatzung!$B$6,Besatzung!$D$11:$D$22)&gt;=B102)),1)+(Besatzung!$F$18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Q102="x")*((G102-IFERROR(H102,0))/IFERROR(COUNTIF(J102:U102,"x"),1)+(Besatzung!$F$18="x")*IFERROR(H102,0)/IFERROR(SUMPRODUCT((J102:U102="x")*(Besatzung!$F$11:$F$22="x")),1))),(IF(COUNTIF(J102:U102,"x")=0,IF(Besatzung!$B$18&lt;&gt;"",1,0),(Q102="x"))*(G102-IFERROR(H102,0))/IFERROR(IF(COUNTIF(J102:U102,"x")=0,COUNTA(Besatzung!$B$11:$B$22),COUNTIF(J102:U102,"x")),1)+IF(COUNTIF(J102:U102,"x")=0,(Besatzung!$F$18="x"),(Q102="x")*(Besatzung!$F$18="x"))*IFERROR(H102,0)/IFERROR(IF(COUNTIF(J102:U102,"x")=0,SUMPRODUCT((Besatzung!$B$11:$B$22&lt;&gt;"")*(Besatzung!$F$11:$F$22="x")),SUMPRODUCT((J102:U102="x")*(Besatzung!$F$11:$F$22="x"))),1))))),0))))</f>
        <v/>
      </c>
      <c r="AD102" s="106">
        <f>IF(C102="Gutschrift","",IF(G102="","",IF(Besatzung!$B$19="","",IFERROR(IF(I102="Zeitanteilig",(Besatzung!$G$19*(G102-IFERROR(H102,0))+((Besatzung!$B$19&lt;&gt;"")*IF(B102="",1,(IF(Besatzung!$C$19="",Besatzung!$B$5,Besatzung!$C$19)&lt;=B102)*(IF(Besatzung!$D$19="",Besatzung!$B$6,Besatzung!$D$19)&gt;=B102)))*(Besatzung!$F$19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$19&lt;&gt;"")*IF(B102="",1,(IF(Besatzung!$C$19="",Besatzung!$B$5,Besatzung!$C$19)&lt;=B102)*(IF(Besatzung!$D$19="",Besatzung!$B$6,Besatzung!$D$19)&gt;=B102)))*((G102-IFERROR(H102,0))/IFERROR(SUMPRODUCT((Besatzung!$B$11:$B$22&lt;&gt;"")*(IF(Besatzung!$C$11:$C$22="",Besatzung!$B$5,Besatzung!$C$11:$C$22)&lt;=B102)*(IF(Besatzung!$D$11:$D$22="",Besatzung!$B$6,Besatzung!$D$11:$D$22)&gt;=B102)),1)+(Besatzung!$F$19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R102="x")*((G102-IFERROR(H102,0))/IFERROR(COUNTIF(J102:U102,"x"),1)+(Besatzung!$F$19="x")*IFERROR(H102,0)/IFERROR(SUMPRODUCT((J102:U102="x")*(Besatzung!$F$11:$F$22="x")),1))),(IF(COUNTIF(J102:U102,"x")=0,IF(Besatzung!$B$19&lt;&gt;"",1,0),(R102="x"))*(G102-IFERROR(H102,0))/IFERROR(IF(COUNTIF(J102:U102,"x")=0,COUNTA(Besatzung!$B$11:$B$22),COUNTIF(J102:U102,"x")),1)+IF(COUNTIF(J102:U102,"x")=0,(Besatzung!$F$19="x"),(R102="x")*(Besatzung!$F$19="x"))*IFERROR(H102,0)/IFERROR(IF(COUNTIF(J102:U102,"x")=0,SUMPRODUCT((Besatzung!$B$11:$B$22&lt;&gt;"")*(Besatzung!$F$11:$F$22="x")),SUMPRODUCT((J102:U102="x")*(Besatzung!$F$11:$F$22="x"))),1))))),0))))</f>
        <v/>
      </c>
      <c r="AE102" s="106">
        <f>IF(C102="Gutschrift","",IF(G102="","",IF(Besatzung!$B$20="","",IFERROR(IF(I102="Zeitanteilig",(Besatzung!$G$20*(G102-IFERROR(H102,0))+((Besatzung!$B$20&lt;&gt;"")*IF(B102="",1,(IF(Besatzung!$C$20="",Besatzung!$B$5,Besatzung!$C$20)&lt;=B102)*(IF(Besatzung!$D$20="",Besatzung!$B$6,Besatzung!$D$20)&gt;=B102)))*(Besatzung!$F$20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$20&lt;&gt;"")*IF(B102="",1,(IF(Besatzung!$C$20="",Besatzung!$B$5,Besatzung!$C$20)&lt;=B102)*(IF(Besatzung!$D$20="",Besatzung!$B$6,Besatzung!$D$20)&gt;=B102)))*((G102-IFERROR(H102,0))/IFERROR(SUMPRODUCT((Besatzung!$B$11:$B$22&lt;&gt;"")*(IF(Besatzung!$C$11:$C$22="",Besatzung!$B$5,Besatzung!$C$11:$C$22)&lt;=B102)*(IF(Besatzung!$D$11:$D$22="",Besatzung!$B$6,Besatzung!$D$11:$D$22)&gt;=B102)),1)+(Besatzung!$F$20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S102="x")*((G102-IFERROR(H102,0))/IFERROR(COUNTIF(J102:U102,"x"),1)+(Besatzung!$F$20="x")*IFERROR(H102,0)/IFERROR(SUMPRODUCT((J102:U102="x")*(Besatzung!$F$11:$F$22="x")),1))),(IF(COUNTIF(J102:U102,"x")=0,IF(Besatzung!$B$20&lt;&gt;"",1,0),(S102="x"))*(G102-IFERROR(H102,0))/IFERROR(IF(COUNTIF(J102:U102,"x")=0,COUNTA(Besatzung!$B$11:$B$22),COUNTIF(J102:U102,"x")),1)+IF(COUNTIF(J102:U102,"x")=0,(Besatzung!$F$20="x"),(S102="x")*(Besatzung!$F$20="x"))*IFERROR(H102,0)/IFERROR(IF(COUNTIF(J102:U102,"x")=0,SUMPRODUCT((Besatzung!$B$11:$B$22&lt;&gt;"")*(Besatzung!$F$11:$F$22="x")),SUMPRODUCT((J102:U102="x")*(Besatzung!$F$11:$F$22="x"))),1))))),0))))</f>
        <v/>
      </c>
      <c r="AF102" s="106">
        <f>IF(C102="Gutschrift","",IF(G102="","",IF(Besatzung!$B$21="","",IFERROR(IF(I102="Zeitanteilig",(Besatzung!$G$21*(G102-IFERROR(H102,0))+((Besatzung!$B$21&lt;&gt;"")*IF(B102="",1,(IF(Besatzung!$C$21="",Besatzung!$B$5,Besatzung!$C$21)&lt;=B102)*(IF(Besatzung!$D$21="",Besatzung!$B$6,Besatzung!$D$21)&gt;=B102)))*(Besatzung!$F$21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$21&lt;&gt;"")*IF(B102="",1,(IF(Besatzung!$C$21="",Besatzung!$B$5,Besatzung!$C$21)&lt;=B102)*(IF(Besatzung!$D$21="",Besatzung!$B$6,Besatzung!$D$21)&gt;=B102)))*((G102-IFERROR(H102,0))/IFERROR(SUMPRODUCT((Besatzung!$B$11:$B$22&lt;&gt;"")*(IF(Besatzung!$C$11:$C$22="",Besatzung!$B$5,Besatzung!$C$11:$C$22)&lt;=B102)*(IF(Besatzung!$D$11:$D$22="",Besatzung!$B$6,Besatzung!$D$11:$D$22)&gt;=B102)),1)+(Besatzung!$F$21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T102="x")*((G102-IFERROR(H102,0))/IFERROR(COUNTIF(J102:U102,"x"),1)+(Besatzung!$F$21="x")*IFERROR(H102,0)/IFERROR(SUMPRODUCT((J102:U102="x")*(Besatzung!$F$11:$F$22="x")),1))),(IF(COUNTIF(J102:U102,"x")=0,IF(Besatzung!$B$21&lt;&gt;"",1,0),(T102="x"))*(G102-IFERROR(H102,0))/IFERROR(IF(COUNTIF(J102:U102,"x")=0,COUNTA(Besatzung!$B$11:$B$22),COUNTIF(J102:U102,"x")),1)+IF(COUNTIF(J102:U102,"x")=0,(Besatzung!$F$21="x"),(T102="x")*(Besatzung!$F$21="x"))*IFERROR(H102,0)/IFERROR(IF(COUNTIF(J102:U102,"x")=0,SUMPRODUCT((Besatzung!$B$11:$B$22&lt;&gt;"")*(Besatzung!$F$11:$F$22="x")),SUMPRODUCT((J102:U102="x")*(Besatzung!$F$11:$F$22="x"))),1))))),0))))</f>
        <v/>
      </c>
      <c r="AG102" s="106">
        <f>IF(C102="Gutschrift","",IF(G102="","",IF(Besatzung!$B$22="","",IFERROR(IF(I102="Zeitanteilig",(Besatzung!$G$22*(G102-IFERROR(H102,0))+((Besatzung!$B$22&lt;&gt;"")*IF(B102="",1,(IF(Besatzung!$C$22="",Besatzung!$B$5,Besatzung!$C$22)&lt;=B102)*(IF(Besatzung!$D$22="",Besatzung!$B$6,Besatzung!$D$22)&gt;=B102)))*(Besatzung!$F$22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$22&lt;&gt;"")*IF(B102="",1,(IF(Besatzung!$C$22="",Besatzung!$B$5,Besatzung!$C$22)&lt;=B102)*(IF(Besatzung!$D$22="",Besatzung!$B$6,Besatzung!$D$22)&gt;=B102)))*((G102-IFERROR(H102,0))/IFERROR(SUMPRODUCT((Besatzung!$B$11:$B$22&lt;&gt;"")*(IF(Besatzung!$C$11:$C$22="",Besatzung!$B$5,Besatzung!$C$11:$C$22)&lt;=B102)*(IF(Besatzung!$D$11:$D$22="",Besatzung!$B$6,Besatzung!$D$11:$D$22)&gt;=B102)),1)+(Besatzung!$F$22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U102="x")*((G102-IFERROR(H102,0))/IFERROR(COUNTIF(J102:U102,"x"),1)+(Besatzung!$F$22="x")*IFERROR(H102,0)/IFERROR(SUMPRODUCT((J102:U102="x")*(Besatzung!$F$11:$F$22="x")),1))),(IF(COUNTIF(J102:U102,"x")=0,IF(Besatzung!$B$22&lt;&gt;"",1,0),(U102="x"))*(G102-IFERROR(H102,0))/IFERROR(IF(COUNTIF(J102:U102,"x")=0,COUNTA(Besatzung!$B$11:$B$22),COUNTIF(J102:U102,"x")),1)+IF(COUNTIF(J102:U102,"x")=0,(Besatzung!$F$22="x"),(U102="x")*(Besatzung!$F$22="x"))*IFERROR(H102,0)/IFERROR(IF(COUNTIF(J102:U102,"x")=0,SUMPRODUCT((Besatzung!$B$11:$B$22&lt;&gt;"")*(Besatzung!$F$11:$F$22="x")),SUMPRODUCT((J102:U102="x")*(Besatzung!$F$11:$F$22="x"))),1))))),0))))</f>
        <v/>
      </c>
      <c r="AH102" s="107" t="n"/>
      <c r="AI102" s="107" t="n"/>
    </row>
    <row r="103" ht="21.75" customHeight="1" s="182">
      <c r="A103" s="97">
        <f>IF(AND(D103="",C103=""),"",100)</f>
        <v/>
      </c>
      <c r="B103" s="63" t="n"/>
      <c r="C103" s="108" t="n"/>
      <c r="D103" s="109" t="n"/>
      <c r="E103" s="110" t="n"/>
      <c r="F103" s="111" t="n"/>
      <c r="G103" s="112" t="n"/>
      <c r="H103" s="113" t="n"/>
      <c r="I103" s="114" t="n"/>
      <c r="J103" s="115" t="n"/>
      <c r="K103" s="115" t="n"/>
      <c r="L103" s="115" t="n"/>
      <c r="M103" s="115" t="n"/>
      <c r="N103" s="115" t="n"/>
      <c r="O103" s="115" t="n"/>
      <c r="P103" s="115" t="n"/>
      <c r="Q103" s="115" t="n"/>
      <c r="R103" s="115" t="n"/>
      <c r="S103" s="115" t="n"/>
      <c r="T103" s="115" t="n"/>
      <c r="U103" s="115" t="n"/>
      <c r="V103" s="106">
        <f>IF(C103="Gutschrift","",IF(G103="","",IF(Besatzung!$B$11="","",IFERROR(IF(I103="Zeitanteilig",(Besatzung!$G$11*(G103-IFERROR(H103,0))+((Besatzung!$B$11&lt;&gt;"")*IF(B103="",1,(IF(Besatzung!$C$11="",Besatzung!$B$5,Besatzung!$C$11)&lt;=B103)*(IF(Besatzung!$D$11="",Besatzung!$B$6,Besatzung!$D$11)&gt;=B103)))*(Besatzung!$F$11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$11&lt;&gt;"")*IF(B103="",1,(IF(Besatzung!$C$11="",Besatzung!$B$5,Besatzung!$C$11)&lt;=B103)*(IF(Besatzung!$D$11="",Besatzung!$B$6,Besatzung!$D$11)&gt;=B103)))*((G103-IFERROR(H103,0))/IFERROR(SUMPRODUCT((Besatzung!$B$11:$B$22&lt;&gt;"")*(IF(Besatzung!$C$11:$C$22="",Besatzung!$B$5,Besatzung!$C$11:$C$22)&lt;=B103)*(IF(Besatzung!$D$11:$D$22="",Besatzung!$B$6,Besatzung!$D$11:$D$22)&gt;=B103)),1)+(Besatzung!$F$11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J103="x")*((G103-IFERROR(H103,0))/IFERROR(COUNTIF(J103:U103,"x"),1)+(Besatzung!$F$11="x")*IFERROR(H103,0)/IFERROR(SUMPRODUCT((J103:U103="x")*(Besatzung!$F$11:$F$22="x")),1))),(IF(COUNTIF(J103:U103,"x")=0,IF(Besatzung!$B$11&lt;&gt;"",1,0),(J103="x"))*(G103-IFERROR(H103,0))/IFERROR(IF(COUNTIF(J103:U103,"x")=0,COUNTA(Besatzung!$B$11:$B$22),COUNTIF(J103:U103,"x")),1)+IF(COUNTIF(J103:U103,"x")=0,(Besatzung!$F$11="x"),(J103="x")*(Besatzung!$F$11="x"))*IFERROR(H103,0)/IFERROR(IF(COUNTIF(J103:U103,"x")=0,SUMPRODUCT((Besatzung!$B$11:$B$22&lt;&gt;"")*(Besatzung!$F$11:$F$22="x")),SUMPRODUCT((J103:U103="x")*(Besatzung!$F$11:$F$22="x"))),1))))),0))))</f>
        <v/>
      </c>
      <c r="W103" s="106">
        <f>IF(C103="Gutschrift","",IF(G103="","",IF(Besatzung!$B$12="","",IFERROR(IF(I103="Zeitanteilig",(Besatzung!$G$12*(G103-IFERROR(H103,0))+((Besatzung!$B$12&lt;&gt;"")*IF(B103="",1,(IF(Besatzung!$C$12="",Besatzung!$B$5,Besatzung!$C$12)&lt;=B103)*(IF(Besatzung!$D$12="",Besatzung!$B$6,Besatzung!$D$12)&gt;=B103)))*(Besatzung!$F$12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$12&lt;&gt;"")*IF(B103="",1,(IF(Besatzung!$C$12="",Besatzung!$B$5,Besatzung!$C$12)&lt;=B103)*(IF(Besatzung!$D$12="",Besatzung!$B$6,Besatzung!$D$12)&gt;=B103)))*((G103-IFERROR(H103,0))/IFERROR(SUMPRODUCT((Besatzung!$B$11:$B$22&lt;&gt;"")*(IF(Besatzung!$C$11:$C$22="",Besatzung!$B$5,Besatzung!$C$11:$C$22)&lt;=B103)*(IF(Besatzung!$D$11:$D$22="",Besatzung!$B$6,Besatzung!$D$11:$D$22)&gt;=B103)),1)+(Besatzung!$F$12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K103="x")*((G103-IFERROR(H103,0))/IFERROR(COUNTIF(J103:U103,"x"),1)+(Besatzung!$F$12="x")*IFERROR(H103,0)/IFERROR(SUMPRODUCT((J103:U103="x")*(Besatzung!$F$11:$F$22="x")),1))),(IF(COUNTIF(J103:U103,"x")=0,IF(Besatzung!$B$12&lt;&gt;"",1,0),(K103="x"))*(G103-IFERROR(H103,0))/IFERROR(IF(COUNTIF(J103:U103,"x")=0,COUNTA(Besatzung!$B$11:$B$22),COUNTIF(J103:U103,"x")),1)+IF(COUNTIF(J103:U103,"x")=0,(Besatzung!$F$12="x"),(K103="x")*(Besatzung!$F$12="x"))*IFERROR(H103,0)/IFERROR(IF(COUNTIF(J103:U103,"x")=0,SUMPRODUCT((Besatzung!$B$11:$B$22&lt;&gt;"")*(Besatzung!$F$11:$F$22="x")),SUMPRODUCT((J103:U103="x")*(Besatzung!$F$11:$F$22="x"))),1))))),0))))</f>
        <v/>
      </c>
      <c r="X103" s="106">
        <f>IF(C103="Gutschrift","",IF(G103="","",IF(Besatzung!$B$13="","",IFERROR(IF(I103="Zeitanteilig",(Besatzung!$G$13*(G103-IFERROR(H103,0))+((Besatzung!$B$13&lt;&gt;"")*IF(B103="",1,(IF(Besatzung!$C$13="",Besatzung!$B$5,Besatzung!$C$13)&lt;=B103)*(IF(Besatzung!$D$13="",Besatzung!$B$6,Besatzung!$D$13)&gt;=B103)))*(Besatzung!$F$13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$13&lt;&gt;"")*IF(B103="",1,(IF(Besatzung!$C$13="",Besatzung!$B$5,Besatzung!$C$13)&lt;=B103)*(IF(Besatzung!$D$13="",Besatzung!$B$6,Besatzung!$D$13)&gt;=B103)))*((G103-IFERROR(H103,0))/IFERROR(SUMPRODUCT((Besatzung!$B$11:$B$22&lt;&gt;"")*(IF(Besatzung!$C$11:$C$22="",Besatzung!$B$5,Besatzung!$C$11:$C$22)&lt;=B103)*(IF(Besatzung!$D$11:$D$22="",Besatzung!$B$6,Besatzung!$D$11:$D$22)&gt;=B103)),1)+(Besatzung!$F$13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K103="x")*((G103-IFERROR(H103,0))/IFERROR(COUNTIF(J103:U103,"x"),1)+(Besatzung!$F$13="x")*IFERROR(H103,0)/IFERROR(SUMPRODUCT((J103:U103="x")*(Besatzung!$F$11:$F$22="x")),1))),(IF(COUNTIF(J103:U103,"x")=0,IF(Besatzung!$B$13&lt;&gt;"",1,0),(K103="x"))*(G103-IFERROR(H103,0))/IFERROR(IF(COUNTIF(J103:U103,"x")=0,COUNTA(Besatzung!$B$11:$B$22),COUNTIF(J103:U103,"x")),1)+IF(COUNTIF(J103:U103,"x")=0,(Besatzung!$F$13="x"),(K103="x")*(Besatzung!$F$13="x"))*IFERROR(H103,0)/IFERROR(IF(COUNTIF(J103:U103,"x")=0,SUMPRODUCT((Besatzung!$B$11:$B$22&lt;&gt;"")*(Besatzung!$F$11:$F$22="x")),SUMPRODUCT((J103:U103="x")*(Besatzung!$F$11:$F$22="x"))),1))))),0))))</f>
        <v/>
      </c>
      <c r="Y103" s="106">
        <f>IF(C103="Gutschrift","",IF(G103="","",IF(Besatzung!$B$14="","",IFERROR(IF(I103="Zeitanteilig",(Besatzung!$G$14*(G103-IFERROR(H103,0))+((Besatzung!$B$14&lt;&gt;"")*IF(B103="",1,(IF(Besatzung!$C$14="",Besatzung!$B$5,Besatzung!$C$14)&lt;=B103)*(IF(Besatzung!$D$14="",Besatzung!$B$6,Besatzung!$D$14)&gt;=B103)))*(Besatzung!$F$14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$14&lt;&gt;"")*IF(B103="",1,(IF(Besatzung!$C$14="",Besatzung!$B$5,Besatzung!$C$14)&lt;=B103)*(IF(Besatzung!$D$14="",Besatzung!$B$6,Besatzung!$D$14)&gt;=B103)))*((G103-IFERROR(H103,0))/IFERROR(SUMPRODUCT((Besatzung!$B$11:$B$22&lt;&gt;"")*(IF(Besatzung!$C$11:$C$22="",Besatzung!$B$5,Besatzung!$C$11:$C$22)&lt;=B103)*(IF(Besatzung!$D$11:$D$22="",Besatzung!$B$6,Besatzung!$D$11:$D$22)&gt;=B103)),1)+(Besatzung!$F$14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M103="x")*((G103-IFERROR(H103,0))/IFERROR(COUNTIF(J103:U103,"x"),1)+(Besatzung!$F$14="x")*IFERROR(H103,0)/IFERROR(SUMPRODUCT((J103:U103="x")*(Besatzung!$F$11:$F$22="x")),1))),(IF(COUNTIF(J103:U103,"x")=0,IF(Besatzung!$B$14&lt;&gt;"",1,0),(M103="x"))*(G103-IFERROR(H103,0))/IFERROR(IF(COUNTIF(J103:U103,"x")=0,COUNTA(Besatzung!$B$11:$B$22),COUNTIF(J103:U103,"x")),1)+IF(COUNTIF(J103:U103,"x")=0,(Besatzung!$F$14="x"),(M103="x")*(Besatzung!$F$14="x"))*IFERROR(H103,0)/IFERROR(IF(COUNTIF(J103:U103,"x")=0,SUMPRODUCT((Besatzung!$B$11:$B$22&lt;&gt;"")*(Besatzung!$F$11:$F$22="x")),SUMPRODUCT((J103:U103="x")*(Besatzung!$F$11:$F$22="x"))),1))))),0))))</f>
        <v/>
      </c>
      <c r="Z103" s="106">
        <f>IF(C103="Gutschrift","",IF(G103="","",IF(Besatzung!$B$13="","",IFERROR(IF(I103="Zeitanteilig",(Besatzung!$G$15*(G103-IFERROR(H103,0))+((Besatzung!$B$13&lt;&gt;"")*IF(B103="",1,(IF(Besatzung!$C$15="",Besatzung!$B$5,Besatzung!$C$15)&lt;=B103)*(IF(Besatzung!$D$15="",Besatzung!$B$6,Besatzung!$D$15)&gt;=B103)))*(Besatzung!$F$15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$13&lt;&gt;"")*IF(B103="",1,(IF(Besatzung!$C$15="",Besatzung!$B$5,Besatzung!$C$15)&lt;=B103)*(IF(Besatzung!$D$15="",Besatzung!$B$6,Besatzung!$D$15)&gt;=B103)))*((G103-IFERROR(H103,0))/IFERROR(SUMPRODUCT((Besatzung!$B$11:$B$22&lt;&gt;"")*(IF(Besatzung!$C$11:$C$22="",Besatzung!$B$5,Besatzung!$C$11:$C$22)&lt;=B103)*(IF(Besatzung!$D$11:$D$22="",Besatzung!$B$6,Besatzung!$D$11:$D$22)&gt;=B103)),1)+(Besatzung!$F$15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N103="x")*((G103-IFERROR(H103,0))/IFERROR(COUNTIF(J103:U103,"x"),1)+(Besatzung!$F$15="x")*IFERROR(H103,0)/IFERROR(SUMPRODUCT((J103:U103="x")*(Besatzung!$F$11:$F$22="x")),1))),(IF(COUNTIF(J103:U103,"x")=0,IF(Besatzung!$B$13&lt;&gt;"",1,0),(N103="x"))*(G103-IFERROR(H103,0))/IFERROR(IF(COUNTIF(J103:U103,"x")=0,COUNTA(Besatzung!$B$11:$B$22),COUNTIF(J103:U103,"x")),1)+IF(COUNTIF(J103:U103,"x")=0,(Besatzung!$F$15="x"),(N103="x")*(Besatzung!$F$15="x"))*IFERROR(H103,0)/IFERROR(IF(COUNTIF(J103:U103,"x")=0,SUMPRODUCT((Besatzung!$B$11:$B$22&lt;&gt;"")*(Besatzung!$F$11:$F$22="x")),SUMPRODUCT((J103:U103="x")*(Besatzung!$F$11:$F$22="x"))),1))))),0))))</f>
        <v/>
      </c>
      <c r="AA103" s="106">
        <f>IF(C103="Gutschrift","",IF(G103="","",IF(Besatzung!$B$15="","",IFERROR(IF(I103="Zeitanteilig",(Besatzung!$G$16*(G103-IFERROR(H103,0))+((Besatzung!$B$15&lt;&gt;"")*IF(B103="",1,(IF(Besatzung!$C$16="",Besatzung!$B$5,Besatzung!$C$16)&lt;=B103)*(IF(Besatzung!$D$16="",Besatzung!$B$6,Besatzung!$D$16)&gt;=B103)))*(Besatzung!$F$16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$15&lt;&gt;"")*IF(B103="",1,(IF(Besatzung!$C$16="",Besatzung!$B$5,Besatzung!$C$16)&lt;=B103)*(IF(Besatzung!$D$16="",Besatzung!$B$6,Besatzung!$D$16)&gt;=B103)))*((G103-IFERROR(H103,0))/IFERROR(SUMPRODUCT((Besatzung!$B$11:$B$22&lt;&gt;"")*(IF(Besatzung!$C$11:$C$22="",Besatzung!$B$5,Besatzung!$C$11:$C$22)&lt;=B103)*(IF(Besatzung!$D$11:$D$22="",Besatzung!$B$6,Besatzung!$D$11:$D$22)&gt;=B103)),1)+(Besatzung!$F$16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O103="x")*((G103-IFERROR(H103,0))/IFERROR(COUNTIF(J103:U103,"x"),1)+(Besatzung!$F$16="x")*IFERROR(H103,0)/IFERROR(SUMPRODUCT((J103:U103="x")*(Besatzung!$F$11:$F$22="x")),1))),(IF(COUNTIF(J103:U103,"x")=0,IF(Besatzung!$B$15&lt;&gt;"",1,0),(O103="x"))*(G103-IFERROR(H103,0))/IFERROR(IF(COUNTIF(J103:U103,"x")=0,COUNTA(Besatzung!$B$11:$B$22),COUNTIF(J103:U103,"x")),1)+IF(COUNTIF(J103:U103,"x")=0,(Besatzung!$F$16="x"),(O103="x")*(Besatzung!$F$16="x"))*IFERROR(H103,0)/IFERROR(IF(COUNTIF(J103:U103,"x")=0,SUMPRODUCT((Besatzung!$B$11:$B$22&lt;&gt;"")*(Besatzung!$F$11:$F$22="x")),SUMPRODUCT((J103:U103="x")*(Besatzung!$F$11:$F$22="x"))),1))))),0))))</f>
        <v/>
      </c>
      <c r="AB103" s="106">
        <f>IF(C103="Gutschrift","",IF(G103="","",IF(Besatzung!$B$17="","",IFERROR(IF(I103="Zeitanteilig",(Besatzung!$G$17*(G103-IFERROR(H103,0))+((Besatzung!$B$17&lt;&gt;"")*IF(B103="",1,(IF(Besatzung!$C$17="",Besatzung!$B$5,Besatzung!$C$17)&lt;=B103)*(IF(Besatzung!$D$17="",Besatzung!$B$6,Besatzung!$D$17)&gt;=B103)))*(Besatzung!$F$17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$17&lt;&gt;"")*IF(B103="",1,(IF(Besatzung!$C$17="",Besatzung!$B$5,Besatzung!$C$17)&lt;=B103)*(IF(Besatzung!$D$17="",Besatzung!$B$6,Besatzung!$D$17)&gt;=B103)))*((G103-IFERROR(H103,0))/IFERROR(SUMPRODUCT((Besatzung!$B$11:$B$22&lt;&gt;"")*(IF(Besatzung!$C$11:$C$22="",Besatzung!$B$5,Besatzung!$C$11:$C$22)&lt;=B103)*(IF(Besatzung!$D$11:$D$22="",Besatzung!$B$6,Besatzung!$D$11:$D$22)&gt;=B103)),1)+(Besatzung!$F$17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P103="x")*((G103-IFERROR(H103,0))/IFERROR(COUNTIF(J103:U103,"x"),1)+(Besatzung!$F$17="x")*IFERROR(H103,0)/IFERROR(SUMPRODUCT((J103:U103="x")*(Besatzung!$F$11:$F$22="x")),1))),(IF(COUNTIF(J103:U103,"x")=0,IF(Besatzung!$B$17&lt;&gt;"",1,0),(P103="x"))*(G103-IFERROR(H103,0))/IFERROR(IF(COUNTIF(J103:U103,"x")=0,COUNTA(Besatzung!$B$11:$B$22),COUNTIF(J103:U103,"x")),1)+IF(COUNTIF(J103:U103,"x")=0,(Besatzung!$F$17="x"),(P103="x")*(Besatzung!$F$17="x"))*IFERROR(H103,0)/IFERROR(IF(COUNTIF(J103:U103,"x")=0,SUMPRODUCT((Besatzung!$B$11:$B$22&lt;&gt;"")*(Besatzung!$F$11:$F$22="x")),SUMPRODUCT((J103:U103="x")*(Besatzung!$F$11:$F$22="x"))),1))))),0))))</f>
        <v/>
      </c>
      <c r="AC103" s="106">
        <f>IF(C103="Gutschrift","",IF(G103="","",IF(Besatzung!$B$18="","",IFERROR(IF(I103="Zeitanteilig",(Besatzung!$G$18*(G103-IFERROR(H103,0))+((Besatzung!$B$18&lt;&gt;"")*IF(B103="",1,(IF(Besatzung!$C$18="",Besatzung!$B$5,Besatzung!$C$18)&lt;=B103)*(IF(Besatzung!$D$18="",Besatzung!$B$6,Besatzung!$D$18)&gt;=B103)))*(Besatzung!$F$18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$18&lt;&gt;"")*IF(B103="",1,(IF(Besatzung!$C$18="",Besatzung!$B$5,Besatzung!$C$18)&lt;=B103)*(IF(Besatzung!$D$18="",Besatzung!$B$6,Besatzung!$D$18)&gt;=B103)))*((G103-IFERROR(H103,0))/IFERROR(SUMPRODUCT((Besatzung!$B$11:$B$22&lt;&gt;"")*(IF(Besatzung!$C$11:$C$22="",Besatzung!$B$5,Besatzung!$C$11:$C$22)&lt;=B103)*(IF(Besatzung!$D$11:$D$22="",Besatzung!$B$6,Besatzung!$D$11:$D$22)&gt;=B103)),1)+(Besatzung!$F$18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Q103="x")*((G103-IFERROR(H103,0))/IFERROR(COUNTIF(J103:U103,"x"),1)+(Besatzung!$F$18="x")*IFERROR(H103,0)/IFERROR(SUMPRODUCT((J103:U103="x")*(Besatzung!$F$11:$F$22="x")),1))),(IF(COUNTIF(J103:U103,"x")=0,IF(Besatzung!$B$18&lt;&gt;"",1,0),(Q103="x"))*(G103-IFERROR(H103,0))/IFERROR(IF(COUNTIF(J103:U103,"x")=0,COUNTA(Besatzung!$B$11:$B$22),COUNTIF(J103:U103,"x")),1)+IF(COUNTIF(J103:U103,"x")=0,(Besatzung!$F$18="x"),(Q103="x")*(Besatzung!$F$18="x"))*IFERROR(H103,0)/IFERROR(IF(COUNTIF(J103:U103,"x")=0,SUMPRODUCT((Besatzung!$B$11:$B$22&lt;&gt;"")*(Besatzung!$F$11:$F$22="x")),SUMPRODUCT((J103:U103="x")*(Besatzung!$F$11:$F$22="x"))),1))))),0))))</f>
        <v/>
      </c>
      <c r="AD103" s="106">
        <f>IF(C103="Gutschrift","",IF(G103="","",IF(Besatzung!$B$19="","",IFERROR(IF(I103="Zeitanteilig",(Besatzung!$G$19*(G103-IFERROR(H103,0))+((Besatzung!$B$19&lt;&gt;"")*IF(B103="",1,(IF(Besatzung!$C$19="",Besatzung!$B$5,Besatzung!$C$19)&lt;=B103)*(IF(Besatzung!$D$19="",Besatzung!$B$6,Besatzung!$D$19)&gt;=B103)))*(Besatzung!$F$19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$19&lt;&gt;"")*IF(B103="",1,(IF(Besatzung!$C$19="",Besatzung!$B$5,Besatzung!$C$19)&lt;=B103)*(IF(Besatzung!$D$19="",Besatzung!$B$6,Besatzung!$D$19)&gt;=B103)))*((G103-IFERROR(H103,0))/IFERROR(SUMPRODUCT((Besatzung!$B$11:$B$22&lt;&gt;"")*(IF(Besatzung!$C$11:$C$22="",Besatzung!$B$5,Besatzung!$C$11:$C$22)&lt;=B103)*(IF(Besatzung!$D$11:$D$22="",Besatzung!$B$6,Besatzung!$D$11:$D$22)&gt;=B103)),1)+(Besatzung!$F$19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R103="x")*((G103-IFERROR(H103,0))/IFERROR(COUNTIF(J103:U103,"x"),1)+(Besatzung!$F$19="x")*IFERROR(H103,0)/IFERROR(SUMPRODUCT((J103:U103="x")*(Besatzung!$F$11:$F$22="x")),1))),(IF(COUNTIF(J103:U103,"x")=0,IF(Besatzung!$B$19&lt;&gt;"",1,0),(R103="x"))*(G103-IFERROR(H103,0))/IFERROR(IF(COUNTIF(J103:U103,"x")=0,COUNTA(Besatzung!$B$11:$B$22),COUNTIF(J103:U103,"x")),1)+IF(COUNTIF(J103:U103,"x")=0,(Besatzung!$F$19="x"),(R103="x")*(Besatzung!$F$19="x"))*IFERROR(H103,0)/IFERROR(IF(COUNTIF(J103:U103,"x")=0,SUMPRODUCT((Besatzung!$B$11:$B$22&lt;&gt;"")*(Besatzung!$F$11:$F$22="x")),SUMPRODUCT((J103:U103="x")*(Besatzung!$F$11:$F$22="x"))),1))))),0))))</f>
        <v/>
      </c>
      <c r="AE103" s="106">
        <f>IF(C103="Gutschrift","",IF(G103="","",IF(Besatzung!$B$20="","",IFERROR(IF(I103="Zeitanteilig",(Besatzung!$G$20*(G103-IFERROR(H103,0))+((Besatzung!$B$20&lt;&gt;"")*IF(B103="",1,(IF(Besatzung!$C$20="",Besatzung!$B$5,Besatzung!$C$20)&lt;=B103)*(IF(Besatzung!$D$20="",Besatzung!$B$6,Besatzung!$D$20)&gt;=B103)))*(Besatzung!$F$20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$20&lt;&gt;"")*IF(B103="",1,(IF(Besatzung!$C$20="",Besatzung!$B$5,Besatzung!$C$20)&lt;=B103)*(IF(Besatzung!$D$20="",Besatzung!$B$6,Besatzung!$D$20)&gt;=B103)))*((G103-IFERROR(H103,0))/IFERROR(SUMPRODUCT((Besatzung!$B$11:$B$22&lt;&gt;"")*(IF(Besatzung!$C$11:$C$22="",Besatzung!$B$5,Besatzung!$C$11:$C$22)&lt;=B103)*(IF(Besatzung!$D$11:$D$22="",Besatzung!$B$6,Besatzung!$D$11:$D$22)&gt;=B103)),1)+(Besatzung!$F$20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S103="x")*((G103-IFERROR(H103,0))/IFERROR(COUNTIF(J103:U103,"x"),1)+(Besatzung!$F$20="x")*IFERROR(H103,0)/IFERROR(SUMPRODUCT((J103:U103="x")*(Besatzung!$F$11:$F$22="x")),1))),(IF(COUNTIF(J103:U103,"x")=0,IF(Besatzung!$B$20&lt;&gt;"",1,0),(S103="x"))*(G103-IFERROR(H103,0))/IFERROR(IF(COUNTIF(J103:U103,"x")=0,COUNTA(Besatzung!$B$11:$B$22),COUNTIF(J103:U103,"x")),1)+IF(COUNTIF(J103:U103,"x")=0,(Besatzung!$F$20="x"),(S103="x")*(Besatzung!$F$20="x"))*IFERROR(H103,0)/IFERROR(IF(COUNTIF(J103:U103,"x")=0,SUMPRODUCT((Besatzung!$B$11:$B$22&lt;&gt;"")*(Besatzung!$F$11:$F$22="x")),SUMPRODUCT((J103:U103="x")*(Besatzung!$F$11:$F$22="x"))),1))))),0))))</f>
        <v/>
      </c>
      <c r="AF103" s="106">
        <f>IF(C103="Gutschrift","",IF(G103="","",IF(Besatzung!$B$21="","",IFERROR(IF(I103="Zeitanteilig",(Besatzung!$G$21*(G103-IFERROR(H103,0))+((Besatzung!$B$21&lt;&gt;"")*IF(B103="",1,(IF(Besatzung!$C$21="",Besatzung!$B$5,Besatzung!$C$21)&lt;=B103)*(IF(Besatzung!$D$21="",Besatzung!$B$6,Besatzung!$D$21)&gt;=B103)))*(Besatzung!$F$21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$21&lt;&gt;"")*IF(B103="",1,(IF(Besatzung!$C$21="",Besatzung!$B$5,Besatzung!$C$21)&lt;=B103)*(IF(Besatzung!$D$21="",Besatzung!$B$6,Besatzung!$D$21)&gt;=B103)))*((G103-IFERROR(H103,0))/IFERROR(SUMPRODUCT((Besatzung!$B$11:$B$22&lt;&gt;"")*(IF(Besatzung!$C$11:$C$22="",Besatzung!$B$5,Besatzung!$C$11:$C$22)&lt;=B103)*(IF(Besatzung!$D$11:$D$22="",Besatzung!$B$6,Besatzung!$D$11:$D$22)&gt;=B103)),1)+(Besatzung!$F$21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T103="x")*((G103-IFERROR(H103,0))/IFERROR(COUNTIF(J103:U103,"x"),1)+(Besatzung!$F$21="x")*IFERROR(H103,0)/IFERROR(SUMPRODUCT((J103:U103="x")*(Besatzung!$F$11:$F$22="x")),1))),(IF(COUNTIF(J103:U103,"x")=0,IF(Besatzung!$B$21&lt;&gt;"",1,0),(T103="x"))*(G103-IFERROR(H103,0))/IFERROR(IF(COUNTIF(J103:U103,"x")=0,COUNTA(Besatzung!$B$11:$B$22),COUNTIF(J103:U103,"x")),1)+IF(COUNTIF(J103:U103,"x")=0,(Besatzung!$F$21="x"),(T103="x")*(Besatzung!$F$21="x"))*IFERROR(H103,0)/IFERROR(IF(COUNTIF(J103:U103,"x")=0,SUMPRODUCT((Besatzung!$B$11:$B$22&lt;&gt;"")*(Besatzung!$F$11:$F$22="x")),SUMPRODUCT((J103:U103="x")*(Besatzung!$F$11:$F$22="x"))),1))))),0))))</f>
        <v/>
      </c>
      <c r="AG103" s="106">
        <f>IF(C103="Gutschrift","",IF(G103="","",IF(Besatzung!$B$22="","",IFERROR(IF(I103="Zeitanteilig",(Besatzung!$G$22*(G103-IFERROR(H103,0))+((Besatzung!$B$22&lt;&gt;"")*IF(B103="",1,(IF(Besatzung!$C$22="",Besatzung!$B$5,Besatzung!$C$22)&lt;=B103)*(IF(Besatzung!$D$22="",Besatzung!$B$6,Besatzung!$D$22)&gt;=B103)))*(Besatzung!$F$22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$22&lt;&gt;"")*IF(B103="",1,(IF(Besatzung!$C$22="",Besatzung!$B$5,Besatzung!$C$22)&lt;=B103)*(IF(Besatzung!$D$22="",Besatzung!$B$6,Besatzung!$D$22)&gt;=B103)))*((G103-IFERROR(H103,0))/IFERROR(SUMPRODUCT((Besatzung!$B$11:$B$22&lt;&gt;"")*(IF(Besatzung!$C$11:$C$22="",Besatzung!$B$5,Besatzung!$C$11:$C$22)&lt;=B103)*(IF(Besatzung!$D$11:$D$22="",Besatzung!$B$6,Besatzung!$D$11:$D$22)&gt;=B103)),1)+(Besatzung!$F$22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U103="x")*((G103-IFERROR(H103,0))/IFERROR(COUNTIF(J103:U103,"x"),1)+(Besatzung!$F$22="x")*IFERROR(H103,0)/IFERROR(SUMPRODUCT((J103:U103="x")*(Besatzung!$F$11:$F$22="x")),1))),(IF(COUNTIF(J103:U103,"x")=0,IF(Besatzung!$B$22&lt;&gt;"",1,0),(U103="x"))*(G103-IFERROR(H103,0))/IFERROR(IF(COUNTIF(J103:U103,"x")=0,COUNTA(Besatzung!$B$11:$B$22),COUNTIF(J103:U103,"x")),1)+IF(COUNTIF(J103:U103,"x")=0,(Besatzung!$F$22="x"),(U103="x")*(Besatzung!$F$22="x"))*IFERROR(H103,0)/IFERROR(IF(COUNTIF(J103:U103,"x")=0,SUMPRODUCT((Besatzung!$B$11:$B$22&lt;&gt;"")*(Besatzung!$F$11:$F$22="x")),SUMPRODUCT((J103:U103="x")*(Besatzung!$F$11:$F$22="x"))),1))))),0))))</f>
        <v/>
      </c>
      <c r="AH103" s="107" t="n"/>
      <c r="AI103" s="107" t="n"/>
    </row>
    <row r="104" ht="21.75" customHeight="1" s="182">
      <c r="A104" s="97">
        <f>IF(AND(D104="",C104=""),"",101)</f>
        <v/>
      </c>
      <c r="B104" s="56" t="n"/>
      <c r="C104" s="98" t="n"/>
      <c r="D104" s="99" t="n"/>
      <c r="E104" s="100" t="n"/>
      <c r="F104" s="101" t="n"/>
      <c r="G104" s="102" t="n"/>
      <c r="H104" s="103" t="n"/>
      <c r="I104" s="104" t="n"/>
      <c r="J104" s="105" t="n"/>
      <c r="K104" s="105" t="n"/>
      <c r="L104" s="105" t="n"/>
      <c r="M104" s="105" t="n"/>
      <c r="N104" s="105" t="n"/>
      <c r="O104" s="105" t="n"/>
      <c r="P104" s="105" t="n"/>
      <c r="Q104" s="105" t="n"/>
      <c r="R104" s="105" t="n"/>
      <c r="S104" s="105" t="n"/>
      <c r="T104" s="105" t="n"/>
      <c r="U104" s="105" t="n"/>
      <c r="V104" s="106">
        <f>IF(C104="Gutschrift","",IF(G104="","",IF(Besatzung!$B$11="","",IFERROR(IF(I104="Zeitanteilig",(Besatzung!$G$11*(G104-IFERROR(H104,0))+((Besatzung!$B$11&lt;&gt;"")*IF(B104="",1,(IF(Besatzung!$C$11="",Besatzung!$B$5,Besatzung!$C$11)&lt;=B104)*(IF(Besatzung!$D$11="",Besatzung!$B$6,Besatzung!$D$11)&gt;=B104)))*(Besatzung!$F$11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$11&lt;&gt;"")*IF(B104="",1,(IF(Besatzung!$C$11="",Besatzung!$B$5,Besatzung!$C$11)&lt;=B104)*(IF(Besatzung!$D$11="",Besatzung!$B$6,Besatzung!$D$11)&gt;=B104)))*((G104-IFERROR(H104,0))/IFERROR(SUMPRODUCT((Besatzung!$B$11:$B$22&lt;&gt;"")*(IF(Besatzung!$C$11:$C$22="",Besatzung!$B$5,Besatzung!$C$11:$C$22)&lt;=B104)*(IF(Besatzung!$D$11:$D$22="",Besatzung!$B$6,Besatzung!$D$11:$D$22)&gt;=B104)),1)+(Besatzung!$F$11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J104="x")*((G104-IFERROR(H104,0))/IFERROR(COUNTIF(J104:U104,"x"),1)+(Besatzung!$F$11="x")*IFERROR(H104,0)/IFERROR(SUMPRODUCT((J104:U104="x")*(Besatzung!$F$11:$F$22="x")),1))),(IF(COUNTIF(J104:U104,"x")=0,IF(Besatzung!$B$11&lt;&gt;"",1,0),(J104="x"))*(G104-IFERROR(H104,0))/IFERROR(IF(COUNTIF(J104:U104,"x")=0,COUNTA(Besatzung!$B$11:$B$22),COUNTIF(J104:U104,"x")),1)+IF(COUNTIF(J104:U104,"x")=0,(Besatzung!$F$11="x"),(J104="x")*(Besatzung!$F$11="x"))*IFERROR(H104,0)/IFERROR(IF(COUNTIF(J104:U104,"x")=0,SUMPRODUCT((Besatzung!$B$11:$B$22&lt;&gt;"")*(Besatzung!$F$11:$F$22="x")),SUMPRODUCT((J104:U104="x")*(Besatzung!$F$11:$F$22="x"))),1))))),0))))</f>
        <v/>
      </c>
      <c r="W104" s="106">
        <f>IF(C104="Gutschrift","",IF(G104="","",IF(Besatzung!$B$12="","",IFERROR(IF(I104="Zeitanteilig",(Besatzung!$G$12*(G104-IFERROR(H104,0))+((Besatzung!$B$12&lt;&gt;"")*IF(B104="",1,(IF(Besatzung!$C$12="",Besatzung!$B$5,Besatzung!$C$12)&lt;=B104)*(IF(Besatzung!$D$12="",Besatzung!$B$6,Besatzung!$D$12)&gt;=B104)))*(Besatzung!$F$12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$12&lt;&gt;"")*IF(B104="",1,(IF(Besatzung!$C$12="",Besatzung!$B$5,Besatzung!$C$12)&lt;=B104)*(IF(Besatzung!$D$12="",Besatzung!$B$6,Besatzung!$D$12)&gt;=B104)))*((G104-IFERROR(H104,0))/IFERROR(SUMPRODUCT((Besatzung!$B$11:$B$22&lt;&gt;"")*(IF(Besatzung!$C$11:$C$22="",Besatzung!$B$5,Besatzung!$C$11:$C$22)&lt;=B104)*(IF(Besatzung!$D$11:$D$22="",Besatzung!$B$6,Besatzung!$D$11:$D$22)&gt;=B104)),1)+(Besatzung!$F$12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K104="x")*((G104-IFERROR(H104,0))/IFERROR(COUNTIF(J104:U104,"x"),1)+(Besatzung!$F$12="x")*IFERROR(H104,0)/IFERROR(SUMPRODUCT((J104:U104="x")*(Besatzung!$F$11:$F$22="x")),1))),(IF(COUNTIF(J104:U104,"x")=0,IF(Besatzung!$B$12&lt;&gt;"",1,0),(K104="x"))*(G104-IFERROR(H104,0))/IFERROR(IF(COUNTIF(J104:U104,"x")=0,COUNTA(Besatzung!$B$11:$B$22),COUNTIF(J104:U104,"x")),1)+IF(COUNTIF(J104:U104,"x")=0,(Besatzung!$F$12="x"),(K104="x")*(Besatzung!$F$12="x"))*IFERROR(H104,0)/IFERROR(IF(COUNTIF(J104:U104,"x")=0,SUMPRODUCT((Besatzung!$B$11:$B$22&lt;&gt;"")*(Besatzung!$F$11:$F$22="x")),SUMPRODUCT((J104:U104="x")*(Besatzung!$F$11:$F$22="x"))),1))))),0))))</f>
        <v/>
      </c>
      <c r="X104" s="106">
        <f>IF(C104="Gutschrift","",IF(G104="","",IF(Besatzung!$B$13="","",IFERROR(IF(I104="Zeitanteilig",(Besatzung!$G$13*(G104-IFERROR(H104,0))+((Besatzung!$B$13&lt;&gt;"")*IF(B104="",1,(IF(Besatzung!$C$13="",Besatzung!$B$5,Besatzung!$C$13)&lt;=B104)*(IF(Besatzung!$D$13="",Besatzung!$B$6,Besatzung!$D$13)&gt;=B104)))*(Besatzung!$F$13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$13&lt;&gt;"")*IF(B104="",1,(IF(Besatzung!$C$13="",Besatzung!$B$5,Besatzung!$C$13)&lt;=B104)*(IF(Besatzung!$D$13="",Besatzung!$B$6,Besatzung!$D$13)&gt;=B104)))*((G104-IFERROR(H104,0))/IFERROR(SUMPRODUCT((Besatzung!$B$11:$B$22&lt;&gt;"")*(IF(Besatzung!$C$11:$C$22="",Besatzung!$B$5,Besatzung!$C$11:$C$22)&lt;=B104)*(IF(Besatzung!$D$11:$D$22="",Besatzung!$B$6,Besatzung!$D$11:$D$22)&gt;=B104)),1)+(Besatzung!$F$13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K104="x")*((G104-IFERROR(H104,0))/IFERROR(COUNTIF(J104:U104,"x"),1)+(Besatzung!$F$13="x")*IFERROR(H104,0)/IFERROR(SUMPRODUCT((J104:U104="x")*(Besatzung!$F$11:$F$22="x")),1))),(IF(COUNTIF(J104:U104,"x")=0,IF(Besatzung!$B$13&lt;&gt;"",1,0),(K104="x"))*(G104-IFERROR(H104,0))/IFERROR(IF(COUNTIF(J104:U104,"x")=0,COUNTA(Besatzung!$B$11:$B$22),COUNTIF(J104:U104,"x")),1)+IF(COUNTIF(J104:U104,"x")=0,(Besatzung!$F$13="x"),(K104="x")*(Besatzung!$F$13="x"))*IFERROR(H104,0)/IFERROR(IF(COUNTIF(J104:U104,"x")=0,SUMPRODUCT((Besatzung!$B$11:$B$22&lt;&gt;"")*(Besatzung!$F$11:$F$22="x")),SUMPRODUCT((J104:U104="x")*(Besatzung!$F$11:$F$22="x"))),1))))),0))))</f>
        <v/>
      </c>
      <c r="Y104" s="106">
        <f>IF(C104="Gutschrift","",IF(G104="","",IF(Besatzung!$B$14="","",IFERROR(IF(I104="Zeitanteilig",(Besatzung!$G$14*(G104-IFERROR(H104,0))+((Besatzung!$B$14&lt;&gt;"")*IF(B104="",1,(IF(Besatzung!$C$14="",Besatzung!$B$5,Besatzung!$C$14)&lt;=B104)*(IF(Besatzung!$D$14="",Besatzung!$B$6,Besatzung!$D$14)&gt;=B104)))*(Besatzung!$F$14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$14&lt;&gt;"")*IF(B104="",1,(IF(Besatzung!$C$14="",Besatzung!$B$5,Besatzung!$C$14)&lt;=B104)*(IF(Besatzung!$D$14="",Besatzung!$B$6,Besatzung!$D$14)&gt;=B104)))*((G104-IFERROR(H104,0))/IFERROR(SUMPRODUCT((Besatzung!$B$11:$B$22&lt;&gt;"")*(IF(Besatzung!$C$11:$C$22="",Besatzung!$B$5,Besatzung!$C$11:$C$22)&lt;=B104)*(IF(Besatzung!$D$11:$D$22="",Besatzung!$B$6,Besatzung!$D$11:$D$22)&gt;=B104)),1)+(Besatzung!$F$14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M104="x")*((G104-IFERROR(H104,0))/IFERROR(COUNTIF(J104:U104,"x"),1)+(Besatzung!$F$14="x")*IFERROR(H104,0)/IFERROR(SUMPRODUCT((J104:U104="x")*(Besatzung!$F$11:$F$22="x")),1))),(IF(COUNTIF(J104:U104,"x")=0,IF(Besatzung!$B$14&lt;&gt;"",1,0),(M104="x"))*(G104-IFERROR(H104,0))/IFERROR(IF(COUNTIF(J104:U104,"x")=0,COUNTA(Besatzung!$B$11:$B$22),COUNTIF(J104:U104,"x")),1)+IF(COUNTIF(J104:U104,"x")=0,(Besatzung!$F$14="x"),(M104="x")*(Besatzung!$F$14="x"))*IFERROR(H104,0)/IFERROR(IF(COUNTIF(J104:U104,"x")=0,SUMPRODUCT((Besatzung!$B$11:$B$22&lt;&gt;"")*(Besatzung!$F$11:$F$22="x")),SUMPRODUCT((J104:U104="x")*(Besatzung!$F$11:$F$22="x"))),1))))),0))))</f>
        <v/>
      </c>
      <c r="Z104" s="106">
        <f>IF(C104="Gutschrift","",IF(G104="","",IF(Besatzung!$B$13="","",IFERROR(IF(I104="Zeitanteilig",(Besatzung!$G$15*(G104-IFERROR(H104,0))+((Besatzung!$B$13&lt;&gt;"")*IF(B104="",1,(IF(Besatzung!$C$15="",Besatzung!$B$5,Besatzung!$C$15)&lt;=B104)*(IF(Besatzung!$D$15="",Besatzung!$B$6,Besatzung!$D$15)&gt;=B104)))*(Besatzung!$F$15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$13&lt;&gt;"")*IF(B104="",1,(IF(Besatzung!$C$15="",Besatzung!$B$5,Besatzung!$C$15)&lt;=B104)*(IF(Besatzung!$D$15="",Besatzung!$B$6,Besatzung!$D$15)&gt;=B104)))*((G104-IFERROR(H104,0))/IFERROR(SUMPRODUCT((Besatzung!$B$11:$B$22&lt;&gt;"")*(IF(Besatzung!$C$11:$C$22="",Besatzung!$B$5,Besatzung!$C$11:$C$22)&lt;=B104)*(IF(Besatzung!$D$11:$D$22="",Besatzung!$B$6,Besatzung!$D$11:$D$22)&gt;=B104)),1)+(Besatzung!$F$15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N104="x")*((G104-IFERROR(H104,0))/IFERROR(COUNTIF(J104:U104,"x"),1)+(Besatzung!$F$15="x")*IFERROR(H104,0)/IFERROR(SUMPRODUCT((J104:U104="x")*(Besatzung!$F$11:$F$22="x")),1))),(IF(COUNTIF(J104:U104,"x")=0,IF(Besatzung!$B$13&lt;&gt;"",1,0),(N104="x"))*(G104-IFERROR(H104,0))/IFERROR(IF(COUNTIF(J104:U104,"x")=0,COUNTA(Besatzung!$B$11:$B$22),COUNTIF(J104:U104,"x")),1)+IF(COUNTIF(J104:U104,"x")=0,(Besatzung!$F$15="x"),(N104="x")*(Besatzung!$F$15="x"))*IFERROR(H104,0)/IFERROR(IF(COUNTIF(J104:U104,"x")=0,SUMPRODUCT((Besatzung!$B$11:$B$22&lt;&gt;"")*(Besatzung!$F$11:$F$22="x")),SUMPRODUCT((J104:U104="x")*(Besatzung!$F$11:$F$22="x"))),1))))),0))))</f>
        <v/>
      </c>
      <c r="AA104" s="106">
        <f>IF(C104="Gutschrift","",IF(G104="","",IF(Besatzung!$B$15="","",IFERROR(IF(I104="Zeitanteilig",(Besatzung!$G$16*(G104-IFERROR(H104,0))+((Besatzung!$B$15&lt;&gt;"")*IF(B104="",1,(IF(Besatzung!$C$16="",Besatzung!$B$5,Besatzung!$C$16)&lt;=B104)*(IF(Besatzung!$D$16="",Besatzung!$B$6,Besatzung!$D$16)&gt;=B104)))*(Besatzung!$F$16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$15&lt;&gt;"")*IF(B104="",1,(IF(Besatzung!$C$16="",Besatzung!$B$5,Besatzung!$C$16)&lt;=B104)*(IF(Besatzung!$D$16="",Besatzung!$B$6,Besatzung!$D$16)&gt;=B104)))*((G104-IFERROR(H104,0))/IFERROR(SUMPRODUCT((Besatzung!$B$11:$B$22&lt;&gt;"")*(IF(Besatzung!$C$11:$C$22="",Besatzung!$B$5,Besatzung!$C$11:$C$22)&lt;=B104)*(IF(Besatzung!$D$11:$D$22="",Besatzung!$B$6,Besatzung!$D$11:$D$22)&gt;=B104)),1)+(Besatzung!$F$16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O104="x")*((G104-IFERROR(H104,0))/IFERROR(COUNTIF(J104:U104,"x"),1)+(Besatzung!$F$16="x")*IFERROR(H104,0)/IFERROR(SUMPRODUCT((J104:U104="x")*(Besatzung!$F$11:$F$22="x")),1))),(IF(COUNTIF(J104:U104,"x")=0,IF(Besatzung!$B$15&lt;&gt;"",1,0),(O104="x"))*(G104-IFERROR(H104,0))/IFERROR(IF(COUNTIF(J104:U104,"x")=0,COUNTA(Besatzung!$B$11:$B$22),COUNTIF(J104:U104,"x")),1)+IF(COUNTIF(J104:U104,"x")=0,(Besatzung!$F$16="x"),(O104="x")*(Besatzung!$F$16="x"))*IFERROR(H104,0)/IFERROR(IF(COUNTIF(J104:U104,"x")=0,SUMPRODUCT((Besatzung!$B$11:$B$22&lt;&gt;"")*(Besatzung!$F$11:$F$22="x")),SUMPRODUCT((J104:U104="x")*(Besatzung!$F$11:$F$22="x"))),1))))),0))))</f>
        <v/>
      </c>
      <c r="AB104" s="106">
        <f>IF(C104="Gutschrift","",IF(G104="","",IF(Besatzung!$B$17="","",IFERROR(IF(I104="Zeitanteilig",(Besatzung!$G$17*(G104-IFERROR(H104,0))+((Besatzung!$B$17&lt;&gt;"")*IF(B104="",1,(IF(Besatzung!$C$17="",Besatzung!$B$5,Besatzung!$C$17)&lt;=B104)*(IF(Besatzung!$D$17="",Besatzung!$B$6,Besatzung!$D$17)&gt;=B104)))*(Besatzung!$F$17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$17&lt;&gt;"")*IF(B104="",1,(IF(Besatzung!$C$17="",Besatzung!$B$5,Besatzung!$C$17)&lt;=B104)*(IF(Besatzung!$D$17="",Besatzung!$B$6,Besatzung!$D$17)&gt;=B104)))*((G104-IFERROR(H104,0))/IFERROR(SUMPRODUCT((Besatzung!$B$11:$B$22&lt;&gt;"")*(IF(Besatzung!$C$11:$C$22="",Besatzung!$B$5,Besatzung!$C$11:$C$22)&lt;=B104)*(IF(Besatzung!$D$11:$D$22="",Besatzung!$B$6,Besatzung!$D$11:$D$22)&gt;=B104)),1)+(Besatzung!$F$17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P104="x")*((G104-IFERROR(H104,0))/IFERROR(COUNTIF(J104:U104,"x"),1)+(Besatzung!$F$17="x")*IFERROR(H104,0)/IFERROR(SUMPRODUCT((J104:U104="x")*(Besatzung!$F$11:$F$22="x")),1))),(IF(COUNTIF(J104:U104,"x")=0,IF(Besatzung!$B$17&lt;&gt;"",1,0),(P104="x"))*(G104-IFERROR(H104,0))/IFERROR(IF(COUNTIF(J104:U104,"x")=0,COUNTA(Besatzung!$B$11:$B$22),COUNTIF(J104:U104,"x")),1)+IF(COUNTIF(J104:U104,"x")=0,(Besatzung!$F$17="x"),(P104="x")*(Besatzung!$F$17="x"))*IFERROR(H104,0)/IFERROR(IF(COUNTIF(J104:U104,"x")=0,SUMPRODUCT((Besatzung!$B$11:$B$22&lt;&gt;"")*(Besatzung!$F$11:$F$22="x")),SUMPRODUCT((J104:U104="x")*(Besatzung!$F$11:$F$22="x"))),1))))),0))))</f>
        <v/>
      </c>
      <c r="AC104" s="106">
        <f>IF(C104="Gutschrift","",IF(G104="","",IF(Besatzung!$B$18="","",IFERROR(IF(I104="Zeitanteilig",(Besatzung!$G$18*(G104-IFERROR(H104,0))+((Besatzung!$B$18&lt;&gt;"")*IF(B104="",1,(IF(Besatzung!$C$18="",Besatzung!$B$5,Besatzung!$C$18)&lt;=B104)*(IF(Besatzung!$D$18="",Besatzung!$B$6,Besatzung!$D$18)&gt;=B104)))*(Besatzung!$F$18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$18&lt;&gt;"")*IF(B104="",1,(IF(Besatzung!$C$18="",Besatzung!$B$5,Besatzung!$C$18)&lt;=B104)*(IF(Besatzung!$D$18="",Besatzung!$B$6,Besatzung!$D$18)&gt;=B104)))*((G104-IFERROR(H104,0))/IFERROR(SUMPRODUCT((Besatzung!$B$11:$B$22&lt;&gt;"")*(IF(Besatzung!$C$11:$C$22="",Besatzung!$B$5,Besatzung!$C$11:$C$22)&lt;=B104)*(IF(Besatzung!$D$11:$D$22="",Besatzung!$B$6,Besatzung!$D$11:$D$22)&gt;=B104)),1)+(Besatzung!$F$18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Q104="x")*((G104-IFERROR(H104,0))/IFERROR(COUNTIF(J104:U104,"x"),1)+(Besatzung!$F$18="x")*IFERROR(H104,0)/IFERROR(SUMPRODUCT((J104:U104="x")*(Besatzung!$F$11:$F$22="x")),1))),(IF(COUNTIF(J104:U104,"x")=0,IF(Besatzung!$B$18&lt;&gt;"",1,0),(Q104="x"))*(G104-IFERROR(H104,0))/IFERROR(IF(COUNTIF(J104:U104,"x")=0,COUNTA(Besatzung!$B$11:$B$22),COUNTIF(J104:U104,"x")),1)+IF(COUNTIF(J104:U104,"x")=0,(Besatzung!$F$18="x"),(Q104="x")*(Besatzung!$F$18="x"))*IFERROR(H104,0)/IFERROR(IF(COUNTIF(J104:U104,"x")=0,SUMPRODUCT((Besatzung!$B$11:$B$22&lt;&gt;"")*(Besatzung!$F$11:$F$22="x")),SUMPRODUCT((J104:U104="x")*(Besatzung!$F$11:$F$22="x"))),1))))),0))))</f>
        <v/>
      </c>
      <c r="AD104" s="106">
        <f>IF(C104="Gutschrift","",IF(G104="","",IF(Besatzung!$B$19="","",IFERROR(IF(I104="Zeitanteilig",(Besatzung!$G$19*(G104-IFERROR(H104,0))+((Besatzung!$B$19&lt;&gt;"")*IF(B104="",1,(IF(Besatzung!$C$19="",Besatzung!$B$5,Besatzung!$C$19)&lt;=B104)*(IF(Besatzung!$D$19="",Besatzung!$B$6,Besatzung!$D$19)&gt;=B104)))*(Besatzung!$F$19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$19&lt;&gt;"")*IF(B104="",1,(IF(Besatzung!$C$19="",Besatzung!$B$5,Besatzung!$C$19)&lt;=B104)*(IF(Besatzung!$D$19="",Besatzung!$B$6,Besatzung!$D$19)&gt;=B104)))*((G104-IFERROR(H104,0))/IFERROR(SUMPRODUCT((Besatzung!$B$11:$B$22&lt;&gt;"")*(IF(Besatzung!$C$11:$C$22="",Besatzung!$B$5,Besatzung!$C$11:$C$22)&lt;=B104)*(IF(Besatzung!$D$11:$D$22="",Besatzung!$B$6,Besatzung!$D$11:$D$22)&gt;=B104)),1)+(Besatzung!$F$19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R104="x")*((G104-IFERROR(H104,0))/IFERROR(COUNTIF(J104:U104,"x"),1)+(Besatzung!$F$19="x")*IFERROR(H104,0)/IFERROR(SUMPRODUCT((J104:U104="x")*(Besatzung!$F$11:$F$22="x")),1))),(IF(COUNTIF(J104:U104,"x")=0,IF(Besatzung!$B$19&lt;&gt;"",1,0),(R104="x"))*(G104-IFERROR(H104,0))/IFERROR(IF(COUNTIF(J104:U104,"x")=0,COUNTA(Besatzung!$B$11:$B$22),COUNTIF(J104:U104,"x")),1)+IF(COUNTIF(J104:U104,"x")=0,(Besatzung!$F$19="x"),(R104="x")*(Besatzung!$F$19="x"))*IFERROR(H104,0)/IFERROR(IF(COUNTIF(J104:U104,"x")=0,SUMPRODUCT((Besatzung!$B$11:$B$22&lt;&gt;"")*(Besatzung!$F$11:$F$22="x")),SUMPRODUCT((J104:U104="x")*(Besatzung!$F$11:$F$22="x"))),1))))),0))))</f>
        <v/>
      </c>
      <c r="AE104" s="106">
        <f>IF(C104="Gutschrift","",IF(G104="","",IF(Besatzung!$B$20="","",IFERROR(IF(I104="Zeitanteilig",(Besatzung!$G$20*(G104-IFERROR(H104,0))+((Besatzung!$B$20&lt;&gt;"")*IF(B104="",1,(IF(Besatzung!$C$20="",Besatzung!$B$5,Besatzung!$C$20)&lt;=B104)*(IF(Besatzung!$D$20="",Besatzung!$B$6,Besatzung!$D$20)&gt;=B104)))*(Besatzung!$F$20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$20&lt;&gt;"")*IF(B104="",1,(IF(Besatzung!$C$20="",Besatzung!$B$5,Besatzung!$C$20)&lt;=B104)*(IF(Besatzung!$D$20="",Besatzung!$B$6,Besatzung!$D$20)&gt;=B104)))*((G104-IFERROR(H104,0))/IFERROR(SUMPRODUCT((Besatzung!$B$11:$B$22&lt;&gt;"")*(IF(Besatzung!$C$11:$C$22="",Besatzung!$B$5,Besatzung!$C$11:$C$22)&lt;=B104)*(IF(Besatzung!$D$11:$D$22="",Besatzung!$B$6,Besatzung!$D$11:$D$22)&gt;=B104)),1)+(Besatzung!$F$20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S104="x")*((G104-IFERROR(H104,0))/IFERROR(COUNTIF(J104:U104,"x"),1)+(Besatzung!$F$20="x")*IFERROR(H104,0)/IFERROR(SUMPRODUCT((J104:U104="x")*(Besatzung!$F$11:$F$22="x")),1))),(IF(COUNTIF(J104:U104,"x")=0,IF(Besatzung!$B$20&lt;&gt;"",1,0),(S104="x"))*(G104-IFERROR(H104,0))/IFERROR(IF(COUNTIF(J104:U104,"x")=0,COUNTA(Besatzung!$B$11:$B$22),COUNTIF(J104:U104,"x")),1)+IF(COUNTIF(J104:U104,"x")=0,(Besatzung!$F$20="x"),(S104="x")*(Besatzung!$F$20="x"))*IFERROR(H104,0)/IFERROR(IF(COUNTIF(J104:U104,"x")=0,SUMPRODUCT((Besatzung!$B$11:$B$22&lt;&gt;"")*(Besatzung!$F$11:$F$22="x")),SUMPRODUCT((J104:U104="x")*(Besatzung!$F$11:$F$22="x"))),1))))),0))))</f>
        <v/>
      </c>
      <c r="AF104" s="106">
        <f>IF(C104="Gutschrift","",IF(G104="","",IF(Besatzung!$B$21="","",IFERROR(IF(I104="Zeitanteilig",(Besatzung!$G$21*(G104-IFERROR(H104,0))+((Besatzung!$B$21&lt;&gt;"")*IF(B104="",1,(IF(Besatzung!$C$21="",Besatzung!$B$5,Besatzung!$C$21)&lt;=B104)*(IF(Besatzung!$D$21="",Besatzung!$B$6,Besatzung!$D$21)&gt;=B104)))*(Besatzung!$F$21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$21&lt;&gt;"")*IF(B104="",1,(IF(Besatzung!$C$21="",Besatzung!$B$5,Besatzung!$C$21)&lt;=B104)*(IF(Besatzung!$D$21="",Besatzung!$B$6,Besatzung!$D$21)&gt;=B104)))*((G104-IFERROR(H104,0))/IFERROR(SUMPRODUCT((Besatzung!$B$11:$B$22&lt;&gt;"")*(IF(Besatzung!$C$11:$C$22="",Besatzung!$B$5,Besatzung!$C$11:$C$22)&lt;=B104)*(IF(Besatzung!$D$11:$D$22="",Besatzung!$B$6,Besatzung!$D$11:$D$22)&gt;=B104)),1)+(Besatzung!$F$21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T104="x")*((G104-IFERROR(H104,0))/IFERROR(COUNTIF(J104:U104,"x"),1)+(Besatzung!$F$21="x")*IFERROR(H104,0)/IFERROR(SUMPRODUCT((J104:U104="x")*(Besatzung!$F$11:$F$22="x")),1))),(IF(COUNTIF(J104:U104,"x")=0,IF(Besatzung!$B$21&lt;&gt;"",1,0),(T104="x"))*(G104-IFERROR(H104,0))/IFERROR(IF(COUNTIF(J104:U104,"x")=0,COUNTA(Besatzung!$B$11:$B$22),COUNTIF(J104:U104,"x")),1)+IF(COUNTIF(J104:U104,"x")=0,(Besatzung!$F$21="x"),(T104="x")*(Besatzung!$F$21="x"))*IFERROR(H104,0)/IFERROR(IF(COUNTIF(J104:U104,"x")=0,SUMPRODUCT((Besatzung!$B$11:$B$22&lt;&gt;"")*(Besatzung!$F$11:$F$22="x")),SUMPRODUCT((J104:U104="x")*(Besatzung!$F$11:$F$22="x"))),1))))),0))))</f>
        <v/>
      </c>
      <c r="AG104" s="106">
        <f>IF(C104="Gutschrift","",IF(G104="","",IF(Besatzung!$B$22="","",IFERROR(IF(I104="Zeitanteilig",(Besatzung!$G$22*(G104-IFERROR(H104,0))+((Besatzung!$B$22&lt;&gt;"")*IF(B104="",1,(IF(Besatzung!$C$22="",Besatzung!$B$5,Besatzung!$C$22)&lt;=B104)*(IF(Besatzung!$D$22="",Besatzung!$B$6,Besatzung!$D$22)&gt;=B104)))*(Besatzung!$F$22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$22&lt;&gt;"")*IF(B104="",1,(IF(Besatzung!$C$22="",Besatzung!$B$5,Besatzung!$C$22)&lt;=B104)*(IF(Besatzung!$D$22="",Besatzung!$B$6,Besatzung!$D$22)&gt;=B104)))*((G104-IFERROR(H104,0))/IFERROR(SUMPRODUCT((Besatzung!$B$11:$B$22&lt;&gt;"")*(IF(Besatzung!$C$11:$C$22="",Besatzung!$B$5,Besatzung!$C$11:$C$22)&lt;=B104)*(IF(Besatzung!$D$11:$D$22="",Besatzung!$B$6,Besatzung!$D$11:$D$22)&gt;=B104)),1)+(Besatzung!$F$22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U104="x")*((G104-IFERROR(H104,0))/IFERROR(COUNTIF(J104:U104,"x"),1)+(Besatzung!$F$22="x")*IFERROR(H104,0)/IFERROR(SUMPRODUCT((J104:U104="x")*(Besatzung!$F$11:$F$22="x")),1))),(IF(COUNTIF(J104:U104,"x")=0,IF(Besatzung!$B$22&lt;&gt;"",1,0),(U104="x"))*(G104-IFERROR(H104,0))/IFERROR(IF(COUNTIF(J104:U104,"x")=0,COUNTA(Besatzung!$B$11:$B$22),COUNTIF(J104:U104,"x")),1)+IF(COUNTIF(J104:U104,"x")=0,(Besatzung!$F$22="x"),(U104="x")*(Besatzung!$F$22="x"))*IFERROR(H104,0)/IFERROR(IF(COUNTIF(J104:U104,"x")=0,SUMPRODUCT((Besatzung!$B$11:$B$22&lt;&gt;"")*(Besatzung!$F$11:$F$22="x")),SUMPRODUCT((J104:U104="x")*(Besatzung!$F$11:$F$22="x"))),1))))),0))))</f>
        <v/>
      </c>
      <c r="AH104" s="107" t="n"/>
      <c r="AI104" s="107" t="n"/>
    </row>
    <row r="105" ht="21.75" customHeight="1" s="182">
      <c r="A105" s="97">
        <f>IF(AND(D105="",C105=""),"",102)</f>
        <v/>
      </c>
      <c r="B105" s="63" t="n"/>
      <c r="C105" s="108" t="n"/>
      <c r="D105" s="109" t="n"/>
      <c r="E105" s="110" t="n"/>
      <c r="F105" s="111" t="n"/>
      <c r="G105" s="112" t="n"/>
      <c r="H105" s="113" t="n"/>
      <c r="I105" s="114" t="n"/>
      <c r="J105" s="115" t="n"/>
      <c r="K105" s="115" t="n"/>
      <c r="L105" s="115" t="n"/>
      <c r="M105" s="115" t="n"/>
      <c r="N105" s="115" t="n"/>
      <c r="O105" s="115" t="n"/>
      <c r="P105" s="115" t="n"/>
      <c r="Q105" s="115" t="n"/>
      <c r="R105" s="115" t="n"/>
      <c r="S105" s="115" t="n"/>
      <c r="T105" s="115" t="n"/>
      <c r="U105" s="115" t="n"/>
      <c r="V105" s="106">
        <f>IF(C105="Gutschrift","",IF(G105="","",IF(Besatzung!$B$11="","",IFERROR(IF(I105="Zeitanteilig",(Besatzung!$G$11*(G105-IFERROR(H105,0))+((Besatzung!$B$11&lt;&gt;"")*IF(B105="",1,(IF(Besatzung!$C$11="",Besatzung!$B$5,Besatzung!$C$11)&lt;=B105)*(IF(Besatzung!$D$11="",Besatzung!$B$6,Besatzung!$D$11)&gt;=B105)))*(Besatzung!$F$11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$11&lt;&gt;"")*IF(B105="",1,(IF(Besatzung!$C$11="",Besatzung!$B$5,Besatzung!$C$11)&lt;=B105)*(IF(Besatzung!$D$11="",Besatzung!$B$6,Besatzung!$D$11)&gt;=B105)))*((G105-IFERROR(H105,0))/IFERROR(SUMPRODUCT((Besatzung!$B$11:$B$22&lt;&gt;"")*(IF(Besatzung!$C$11:$C$22="",Besatzung!$B$5,Besatzung!$C$11:$C$22)&lt;=B105)*(IF(Besatzung!$D$11:$D$22="",Besatzung!$B$6,Besatzung!$D$11:$D$22)&gt;=B105)),1)+(Besatzung!$F$11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J105="x")*((G105-IFERROR(H105,0))/IFERROR(COUNTIF(J105:U105,"x"),1)+(Besatzung!$F$11="x")*IFERROR(H105,0)/IFERROR(SUMPRODUCT((J105:U105="x")*(Besatzung!$F$11:$F$22="x")),1))),(IF(COUNTIF(J105:U105,"x")=0,IF(Besatzung!$B$11&lt;&gt;"",1,0),(J105="x"))*(G105-IFERROR(H105,0))/IFERROR(IF(COUNTIF(J105:U105,"x")=0,COUNTA(Besatzung!$B$11:$B$22),COUNTIF(J105:U105,"x")),1)+IF(COUNTIF(J105:U105,"x")=0,(Besatzung!$F$11="x"),(J105="x")*(Besatzung!$F$11="x"))*IFERROR(H105,0)/IFERROR(IF(COUNTIF(J105:U105,"x")=0,SUMPRODUCT((Besatzung!$B$11:$B$22&lt;&gt;"")*(Besatzung!$F$11:$F$22="x")),SUMPRODUCT((J105:U105="x")*(Besatzung!$F$11:$F$22="x"))),1))))),0))))</f>
        <v/>
      </c>
      <c r="W105" s="106">
        <f>IF(C105="Gutschrift","",IF(G105="","",IF(Besatzung!$B$12="","",IFERROR(IF(I105="Zeitanteilig",(Besatzung!$G$12*(G105-IFERROR(H105,0))+((Besatzung!$B$12&lt;&gt;"")*IF(B105="",1,(IF(Besatzung!$C$12="",Besatzung!$B$5,Besatzung!$C$12)&lt;=B105)*(IF(Besatzung!$D$12="",Besatzung!$B$6,Besatzung!$D$12)&gt;=B105)))*(Besatzung!$F$12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$12&lt;&gt;"")*IF(B105="",1,(IF(Besatzung!$C$12="",Besatzung!$B$5,Besatzung!$C$12)&lt;=B105)*(IF(Besatzung!$D$12="",Besatzung!$B$6,Besatzung!$D$12)&gt;=B105)))*((G105-IFERROR(H105,0))/IFERROR(SUMPRODUCT((Besatzung!$B$11:$B$22&lt;&gt;"")*(IF(Besatzung!$C$11:$C$22="",Besatzung!$B$5,Besatzung!$C$11:$C$22)&lt;=B105)*(IF(Besatzung!$D$11:$D$22="",Besatzung!$B$6,Besatzung!$D$11:$D$22)&gt;=B105)),1)+(Besatzung!$F$12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K105="x")*((G105-IFERROR(H105,0))/IFERROR(COUNTIF(J105:U105,"x"),1)+(Besatzung!$F$12="x")*IFERROR(H105,0)/IFERROR(SUMPRODUCT((J105:U105="x")*(Besatzung!$F$11:$F$22="x")),1))),(IF(COUNTIF(J105:U105,"x")=0,IF(Besatzung!$B$12&lt;&gt;"",1,0),(K105="x"))*(G105-IFERROR(H105,0))/IFERROR(IF(COUNTIF(J105:U105,"x")=0,COUNTA(Besatzung!$B$11:$B$22),COUNTIF(J105:U105,"x")),1)+IF(COUNTIF(J105:U105,"x")=0,(Besatzung!$F$12="x"),(K105="x")*(Besatzung!$F$12="x"))*IFERROR(H105,0)/IFERROR(IF(COUNTIF(J105:U105,"x")=0,SUMPRODUCT((Besatzung!$B$11:$B$22&lt;&gt;"")*(Besatzung!$F$11:$F$22="x")),SUMPRODUCT((J105:U105="x")*(Besatzung!$F$11:$F$22="x"))),1))))),0))))</f>
        <v/>
      </c>
      <c r="X105" s="106">
        <f>IF(C105="Gutschrift","",IF(G105="","",IF(Besatzung!$B$13="","",IFERROR(IF(I105="Zeitanteilig",(Besatzung!$G$13*(G105-IFERROR(H105,0))+((Besatzung!$B$13&lt;&gt;"")*IF(B105="",1,(IF(Besatzung!$C$13="",Besatzung!$B$5,Besatzung!$C$13)&lt;=B105)*(IF(Besatzung!$D$13="",Besatzung!$B$6,Besatzung!$D$13)&gt;=B105)))*(Besatzung!$F$13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$13&lt;&gt;"")*IF(B105="",1,(IF(Besatzung!$C$13="",Besatzung!$B$5,Besatzung!$C$13)&lt;=B105)*(IF(Besatzung!$D$13="",Besatzung!$B$6,Besatzung!$D$13)&gt;=B105)))*((G105-IFERROR(H105,0))/IFERROR(SUMPRODUCT((Besatzung!$B$11:$B$22&lt;&gt;"")*(IF(Besatzung!$C$11:$C$22="",Besatzung!$B$5,Besatzung!$C$11:$C$22)&lt;=B105)*(IF(Besatzung!$D$11:$D$22="",Besatzung!$B$6,Besatzung!$D$11:$D$22)&gt;=B105)),1)+(Besatzung!$F$13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K105="x")*((G105-IFERROR(H105,0))/IFERROR(COUNTIF(J105:U105,"x"),1)+(Besatzung!$F$13="x")*IFERROR(H105,0)/IFERROR(SUMPRODUCT((J105:U105="x")*(Besatzung!$F$11:$F$22="x")),1))),(IF(COUNTIF(J105:U105,"x")=0,IF(Besatzung!$B$13&lt;&gt;"",1,0),(K105="x"))*(G105-IFERROR(H105,0))/IFERROR(IF(COUNTIF(J105:U105,"x")=0,COUNTA(Besatzung!$B$11:$B$22),COUNTIF(J105:U105,"x")),1)+IF(COUNTIF(J105:U105,"x")=0,(Besatzung!$F$13="x"),(K105="x")*(Besatzung!$F$13="x"))*IFERROR(H105,0)/IFERROR(IF(COUNTIF(J105:U105,"x")=0,SUMPRODUCT((Besatzung!$B$11:$B$22&lt;&gt;"")*(Besatzung!$F$11:$F$22="x")),SUMPRODUCT((J105:U105="x")*(Besatzung!$F$11:$F$22="x"))),1))))),0))))</f>
        <v/>
      </c>
      <c r="Y105" s="106">
        <f>IF(C105="Gutschrift","",IF(G105="","",IF(Besatzung!$B$14="","",IFERROR(IF(I105="Zeitanteilig",(Besatzung!$G$14*(G105-IFERROR(H105,0))+((Besatzung!$B$14&lt;&gt;"")*IF(B105="",1,(IF(Besatzung!$C$14="",Besatzung!$B$5,Besatzung!$C$14)&lt;=B105)*(IF(Besatzung!$D$14="",Besatzung!$B$6,Besatzung!$D$14)&gt;=B105)))*(Besatzung!$F$14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$14&lt;&gt;"")*IF(B105="",1,(IF(Besatzung!$C$14="",Besatzung!$B$5,Besatzung!$C$14)&lt;=B105)*(IF(Besatzung!$D$14="",Besatzung!$B$6,Besatzung!$D$14)&gt;=B105)))*((G105-IFERROR(H105,0))/IFERROR(SUMPRODUCT((Besatzung!$B$11:$B$22&lt;&gt;"")*(IF(Besatzung!$C$11:$C$22="",Besatzung!$B$5,Besatzung!$C$11:$C$22)&lt;=B105)*(IF(Besatzung!$D$11:$D$22="",Besatzung!$B$6,Besatzung!$D$11:$D$22)&gt;=B105)),1)+(Besatzung!$F$14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M105="x")*((G105-IFERROR(H105,0))/IFERROR(COUNTIF(J105:U105,"x"),1)+(Besatzung!$F$14="x")*IFERROR(H105,0)/IFERROR(SUMPRODUCT((J105:U105="x")*(Besatzung!$F$11:$F$22="x")),1))),(IF(COUNTIF(J105:U105,"x")=0,IF(Besatzung!$B$14&lt;&gt;"",1,0),(M105="x"))*(G105-IFERROR(H105,0))/IFERROR(IF(COUNTIF(J105:U105,"x")=0,COUNTA(Besatzung!$B$11:$B$22),COUNTIF(J105:U105,"x")),1)+IF(COUNTIF(J105:U105,"x")=0,(Besatzung!$F$14="x"),(M105="x")*(Besatzung!$F$14="x"))*IFERROR(H105,0)/IFERROR(IF(COUNTIF(J105:U105,"x")=0,SUMPRODUCT((Besatzung!$B$11:$B$22&lt;&gt;"")*(Besatzung!$F$11:$F$22="x")),SUMPRODUCT((J105:U105="x")*(Besatzung!$F$11:$F$22="x"))),1))))),0))))</f>
        <v/>
      </c>
      <c r="Z105" s="106">
        <f>IF(C105="Gutschrift","",IF(G105="","",IF(Besatzung!$B$13="","",IFERROR(IF(I105="Zeitanteilig",(Besatzung!$G$15*(G105-IFERROR(H105,0))+((Besatzung!$B$13&lt;&gt;"")*IF(B105="",1,(IF(Besatzung!$C$15="",Besatzung!$B$5,Besatzung!$C$15)&lt;=B105)*(IF(Besatzung!$D$15="",Besatzung!$B$6,Besatzung!$D$15)&gt;=B105)))*(Besatzung!$F$15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$13&lt;&gt;"")*IF(B105="",1,(IF(Besatzung!$C$15="",Besatzung!$B$5,Besatzung!$C$15)&lt;=B105)*(IF(Besatzung!$D$15="",Besatzung!$B$6,Besatzung!$D$15)&gt;=B105)))*((G105-IFERROR(H105,0))/IFERROR(SUMPRODUCT((Besatzung!$B$11:$B$22&lt;&gt;"")*(IF(Besatzung!$C$11:$C$22="",Besatzung!$B$5,Besatzung!$C$11:$C$22)&lt;=B105)*(IF(Besatzung!$D$11:$D$22="",Besatzung!$B$6,Besatzung!$D$11:$D$22)&gt;=B105)),1)+(Besatzung!$F$15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N105="x")*((G105-IFERROR(H105,0))/IFERROR(COUNTIF(J105:U105,"x"),1)+(Besatzung!$F$15="x")*IFERROR(H105,0)/IFERROR(SUMPRODUCT((J105:U105="x")*(Besatzung!$F$11:$F$22="x")),1))),(IF(COUNTIF(J105:U105,"x")=0,IF(Besatzung!$B$13&lt;&gt;"",1,0),(N105="x"))*(G105-IFERROR(H105,0))/IFERROR(IF(COUNTIF(J105:U105,"x")=0,COUNTA(Besatzung!$B$11:$B$22),COUNTIF(J105:U105,"x")),1)+IF(COUNTIF(J105:U105,"x")=0,(Besatzung!$F$15="x"),(N105="x")*(Besatzung!$F$15="x"))*IFERROR(H105,0)/IFERROR(IF(COUNTIF(J105:U105,"x")=0,SUMPRODUCT((Besatzung!$B$11:$B$22&lt;&gt;"")*(Besatzung!$F$11:$F$22="x")),SUMPRODUCT((J105:U105="x")*(Besatzung!$F$11:$F$22="x"))),1))))),0))))</f>
        <v/>
      </c>
      <c r="AA105" s="106">
        <f>IF(C105="Gutschrift","",IF(G105="","",IF(Besatzung!$B$15="","",IFERROR(IF(I105="Zeitanteilig",(Besatzung!$G$16*(G105-IFERROR(H105,0))+((Besatzung!$B$15&lt;&gt;"")*IF(B105="",1,(IF(Besatzung!$C$16="",Besatzung!$B$5,Besatzung!$C$16)&lt;=B105)*(IF(Besatzung!$D$16="",Besatzung!$B$6,Besatzung!$D$16)&gt;=B105)))*(Besatzung!$F$16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$15&lt;&gt;"")*IF(B105="",1,(IF(Besatzung!$C$16="",Besatzung!$B$5,Besatzung!$C$16)&lt;=B105)*(IF(Besatzung!$D$16="",Besatzung!$B$6,Besatzung!$D$16)&gt;=B105)))*((G105-IFERROR(H105,0))/IFERROR(SUMPRODUCT((Besatzung!$B$11:$B$22&lt;&gt;"")*(IF(Besatzung!$C$11:$C$22="",Besatzung!$B$5,Besatzung!$C$11:$C$22)&lt;=B105)*(IF(Besatzung!$D$11:$D$22="",Besatzung!$B$6,Besatzung!$D$11:$D$22)&gt;=B105)),1)+(Besatzung!$F$16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O105="x")*((G105-IFERROR(H105,0))/IFERROR(COUNTIF(J105:U105,"x"),1)+(Besatzung!$F$16="x")*IFERROR(H105,0)/IFERROR(SUMPRODUCT((J105:U105="x")*(Besatzung!$F$11:$F$22="x")),1))),(IF(COUNTIF(J105:U105,"x")=0,IF(Besatzung!$B$15&lt;&gt;"",1,0),(O105="x"))*(G105-IFERROR(H105,0))/IFERROR(IF(COUNTIF(J105:U105,"x")=0,COUNTA(Besatzung!$B$11:$B$22),COUNTIF(J105:U105,"x")),1)+IF(COUNTIF(J105:U105,"x")=0,(Besatzung!$F$16="x"),(O105="x")*(Besatzung!$F$16="x"))*IFERROR(H105,0)/IFERROR(IF(COUNTIF(J105:U105,"x")=0,SUMPRODUCT((Besatzung!$B$11:$B$22&lt;&gt;"")*(Besatzung!$F$11:$F$22="x")),SUMPRODUCT((J105:U105="x")*(Besatzung!$F$11:$F$22="x"))),1))))),0))))</f>
        <v/>
      </c>
      <c r="AB105" s="106">
        <f>IF(C105="Gutschrift","",IF(G105="","",IF(Besatzung!$B$17="","",IFERROR(IF(I105="Zeitanteilig",(Besatzung!$G$17*(G105-IFERROR(H105,0))+((Besatzung!$B$17&lt;&gt;"")*IF(B105="",1,(IF(Besatzung!$C$17="",Besatzung!$B$5,Besatzung!$C$17)&lt;=B105)*(IF(Besatzung!$D$17="",Besatzung!$B$6,Besatzung!$D$17)&gt;=B105)))*(Besatzung!$F$17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$17&lt;&gt;"")*IF(B105="",1,(IF(Besatzung!$C$17="",Besatzung!$B$5,Besatzung!$C$17)&lt;=B105)*(IF(Besatzung!$D$17="",Besatzung!$B$6,Besatzung!$D$17)&gt;=B105)))*((G105-IFERROR(H105,0))/IFERROR(SUMPRODUCT((Besatzung!$B$11:$B$22&lt;&gt;"")*(IF(Besatzung!$C$11:$C$22="",Besatzung!$B$5,Besatzung!$C$11:$C$22)&lt;=B105)*(IF(Besatzung!$D$11:$D$22="",Besatzung!$B$6,Besatzung!$D$11:$D$22)&gt;=B105)),1)+(Besatzung!$F$17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P105="x")*((G105-IFERROR(H105,0))/IFERROR(COUNTIF(J105:U105,"x"),1)+(Besatzung!$F$17="x")*IFERROR(H105,0)/IFERROR(SUMPRODUCT((J105:U105="x")*(Besatzung!$F$11:$F$22="x")),1))),(IF(COUNTIF(J105:U105,"x")=0,IF(Besatzung!$B$17&lt;&gt;"",1,0),(P105="x"))*(G105-IFERROR(H105,0))/IFERROR(IF(COUNTIF(J105:U105,"x")=0,COUNTA(Besatzung!$B$11:$B$22),COUNTIF(J105:U105,"x")),1)+IF(COUNTIF(J105:U105,"x")=0,(Besatzung!$F$17="x"),(P105="x")*(Besatzung!$F$17="x"))*IFERROR(H105,0)/IFERROR(IF(COUNTIF(J105:U105,"x")=0,SUMPRODUCT((Besatzung!$B$11:$B$22&lt;&gt;"")*(Besatzung!$F$11:$F$22="x")),SUMPRODUCT((J105:U105="x")*(Besatzung!$F$11:$F$22="x"))),1))))),0))))</f>
        <v/>
      </c>
      <c r="AC105" s="106">
        <f>IF(C105="Gutschrift","",IF(G105="","",IF(Besatzung!$B$18="","",IFERROR(IF(I105="Zeitanteilig",(Besatzung!$G$18*(G105-IFERROR(H105,0))+((Besatzung!$B$18&lt;&gt;"")*IF(B105="",1,(IF(Besatzung!$C$18="",Besatzung!$B$5,Besatzung!$C$18)&lt;=B105)*(IF(Besatzung!$D$18="",Besatzung!$B$6,Besatzung!$D$18)&gt;=B105)))*(Besatzung!$F$18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$18&lt;&gt;"")*IF(B105="",1,(IF(Besatzung!$C$18="",Besatzung!$B$5,Besatzung!$C$18)&lt;=B105)*(IF(Besatzung!$D$18="",Besatzung!$B$6,Besatzung!$D$18)&gt;=B105)))*((G105-IFERROR(H105,0))/IFERROR(SUMPRODUCT((Besatzung!$B$11:$B$22&lt;&gt;"")*(IF(Besatzung!$C$11:$C$22="",Besatzung!$B$5,Besatzung!$C$11:$C$22)&lt;=B105)*(IF(Besatzung!$D$11:$D$22="",Besatzung!$B$6,Besatzung!$D$11:$D$22)&gt;=B105)),1)+(Besatzung!$F$18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Q105="x")*((G105-IFERROR(H105,0))/IFERROR(COUNTIF(J105:U105,"x"),1)+(Besatzung!$F$18="x")*IFERROR(H105,0)/IFERROR(SUMPRODUCT((J105:U105="x")*(Besatzung!$F$11:$F$22="x")),1))),(IF(COUNTIF(J105:U105,"x")=0,IF(Besatzung!$B$18&lt;&gt;"",1,0),(Q105="x"))*(G105-IFERROR(H105,0))/IFERROR(IF(COUNTIF(J105:U105,"x")=0,COUNTA(Besatzung!$B$11:$B$22),COUNTIF(J105:U105,"x")),1)+IF(COUNTIF(J105:U105,"x")=0,(Besatzung!$F$18="x"),(Q105="x")*(Besatzung!$F$18="x"))*IFERROR(H105,0)/IFERROR(IF(COUNTIF(J105:U105,"x")=0,SUMPRODUCT((Besatzung!$B$11:$B$22&lt;&gt;"")*(Besatzung!$F$11:$F$22="x")),SUMPRODUCT((J105:U105="x")*(Besatzung!$F$11:$F$22="x"))),1))))),0))))</f>
        <v/>
      </c>
      <c r="AD105" s="106">
        <f>IF(C105="Gutschrift","",IF(G105="","",IF(Besatzung!$B$19="","",IFERROR(IF(I105="Zeitanteilig",(Besatzung!$G$19*(G105-IFERROR(H105,0))+((Besatzung!$B$19&lt;&gt;"")*IF(B105="",1,(IF(Besatzung!$C$19="",Besatzung!$B$5,Besatzung!$C$19)&lt;=B105)*(IF(Besatzung!$D$19="",Besatzung!$B$6,Besatzung!$D$19)&gt;=B105)))*(Besatzung!$F$19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$19&lt;&gt;"")*IF(B105="",1,(IF(Besatzung!$C$19="",Besatzung!$B$5,Besatzung!$C$19)&lt;=B105)*(IF(Besatzung!$D$19="",Besatzung!$B$6,Besatzung!$D$19)&gt;=B105)))*((G105-IFERROR(H105,0))/IFERROR(SUMPRODUCT((Besatzung!$B$11:$B$22&lt;&gt;"")*(IF(Besatzung!$C$11:$C$22="",Besatzung!$B$5,Besatzung!$C$11:$C$22)&lt;=B105)*(IF(Besatzung!$D$11:$D$22="",Besatzung!$B$6,Besatzung!$D$11:$D$22)&gt;=B105)),1)+(Besatzung!$F$19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R105="x")*((G105-IFERROR(H105,0))/IFERROR(COUNTIF(J105:U105,"x"),1)+(Besatzung!$F$19="x")*IFERROR(H105,0)/IFERROR(SUMPRODUCT((J105:U105="x")*(Besatzung!$F$11:$F$22="x")),1))),(IF(COUNTIF(J105:U105,"x")=0,IF(Besatzung!$B$19&lt;&gt;"",1,0),(R105="x"))*(G105-IFERROR(H105,0))/IFERROR(IF(COUNTIF(J105:U105,"x")=0,COUNTA(Besatzung!$B$11:$B$22),COUNTIF(J105:U105,"x")),1)+IF(COUNTIF(J105:U105,"x")=0,(Besatzung!$F$19="x"),(R105="x")*(Besatzung!$F$19="x"))*IFERROR(H105,0)/IFERROR(IF(COUNTIF(J105:U105,"x")=0,SUMPRODUCT((Besatzung!$B$11:$B$22&lt;&gt;"")*(Besatzung!$F$11:$F$22="x")),SUMPRODUCT((J105:U105="x")*(Besatzung!$F$11:$F$22="x"))),1))))),0))))</f>
        <v/>
      </c>
      <c r="AE105" s="106">
        <f>IF(C105="Gutschrift","",IF(G105="","",IF(Besatzung!$B$20="","",IFERROR(IF(I105="Zeitanteilig",(Besatzung!$G$20*(G105-IFERROR(H105,0))+((Besatzung!$B$20&lt;&gt;"")*IF(B105="",1,(IF(Besatzung!$C$20="",Besatzung!$B$5,Besatzung!$C$20)&lt;=B105)*(IF(Besatzung!$D$20="",Besatzung!$B$6,Besatzung!$D$20)&gt;=B105)))*(Besatzung!$F$20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$20&lt;&gt;"")*IF(B105="",1,(IF(Besatzung!$C$20="",Besatzung!$B$5,Besatzung!$C$20)&lt;=B105)*(IF(Besatzung!$D$20="",Besatzung!$B$6,Besatzung!$D$20)&gt;=B105)))*((G105-IFERROR(H105,0))/IFERROR(SUMPRODUCT((Besatzung!$B$11:$B$22&lt;&gt;"")*(IF(Besatzung!$C$11:$C$22="",Besatzung!$B$5,Besatzung!$C$11:$C$22)&lt;=B105)*(IF(Besatzung!$D$11:$D$22="",Besatzung!$B$6,Besatzung!$D$11:$D$22)&gt;=B105)),1)+(Besatzung!$F$20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S105="x")*((G105-IFERROR(H105,0))/IFERROR(COUNTIF(J105:U105,"x"),1)+(Besatzung!$F$20="x")*IFERROR(H105,0)/IFERROR(SUMPRODUCT((J105:U105="x")*(Besatzung!$F$11:$F$22="x")),1))),(IF(COUNTIF(J105:U105,"x")=0,IF(Besatzung!$B$20&lt;&gt;"",1,0),(S105="x"))*(G105-IFERROR(H105,0))/IFERROR(IF(COUNTIF(J105:U105,"x")=0,COUNTA(Besatzung!$B$11:$B$22),COUNTIF(J105:U105,"x")),1)+IF(COUNTIF(J105:U105,"x")=0,(Besatzung!$F$20="x"),(S105="x")*(Besatzung!$F$20="x"))*IFERROR(H105,0)/IFERROR(IF(COUNTIF(J105:U105,"x")=0,SUMPRODUCT((Besatzung!$B$11:$B$22&lt;&gt;"")*(Besatzung!$F$11:$F$22="x")),SUMPRODUCT((J105:U105="x")*(Besatzung!$F$11:$F$22="x"))),1))))),0))))</f>
        <v/>
      </c>
      <c r="AF105" s="106">
        <f>IF(C105="Gutschrift","",IF(G105="","",IF(Besatzung!$B$21="","",IFERROR(IF(I105="Zeitanteilig",(Besatzung!$G$21*(G105-IFERROR(H105,0))+((Besatzung!$B$21&lt;&gt;"")*IF(B105="",1,(IF(Besatzung!$C$21="",Besatzung!$B$5,Besatzung!$C$21)&lt;=B105)*(IF(Besatzung!$D$21="",Besatzung!$B$6,Besatzung!$D$21)&gt;=B105)))*(Besatzung!$F$21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$21&lt;&gt;"")*IF(B105="",1,(IF(Besatzung!$C$21="",Besatzung!$B$5,Besatzung!$C$21)&lt;=B105)*(IF(Besatzung!$D$21="",Besatzung!$B$6,Besatzung!$D$21)&gt;=B105)))*((G105-IFERROR(H105,0))/IFERROR(SUMPRODUCT((Besatzung!$B$11:$B$22&lt;&gt;"")*(IF(Besatzung!$C$11:$C$22="",Besatzung!$B$5,Besatzung!$C$11:$C$22)&lt;=B105)*(IF(Besatzung!$D$11:$D$22="",Besatzung!$B$6,Besatzung!$D$11:$D$22)&gt;=B105)),1)+(Besatzung!$F$21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T105="x")*((G105-IFERROR(H105,0))/IFERROR(COUNTIF(J105:U105,"x"),1)+(Besatzung!$F$21="x")*IFERROR(H105,0)/IFERROR(SUMPRODUCT((J105:U105="x")*(Besatzung!$F$11:$F$22="x")),1))),(IF(COUNTIF(J105:U105,"x")=0,IF(Besatzung!$B$21&lt;&gt;"",1,0),(T105="x"))*(G105-IFERROR(H105,0))/IFERROR(IF(COUNTIF(J105:U105,"x")=0,COUNTA(Besatzung!$B$11:$B$22),COUNTIF(J105:U105,"x")),1)+IF(COUNTIF(J105:U105,"x")=0,(Besatzung!$F$21="x"),(T105="x")*(Besatzung!$F$21="x"))*IFERROR(H105,0)/IFERROR(IF(COUNTIF(J105:U105,"x")=0,SUMPRODUCT((Besatzung!$B$11:$B$22&lt;&gt;"")*(Besatzung!$F$11:$F$22="x")),SUMPRODUCT((J105:U105="x")*(Besatzung!$F$11:$F$22="x"))),1))))),0))))</f>
        <v/>
      </c>
      <c r="AG105" s="106">
        <f>IF(C105="Gutschrift","",IF(G105="","",IF(Besatzung!$B$22="","",IFERROR(IF(I105="Zeitanteilig",(Besatzung!$G$22*(G105-IFERROR(H105,0))+((Besatzung!$B$22&lt;&gt;"")*IF(B105="",1,(IF(Besatzung!$C$22="",Besatzung!$B$5,Besatzung!$C$22)&lt;=B105)*(IF(Besatzung!$D$22="",Besatzung!$B$6,Besatzung!$D$22)&gt;=B105)))*(Besatzung!$F$22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$22&lt;&gt;"")*IF(B105="",1,(IF(Besatzung!$C$22="",Besatzung!$B$5,Besatzung!$C$22)&lt;=B105)*(IF(Besatzung!$D$22="",Besatzung!$B$6,Besatzung!$D$22)&gt;=B105)))*((G105-IFERROR(H105,0))/IFERROR(SUMPRODUCT((Besatzung!$B$11:$B$22&lt;&gt;"")*(IF(Besatzung!$C$11:$C$22="",Besatzung!$B$5,Besatzung!$C$11:$C$22)&lt;=B105)*(IF(Besatzung!$D$11:$D$22="",Besatzung!$B$6,Besatzung!$D$11:$D$22)&gt;=B105)),1)+(Besatzung!$F$22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U105="x")*((G105-IFERROR(H105,0))/IFERROR(COUNTIF(J105:U105,"x"),1)+(Besatzung!$F$22="x")*IFERROR(H105,0)/IFERROR(SUMPRODUCT((J105:U105="x")*(Besatzung!$F$11:$F$22="x")),1))),(IF(COUNTIF(J105:U105,"x")=0,IF(Besatzung!$B$22&lt;&gt;"",1,0),(U105="x"))*(G105-IFERROR(H105,0))/IFERROR(IF(COUNTIF(J105:U105,"x")=0,COUNTA(Besatzung!$B$11:$B$22),COUNTIF(J105:U105,"x")),1)+IF(COUNTIF(J105:U105,"x")=0,(Besatzung!$F$22="x"),(U105="x")*(Besatzung!$F$22="x"))*IFERROR(H105,0)/IFERROR(IF(COUNTIF(J105:U105,"x")=0,SUMPRODUCT((Besatzung!$B$11:$B$22&lt;&gt;"")*(Besatzung!$F$11:$F$22="x")),SUMPRODUCT((J105:U105="x")*(Besatzung!$F$11:$F$22="x"))),1))))),0))))</f>
        <v/>
      </c>
      <c r="AH105" s="107" t="n"/>
      <c r="AI105" s="107" t="n"/>
    </row>
    <row r="106" ht="21.75" customHeight="1" s="182">
      <c r="A106" s="97">
        <f>IF(AND(D106="",C106=""),"",103)</f>
        <v/>
      </c>
      <c r="B106" s="56" t="n"/>
      <c r="C106" s="98" t="n"/>
      <c r="D106" s="99" t="n"/>
      <c r="E106" s="100" t="n"/>
      <c r="F106" s="101" t="n"/>
      <c r="G106" s="102" t="n"/>
      <c r="H106" s="103" t="n"/>
      <c r="I106" s="104" t="n"/>
      <c r="J106" s="105" t="n"/>
      <c r="K106" s="105" t="n"/>
      <c r="L106" s="105" t="n"/>
      <c r="M106" s="105" t="n"/>
      <c r="N106" s="105" t="n"/>
      <c r="O106" s="105" t="n"/>
      <c r="P106" s="105" t="n"/>
      <c r="Q106" s="105" t="n"/>
      <c r="R106" s="105" t="n"/>
      <c r="S106" s="105" t="n"/>
      <c r="T106" s="105" t="n"/>
      <c r="U106" s="105" t="n"/>
      <c r="V106" s="106">
        <f>IF(C106="Gutschrift","",IF(G106="","",IF(Besatzung!$B$11="","",IFERROR(IF(I106="Zeitanteilig",(Besatzung!$G$11*(G106-IFERROR(H106,0))+((Besatzung!$B$11&lt;&gt;"")*IF(B106="",1,(IF(Besatzung!$C$11="",Besatzung!$B$5,Besatzung!$C$11)&lt;=B106)*(IF(Besatzung!$D$11="",Besatzung!$B$6,Besatzung!$D$11)&gt;=B106)))*(Besatzung!$F$11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$11&lt;&gt;"")*IF(B106="",1,(IF(Besatzung!$C$11="",Besatzung!$B$5,Besatzung!$C$11)&lt;=B106)*(IF(Besatzung!$D$11="",Besatzung!$B$6,Besatzung!$D$11)&gt;=B106)))*((G106-IFERROR(H106,0))/IFERROR(SUMPRODUCT((Besatzung!$B$11:$B$22&lt;&gt;"")*(IF(Besatzung!$C$11:$C$22="",Besatzung!$B$5,Besatzung!$C$11:$C$22)&lt;=B106)*(IF(Besatzung!$D$11:$D$22="",Besatzung!$B$6,Besatzung!$D$11:$D$22)&gt;=B106)),1)+(Besatzung!$F$11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J106="x")*((G106-IFERROR(H106,0))/IFERROR(COUNTIF(J106:U106,"x"),1)+(Besatzung!$F$11="x")*IFERROR(H106,0)/IFERROR(SUMPRODUCT((J106:U106="x")*(Besatzung!$F$11:$F$22="x")),1))),(IF(COUNTIF(J106:U106,"x")=0,IF(Besatzung!$B$11&lt;&gt;"",1,0),(J106="x"))*(G106-IFERROR(H106,0))/IFERROR(IF(COUNTIF(J106:U106,"x")=0,COUNTA(Besatzung!$B$11:$B$22),COUNTIF(J106:U106,"x")),1)+IF(COUNTIF(J106:U106,"x")=0,(Besatzung!$F$11="x"),(J106="x")*(Besatzung!$F$11="x"))*IFERROR(H106,0)/IFERROR(IF(COUNTIF(J106:U106,"x")=0,SUMPRODUCT((Besatzung!$B$11:$B$22&lt;&gt;"")*(Besatzung!$F$11:$F$22="x")),SUMPRODUCT((J106:U106="x")*(Besatzung!$F$11:$F$22="x"))),1))))),0))))</f>
        <v/>
      </c>
      <c r="W106" s="106">
        <f>IF(C106="Gutschrift","",IF(G106="","",IF(Besatzung!$B$12="","",IFERROR(IF(I106="Zeitanteilig",(Besatzung!$G$12*(G106-IFERROR(H106,0))+((Besatzung!$B$12&lt;&gt;"")*IF(B106="",1,(IF(Besatzung!$C$12="",Besatzung!$B$5,Besatzung!$C$12)&lt;=B106)*(IF(Besatzung!$D$12="",Besatzung!$B$6,Besatzung!$D$12)&gt;=B106)))*(Besatzung!$F$12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$12&lt;&gt;"")*IF(B106="",1,(IF(Besatzung!$C$12="",Besatzung!$B$5,Besatzung!$C$12)&lt;=B106)*(IF(Besatzung!$D$12="",Besatzung!$B$6,Besatzung!$D$12)&gt;=B106)))*((G106-IFERROR(H106,0))/IFERROR(SUMPRODUCT((Besatzung!$B$11:$B$22&lt;&gt;"")*(IF(Besatzung!$C$11:$C$22="",Besatzung!$B$5,Besatzung!$C$11:$C$22)&lt;=B106)*(IF(Besatzung!$D$11:$D$22="",Besatzung!$B$6,Besatzung!$D$11:$D$22)&gt;=B106)),1)+(Besatzung!$F$12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K106="x")*((G106-IFERROR(H106,0))/IFERROR(COUNTIF(J106:U106,"x"),1)+(Besatzung!$F$12="x")*IFERROR(H106,0)/IFERROR(SUMPRODUCT((J106:U106="x")*(Besatzung!$F$11:$F$22="x")),1))),(IF(COUNTIF(J106:U106,"x")=0,IF(Besatzung!$B$12&lt;&gt;"",1,0),(K106="x"))*(G106-IFERROR(H106,0))/IFERROR(IF(COUNTIF(J106:U106,"x")=0,COUNTA(Besatzung!$B$11:$B$22),COUNTIF(J106:U106,"x")),1)+IF(COUNTIF(J106:U106,"x")=0,(Besatzung!$F$12="x"),(K106="x")*(Besatzung!$F$12="x"))*IFERROR(H106,0)/IFERROR(IF(COUNTIF(J106:U106,"x")=0,SUMPRODUCT((Besatzung!$B$11:$B$22&lt;&gt;"")*(Besatzung!$F$11:$F$22="x")),SUMPRODUCT((J106:U106="x")*(Besatzung!$F$11:$F$22="x"))),1))))),0))))</f>
        <v/>
      </c>
      <c r="X106" s="106">
        <f>IF(C106="Gutschrift","",IF(G106="","",IF(Besatzung!$B$13="","",IFERROR(IF(I106="Zeitanteilig",(Besatzung!$G$13*(G106-IFERROR(H106,0))+((Besatzung!$B$13&lt;&gt;"")*IF(B106="",1,(IF(Besatzung!$C$13="",Besatzung!$B$5,Besatzung!$C$13)&lt;=B106)*(IF(Besatzung!$D$13="",Besatzung!$B$6,Besatzung!$D$13)&gt;=B106)))*(Besatzung!$F$13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$13&lt;&gt;"")*IF(B106="",1,(IF(Besatzung!$C$13="",Besatzung!$B$5,Besatzung!$C$13)&lt;=B106)*(IF(Besatzung!$D$13="",Besatzung!$B$6,Besatzung!$D$13)&gt;=B106)))*((G106-IFERROR(H106,0))/IFERROR(SUMPRODUCT((Besatzung!$B$11:$B$22&lt;&gt;"")*(IF(Besatzung!$C$11:$C$22="",Besatzung!$B$5,Besatzung!$C$11:$C$22)&lt;=B106)*(IF(Besatzung!$D$11:$D$22="",Besatzung!$B$6,Besatzung!$D$11:$D$22)&gt;=B106)),1)+(Besatzung!$F$13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K106="x")*((G106-IFERROR(H106,0))/IFERROR(COUNTIF(J106:U106,"x"),1)+(Besatzung!$F$13="x")*IFERROR(H106,0)/IFERROR(SUMPRODUCT((J106:U106="x")*(Besatzung!$F$11:$F$22="x")),1))),(IF(COUNTIF(J106:U106,"x")=0,IF(Besatzung!$B$13&lt;&gt;"",1,0),(K106="x"))*(G106-IFERROR(H106,0))/IFERROR(IF(COUNTIF(J106:U106,"x")=0,COUNTA(Besatzung!$B$11:$B$22),COUNTIF(J106:U106,"x")),1)+IF(COUNTIF(J106:U106,"x")=0,(Besatzung!$F$13="x"),(K106="x")*(Besatzung!$F$13="x"))*IFERROR(H106,0)/IFERROR(IF(COUNTIF(J106:U106,"x")=0,SUMPRODUCT((Besatzung!$B$11:$B$22&lt;&gt;"")*(Besatzung!$F$11:$F$22="x")),SUMPRODUCT((J106:U106="x")*(Besatzung!$F$11:$F$22="x"))),1))))),0))))</f>
        <v/>
      </c>
      <c r="Y106" s="106">
        <f>IF(C106="Gutschrift","",IF(G106="","",IF(Besatzung!$B$14="","",IFERROR(IF(I106="Zeitanteilig",(Besatzung!$G$14*(G106-IFERROR(H106,0))+((Besatzung!$B$14&lt;&gt;"")*IF(B106="",1,(IF(Besatzung!$C$14="",Besatzung!$B$5,Besatzung!$C$14)&lt;=B106)*(IF(Besatzung!$D$14="",Besatzung!$B$6,Besatzung!$D$14)&gt;=B106)))*(Besatzung!$F$14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$14&lt;&gt;"")*IF(B106="",1,(IF(Besatzung!$C$14="",Besatzung!$B$5,Besatzung!$C$14)&lt;=B106)*(IF(Besatzung!$D$14="",Besatzung!$B$6,Besatzung!$D$14)&gt;=B106)))*((G106-IFERROR(H106,0))/IFERROR(SUMPRODUCT((Besatzung!$B$11:$B$22&lt;&gt;"")*(IF(Besatzung!$C$11:$C$22="",Besatzung!$B$5,Besatzung!$C$11:$C$22)&lt;=B106)*(IF(Besatzung!$D$11:$D$22="",Besatzung!$B$6,Besatzung!$D$11:$D$22)&gt;=B106)),1)+(Besatzung!$F$14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M106="x")*((G106-IFERROR(H106,0))/IFERROR(COUNTIF(J106:U106,"x"),1)+(Besatzung!$F$14="x")*IFERROR(H106,0)/IFERROR(SUMPRODUCT((J106:U106="x")*(Besatzung!$F$11:$F$22="x")),1))),(IF(COUNTIF(J106:U106,"x")=0,IF(Besatzung!$B$14&lt;&gt;"",1,0),(M106="x"))*(G106-IFERROR(H106,0))/IFERROR(IF(COUNTIF(J106:U106,"x")=0,COUNTA(Besatzung!$B$11:$B$22),COUNTIF(J106:U106,"x")),1)+IF(COUNTIF(J106:U106,"x")=0,(Besatzung!$F$14="x"),(M106="x")*(Besatzung!$F$14="x"))*IFERROR(H106,0)/IFERROR(IF(COUNTIF(J106:U106,"x")=0,SUMPRODUCT((Besatzung!$B$11:$B$22&lt;&gt;"")*(Besatzung!$F$11:$F$22="x")),SUMPRODUCT((J106:U106="x")*(Besatzung!$F$11:$F$22="x"))),1))))),0))))</f>
        <v/>
      </c>
      <c r="Z106" s="106">
        <f>IF(C106="Gutschrift","",IF(G106="","",IF(Besatzung!$B$13="","",IFERROR(IF(I106="Zeitanteilig",(Besatzung!$G$15*(G106-IFERROR(H106,0))+((Besatzung!$B$13&lt;&gt;"")*IF(B106="",1,(IF(Besatzung!$C$15="",Besatzung!$B$5,Besatzung!$C$15)&lt;=B106)*(IF(Besatzung!$D$15="",Besatzung!$B$6,Besatzung!$D$15)&gt;=B106)))*(Besatzung!$F$15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$13&lt;&gt;"")*IF(B106="",1,(IF(Besatzung!$C$15="",Besatzung!$B$5,Besatzung!$C$15)&lt;=B106)*(IF(Besatzung!$D$15="",Besatzung!$B$6,Besatzung!$D$15)&gt;=B106)))*((G106-IFERROR(H106,0))/IFERROR(SUMPRODUCT((Besatzung!$B$11:$B$22&lt;&gt;"")*(IF(Besatzung!$C$11:$C$22="",Besatzung!$B$5,Besatzung!$C$11:$C$22)&lt;=B106)*(IF(Besatzung!$D$11:$D$22="",Besatzung!$B$6,Besatzung!$D$11:$D$22)&gt;=B106)),1)+(Besatzung!$F$15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N106="x")*((G106-IFERROR(H106,0))/IFERROR(COUNTIF(J106:U106,"x"),1)+(Besatzung!$F$15="x")*IFERROR(H106,0)/IFERROR(SUMPRODUCT((J106:U106="x")*(Besatzung!$F$11:$F$22="x")),1))),(IF(COUNTIF(J106:U106,"x")=0,IF(Besatzung!$B$13&lt;&gt;"",1,0),(N106="x"))*(G106-IFERROR(H106,0))/IFERROR(IF(COUNTIF(J106:U106,"x")=0,COUNTA(Besatzung!$B$11:$B$22),COUNTIF(J106:U106,"x")),1)+IF(COUNTIF(J106:U106,"x")=0,(Besatzung!$F$15="x"),(N106="x")*(Besatzung!$F$15="x"))*IFERROR(H106,0)/IFERROR(IF(COUNTIF(J106:U106,"x")=0,SUMPRODUCT((Besatzung!$B$11:$B$22&lt;&gt;"")*(Besatzung!$F$11:$F$22="x")),SUMPRODUCT((J106:U106="x")*(Besatzung!$F$11:$F$22="x"))),1))))),0))))</f>
        <v/>
      </c>
      <c r="AA106" s="106">
        <f>IF(C106="Gutschrift","",IF(G106="","",IF(Besatzung!$B$15="","",IFERROR(IF(I106="Zeitanteilig",(Besatzung!$G$16*(G106-IFERROR(H106,0))+((Besatzung!$B$15&lt;&gt;"")*IF(B106="",1,(IF(Besatzung!$C$16="",Besatzung!$B$5,Besatzung!$C$16)&lt;=B106)*(IF(Besatzung!$D$16="",Besatzung!$B$6,Besatzung!$D$16)&gt;=B106)))*(Besatzung!$F$16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$15&lt;&gt;"")*IF(B106="",1,(IF(Besatzung!$C$16="",Besatzung!$B$5,Besatzung!$C$16)&lt;=B106)*(IF(Besatzung!$D$16="",Besatzung!$B$6,Besatzung!$D$16)&gt;=B106)))*((G106-IFERROR(H106,0))/IFERROR(SUMPRODUCT((Besatzung!$B$11:$B$22&lt;&gt;"")*(IF(Besatzung!$C$11:$C$22="",Besatzung!$B$5,Besatzung!$C$11:$C$22)&lt;=B106)*(IF(Besatzung!$D$11:$D$22="",Besatzung!$B$6,Besatzung!$D$11:$D$22)&gt;=B106)),1)+(Besatzung!$F$16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O106="x")*((G106-IFERROR(H106,0))/IFERROR(COUNTIF(J106:U106,"x"),1)+(Besatzung!$F$16="x")*IFERROR(H106,0)/IFERROR(SUMPRODUCT((J106:U106="x")*(Besatzung!$F$11:$F$22="x")),1))),(IF(COUNTIF(J106:U106,"x")=0,IF(Besatzung!$B$15&lt;&gt;"",1,0),(O106="x"))*(G106-IFERROR(H106,0))/IFERROR(IF(COUNTIF(J106:U106,"x")=0,COUNTA(Besatzung!$B$11:$B$22),COUNTIF(J106:U106,"x")),1)+IF(COUNTIF(J106:U106,"x")=0,(Besatzung!$F$16="x"),(O106="x")*(Besatzung!$F$16="x"))*IFERROR(H106,0)/IFERROR(IF(COUNTIF(J106:U106,"x")=0,SUMPRODUCT((Besatzung!$B$11:$B$22&lt;&gt;"")*(Besatzung!$F$11:$F$22="x")),SUMPRODUCT((J106:U106="x")*(Besatzung!$F$11:$F$22="x"))),1))))),0))))</f>
        <v/>
      </c>
      <c r="AB106" s="106">
        <f>IF(C106="Gutschrift","",IF(G106="","",IF(Besatzung!$B$17="","",IFERROR(IF(I106="Zeitanteilig",(Besatzung!$G$17*(G106-IFERROR(H106,0))+((Besatzung!$B$17&lt;&gt;"")*IF(B106="",1,(IF(Besatzung!$C$17="",Besatzung!$B$5,Besatzung!$C$17)&lt;=B106)*(IF(Besatzung!$D$17="",Besatzung!$B$6,Besatzung!$D$17)&gt;=B106)))*(Besatzung!$F$17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$17&lt;&gt;"")*IF(B106="",1,(IF(Besatzung!$C$17="",Besatzung!$B$5,Besatzung!$C$17)&lt;=B106)*(IF(Besatzung!$D$17="",Besatzung!$B$6,Besatzung!$D$17)&gt;=B106)))*((G106-IFERROR(H106,0))/IFERROR(SUMPRODUCT((Besatzung!$B$11:$B$22&lt;&gt;"")*(IF(Besatzung!$C$11:$C$22="",Besatzung!$B$5,Besatzung!$C$11:$C$22)&lt;=B106)*(IF(Besatzung!$D$11:$D$22="",Besatzung!$B$6,Besatzung!$D$11:$D$22)&gt;=B106)),1)+(Besatzung!$F$17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P106="x")*((G106-IFERROR(H106,0))/IFERROR(COUNTIF(J106:U106,"x"),1)+(Besatzung!$F$17="x")*IFERROR(H106,0)/IFERROR(SUMPRODUCT((J106:U106="x")*(Besatzung!$F$11:$F$22="x")),1))),(IF(COUNTIF(J106:U106,"x")=0,IF(Besatzung!$B$17&lt;&gt;"",1,0),(P106="x"))*(G106-IFERROR(H106,0))/IFERROR(IF(COUNTIF(J106:U106,"x")=0,COUNTA(Besatzung!$B$11:$B$22),COUNTIF(J106:U106,"x")),1)+IF(COUNTIF(J106:U106,"x")=0,(Besatzung!$F$17="x"),(P106="x")*(Besatzung!$F$17="x"))*IFERROR(H106,0)/IFERROR(IF(COUNTIF(J106:U106,"x")=0,SUMPRODUCT((Besatzung!$B$11:$B$22&lt;&gt;"")*(Besatzung!$F$11:$F$22="x")),SUMPRODUCT((J106:U106="x")*(Besatzung!$F$11:$F$22="x"))),1))))),0))))</f>
        <v/>
      </c>
      <c r="AC106" s="106">
        <f>IF(C106="Gutschrift","",IF(G106="","",IF(Besatzung!$B$18="","",IFERROR(IF(I106="Zeitanteilig",(Besatzung!$G$18*(G106-IFERROR(H106,0))+((Besatzung!$B$18&lt;&gt;"")*IF(B106="",1,(IF(Besatzung!$C$18="",Besatzung!$B$5,Besatzung!$C$18)&lt;=B106)*(IF(Besatzung!$D$18="",Besatzung!$B$6,Besatzung!$D$18)&gt;=B106)))*(Besatzung!$F$18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$18&lt;&gt;"")*IF(B106="",1,(IF(Besatzung!$C$18="",Besatzung!$B$5,Besatzung!$C$18)&lt;=B106)*(IF(Besatzung!$D$18="",Besatzung!$B$6,Besatzung!$D$18)&gt;=B106)))*((G106-IFERROR(H106,0))/IFERROR(SUMPRODUCT((Besatzung!$B$11:$B$22&lt;&gt;"")*(IF(Besatzung!$C$11:$C$22="",Besatzung!$B$5,Besatzung!$C$11:$C$22)&lt;=B106)*(IF(Besatzung!$D$11:$D$22="",Besatzung!$B$6,Besatzung!$D$11:$D$22)&gt;=B106)),1)+(Besatzung!$F$18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Q106="x")*((G106-IFERROR(H106,0))/IFERROR(COUNTIF(J106:U106,"x"),1)+(Besatzung!$F$18="x")*IFERROR(H106,0)/IFERROR(SUMPRODUCT((J106:U106="x")*(Besatzung!$F$11:$F$22="x")),1))),(IF(COUNTIF(J106:U106,"x")=0,IF(Besatzung!$B$18&lt;&gt;"",1,0),(Q106="x"))*(G106-IFERROR(H106,0))/IFERROR(IF(COUNTIF(J106:U106,"x")=0,COUNTA(Besatzung!$B$11:$B$22),COUNTIF(J106:U106,"x")),1)+IF(COUNTIF(J106:U106,"x")=0,(Besatzung!$F$18="x"),(Q106="x")*(Besatzung!$F$18="x"))*IFERROR(H106,0)/IFERROR(IF(COUNTIF(J106:U106,"x")=0,SUMPRODUCT((Besatzung!$B$11:$B$22&lt;&gt;"")*(Besatzung!$F$11:$F$22="x")),SUMPRODUCT((J106:U106="x")*(Besatzung!$F$11:$F$22="x"))),1))))),0))))</f>
        <v/>
      </c>
      <c r="AD106" s="106">
        <f>IF(C106="Gutschrift","",IF(G106="","",IF(Besatzung!$B$19="","",IFERROR(IF(I106="Zeitanteilig",(Besatzung!$G$19*(G106-IFERROR(H106,0))+((Besatzung!$B$19&lt;&gt;"")*IF(B106="",1,(IF(Besatzung!$C$19="",Besatzung!$B$5,Besatzung!$C$19)&lt;=B106)*(IF(Besatzung!$D$19="",Besatzung!$B$6,Besatzung!$D$19)&gt;=B106)))*(Besatzung!$F$19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$19&lt;&gt;"")*IF(B106="",1,(IF(Besatzung!$C$19="",Besatzung!$B$5,Besatzung!$C$19)&lt;=B106)*(IF(Besatzung!$D$19="",Besatzung!$B$6,Besatzung!$D$19)&gt;=B106)))*((G106-IFERROR(H106,0))/IFERROR(SUMPRODUCT((Besatzung!$B$11:$B$22&lt;&gt;"")*(IF(Besatzung!$C$11:$C$22="",Besatzung!$B$5,Besatzung!$C$11:$C$22)&lt;=B106)*(IF(Besatzung!$D$11:$D$22="",Besatzung!$B$6,Besatzung!$D$11:$D$22)&gt;=B106)),1)+(Besatzung!$F$19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R106="x")*((G106-IFERROR(H106,0))/IFERROR(COUNTIF(J106:U106,"x"),1)+(Besatzung!$F$19="x")*IFERROR(H106,0)/IFERROR(SUMPRODUCT((J106:U106="x")*(Besatzung!$F$11:$F$22="x")),1))),(IF(COUNTIF(J106:U106,"x")=0,IF(Besatzung!$B$19&lt;&gt;"",1,0),(R106="x"))*(G106-IFERROR(H106,0))/IFERROR(IF(COUNTIF(J106:U106,"x")=0,COUNTA(Besatzung!$B$11:$B$22),COUNTIF(J106:U106,"x")),1)+IF(COUNTIF(J106:U106,"x")=0,(Besatzung!$F$19="x"),(R106="x")*(Besatzung!$F$19="x"))*IFERROR(H106,0)/IFERROR(IF(COUNTIF(J106:U106,"x")=0,SUMPRODUCT((Besatzung!$B$11:$B$22&lt;&gt;"")*(Besatzung!$F$11:$F$22="x")),SUMPRODUCT((J106:U106="x")*(Besatzung!$F$11:$F$22="x"))),1))))),0))))</f>
        <v/>
      </c>
      <c r="AE106" s="106">
        <f>IF(C106="Gutschrift","",IF(G106="","",IF(Besatzung!$B$20="","",IFERROR(IF(I106="Zeitanteilig",(Besatzung!$G$20*(G106-IFERROR(H106,0))+((Besatzung!$B$20&lt;&gt;"")*IF(B106="",1,(IF(Besatzung!$C$20="",Besatzung!$B$5,Besatzung!$C$20)&lt;=B106)*(IF(Besatzung!$D$20="",Besatzung!$B$6,Besatzung!$D$20)&gt;=B106)))*(Besatzung!$F$20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$20&lt;&gt;"")*IF(B106="",1,(IF(Besatzung!$C$20="",Besatzung!$B$5,Besatzung!$C$20)&lt;=B106)*(IF(Besatzung!$D$20="",Besatzung!$B$6,Besatzung!$D$20)&gt;=B106)))*((G106-IFERROR(H106,0))/IFERROR(SUMPRODUCT((Besatzung!$B$11:$B$22&lt;&gt;"")*(IF(Besatzung!$C$11:$C$22="",Besatzung!$B$5,Besatzung!$C$11:$C$22)&lt;=B106)*(IF(Besatzung!$D$11:$D$22="",Besatzung!$B$6,Besatzung!$D$11:$D$22)&gt;=B106)),1)+(Besatzung!$F$20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S106="x")*((G106-IFERROR(H106,0))/IFERROR(COUNTIF(J106:U106,"x"),1)+(Besatzung!$F$20="x")*IFERROR(H106,0)/IFERROR(SUMPRODUCT((J106:U106="x")*(Besatzung!$F$11:$F$22="x")),1))),(IF(COUNTIF(J106:U106,"x")=0,IF(Besatzung!$B$20&lt;&gt;"",1,0),(S106="x"))*(G106-IFERROR(H106,0))/IFERROR(IF(COUNTIF(J106:U106,"x")=0,COUNTA(Besatzung!$B$11:$B$22),COUNTIF(J106:U106,"x")),1)+IF(COUNTIF(J106:U106,"x")=0,(Besatzung!$F$20="x"),(S106="x")*(Besatzung!$F$20="x"))*IFERROR(H106,0)/IFERROR(IF(COUNTIF(J106:U106,"x")=0,SUMPRODUCT((Besatzung!$B$11:$B$22&lt;&gt;"")*(Besatzung!$F$11:$F$22="x")),SUMPRODUCT((J106:U106="x")*(Besatzung!$F$11:$F$22="x"))),1))))),0))))</f>
        <v/>
      </c>
      <c r="AF106" s="106">
        <f>IF(C106="Gutschrift","",IF(G106="","",IF(Besatzung!$B$21="","",IFERROR(IF(I106="Zeitanteilig",(Besatzung!$G$21*(G106-IFERROR(H106,0))+((Besatzung!$B$21&lt;&gt;"")*IF(B106="",1,(IF(Besatzung!$C$21="",Besatzung!$B$5,Besatzung!$C$21)&lt;=B106)*(IF(Besatzung!$D$21="",Besatzung!$B$6,Besatzung!$D$21)&gt;=B106)))*(Besatzung!$F$21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$21&lt;&gt;"")*IF(B106="",1,(IF(Besatzung!$C$21="",Besatzung!$B$5,Besatzung!$C$21)&lt;=B106)*(IF(Besatzung!$D$21="",Besatzung!$B$6,Besatzung!$D$21)&gt;=B106)))*((G106-IFERROR(H106,0))/IFERROR(SUMPRODUCT((Besatzung!$B$11:$B$22&lt;&gt;"")*(IF(Besatzung!$C$11:$C$22="",Besatzung!$B$5,Besatzung!$C$11:$C$22)&lt;=B106)*(IF(Besatzung!$D$11:$D$22="",Besatzung!$B$6,Besatzung!$D$11:$D$22)&gt;=B106)),1)+(Besatzung!$F$21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T106="x")*((G106-IFERROR(H106,0))/IFERROR(COUNTIF(J106:U106,"x"),1)+(Besatzung!$F$21="x")*IFERROR(H106,0)/IFERROR(SUMPRODUCT((J106:U106="x")*(Besatzung!$F$11:$F$22="x")),1))),(IF(COUNTIF(J106:U106,"x")=0,IF(Besatzung!$B$21&lt;&gt;"",1,0),(T106="x"))*(G106-IFERROR(H106,0))/IFERROR(IF(COUNTIF(J106:U106,"x")=0,COUNTA(Besatzung!$B$11:$B$22),COUNTIF(J106:U106,"x")),1)+IF(COUNTIF(J106:U106,"x")=0,(Besatzung!$F$21="x"),(T106="x")*(Besatzung!$F$21="x"))*IFERROR(H106,0)/IFERROR(IF(COUNTIF(J106:U106,"x")=0,SUMPRODUCT((Besatzung!$B$11:$B$22&lt;&gt;"")*(Besatzung!$F$11:$F$22="x")),SUMPRODUCT((J106:U106="x")*(Besatzung!$F$11:$F$22="x"))),1))))),0))))</f>
        <v/>
      </c>
      <c r="AG106" s="106">
        <f>IF(C106="Gutschrift","",IF(G106="","",IF(Besatzung!$B$22="","",IFERROR(IF(I106="Zeitanteilig",(Besatzung!$G$22*(G106-IFERROR(H106,0))+((Besatzung!$B$22&lt;&gt;"")*IF(B106="",1,(IF(Besatzung!$C$22="",Besatzung!$B$5,Besatzung!$C$22)&lt;=B106)*(IF(Besatzung!$D$22="",Besatzung!$B$6,Besatzung!$D$22)&gt;=B106)))*(Besatzung!$F$22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$22&lt;&gt;"")*IF(B106="",1,(IF(Besatzung!$C$22="",Besatzung!$B$5,Besatzung!$C$22)&lt;=B106)*(IF(Besatzung!$D$22="",Besatzung!$B$6,Besatzung!$D$22)&gt;=B106)))*((G106-IFERROR(H106,0))/IFERROR(SUMPRODUCT((Besatzung!$B$11:$B$22&lt;&gt;"")*(IF(Besatzung!$C$11:$C$22="",Besatzung!$B$5,Besatzung!$C$11:$C$22)&lt;=B106)*(IF(Besatzung!$D$11:$D$22="",Besatzung!$B$6,Besatzung!$D$11:$D$22)&gt;=B106)),1)+(Besatzung!$F$22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U106="x")*((G106-IFERROR(H106,0))/IFERROR(COUNTIF(J106:U106,"x"),1)+(Besatzung!$F$22="x")*IFERROR(H106,0)/IFERROR(SUMPRODUCT((J106:U106="x")*(Besatzung!$F$11:$F$22="x")),1))),(IF(COUNTIF(J106:U106,"x")=0,IF(Besatzung!$B$22&lt;&gt;"",1,0),(U106="x"))*(G106-IFERROR(H106,0))/IFERROR(IF(COUNTIF(J106:U106,"x")=0,COUNTA(Besatzung!$B$11:$B$22),COUNTIF(J106:U106,"x")),1)+IF(COUNTIF(J106:U106,"x")=0,(Besatzung!$F$22="x"),(U106="x")*(Besatzung!$F$22="x"))*IFERROR(H106,0)/IFERROR(IF(COUNTIF(J106:U106,"x")=0,SUMPRODUCT((Besatzung!$B$11:$B$22&lt;&gt;"")*(Besatzung!$F$11:$F$22="x")),SUMPRODUCT((J106:U106="x")*(Besatzung!$F$11:$F$22="x"))),1))))),0))))</f>
        <v/>
      </c>
      <c r="AH106" s="107" t="n"/>
      <c r="AI106" s="107" t="n"/>
    </row>
    <row r="107" ht="21.75" customHeight="1" s="182">
      <c r="A107" s="97">
        <f>IF(AND(D107="",C107=""),"",104)</f>
        <v/>
      </c>
      <c r="B107" s="63" t="n"/>
      <c r="C107" s="108" t="n"/>
      <c r="D107" s="109" t="n"/>
      <c r="E107" s="110" t="n"/>
      <c r="F107" s="111" t="n"/>
      <c r="G107" s="112" t="n"/>
      <c r="H107" s="113" t="n"/>
      <c r="I107" s="114" t="n"/>
      <c r="J107" s="115" t="n"/>
      <c r="K107" s="115" t="n"/>
      <c r="L107" s="115" t="n"/>
      <c r="M107" s="115" t="n"/>
      <c r="N107" s="115" t="n"/>
      <c r="O107" s="115" t="n"/>
      <c r="P107" s="115" t="n"/>
      <c r="Q107" s="115" t="n"/>
      <c r="R107" s="115" t="n"/>
      <c r="S107" s="115" t="n"/>
      <c r="T107" s="115" t="n"/>
      <c r="U107" s="115" t="n"/>
      <c r="V107" s="106">
        <f>IF(C107="Gutschrift","",IF(G107="","",IF(Besatzung!$B$11="","",IFERROR(IF(I107="Zeitanteilig",(Besatzung!$G$11*(G107-IFERROR(H107,0))+((Besatzung!$B$11&lt;&gt;"")*IF(B107="",1,(IF(Besatzung!$C$11="",Besatzung!$B$5,Besatzung!$C$11)&lt;=B107)*(IF(Besatzung!$D$11="",Besatzung!$B$6,Besatzung!$D$11)&gt;=B107)))*(Besatzung!$F$11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$11&lt;&gt;"")*IF(B107="",1,(IF(Besatzung!$C$11="",Besatzung!$B$5,Besatzung!$C$11)&lt;=B107)*(IF(Besatzung!$D$11="",Besatzung!$B$6,Besatzung!$D$11)&gt;=B107)))*((G107-IFERROR(H107,0))/IFERROR(SUMPRODUCT((Besatzung!$B$11:$B$22&lt;&gt;"")*(IF(Besatzung!$C$11:$C$22="",Besatzung!$B$5,Besatzung!$C$11:$C$22)&lt;=B107)*(IF(Besatzung!$D$11:$D$22="",Besatzung!$B$6,Besatzung!$D$11:$D$22)&gt;=B107)),1)+(Besatzung!$F$11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J107="x")*((G107-IFERROR(H107,0))/IFERROR(COUNTIF(J107:U107,"x"),1)+(Besatzung!$F$11="x")*IFERROR(H107,0)/IFERROR(SUMPRODUCT((J107:U107="x")*(Besatzung!$F$11:$F$22="x")),1))),(IF(COUNTIF(J107:U107,"x")=0,IF(Besatzung!$B$11&lt;&gt;"",1,0),(J107="x"))*(G107-IFERROR(H107,0))/IFERROR(IF(COUNTIF(J107:U107,"x")=0,COUNTA(Besatzung!$B$11:$B$22),COUNTIF(J107:U107,"x")),1)+IF(COUNTIF(J107:U107,"x")=0,(Besatzung!$F$11="x"),(J107="x")*(Besatzung!$F$11="x"))*IFERROR(H107,0)/IFERROR(IF(COUNTIF(J107:U107,"x")=0,SUMPRODUCT((Besatzung!$B$11:$B$22&lt;&gt;"")*(Besatzung!$F$11:$F$22="x")),SUMPRODUCT((J107:U107="x")*(Besatzung!$F$11:$F$22="x"))),1))))),0))))</f>
        <v/>
      </c>
      <c r="W107" s="106">
        <f>IF(C107="Gutschrift","",IF(G107="","",IF(Besatzung!$B$12="","",IFERROR(IF(I107="Zeitanteilig",(Besatzung!$G$12*(G107-IFERROR(H107,0))+((Besatzung!$B$12&lt;&gt;"")*IF(B107="",1,(IF(Besatzung!$C$12="",Besatzung!$B$5,Besatzung!$C$12)&lt;=B107)*(IF(Besatzung!$D$12="",Besatzung!$B$6,Besatzung!$D$12)&gt;=B107)))*(Besatzung!$F$12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$12&lt;&gt;"")*IF(B107="",1,(IF(Besatzung!$C$12="",Besatzung!$B$5,Besatzung!$C$12)&lt;=B107)*(IF(Besatzung!$D$12="",Besatzung!$B$6,Besatzung!$D$12)&gt;=B107)))*((G107-IFERROR(H107,0))/IFERROR(SUMPRODUCT((Besatzung!$B$11:$B$22&lt;&gt;"")*(IF(Besatzung!$C$11:$C$22="",Besatzung!$B$5,Besatzung!$C$11:$C$22)&lt;=B107)*(IF(Besatzung!$D$11:$D$22="",Besatzung!$B$6,Besatzung!$D$11:$D$22)&gt;=B107)),1)+(Besatzung!$F$12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K107="x")*((G107-IFERROR(H107,0))/IFERROR(COUNTIF(J107:U107,"x"),1)+(Besatzung!$F$12="x")*IFERROR(H107,0)/IFERROR(SUMPRODUCT((J107:U107="x")*(Besatzung!$F$11:$F$22="x")),1))),(IF(COUNTIF(J107:U107,"x")=0,IF(Besatzung!$B$12&lt;&gt;"",1,0),(K107="x"))*(G107-IFERROR(H107,0))/IFERROR(IF(COUNTIF(J107:U107,"x")=0,COUNTA(Besatzung!$B$11:$B$22),COUNTIF(J107:U107,"x")),1)+IF(COUNTIF(J107:U107,"x")=0,(Besatzung!$F$12="x"),(K107="x")*(Besatzung!$F$12="x"))*IFERROR(H107,0)/IFERROR(IF(COUNTIF(J107:U107,"x")=0,SUMPRODUCT((Besatzung!$B$11:$B$22&lt;&gt;"")*(Besatzung!$F$11:$F$22="x")),SUMPRODUCT((J107:U107="x")*(Besatzung!$F$11:$F$22="x"))),1))))),0))))</f>
        <v/>
      </c>
      <c r="X107" s="106">
        <f>IF(C107="Gutschrift","",IF(G107="","",IF(Besatzung!$B$13="","",IFERROR(IF(I107="Zeitanteilig",(Besatzung!$G$13*(G107-IFERROR(H107,0))+((Besatzung!$B$13&lt;&gt;"")*IF(B107="",1,(IF(Besatzung!$C$13="",Besatzung!$B$5,Besatzung!$C$13)&lt;=B107)*(IF(Besatzung!$D$13="",Besatzung!$B$6,Besatzung!$D$13)&gt;=B107)))*(Besatzung!$F$13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$13&lt;&gt;"")*IF(B107="",1,(IF(Besatzung!$C$13="",Besatzung!$B$5,Besatzung!$C$13)&lt;=B107)*(IF(Besatzung!$D$13="",Besatzung!$B$6,Besatzung!$D$13)&gt;=B107)))*((G107-IFERROR(H107,0))/IFERROR(SUMPRODUCT((Besatzung!$B$11:$B$22&lt;&gt;"")*(IF(Besatzung!$C$11:$C$22="",Besatzung!$B$5,Besatzung!$C$11:$C$22)&lt;=B107)*(IF(Besatzung!$D$11:$D$22="",Besatzung!$B$6,Besatzung!$D$11:$D$22)&gt;=B107)),1)+(Besatzung!$F$13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K107="x")*((G107-IFERROR(H107,0))/IFERROR(COUNTIF(J107:U107,"x"),1)+(Besatzung!$F$13="x")*IFERROR(H107,0)/IFERROR(SUMPRODUCT((J107:U107="x")*(Besatzung!$F$11:$F$22="x")),1))),(IF(COUNTIF(J107:U107,"x")=0,IF(Besatzung!$B$13&lt;&gt;"",1,0),(K107="x"))*(G107-IFERROR(H107,0))/IFERROR(IF(COUNTIF(J107:U107,"x")=0,COUNTA(Besatzung!$B$11:$B$22),COUNTIF(J107:U107,"x")),1)+IF(COUNTIF(J107:U107,"x")=0,(Besatzung!$F$13="x"),(K107="x")*(Besatzung!$F$13="x"))*IFERROR(H107,0)/IFERROR(IF(COUNTIF(J107:U107,"x")=0,SUMPRODUCT((Besatzung!$B$11:$B$22&lt;&gt;"")*(Besatzung!$F$11:$F$22="x")),SUMPRODUCT((J107:U107="x")*(Besatzung!$F$11:$F$22="x"))),1))))),0))))</f>
        <v/>
      </c>
      <c r="Y107" s="106">
        <f>IF(C107="Gutschrift","",IF(G107="","",IF(Besatzung!$B$14="","",IFERROR(IF(I107="Zeitanteilig",(Besatzung!$G$14*(G107-IFERROR(H107,0))+((Besatzung!$B$14&lt;&gt;"")*IF(B107="",1,(IF(Besatzung!$C$14="",Besatzung!$B$5,Besatzung!$C$14)&lt;=B107)*(IF(Besatzung!$D$14="",Besatzung!$B$6,Besatzung!$D$14)&gt;=B107)))*(Besatzung!$F$14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$14&lt;&gt;"")*IF(B107="",1,(IF(Besatzung!$C$14="",Besatzung!$B$5,Besatzung!$C$14)&lt;=B107)*(IF(Besatzung!$D$14="",Besatzung!$B$6,Besatzung!$D$14)&gt;=B107)))*((G107-IFERROR(H107,0))/IFERROR(SUMPRODUCT((Besatzung!$B$11:$B$22&lt;&gt;"")*(IF(Besatzung!$C$11:$C$22="",Besatzung!$B$5,Besatzung!$C$11:$C$22)&lt;=B107)*(IF(Besatzung!$D$11:$D$22="",Besatzung!$B$6,Besatzung!$D$11:$D$22)&gt;=B107)),1)+(Besatzung!$F$14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M107="x")*((G107-IFERROR(H107,0))/IFERROR(COUNTIF(J107:U107,"x"),1)+(Besatzung!$F$14="x")*IFERROR(H107,0)/IFERROR(SUMPRODUCT((J107:U107="x")*(Besatzung!$F$11:$F$22="x")),1))),(IF(COUNTIF(J107:U107,"x")=0,IF(Besatzung!$B$14&lt;&gt;"",1,0),(M107="x"))*(G107-IFERROR(H107,0))/IFERROR(IF(COUNTIF(J107:U107,"x")=0,COUNTA(Besatzung!$B$11:$B$22),COUNTIF(J107:U107,"x")),1)+IF(COUNTIF(J107:U107,"x")=0,(Besatzung!$F$14="x"),(M107="x")*(Besatzung!$F$14="x"))*IFERROR(H107,0)/IFERROR(IF(COUNTIF(J107:U107,"x")=0,SUMPRODUCT((Besatzung!$B$11:$B$22&lt;&gt;"")*(Besatzung!$F$11:$F$22="x")),SUMPRODUCT((J107:U107="x")*(Besatzung!$F$11:$F$22="x"))),1))))),0))))</f>
        <v/>
      </c>
      <c r="Z107" s="106">
        <f>IF(C107="Gutschrift","",IF(G107="","",IF(Besatzung!$B$13="","",IFERROR(IF(I107="Zeitanteilig",(Besatzung!$G$15*(G107-IFERROR(H107,0))+((Besatzung!$B$13&lt;&gt;"")*IF(B107="",1,(IF(Besatzung!$C$15="",Besatzung!$B$5,Besatzung!$C$15)&lt;=B107)*(IF(Besatzung!$D$15="",Besatzung!$B$6,Besatzung!$D$15)&gt;=B107)))*(Besatzung!$F$15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$13&lt;&gt;"")*IF(B107="",1,(IF(Besatzung!$C$15="",Besatzung!$B$5,Besatzung!$C$15)&lt;=B107)*(IF(Besatzung!$D$15="",Besatzung!$B$6,Besatzung!$D$15)&gt;=B107)))*((G107-IFERROR(H107,0))/IFERROR(SUMPRODUCT((Besatzung!$B$11:$B$22&lt;&gt;"")*(IF(Besatzung!$C$11:$C$22="",Besatzung!$B$5,Besatzung!$C$11:$C$22)&lt;=B107)*(IF(Besatzung!$D$11:$D$22="",Besatzung!$B$6,Besatzung!$D$11:$D$22)&gt;=B107)),1)+(Besatzung!$F$15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N107="x")*((G107-IFERROR(H107,0))/IFERROR(COUNTIF(J107:U107,"x"),1)+(Besatzung!$F$15="x")*IFERROR(H107,0)/IFERROR(SUMPRODUCT((J107:U107="x")*(Besatzung!$F$11:$F$22="x")),1))),(IF(COUNTIF(J107:U107,"x")=0,IF(Besatzung!$B$13&lt;&gt;"",1,0),(N107="x"))*(G107-IFERROR(H107,0))/IFERROR(IF(COUNTIF(J107:U107,"x")=0,COUNTA(Besatzung!$B$11:$B$22),COUNTIF(J107:U107,"x")),1)+IF(COUNTIF(J107:U107,"x")=0,(Besatzung!$F$15="x"),(N107="x")*(Besatzung!$F$15="x"))*IFERROR(H107,0)/IFERROR(IF(COUNTIF(J107:U107,"x")=0,SUMPRODUCT((Besatzung!$B$11:$B$22&lt;&gt;"")*(Besatzung!$F$11:$F$22="x")),SUMPRODUCT((J107:U107="x")*(Besatzung!$F$11:$F$22="x"))),1))))),0))))</f>
        <v/>
      </c>
      <c r="AA107" s="106">
        <f>IF(C107="Gutschrift","",IF(G107="","",IF(Besatzung!$B$15="","",IFERROR(IF(I107="Zeitanteilig",(Besatzung!$G$16*(G107-IFERROR(H107,0))+((Besatzung!$B$15&lt;&gt;"")*IF(B107="",1,(IF(Besatzung!$C$16="",Besatzung!$B$5,Besatzung!$C$16)&lt;=B107)*(IF(Besatzung!$D$16="",Besatzung!$B$6,Besatzung!$D$16)&gt;=B107)))*(Besatzung!$F$16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$15&lt;&gt;"")*IF(B107="",1,(IF(Besatzung!$C$16="",Besatzung!$B$5,Besatzung!$C$16)&lt;=B107)*(IF(Besatzung!$D$16="",Besatzung!$B$6,Besatzung!$D$16)&gt;=B107)))*((G107-IFERROR(H107,0))/IFERROR(SUMPRODUCT((Besatzung!$B$11:$B$22&lt;&gt;"")*(IF(Besatzung!$C$11:$C$22="",Besatzung!$B$5,Besatzung!$C$11:$C$22)&lt;=B107)*(IF(Besatzung!$D$11:$D$22="",Besatzung!$B$6,Besatzung!$D$11:$D$22)&gt;=B107)),1)+(Besatzung!$F$16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O107="x")*((G107-IFERROR(H107,0))/IFERROR(COUNTIF(J107:U107,"x"),1)+(Besatzung!$F$16="x")*IFERROR(H107,0)/IFERROR(SUMPRODUCT((J107:U107="x")*(Besatzung!$F$11:$F$22="x")),1))),(IF(COUNTIF(J107:U107,"x")=0,IF(Besatzung!$B$15&lt;&gt;"",1,0),(O107="x"))*(G107-IFERROR(H107,0))/IFERROR(IF(COUNTIF(J107:U107,"x")=0,COUNTA(Besatzung!$B$11:$B$22),COUNTIF(J107:U107,"x")),1)+IF(COUNTIF(J107:U107,"x")=0,(Besatzung!$F$16="x"),(O107="x")*(Besatzung!$F$16="x"))*IFERROR(H107,0)/IFERROR(IF(COUNTIF(J107:U107,"x")=0,SUMPRODUCT((Besatzung!$B$11:$B$22&lt;&gt;"")*(Besatzung!$F$11:$F$22="x")),SUMPRODUCT((J107:U107="x")*(Besatzung!$F$11:$F$22="x"))),1))))),0))))</f>
        <v/>
      </c>
      <c r="AB107" s="106">
        <f>IF(C107="Gutschrift","",IF(G107="","",IF(Besatzung!$B$17="","",IFERROR(IF(I107="Zeitanteilig",(Besatzung!$G$17*(G107-IFERROR(H107,0))+((Besatzung!$B$17&lt;&gt;"")*IF(B107="",1,(IF(Besatzung!$C$17="",Besatzung!$B$5,Besatzung!$C$17)&lt;=B107)*(IF(Besatzung!$D$17="",Besatzung!$B$6,Besatzung!$D$17)&gt;=B107)))*(Besatzung!$F$17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$17&lt;&gt;"")*IF(B107="",1,(IF(Besatzung!$C$17="",Besatzung!$B$5,Besatzung!$C$17)&lt;=B107)*(IF(Besatzung!$D$17="",Besatzung!$B$6,Besatzung!$D$17)&gt;=B107)))*((G107-IFERROR(H107,0))/IFERROR(SUMPRODUCT((Besatzung!$B$11:$B$22&lt;&gt;"")*(IF(Besatzung!$C$11:$C$22="",Besatzung!$B$5,Besatzung!$C$11:$C$22)&lt;=B107)*(IF(Besatzung!$D$11:$D$22="",Besatzung!$B$6,Besatzung!$D$11:$D$22)&gt;=B107)),1)+(Besatzung!$F$17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P107="x")*((G107-IFERROR(H107,0))/IFERROR(COUNTIF(J107:U107,"x"),1)+(Besatzung!$F$17="x")*IFERROR(H107,0)/IFERROR(SUMPRODUCT((J107:U107="x")*(Besatzung!$F$11:$F$22="x")),1))),(IF(COUNTIF(J107:U107,"x")=0,IF(Besatzung!$B$17&lt;&gt;"",1,0),(P107="x"))*(G107-IFERROR(H107,0))/IFERROR(IF(COUNTIF(J107:U107,"x")=0,COUNTA(Besatzung!$B$11:$B$22),COUNTIF(J107:U107,"x")),1)+IF(COUNTIF(J107:U107,"x")=0,(Besatzung!$F$17="x"),(P107="x")*(Besatzung!$F$17="x"))*IFERROR(H107,0)/IFERROR(IF(COUNTIF(J107:U107,"x")=0,SUMPRODUCT((Besatzung!$B$11:$B$22&lt;&gt;"")*(Besatzung!$F$11:$F$22="x")),SUMPRODUCT((J107:U107="x")*(Besatzung!$F$11:$F$22="x"))),1))))),0))))</f>
        <v/>
      </c>
      <c r="AC107" s="106">
        <f>IF(C107="Gutschrift","",IF(G107="","",IF(Besatzung!$B$18="","",IFERROR(IF(I107="Zeitanteilig",(Besatzung!$G$18*(G107-IFERROR(H107,0))+((Besatzung!$B$18&lt;&gt;"")*IF(B107="",1,(IF(Besatzung!$C$18="",Besatzung!$B$5,Besatzung!$C$18)&lt;=B107)*(IF(Besatzung!$D$18="",Besatzung!$B$6,Besatzung!$D$18)&gt;=B107)))*(Besatzung!$F$18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$18&lt;&gt;"")*IF(B107="",1,(IF(Besatzung!$C$18="",Besatzung!$B$5,Besatzung!$C$18)&lt;=B107)*(IF(Besatzung!$D$18="",Besatzung!$B$6,Besatzung!$D$18)&gt;=B107)))*((G107-IFERROR(H107,0))/IFERROR(SUMPRODUCT((Besatzung!$B$11:$B$22&lt;&gt;"")*(IF(Besatzung!$C$11:$C$22="",Besatzung!$B$5,Besatzung!$C$11:$C$22)&lt;=B107)*(IF(Besatzung!$D$11:$D$22="",Besatzung!$B$6,Besatzung!$D$11:$D$22)&gt;=B107)),1)+(Besatzung!$F$18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Q107="x")*((G107-IFERROR(H107,0))/IFERROR(COUNTIF(J107:U107,"x"),1)+(Besatzung!$F$18="x")*IFERROR(H107,0)/IFERROR(SUMPRODUCT((J107:U107="x")*(Besatzung!$F$11:$F$22="x")),1))),(IF(COUNTIF(J107:U107,"x")=0,IF(Besatzung!$B$18&lt;&gt;"",1,0),(Q107="x"))*(G107-IFERROR(H107,0))/IFERROR(IF(COUNTIF(J107:U107,"x")=0,COUNTA(Besatzung!$B$11:$B$22),COUNTIF(J107:U107,"x")),1)+IF(COUNTIF(J107:U107,"x")=0,(Besatzung!$F$18="x"),(Q107="x")*(Besatzung!$F$18="x"))*IFERROR(H107,0)/IFERROR(IF(COUNTIF(J107:U107,"x")=0,SUMPRODUCT((Besatzung!$B$11:$B$22&lt;&gt;"")*(Besatzung!$F$11:$F$22="x")),SUMPRODUCT((J107:U107="x")*(Besatzung!$F$11:$F$22="x"))),1))))),0))))</f>
        <v/>
      </c>
      <c r="AD107" s="106">
        <f>IF(C107="Gutschrift","",IF(G107="","",IF(Besatzung!$B$19="","",IFERROR(IF(I107="Zeitanteilig",(Besatzung!$G$19*(G107-IFERROR(H107,0))+((Besatzung!$B$19&lt;&gt;"")*IF(B107="",1,(IF(Besatzung!$C$19="",Besatzung!$B$5,Besatzung!$C$19)&lt;=B107)*(IF(Besatzung!$D$19="",Besatzung!$B$6,Besatzung!$D$19)&gt;=B107)))*(Besatzung!$F$19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$19&lt;&gt;"")*IF(B107="",1,(IF(Besatzung!$C$19="",Besatzung!$B$5,Besatzung!$C$19)&lt;=B107)*(IF(Besatzung!$D$19="",Besatzung!$B$6,Besatzung!$D$19)&gt;=B107)))*((G107-IFERROR(H107,0))/IFERROR(SUMPRODUCT((Besatzung!$B$11:$B$22&lt;&gt;"")*(IF(Besatzung!$C$11:$C$22="",Besatzung!$B$5,Besatzung!$C$11:$C$22)&lt;=B107)*(IF(Besatzung!$D$11:$D$22="",Besatzung!$B$6,Besatzung!$D$11:$D$22)&gt;=B107)),1)+(Besatzung!$F$19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R107="x")*((G107-IFERROR(H107,0))/IFERROR(COUNTIF(J107:U107,"x"),1)+(Besatzung!$F$19="x")*IFERROR(H107,0)/IFERROR(SUMPRODUCT((J107:U107="x")*(Besatzung!$F$11:$F$22="x")),1))),(IF(COUNTIF(J107:U107,"x")=0,IF(Besatzung!$B$19&lt;&gt;"",1,0),(R107="x"))*(G107-IFERROR(H107,0))/IFERROR(IF(COUNTIF(J107:U107,"x")=0,COUNTA(Besatzung!$B$11:$B$22),COUNTIF(J107:U107,"x")),1)+IF(COUNTIF(J107:U107,"x")=0,(Besatzung!$F$19="x"),(R107="x")*(Besatzung!$F$19="x"))*IFERROR(H107,0)/IFERROR(IF(COUNTIF(J107:U107,"x")=0,SUMPRODUCT((Besatzung!$B$11:$B$22&lt;&gt;"")*(Besatzung!$F$11:$F$22="x")),SUMPRODUCT((J107:U107="x")*(Besatzung!$F$11:$F$22="x"))),1))))),0))))</f>
        <v/>
      </c>
      <c r="AE107" s="106">
        <f>IF(C107="Gutschrift","",IF(G107="","",IF(Besatzung!$B$20="","",IFERROR(IF(I107="Zeitanteilig",(Besatzung!$G$20*(G107-IFERROR(H107,0))+((Besatzung!$B$20&lt;&gt;"")*IF(B107="",1,(IF(Besatzung!$C$20="",Besatzung!$B$5,Besatzung!$C$20)&lt;=B107)*(IF(Besatzung!$D$20="",Besatzung!$B$6,Besatzung!$D$20)&gt;=B107)))*(Besatzung!$F$20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$20&lt;&gt;"")*IF(B107="",1,(IF(Besatzung!$C$20="",Besatzung!$B$5,Besatzung!$C$20)&lt;=B107)*(IF(Besatzung!$D$20="",Besatzung!$B$6,Besatzung!$D$20)&gt;=B107)))*((G107-IFERROR(H107,0))/IFERROR(SUMPRODUCT((Besatzung!$B$11:$B$22&lt;&gt;"")*(IF(Besatzung!$C$11:$C$22="",Besatzung!$B$5,Besatzung!$C$11:$C$22)&lt;=B107)*(IF(Besatzung!$D$11:$D$22="",Besatzung!$B$6,Besatzung!$D$11:$D$22)&gt;=B107)),1)+(Besatzung!$F$20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S107="x")*((G107-IFERROR(H107,0))/IFERROR(COUNTIF(J107:U107,"x"),1)+(Besatzung!$F$20="x")*IFERROR(H107,0)/IFERROR(SUMPRODUCT((J107:U107="x")*(Besatzung!$F$11:$F$22="x")),1))),(IF(COUNTIF(J107:U107,"x")=0,IF(Besatzung!$B$20&lt;&gt;"",1,0),(S107="x"))*(G107-IFERROR(H107,0))/IFERROR(IF(COUNTIF(J107:U107,"x")=0,COUNTA(Besatzung!$B$11:$B$22),COUNTIF(J107:U107,"x")),1)+IF(COUNTIF(J107:U107,"x")=0,(Besatzung!$F$20="x"),(S107="x")*(Besatzung!$F$20="x"))*IFERROR(H107,0)/IFERROR(IF(COUNTIF(J107:U107,"x")=0,SUMPRODUCT((Besatzung!$B$11:$B$22&lt;&gt;"")*(Besatzung!$F$11:$F$22="x")),SUMPRODUCT((J107:U107="x")*(Besatzung!$F$11:$F$22="x"))),1))))),0))))</f>
        <v/>
      </c>
      <c r="AF107" s="106">
        <f>IF(C107="Gutschrift","",IF(G107="","",IF(Besatzung!$B$21="","",IFERROR(IF(I107="Zeitanteilig",(Besatzung!$G$21*(G107-IFERROR(H107,0))+((Besatzung!$B$21&lt;&gt;"")*IF(B107="",1,(IF(Besatzung!$C$21="",Besatzung!$B$5,Besatzung!$C$21)&lt;=B107)*(IF(Besatzung!$D$21="",Besatzung!$B$6,Besatzung!$D$21)&gt;=B107)))*(Besatzung!$F$21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$21&lt;&gt;"")*IF(B107="",1,(IF(Besatzung!$C$21="",Besatzung!$B$5,Besatzung!$C$21)&lt;=B107)*(IF(Besatzung!$D$21="",Besatzung!$B$6,Besatzung!$D$21)&gt;=B107)))*((G107-IFERROR(H107,0))/IFERROR(SUMPRODUCT((Besatzung!$B$11:$B$22&lt;&gt;"")*(IF(Besatzung!$C$11:$C$22="",Besatzung!$B$5,Besatzung!$C$11:$C$22)&lt;=B107)*(IF(Besatzung!$D$11:$D$22="",Besatzung!$B$6,Besatzung!$D$11:$D$22)&gt;=B107)),1)+(Besatzung!$F$21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T107="x")*((G107-IFERROR(H107,0))/IFERROR(COUNTIF(J107:U107,"x"),1)+(Besatzung!$F$21="x")*IFERROR(H107,0)/IFERROR(SUMPRODUCT((J107:U107="x")*(Besatzung!$F$11:$F$22="x")),1))),(IF(COUNTIF(J107:U107,"x")=0,IF(Besatzung!$B$21&lt;&gt;"",1,0),(T107="x"))*(G107-IFERROR(H107,0))/IFERROR(IF(COUNTIF(J107:U107,"x")=0,COUNTA(Besatzung!$B$11:$B$22),COUNTIF(J107:U107,"x")),1)+IF(COUNTIF(J107:U107,"x")=0,(Besatzung!$F$21="x"),(T107="x")*(Besatzung!$F$21="x"))*IFERROR(H107,0)/IFERROR(IF(COUNTIF(J107:U107,"x")=0,SUMPRODUCT((Besatzung!$B$11:$B$22&lt;&gt;"")*(Besatzung!$F$11:$F$22="x")),SUMPRODUCT((J107:U107="x")*(Besatzung!$F$11:$F$22="x"))),1))))),0))))</f>
        <v/>
      </c>
      <c r="AG107" s="106">
        <f>IF(C107="Gutschrift","",IF(G107="","",IF(Besatzung!$B$22="","",IFERROR(IF(I107="Zeitanteilig",(Besatzung!$G$22*(G107-IFERROR(H107,0))+((Besatzung!$B$22&lt;&gt;"")*IF(B107="",1,(IF(Besatzung!$C$22="",Besatzung!$B$5,Besatzung!$C$22)&lt;=B107)*(IF(Besatzung!$D$22="",Besatzung!$B$6,Besatzung!$D$22)&gt;=B107)))*(Besatzung!$F$22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$22&lt;&gt;"")*IF(B107="",1,(IF(Besatzung!$C$22="",Besatzung!$B$5,Besatzung!$C$22)&lt;=B107)*(IF(Besatzung!$D$22="",Besatzung!$B$6,Besatzung!$D$22)&gt;=B107)))*((G107-IFERROR(H107,0))/IFERROR(SUMPRODUCT((Besatzung!$B$11:$B$22&lt;&gt;"")*(IF(Besatzung!$C$11:$C$22="",Besatzung!$B$5,Besatzung!$C$11:$C$22)&lt;=B107)*(IF(Besatzung!$D$11:$D$22="",Besatzung!$B$6,Besatzung!$D$11:$D$22)&gt;=B107)),1)+(Besatzung!$F$22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U107="x")*((G107-IFERROR(H107,0))/IFERROR(COUNTIF(J107:U107,"x"),1)+(Besatzung!$F$22="x")*IFERROR(H107,0)/IFERROR(SUMPRODUCT((J107:U107="x")*(Besatzung!$F$11:$F$22="x")),1))),(IF(COUNTIF(J107:U107,"x")=0,IF(Besatzung!$B$22&lt;&gt;"",1,0),(U107="x"))*(G107-IFERROR(H107,0))/IFERROR(IF(COUNTIF(J107:U107,"x")=0,COUNTA(Besatzung!$B$11:$B$22),COUNTIF(J107:U107,"x")),1)+IF(COUNTIF(J107:U107,"x")=0,(Besatzung!$F$22="x"),(U107="x")*(Besatzung!$F$22="x"))*IFERROR(H107,0)/IFERROR(IF(COUNTIF(J107:U107,"x")=0,SUMPRODUCT((Besatzung!$B$11:$B$22&lt;&gt;"")*(Besatzung!$F$11:$F$22="x")),SUMPRODUCT((J107:U107="x")*(Besatzung!$F$11:$F$22="x"))),1))))),0))))</f>
        <v/>
      </c>
      <c r="AH107" s="107" t="n"/>
      <c r="AI107" s="107" t="n"/>
    </row>
    <row r="108" ht="21.75" customHeight="1" s="182">
      <c r="A108" s="97">
        <f>IF(AND(D108="",C108=""),"",105)</f>
        <v/>
      </c>
      <c r="B108" s="56" t="n"/>
      <c r="C108" s="98" t="n"/>
      <c r="D108" s="99" t="n"/>
      <c r="E108" s="100" t="n"/>
      <c r="F108" s="101" t="n"/>
      <c r="G108" s="102" t="n"/>
      <c r="H108" s="103" t="n"/>
      <c r="I108" s="104" t="n"/>
      <c r="J108" s="105" t="n"/>
      <c r="K108" s="105" t="n"/>
      <c r="L108" s="105" t="n"/>
      <c r="M108" s="105" t="n"/>
      <c r="N108" s="105" t="n"/>
      <c r="O108" s="105" t="n"/>
      <c r="P108" s="105" t="n"/>
      <c r="Q108" s="105" t="n"/>
      <c r="R108" s="105" t="n"/>
      <c r="S108" s="105" t="n"/>
      <c r="T108" s="105" t="n"/>
      <c r="U108" s="105" t="n"/>
      <c r="V108" s="106">
        <f>IF(C108="Gutschrift","",IF(G108="","",IF(Besatzung!$B$11="","",IFERROR(IF(I108="Zeitanteilig",(Besatzung!$G$11*(G108-IFERROR(H108,0))+((Besatzung!$B$11&lt;&gt;"")*IF(B108="",1,(IF(Besatzung!$C$11="",Besatzung!$B$5,Besatzung!$C$11)&lt;=B108)*(IF(Besatzung!$D$11="",Besatzung!$B$6,Besatzung!$D$11)&gt;=B108)))*(Besatzung!$F$11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$11&lt;&gt;"")*IF(B108="",1,(IF(Besatzung!$C$11="",Besatzung!$B$5,Besatzung!$C$11)&lt;=B108)*(IF(Besatzung!$D$11="",Besatzung!$B$6,Besatzung!$D$11)&gt;=B108)))*((G108-IFERROR(H108,0))/IFERROR(SUMPRODUCT((Besatzung!$B$11:$B$22&lt;&gt;"")*(IF(Besatzung!$C$11:$C$22="",Besatzung!$B$5,Besatzung!$C$11:$C$22)&lt;=B108)*(IF(Besatzung!$D$11:$D$22="",Besatzung!$B$6,Besatzung!$D$11:$D$22)&gt;=B108)),1)+(Besatzung!$F$11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J108="x")*((G108-IFERROR(H108,0))/IFERROR(COUNTIF(J108:U108,"x"),1)+(Besatzung!$F$11="x")*IFERROR(H108,0)/IFERROR(SUMPRODUCT((J108:U108="x")*(Besatzung!$F$11:$F$22="x")),1))),(IF(COUNTIF(J108:U108,"x")=0,IF(Besatzung!$B$11&lt;&gt;"",1,0),(J108="x"))*(G108-IFERROR(H108,0))/IFERROR(IF(COUNTIF(J108:U108,"x")=0,COUNTA(Besatzung!$B$11:$B$22),COUNTIF(J108:U108,"x")),1)+IF(COUNTIF(J108:U108,"x")=0,(Besatzung!$F$11="x"),(J108="x")*(Besatzung!$F$11="x"))*IFERROR(H108,0)/IFERROR(IF(COUNTIF(J108:U108,"x")=0,SUMPRODUCT((Besatzung!$B$11:$B$22&lt;&gt;"")*(Besatzung!$F$11:$F$22="x")),SUMPRODUCT((J108:U108="x")*(Besatzung!$F$11:$F$22="x"))),1))))),0))))</f>
        <v/>
      </c>
      <c r="W108" s="106">
        <f>IF(C108="Gutschrift","",IF(G108="","",IF(Besatzung!$B$12="","",IFERROR(IF(I108="Zeitanteilig",(Besatzung!$G$12*(G108-IFERROR(H108,0))+((Besatzung!$B$12&lt;&gt;"")*IF(B108="",1,(IF(Besatzung!$C$12="",Besatzung!$B$5,Besatzung!$C$12)&lt;=B108)*(IF(Besatzung!$D$12="",Besatzung!$B$6,Besatzung!$D$12)&gt;=B108)))*(Besatzung!$F$12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$12&lt;&gt;"")*IF(B108="",1,(IF(Besatzung!$C$12="",Besatzung!$B$5,Besatzung!$C$12)&lt;=B108)*(IF(Besatzung!$D$12="",Besatzung!$B$6,Besatzung!$D$12)&gt;=B108)))*((G108-IFERROR(H108,0))/IFERROR(SUMPRODUCT((Besatzung!$B$11:$B$22&lt;&gt;"")*(IF(Besatzung!$C$11:$C$22="",Besatzung!$B$5,Besatzung!$C$11:$C$22)&lt;=B108)*(IF(Besatzung!$D$11:$D$22="",Besatzung!$B$6,Besatzung!$D$11:$D$22)&gt;=B108)),1)+(Besatzung!$F$12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K108="x")*((G108-IFERROR(H108,0))/IFERROR(COUNTIF(J108:U108,"x"),1)+(Besatzung!$F$12="x")*IFERROR(H108,0)/IFERROR(SUMPRODUCT((J108:U108="x")*(Besatzung!$F$11:$F$22="x")),1))),(IF(COUNTIF(J108:U108,"x")=0,IF(Besatzung!$B$12&lt;&gt;"",1,0),(K108="x"))*(G108-IFERROR(H108,0))/IFERROR(IF(COUNTIF(J108:U108,"x")=0,COUNTA(Besatzung!$B$11:$B$22),COUNTIF(J108:U108,"x")),1)+IF(COUNTIF(J108:U108,"x")=0,(Besatzung!$F$12="x"),(K108="x")*(Besatzung!$F$12="x"))*IFERROR(H108,0)/IFERROR(IF(COUNTIF(J108:U108,"x")=0,SUMPRODUCT((Besatzung!$B$11:$B$22&lt;&gt;"")*(Besatzung!$F$11:$F$22="x")),SUMPRODUCT((J108:U108="x")*(Besatzung!$F$11:$F$22="x"))),1))))),0))))</f>
        <v/>
      </c>
      <c r="X108" s="106">
        <f>IF(C108="Gutschrift","",IF(G108="","",IF(Besatzung!$B$13="","",IFERROR(IF(I108="Zeitanteilig",(Besatzung!$G$13*(G108-IFERROR(H108,0))+((Besatzung!$B$13&lt;&gt;"")*IF(B108="",1,(IF(Besatzung!$C$13="",Besatzung!$B$5,Besatzung!$C$13)&lt;=B108)*(IF(Besatzung!$D$13="",Besatzung!$B$6,Besatzung!$D$13)&gt;=B108)))*(Besatzung!$F$13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$13&lt;&gt;"")*IF(B108="",1,(IF(Besatzung!$C$13="",Besatzung!$B$5,Besatzung!$C$13)&lt;=B108)*(IF(Besatzung!$D$13="",Besatzung!$B$6,Besatzung!$D$13)&gt;=B108)))*((G108-IFERROR(H108,0))/IFERROR(SUMPRODUCT((Besatzung!$B$11:$B$22&lt;&gt;"")*(IF(Besatzung!$C$11:$C$22="",Besatzung!$B$5,Besatzung!$C$11:$C$22)&lt;=B108)*(IF(Besatzung!$D$11:$D$22="",Besatzung!$B$6,Besatzung!$D$11:$D$22)&gt;=B108)),1)+(Besatzung!$F$13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K108="x")*((G108-IFERROR(H108,0))/IFERROR(COUNTIF(J108:U108,"x"),1)+(Besatzung!$F$13="x")*IFERROR(H108,0)/IFERROR(SUMPRODUCT((J108:U108="x")*(Besatzung!$F$11:$F$22="x")),1))),(IF(COUNTIF(J108:U108,"x")=0,IF(Besatzung!$B$13&lt;&gt;"",1,0),(K108="x"))*(G108-IFERROR(H108,0))/IFERROR(IF(COUNTIF(J108:U108,"x")=0,COUNTA(Besatzung!$B$11:$B$22),COUNTIF(J108:U108,"x")),1)+IF(COUNTIF(J108:U108,"x")=0,(Besatzung!$F$13="x"),(K108="x")*(Besatzung!$F$13="x"))*IFERROR(H108,0)/IFERROR(IF(COUNTIF(J108:U108,"x")=0,SUMPRODUCT((Besatzung!$B$11:$B$22&lt;&gt;"")*(Besatzung!$F$11:$F$22="x")),SUMPRODUCT((J108:U108="x")*(Besatzung!$F$11:$F$22="x"))),1))))),0))))</f>
        <v/>
      </c>
      <c r="Y108" s="106">
        <f>IF(C108="Gutschrift","",IF(G108="","",IF(Besatzung!$B$14="","",IFERROR(IF(I108="Zeitanteilig",(Besatzung!$G$14*(G108-IFERROR(H108,0))+((Besatzung!$B$14&lt;&gt;"")*IF(B108="",1,(IF(Besatzung!$C$14="",Besatzung!$B$5,Besatzung!$C$14)&lt;=B108)*(IF(Besatzung!$D$14="",Besatzung!$B$6,Besatzung!$D$14)&gt;=B108)))*(Besatzung!$F$14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$14&lt;&gt;"")*IF(B108="",1,(IF(Besatzung!$C$14="",Besatzung!$B$5,Besatzung!$C$14)&lt;=B108)*(IF(Besatzung!$D$14="",Besatzung!$B$6,Besatzung!$D$14)&gt;=B108)))*((G108-IFERROR(H108,0))/IFERROR(SUMPRODUCT((Besatzung!$B$11:$B$22&lt;&gt;"")*(IF(Besatzung!$C$11:$C$22="",Besatzung!$B$5,Besatzung!$C$11:$C$22)&lt;=B108)*(IF(Besatzung!$D$11:$D$22="",Besatzung!$B$6,Besatzung!$D$11:$D$22)&gt;=B108)),1)+(Besatzung!$F$14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M108="x")*((G108-IFERROR(H108,0))/IFERROR(COUNTIF(J108:U108,"x"),1)+(Besatzung!$F$14="x")*IFERROR(H108,0)/IFERROR(SUMPRODUCT((J108:U108="x")*(Besatzung!$F$11:$F$22="x")),1))),(IF(COUNTIF(J108:U108,"x")=0,IF(Besatzung!$B$14&lt;&gt;"",1,0),(M108="x"))*(G108-IFERROR(H108,0))/IFERROR(IF(COUNTIF(J108:U108,"x")=0,COUNTA(Besatzung!$B$11:$B$22),COUNTIF(J108:U108,"x")),1)+IF(COUNTIF(J108:U108,"x")=0,(Besatzung!$F$14="x"),(M108="x")*(Besatzung!$F$14="x"))*IFERROR(H108,0)/IFERROR(IF(COUNTIF(J108:U108,"x")=0,SUMPRODUCT((Besatzung!$B$11:$B$22&lt;&gt;"")*(Besatzung!$F$11:$F$22="x")),SUMPRODUCT((J108:U108="x")*(Besatzung!$F$11:$F$22="x"))),1))))),0))))</f>
        <v/>
      </c>
      <c r="Z108" s="106">
        <f>IF(C108="Gutschrift","",IF(G108="","",IF(Besatzung!$B$13="","",IFERROR(IF(I108="Zeitanteilig",(Besatzung!$G$15*(G108-IFERROR(H108,0))+((Besatzung!$B$13&lt;&gt;"")*IF(B108="",1,(IF(Besatzung!$C$15="",Besatzung!$B$5,Besatzung!$C$15)&lt;=B108)*(IF(Besatzung!$D$15="",Besatzung!$B$6,Besatzung!$D$15)&gt;=B108)))*(Besatzung!$F$15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$13&lt;&gt;"")*IF(B108="",1,(IF(Besatzung!$C$15="",Besatzung!$B$5,Besatzung!$C$15)&lt;=B108)*(IF(Besatzung!$D$15="",Besatzung!$B$6,Besatzung!$D$15)&gt;=B108)))*((G108-IFERROR(H108,0))/IFERROR(SUMPRODUCT((Besatzung!$B$11:$B$22&lt;&gt;"")*(IF(Besatzung!$C$11:$C$22="",Besatzung!$B$5,Besatzung!$C$11:$C$22)&lt;=B108)*(IF(Besatzung!$D$11:$D$22="",Besatzung!$B$6,Besatzung!$D$11:$D$22)&gt;=B108)),1)+(Besatzung!$F$15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N108="x")*((G108-IFERROR(H108,0))/IFERROR(COUNTIF(J108:U108,"x"),1)+(Besatzung!$F$15="x")*IFERROR(H108,0)/IFERROR(SUMPRODUCT((J108:U108="x")*(Besatzung!$F$11:$F$22="x")),1))),(IF(COUNTIF(J108:U108,"x")=0,IF(Besatzung!$B$13&lt;&gt;"",1,0),(N108="x"))*(G108-IFERROR(H108,0))/IFERROR(IF(COUNTIF(J108:U108,"x")=0,COUNTA(Besatzung!$B$11:$B$22),COUNTIF(J108:U108,"x")),1)+IF(COUNTIF(J108:U108,"x")=0,(Besatzung!$F$15="x"),(N108="x")*(Besatzung!$F$15="x"))*IFERROR(H108,0)/IFERROR(IF(COUNTIF(J108:U108,"x")=0,SUMPRODUCT((Besatzung!$B$11:$B$22&lt;&gt;"")*(Besatzung!$F$11:$F$22="x")),SUMPRODUCT((J108:U108="x")*(Besatzung!$F$11:$F$22="x"))),1))))),0))))</f>
        <v/>
      </c>
      <c r="AA108" s="106">
        <f>IF(C108="Gutschrift","",IF(G108="","",IF(Besatzung!$B$15="","",IFERROR(IF(I108="Zeitanteilig",(Besatzung!$G$16*(G108-IFERROR(H108,0))+((Besatzung!$B$15&lt;&gt;"")*IF(B108="",1,(IF(Besatzung!$C$16="",Besatzung!$B$5,Besatzung!$C$16)&lt;=B108)*(IF(Besatzung!$D$16="",Besatzung!$B$6,Besatzung!$D$16)&gt;=B108)))*(Besatzung!$F$16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$15&lt;&gt;"")*IF(B108="",1,(IF(Besatzung!$C$16="",Besatzung!$B$5,Besatzung!$C$16)&lt;=B108)*(IF(Besatzung!$D$16="",Besatzung!$B$6,Besatzung!$D$16)&gt;=B108)))*((G108-IFERROR(H108,0))/IFERROR(SUMPRODUCT((Besatzung!$B$11:$B$22&lt;&gt;"")*(IF(Besatzung!$C$11:$C$22="",Besatzung!$B$5,Besatzung!$C$11:$C$22)&lt;=B108)*(IF(Besatzung!$D$11:$D$22="",Besatzung!$B$6,Besatzung!$D$11:$D$22)&gt;=B108)),1)+(Besatzung!$F$16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O108="x")*((G108-IFERROR(H108,0))/IFERROR(COUNTIF(J108:U108,"x"),1)+(Besatzung!$F$16="x")*IFERROR(H108,0)/IFERROR(SUMPRODUCT((J108:U108="x")*(Besatzung!$F$11:$F$22="x")),1))),(IF(COUNTIF(J108:U108,"x")=0,IF(Besatzung!$B$15&lt;&gt;"",1,0),(O108="x"))*(G108-IFERROR(H108,0))/IFERROR(IF(COUNTIF(J108:U108,"x")=0,COUNTA(Besatzung!$B$11:$B$22),COUNTIF(J108:U108,"x")),1)+IF(COUNTIF(J108:U108,"x")=0,(Besatzung!$F$16="x"),(O108="x")*(Besatzung!$F$16="x"))*IFERROR(H108,0)/IFERROR(IF(COUNTIF(J108:U108,"x")=0,SUMPRODUCT((Besatzung!$B$11:$B$22&lt;&gt;"")*(Besatzung!$F$11:$F$22="x")),SUMPRODUCT((J108:U108="x")*(Besatzung!$F$11:$F$22="x"))),1))))),0))))</f>
        <v/>
      </c>
      <c r="AB108" s="106">
        <f>IF(C108="Gutschrift","",IF(G108="","",IF(Besatzung!$B$17="","",IFERROR(IF(I108="Zeitanteilig",(Besatzung!$G$17*(G108-IFERROR(H108,0))+((Besatzung!$B$17&lt;&gt;"")*IF(B108="",1,(IF(Besatzung!$C$17="",Besatzung!$B$5,Besatzung!$C$17)&lt;=B108)*(IF(Besatzung!$D$17="",Besatzung!$B$6,Besatzung!$D$17)&gt;=B108)))*(Besatzung!$F$17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$17&lt;&gt;"")*IF(B108="",1,(IF(Besatzung!$C$17="",Besatzung!$B$5,Besatzung!$C$17)&lt;=B108)*(IF(Besatzung!$D$17="",Besatzung!$B$6,Besatzung!$D$17)&gt;=B108)))*((G108-IFERROR(H108,0))/IFERROR(SUMPRODUCT((Besatzung!$B$11:$B$22&lt;&gt;"")*(IF(Besatzung!$C$11:$C$22="",Besatzung!$B$5,Besatzung!$C$11:$C$22)&lt;=B108)*(IF(Besatzung!$D$11:$D$22="",Besatzung!$B$6,Besatzung!$D$11:$D$22)&gt;=B108)),1)+(Besatzung!$F$17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P108="x")*((G108-IFERROR(H108,0))/IFERROR(COUNTIF(J108:U108,"x"),1)+(Besatzung!$F$17="x")*IFERROR(H108,0)/IFERROR(SUMPRODUCT((J108:U108="x")*(Besatzung!$F$11:$F$22="x")),1))),(IF(COUNTIF(J108:U108,"x")=0,IF(Besatzung!$B$17&lt;&gt;"",1,0),(P108="x"))*(G108-IFERROR(H108,0))/IFERROR(IF(COUNTIF(J108:U108,"x")=0,COUNTA(Besatzung!$B$11:$B$22),COUNTIF(J108:U108,"x")),1)+IF(COUNTIF(J108:U108,"x")=0,(Besatzung!$F$17="x"),(P108="x")*(Besatzung!$F$17="x"))*IFERROR(H108,0)/IFERROR(IF(COUNTIF(J108:U108,"x")=0,SUMPRODUCT((Besatzung!$B$11:$B$22&lt;&gt;"")*(Besatzung!$F$11:$F$22="x")),SUMPRODUCT((J108:U108="x")*(Besatzung!$F$11:$F$22="x"))),1))))),0))))</f>
        <v/>
      </c>
      <c r="AC108" s="106">
        <f>IF(C108="Gutschrift","",IF(G108="","",IF(Besatzung!$B$18="","",IFERROR(IF(I108="Zeitanteilig",(Besatzung!$G$18*(G108-IFERROR(H108,0))+((Besatzung!$B$18&lt;&gt;"")*IF(B108="",1,(IF(Besatzung!$C$18="",Besatzung!$B$5,Besatzung!$C$18)&lt;=B108)*(IF(Besatzung!$D$18="",Besatzung!$B$6,Besatzung!$D$18)&gt;=B108)))*(Besatzung!$F$18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$18&lt;&gt;"")*IF(B108="",1,(IF(Besatzung!$C$18="",Besatzung!$B$5,Besatzung!$C$18)&lt;=B108)*(IF(Besatzung!$D$18="",Besatzung!$B$6,Besatzung!$D$18)&gt;=B108)))*((G108-IFERROR(H108,0))/IFERROR(SUMPRODUCT((Besatzung!$B$11:$B$22&lt;&gt;"")*(IF(Besatzung!$C$11:$C$22="",Besatzung!$B$5,Besatzung!$C$11:$C$22)&lt;=B108)*(IF(Besatzung!$D$11:$D$22="",Besatzung!$B$6,Besatzung!$D$11:$D$22)&gt;=B108)),1)+(Besatzung!$F$18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Q108="x")*((G108-IFERROR(H108,0))/IFERROR(COUNTIF(J108:U108,"x"),1)+(Besatzung!$F$18="x")*IFERROR(H108,0)/IFERROR(SUMPRODUCT((J108:U108="x")*(Besatzung!$F$11:$F$22="x")),1))),(IF(COUNTIF(J108:U108,"x")=0,IF(Besatzung!$B$18&lt;&gt;"",1,0),(Q108="x"))*(G108-IFERROR(H108,0))/IFERROR(IF(COUNTIF(J108:U108,"x")=0,COUNTA(Besatzung!$B$11:$B$22),COUNTIF(J108:U108,"x")),1)+IF(COUNTIF(J108:U108,"x")=0,(Besatzung!$F$18="x"),(Q108="x")*(Besatzung!$F$18="x"))*IFERROR(H108,0)/IFERROR(IF(COUNTIF(J108:U108,"x")=0,SUMPRODUCT((Besatzung!$B$11:$B$22&lt;&gt;"")*(Besatzung!$F$11:$F$22="x")),SUMPRODUCT((J108:U108="x")*(Besatzung!$F$11:$F$22="x"))),1))))),0))))</f>
        <v/>
      </c>
      <c r="AD108" s="106">
        <f>IF(C108="Gutschrift","",IF(G108="","",IF(Besatzung!$B$19="","",IFERROR(IF(I108="Zeitanteilig",(Besatzung!$G$19*(G108-IFERROR(H108,0))+((Besatzung!$B$19&lt;&gt;"")*IF(B108="",1,(IF(Besatzung!$C$19="",Besatzung!$B$5,Besatzung!$C$19)&lt;=B108)*(IF(Besatzung!$D$19="",Besatzung!$B$6,Besatzung!$D$19)&gt;=B108)))*(Besatzung!$F$19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$19&lt;&gt;"")*IF(B108="",1,(IF(Besatzung!$C$19="",Besatzung!$B$5,Besatzung!$C$19)&lt;=B108)*(IF(Besatzung!$D$19="",Besatzung!$B$6,Besatzung!$D$19)&gt;=B108)))*((G108-IFERROR(H108,0))/IFERROR(SUMPRODUCT((Besatzung!$B$11:$B$22&lt;&gt;"")*(IF(Besatzung!$C$11:$C$22="",Besatzung!$B$5,Besatzung!$C$11:$C$22)&lt;=B108)*(IF(Besatzung!$D$11:$D$22="",Besatzung!$B$6,Besatzung!$D$11:$D$22)&gt;=B108)),1)+(Besatzung!$F$19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R108="x")*((G108-IFERROR(H108,0))/IFERROR(COUNTIF(J108:U108,"x"),1)+(Besatzung!$F$19="x")*IFERROR(H108,0)/IFERROR(SUMPRODUCT((J108:U108="x")*(Besatzung!$F$11:$F$22="x")),1))),(IF(COUNTIF(J108:U108,"x")=0,IF(Besatzung!$B$19&lt;&gt;"",1,0),(R108="x"))*(G108-IFERROR(H108,0))/IFERROR(IF(COUNTIF(J108:U108,"x")=0,COUNTA(Besatzung!$B$11:$B$22),COUNTIF(J108:U108,"x")),1)+IF(COUNTIF(J108:U108,"x")=0,(Besatzung!$F$19="x"),(R108="x")*(Besatzung!$F$19="x"))*IFERROR(H108,0)/IFERROR(IF(COUNTIF(J108:U108,"x")=0,SUMPRODUCT((Besatzung!$B$11:$B$22&lt;&gt;"")*(Besatzung!$F$11:$F$22="x")),SUMPRODUCT((J108:U108="x")*(Besatzung!$F$11:$F$22="x"))),1))))),0))))</f>
        <v/>
      </c>
      <c r="AE108" s="106">
        <f>IF(C108="Gutschrift","",IF(G108="","",IF(Besatzung!$B$20="","",IFERROR(IF(I108="Zeitanteilig",(Besatzung!$G$20*(G108-IFERROR(H108,0))+((Besatzung!$B$20&lt;&gt;"")*IF(B108="",1,(IF(Besatzung!$C$20="",Besatzung!$B$5,Besatzung!$C$20)&lt;=B108)*(IF(Besatzung!$D$20="",Besatzung!$B$6,Besatzung!$D$20)&gt;=B108)))*(Besatzung!$F$20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$20&lt;&gt;"")*IF(B108="",1,(IF(Besatzung!$C$20="",Besatzung!$B$5,Besatzung!$C$20)&lt;=B108)*(IF(Besatzung!$D$20="",Besatzung!$B$6,Besatzung!$D$20)&gt;=B108)))*((G108-IFERROR(H108,0))/IFERROR(SUMPRODUCT((Besatzung!$B$11:$B$22&lt;&gt;"")*(IF(Besatzung!$C$11:$C$22="",Besatzung!$B$5,Besatzung!$C$11:$C$22)&lt;=B108)*(IF(Besatzung!$D$11:$D$22="",Besatzung!$B$6,Besatzung!$D$11:$D$22)&gt;=B108)),1)+(Besatzung!$F$20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S108="x")*((G108-IFERROR(H108,0))/IFERROR(COUNTIF(J108:U108,"x"),1)+(Besatzung!$F$20="x")*IFERROR(H108,0)/IFERROR(SUMPRODUCT((J108:U108="x")*(Besatzung!$F$11:$F$22="x")),1))),(IF(COUNTIF(J108:U108,"x")=0,IF(Besatzung!$B$20&lt;&gt;"",1,0),(S108="x"))*(G108-IFERROR(H108,0))/IFERROR(IF(COUNTIF(J108:U108,"x")=0,COUNTA(Besatzung!$B$11:$B$22),COUNTIF(J108:U108,"x")),1)+IF(COUNTIF(J108:U108,"x")=0,(Besatzung!$F$20="x"),(S108="x")*(Besatzung!$F$20="x"))*IFERROR(H108,0)/IFERROR(IF(COUNTIF(J108:U108,"x")=0,SUMPRODUCT((Besatzung!$B$11:$B$22&lt;&gt;"")*(Besatzung!$F$11:$F$22="x")),SUMPRODUCT((J108:U108="x")*(Besatzung!$F$11:$F$22="x"))),1))))),0))))</f>
        <v/>
      </c>
      <c r="AF108" s="106">
        <f>IF(C108="Gutschrift","",IF(G108="","",IF(Besatzung!$B$21="","",IFERROR(IF(I108="Zeitanteilig",(Besatzung!$G$21*(G108-IFERROR(H108,0))+((Besatzung!$B$21&lt;&gt;"")*IF(B108="",1,(IF(Besatzung!$C$21="",Besatzung!$B$5,Besatzung!$C$21)&lt;=B108)*(IF(Besatzung!$D$21="",Besatzung!$B$6,Besatzung!$D$21)&gt;=B108)))*(Besatzung!$F$21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$21&lt;&gt;"")*IF(B108="",1,(IF(Besatzung!$C$21="",Besatzung!$B$5,Besatzung!$C$21)&lt;=B108)*(IF(Besatzung!$D$21="",Besatzung!$B$6,Besatzung!$D$21)&gt;=B108)))*((G108-IFERROR(H108,0))/IFERROR(SUMPRODUCT((Besatzung!$B$11:$B$22&lt;&gt;"")*(IF(Besatzung!$C$11:$C$22="",Besatzung!$B$5,Besatzung!$C$11:$C$22)&lt;=B108)*(IF(Besatzung!$D$11:$D$22="",Besatzung!$B$6,Besatzung!$D$11:$D$22)&gt;=B108)),1)+(Besatzung!$F$21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T108="x")*((G108-IFERROR(H108,0))/IFERROR(COUNTIF(J108:U108,"x"),1)+(Besatzung!$F$21="x")*IFERROR(H108,0)/IFERROR(SUMPRODUCT((J108:U108="x")*(Besatzung!$F$11:$F$22="x")),1))),(IF(COUNTIF(J108:U108,"x")=0,IF(Besatzung!$B$21&lt;&gt;"",1,0),(T108="x"))*(G108-IFERROR(H108,0))/IFERROR(IF(COUNTIF(J108:U108,"x")=0,COUNTA(Besatzung!$B$11:$B$22),COUNTIF(J108:U108,"x")),1)+IF(COUNTIF(J108:U108,"x")=0,(Besatzung!$F$21="x"),(T108="x")*(Besatzung!$F$21="x"))*IFERROR(H108,0)/IFERROR(IF(COUNTIF(J108:U108,"x")=0,SUMPRODUCT((Besatzung!$B$11:$B$22&lt;&gt;"")*(Besatzung!$F$11:$F$22="x")),SUMPRODUCT((J108:U108="x")*(Besatzung!$F$11:$F$22="x"))),1))))),0))))</f>
        <v/>
      </c>
      <c r="AG108" s="106">
        <f>IF(C108="Gutschrift","",IF(G108="","",IF(Besatzung!$B$22="","",IFERROR(IF(I108="Zeitanteilig",(Besatzung!$G$22*(G108-IFERROR(H108,0))+((Besatzung!$B$22&lt;&gt;"")*IF(B108="",1,(IF(Besatzung!$C$22="",Besatzung!$B$5,Besatzung!$C$22)&lt;=B108)*(IF(Besatzung!$D$22="",Besatzung!$B$6,Besatzung!$D$22)&gt;=B108)))*(Besatzung!$F$22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$22&lt;&gt;"")*IF(B108="",1,(IF(Besatzung!$C$22="",Besatzung!$B$5,Besatzung!$C$22)&lt;=B108)*(IF(Besatzung!$D$22="",Besatzung!$B$6,Besatzung!$D$22)&gt;=B108)))*((G108-IFERROR(H108,0))/IFERROR(SUMPRODUCT((Besatzung!$B$11:$B$22&lt;&gt;"")*(IF(Besatzung!$C$11:$C$22="",Besatzung!$B$5,Besatzung!$C$11:$C$22)&lt;=B108)*(IF(Besatzung!$D$11:$D$22="",Besatzung!$B$6,Besatzung!$D$11:$D$22)&gt;=B108)),1)+(Besatzung!$F$22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U108="x")*((G108-IFERROR(H108,0))/IFERROR(COUNTIF(J108:U108,"x"),1)+(Besatzung!$F$22="x")*IFERROR(H108,0)/IFERROR(SUMPRODUCT((J108:U108="x")*(Besatzung!$F$11:$F$22="x")),1))),(IF(COUNTIF(J108:U108,"x")=0,IF(Besatzung!$B$22&lt;&gt;"",1,0),(U108="x"))*(G108-IFERROR(H108,0))/IFERROR(IF(COUNTIF(J108:U108,"x")=0,COUNTA(Besatzung!$B$11:$B$22),COUNTIF(J108:U108,"x")),1)+IF(COUNTIF(J108:U108,"x")=0,(Besatzung!$F$22="x"),(U108="x")*(Besatzung!$F$22="x"))*IFERROR(H108,0)/IFERROR(IF(COUNTIF(J108:U108,"x")=0,SUMPRODUCT((Besatzung!$B$11:$B$22&lt;&gt;"")*(Besatzung!$F$11:$F$22="x")),SUMPRODUCT((J108:U108="x")*(Besatzung!$F$11:$F$22="x"))),1))))),0))))</f>
        <v/>
      </c>
      <c r="AH108" s="107" t="n"/>
      <c r="AI108" s="107" t="n"/>
    </row>
    <row r="109" ht="21.75" customHeight="1" s="182">
      <c r="A109" s="97">
        <f>IF(AND(D109="",C109=""),"",106)</f>
        <v/>
      </c>
      <c r="B109" s="63" t="n"/>
      <c r="C109" s="108" t="n"/>
      <c r="D109" s="109" t="n"/>
      <c r="E109" s="110" t="n"/>
      <c r="F109" s="111" t="n"/>
      <c r="G109" s="112" t="n"/>
      <c r="H109" s="113" t="n"/>
      <c r="I109" s="114" t="n"/>
      <c r="J109" s="115" t="n"/>
      <c r="K109" s="115" t="n"/>
      <c r="L109" s="115" t="n"/>
      <c r="M109" s="115" t="n"/>
      <c r="N109" s="115" t="n"/>
      <c r="O109" s="115" t="n"/>
      <c r="P109" s="115" t="n"/>
      <c r="Q109" s="115" t="n"/>
      <c r="R109" s="115" t="n"/>
      <c r="S109" s="115" t="n"/>
      <c r="T109" s="115" t="n"/>
      <c r="U109" s="115" t="n"/>
      <c r="V109" s="106">
        <f>IF(C109="Gutschrift","",IF(G109="","",IF(Besatzung!$B$11="","",IFERROR(IF(I109="Zeitanteilig",(Besatzung!$G$11*(G109-IFERROR(H109,0))+((Besatzung!$B$11&lt;&gt;"")*IF(B109="",1,(IF(Besatzung!$C$11="",Besatzung!$B$5,Besatzung!$C$11)&lt;=B109)*(IF(Besatzung!$D$11="",Besatzung!$B$6,Besatzung!$D$11)&gt;=B109)))*(Besatzung!$F$11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$11&lt;&gt;"")*IF(B109="",1,(IF(Besatzung!$C$11="",Besatzung!$B$5,Besatzung!$C$11)&lt;=B109)*(IF(Besatzung!$D$11="",Besatzung!$B$6,Besatzung!$D$11)&gt;=B109)))*((G109-IFERROR(H109,0))/IFERROR(SUMPRODUCT((Besatzung!$B$11:$B$22&lt;&gt;"")*(IF(Besatzung!$C$11:$C$22="",Besatzung!$B$5,Besatzung!$C$11:$C$22)&lt;=B109)*(IF(Besatzung!$D$11:$D$22="",Besatzung!$B$6,Besatzung!$D$11:$D$22)&gt;=B109)),1)+(Besatzung!$F$11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J109="x")*((G109-IFERROR(H109,0))/IFERROR(COUNTIF(J109:U109,"x"),1)+(Besatzung!$F$11="x")*IFERROR(H109,0)/IFERROR(SUMPRODUCT((J109:U109="x")*(Besatzung!$F$11:$F$22="x")),1))),(IF(COUNTIF(J109:U109,"x")=0,IF(Besatzung!$B$11&lt;&gt;"",1,0),(J109="x"))*(G109-IFERROR(H109,0))/IFERROR(IF(COUNTIF(J109:U109,"x")=0,COUNTA(Besatzung!$B$11:$B$22),COUNTIF(J109:U109,"x")),1)+IF(COUNTIF(J109:U109,"x")=0,(Besatzung!$F$11="x"),(J109="x")*(Besatzung!$F$11="x"))*IFERROR(H109,0)/IFERROR(IF(COUNTIF(J109:U109,"x")=0,SUMPRODUCT((Besatzung!$B$11:$B$22&lt;&gt;"")*(Besatzung!$F$11:$F$22="x")),SUMPRODUCT((J109:U109="x")*(Besatzung!$F$11:$F$22="x"))),1))))),0))))</f>
        <v/>
      </c>
      <c r="W109" s="106">
        <f>IF(C109="Gutschrift","",IF(G109="","",IF(Besatzung!$B$12="","",IFERROR(IF(I109="Zeitanteilig",(Besatzung!$G$12*(G109-IFERROR(H109,0))+((Besatzung!$B$12&lt;&gt;"")*IF(B109="",1,(IF(Besatzung!$C$12="",Besatzung!$B$5,Besatzung!$C$12)&lt;=B109)*(IF(Besatzung!$D$12="",Besatzung!$B$6,Besatzung!$D$12)&gt;=B109)))*(Besatzung!$F$12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$12&lt;&gt;"")*IF(B109="",1,(IF(Besatzung!$C$12="",Besatzung!$B$5,Besatzung!$C$12)&lt;=B109)*(IF(Besatzung!$D$12="",Besatzung!$B$6,Besatzung!$D$12)&gt;=B109)))*((G109-IFERROR(H109,0))/IFERROR(SUMPRODUCT((Besatzung!$B$11:$B$22&lt;&gt;"")*(IF(Besatzung!$C$11:$C$22="",Besatzung!$B$5,Besatzung!$C$11:$C$22)&lt;=B109)*(IF(Besatzung!$D$11:$D$22="",Besatzung!$B$6,Besatzung!$D$11:$D$22)&gt;=B109)),1)+(Besatzung!$F$12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K109="x")*((G109-IFERROR(H109,0))/IFERROR(COUNTIF(J109:U109,"x"),1)+(Besatzung!$F$12="x")*IFERROR(H109,0)/IFERROR(SUMPRODUCT((J109:U109="x")*(Besatzung!$F$11:$F$22="x")),1))),(IF(COUNTIF(J109:U109,"x")=0,IF(Besatzung!$B$12&lt;&gt;"",1,0),(K109="x"))*(G109-IFERROR(H109,0))/IFERROR(IF(COUNTIF(J109:U109,"x")=0,COUNTA(Besatzung!$B$11:$B$22),COUNTIF(J109:U109,"x")),1)+IF(COUNTIF(J109:U109,"x")=0,(Besatzung!$F$12="x"),(K109="x")*(Besatzung!$F$12="x"))*IFERROR(H109,0)/IFERROR(IF(COUNTIF(J109:U109,"x")=0,SUMPRODUCT((Besatzung!$B$11:$B$22&lt;&gt;"")*(Besatzung!$F$11:$F$22="x")),SUMPRODUCT((J109:U109="x")*(Besatzung!$F$11:$F$22="x"))),1))))),0))))</f>
        <v/>
      </c>
      <c r="X109" s="106">
        <f>IF(C109="Gutschrift","",IF(G109="","",IF(Besatzung!$B$13="","",IFERROR(IF(I109="Zeitanteilig",(Besatzung!$G$13*(G109-IFERROR(H109,0))+((Besatzung!$B$13&lt;&gt;"")*IF(B109="",1,(IF(Besatzung!$C$13="",Besatzung!$B$5,Besatzung!$C$13)&lt;=B109)*(IF(Besatzung!$D$13="",Besatzung!$B$6,Besatzung!$D$13)&gt;=B109)))*(Besatzung!$F$13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$13&lt;&gt;"")*IF(B109="",1,(IF(Besatzung!$C$13="",Besatzung!$B$5,Besatzung!$C$13)&lt;=B109)*(IF(Besatzung!$D$13="",Besatzung!$B$6,Besatzung!$D$13)&gt;=B109)))*((G109-IFERROR(H109,0))/IFERROR(SUMPRODUCT((Besatzung!$B$11:$B$22&lt;&gt;"")*(IF(Besatzung!$C$11:$C$22="",Besatzung!$B$5,Besatzung!$C$11:$C$22)&lt;=B109)*(IF(Besatzung!$D$11:$D$22="",Besatzung!$B$6,Besatzung!$D$11:$D$22)&gt;=B109)),1)+(Besatzung!$F$13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K109="x")*((G109-IFERROR(H109,0))/IFERROR(COUNTIF(J109:U109,"x"),1)+(Besatzung!$F$13="x")*IFERROR(H109,0)/IFERROR(SUMPRODUCT((J109:U109="x")*(Besatzung!$F$11:$F$22="x")),1))),(IF(COUNTIF(J109:U109,"x")=0,IF(Besatzung!$B$13&lt;&gt;"",1,0),(K109="x"))*(G109-IFERROR(H109,0))/IFERROR(IF(COUNTIF(J109:U109,"x")=0,COUNTA(Besatzung!$B$11:$B$22),COUNTIF(J109:U109,"x")),1)+IF(COUNTIF(J109:U109,"x")=0,(Besatzung!$F$13="x"),(K109="x")*(Besatzung!$F$13="x"))*IFERROR(H109,0)/IFERROR(IF(COUNTIF(J109:U109,"x")=0,SUMPRODUCT((Besatzung!$B$11:$B$22&lt;&gt;"")*(Besatzung!$F$11:$F$22="x")),SUMPRODUCT((J109:U109="x")*(Besatzung!$F$11:$F$22="x"))),1))))),0))))</f>
        <v/>
      </c>
      <c r="Y109" s="106">
        <f>IF(C109="Gutschrift","",IF(G109="","",IF(Besatzung!$B$14="","",IFERROR(IF(I109="Zeitanteilig",(Besatzung!$G$14*(G109-IFERROR(H109,0))+((Besatzung!$B$14&lt;&gt;"")*IF(B109="",1,(IF(Besatzung!$C$14="",Besatzung!$B$5,Besatzung!$C$14)&lt;=B109)*(IF(Besatzung!$D$14="",Besatzung!$B$6,Besatzung!$D$14)&gt;=B109)))*(Besatzung!$F$14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$14&lt;&gt;"")*IF(B109="",1,(IF(Besatzung!$C$14="",Besatzung!$B$5,Besatzung!$C$14)&lt;=B109)*(IF(Besatzung!$D$14="",Besatzung!$B$6,Besatzung!$D$14)&gt;=B109)))*((G109-IFERROR(H109,0))/IFERROR(SUMPRODUCT((Besatzung!$B$11:$B$22&lt;&gt;"")*(IF(Besatzung!$C$11:$C$22="",Besatzung!$B$5,Besatzung!$C$11:$C$22)&lt;=B109)*(IF(Besatzung!$D$11:$D$22="",Besatzung!$B$6,Besatzung!$D$11:$D$22)&gt;=B109)),1)+(Besatzung!$F$14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M109="x")*((G109-IFERROR(H109,0))/IFERROR(COUNTIF(J109:U109,"x"),1)+(Besatzung!$F$14="x")*IFERROR(H109,0)/IFERROR(SUMPRODUCT((J109:U109="x")*(Besatzung!$F$11:$F$22="x")),1))),(IF(COUNTIF(J109:U109,"x")=0,IF(Besatzung!$B$14&lt;&gt;"",1,0),(M109="x"))*(G109-IFERROR(H109,0))/IFERROR(IF(COUNTIF(J109:U109,"x")=0,COUNTA(Besatzung!$B$11:$B$22),COUNTIF(J109:U109,"x")),1)+IF(COUNTIF(J109:U109,"x")=0,(Besatzung!$F$14="x"),(M109="x")*(Besatzung!$F$14="x"))*IFERROR(H109,0)/IFERROR(IF(COUNTIF(J109:U109,"x")=0,SUMPRODUCT((Besatzung!$B$11:$B$22&lt;&gt;"")*(Besatzung!$F$11:$F$22="x")),SUMPRODUCT((J109:U109="x")*(Besatzung!$F$11:$F$22="x"))),1))))),0))))</f>
        <v/>
      </c>
      <c r="Z109" s="106">
        <f>IF(C109="Gutschrift","",IF(G109="","",IF(Besatzung!$B$13="","",IFERROR(IF(I109="Zeitanteilig",(Besatzung!$G$15*(G109-IFERROR(H109,0))+((Besatzung!$B$13&lt;&gt;"")*IF(B109="",1,(IF(Besatzung!$C$15="",Besatzung!$B$5,Besatzung!$C$15)&lt;=B109)*(IF(Besatzung!$D$15="",Besatzung!$B$6,Besatzung!$D$15)&gt;=B109)))*(Besatzung!$F$15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$13&lt;&gt;"")*IF(B109="",1,(IF(Besatzung!$C$15="",Besatzung!$B$5,Besatzung!$C$15)&lt;=B109)*(IF(Besatzung!$D$15="",Besatzung!$B$6,Besatzung!$D$15)&gt;=B109)))*((G109-IFERROR(H109,0))/IFERROR(SUMPRODUCT((Besatzung!$B$11:$B$22&lt;&gt;"")*(IF(Besatzung!$C$11:$C$22="",Besatzung!$B$5,Besatzung!$C$11:$C$22)&lt;=B109)*(IF(Besatzung!$D$11:$D$22="",Besatzung!$B$6,Besatzung!$D$11:$D$22)&gt;=B109)),1)+(Besatzung!$F$15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N109="x")*((G109-IFERROR(H109,0))/IFERROR(COUNTIF(J109:U109,"x"),1)+(Besatzung!$F$15="x")*IFERROR(H109,0)/IFERROR(SUMPRODUCT((J109:U109="x")*(Besatzung!$F$11:$F$22="x")),1))),(IF(COUNTIF(J109:U109,"x")=0,IF(Besatzung!$B$13&lt;&gt;"",1,0),(N109="x"))*(G109-IFERROR(H109,0))/IFERROR(IF(COUNTIF(J109:U109,"x")=0,COUNTA(Besatzung!$B$11:$B$22),COUNTIF(J109:U109,"x")),1)+IF(COUNTIF(J109:U109,"x")=0,(Besatzung!$F$15="x"),(N109="x")*(Besatzung!$F$15="x"))*IFERROR(H109,0)/IFERROR(IF(COUNTIF(J109:U109,"x")=0,SUMPRODUCT((Besatzung!$B$11:$B$22&lt;&gt;"")*(Besatzung!$F$11:$F$22="x")),SUMPRODUCT((J109:U109="x")*(Besatzung!$F$11:$F$22="x"))),1))))),0))))</f>
        <v/>
      </c>
      <c r="AA109" s="106">
        <f>IF(C109="Gutschrift","",IF(G109="","",IF(Besatzung!$B$15="","",IFERROR(IF(I109="Zeitanteilig",(Besatzung!$G$16*(G109-IFERROR(H109,0))+((Besatzung!$B$15&lt;&gt;"")*IF(B109="",1,(IF(Besatzung!$C$16="",Besatzung!$B$5,Besatzung!$C$16)&lt;=B109)*(IF(Besatzung!$D$16="",Besatzung!$B$6,Besatzung!$D$16)&gt;=B109)))*(Besatzung!$F$16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$15&lt;&gt;"")*IF(B109="",1,(IF(Besatzung!$C$16="",Besatzung!$B$5,Besatzung!$C$16)&lt;=B109)*(IF(Besatzung!$D$16="",Besatzung!$B$6,Besatzung!$D$16)&gt;=B109)))*((G109-IFERROR(H109,0))/IFERROR(SUMPRODUCT((Besatzung!$B$11:$B$22&lt;&gt;"")*(IF(Besatzung!$C$11:$C$22="",Besatzung!$B$5,Besatzung!$C$11:$C$22)&lt;=B109)*(IF(Besatzung!$D$11:$D$22="",Besatzung!$B$6,Besatzung!$D$11:$D$22)&gt;=B109)),1)+(Besatzung!$F$16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O109="x")*((G109-IFERROR(H109,0))/IFERROR(COUNTIF(J109:U109,"x"),1)+(Besatzung!$F$16="x")*IFERROR(H109,0)/IFERROR(SUMPRODUCT((J109:U109="x")*(Besatzung!$F$11:$F$22="x")),1))),(IF(COUNTIF(J109:U109,"x")=0,IF(Besatzung!$B$15&lt;&gt;"",1,0),(O109="x"))*(G109-IFERROR(H109,0))/IFERROR(IF(COUNTIF(J109:U109,"x")=0,COUNTA(Besatzung!$B$11:$B$22),COUNTIF(J109:U109,"x")),1)+IF(COUNTIF(J109:U109,"x")=0,(Besatzung!$F$16="x"),(O109="x")*(Besatzung!$F$16="x"))*IFERROR(H109,0)/IFERROR(IF(COUNTIF(J109:U109,"x")=0,SUMPRODUCT((Besatzung!$B$11:$B$22&lt;&gt;"")*(Besatzung!$F$11:$F$22="x")),SUMPRODUCT((J109:U109="x")*(Besatzung!$F$11:$F$22="x"))),1))))),0))))</f>
        <v/>
      </c>
      <c r="AB109" s="106">
        <f>IF(C109="Gutschrift","",IF(G109="","",IF(Besatzung!$B$17="","",IFERROR(IF(I109="Zeitanteilig",(Besatzung!$G$17*(G109-IFERROR(H109,0))+((Besatzung!$B$17&lt;&gt;"")*IF(B109="",1,(IF(Besatzung!$C$17="",Besatzung!$B$5,Besatzung!$C$17)&lt;=B109)*(IF(Besatzung!$D$17="",Besatzung!$B$6,Besatzung!$D$17)&gt;=B109)))*(Besatzung!$F$17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$17&lt;&gt;"")*IF(B109="",1,(IF(Besatzung!$C$17="",Besatzung!$B$5,Besatzung!$C$17)&lt;=B109)*(IF(Besatzung!$D$17="",Besatzung!$B$6,Besatzung!$D$17)&gt;=B109)))*((G109-IFERROR(H109,0))/IFERROR(SUMPRODUCT((Besatzung!$B$11:$B$22&lt;&gt;"")*(IF(Besatzung!$C$11:$C$22="",Besatzung!$B$5,Besatzung!$C$11:$C$22)&lt;=B109)*(IF(Besatzung!$D$11:$D$22="",Besatzung!$B$6,Besatzung!$D$11:$D$22)&gt;=B109)),1)+(Besatzung!$F$17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P109="x")*((G109-IFERROR(H109,0))/IFERROR(COUNTIF(J109:U109,"x"),1)+(Besatzung!$F$17="x")*IFERROR(H109,0)/IFERROR(SUMPRODUCT((J109:U109="x")*(Besatzung!$F$11:$F$22="x")),1))),(IF(COUNTIF(J109:U109,"x")=0,IF(Besatzung!$B$17&lt;&gt;"",1,0),(P109="x"))*(G109-IFERROR(H109,0))/IFERROR(IF(COUNTIF(J109:U109,"x")=0,COUNTA(Besatzung!$B$11:$B$22),COUNTIF(J109:U109,"x")),1)+IF(COUNTIF(J109:U109,"x")=0,(Besatzung!$F$17="x"),(P109="x")*(Besatzung!$F$17="x"))*IFERROR(H109,0)/IFERROR(IF(COUNTIF(J109:U109,"x")=0,SUMPRODUCT((Besatzung!$B$11:$B$22&lt;&gt;"")*(Besatzung!$F$11:$F$22="x")),SUMPRODUCT((J109:U109="x")*(Besatzung!$F$11:$F$22="x"))),1))))),0))))</f>
        <v/>
      </c>
      <c r="AC109" s="106">
        <f>IF(C109="Gutschrift","",IF(G109="","",IF(Besatzung!$B$18="","",IFERROR(IF(I109="Zeitanteilig",(Besatzung!$G$18*(G109-IFERROR(H109,0))+((Besatzung!$B$18&lt;&gt;"")*IF(B109="",1,(IF(Besatzung!$C$18="",Besatzung!$B$5,Besatzung!$C$18)&lt;=B109)*(IF(Besatzung!$D$18="",Besatzung!$B$6,Besatzung!$D$18)&gt;=B109)))*(Besatzung!$F$18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$18&lt;&gt;"")*IF(B109="",1,(IF(Besatzung!$C$18="",Besatzung!$B$5,Besatzung!$C$18)&lt;=B109)*(IF(Besatzung!$D$18="",Besatzung!$B$6,Besatzung!$D$18)&gt;=B109)))*((G109-IFERROR(H109,0))/IFERROR(SUMPRODUCT((Besatzung!$B$11:$B$22&lt;&gt;"")*(IF(Besatzung!$C$11:$C$22="",Besatzung!$B$5,Besatzung!$C$11:$C$22)&lt;=B109)*(IF(Besatzung!$D$11:$D$22="",Besatzung!$B$6,Besatzung!$D$11:$D$22)&gt;=B109)),1)+(Besatzung!$F$18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Q109="x")*((G109-IFERROR(H109,0))/IFERROR(COUNTIF(J109:U109,"x"),1)+(Besatzung!$F$18="x")*IFERROR(H109,0)/IFERROR(SUMPRODUCT((J109:U109="x")*(Besatzung!$F$11:$F$22="x")),1))),(IF(COUNTIF(J109:U109,"x")=0,IF(Besatzung!$B$18&lt;&gt;"",1,0),(Q109="x"))*(G109-IFERROR(H109,0))/IFERROR(IF(COUNTIF(J109:U109,"x")=0,COUNTA(Besatzung!$B$11:$B$22),COUNTIF(J109:U109,"x")),1)+IF(COUNTIF(J109:U109,"x")=0,(Besatzung!$F$18="x"),(Q109="x")*(Besatzung!$F$18="x"))*IFERROR(H109,0)/IFERROR(IF(COUNTIF(J109:U109,"x")=0,SUMPRODUCT((Besatzung!$B$11:$B$22&lt;&gt;"")*(Besatzung!$F$11:$F$22="x")),SUMPRODUCT((J109:U109="x")*(Besatzung!$F$11:$F$22="x"))),1))))),0))))</f>
        <v/>
      </c>
      <c r="AD109" s="106">
        <f>IF(C109="Gutschrift","",IF(G109="","",IF(Besatzung!$B$19="","",IFERROR(IF(I109="Zeitanteilig",(Besatzung!$G$19*(G109-IFERROR(H109,0))+((Besatzung!$B$19&lt;&gt;"")*IF(B109="",1,(IF(Besatzung!$C$19="",Besatzung!$B$5,Besatzung!$C$19)&lt;=B109)*(IF(Besatzung!$D$19="",Besatzung!$B$6,Besatzung!$D$19)&gt;=B109)))*(Besatzung!$F$19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$19&lt;&gt;"")*IF(B109="",1,(IF(Besatzung!$C$19="",Besatzung!$B$5,Besatzung!$C$19)&lt;=B109)*(IF(Besatzung!$D$19="",Besatzung!$B$6,Besatzung!$D$19)&gt;=B109)))*((G109-IFERROR(H109,0))/IFERROR(SUMPRODUCT((Besatzung!$B$11:$B$22&lt;&gt;"")*(IF(Besatzung!$C$11:$C$22="",Besatzung!$B$5,Besatzung!$C$11:$C$22)&lt;=B109)*(IF(Besatzung!$D$11:$D$22="",Besatzung!$B$6,Besatzung!$D$11:$D$22)&gt;=B109)),1)+(Besatzung!$F$19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R109="x")*((G109-IFERROR(H109,0))/IFERROR(COUNTIF(J109:U109,"x"),1)+(Besatzung!$F$19="x")*IFERROR(H109,0)/IFERROR(SUMPRODUCT((J109:U109="x")*(Besatzung!$F$11:$F$22="x")),1))),(IF(COUNTIF(J109:U109,"x")=0,IF(Besatzung!$B$19&lt;&gt;"",1,0),(R109="x"))*(G109-IFERROR(H109,0))/IFERROR(IF(COUNTIF(J109:U109,"x")=0,COUNTA(Besatzung!$B$11:$B$22),COUNTIF(J109:U109,"x")),1)+IF(COUNTIF(J109:U109,"x")=0,(Besatzung!$F$19="x"),(R109="x")*(Besatzung!$F$19="x"))*IFERROR(H109,0)/IFERROR(IF(COUNTIF(J109:U109,"x")=0,SUMPRODUCT((Besatzung!$B$11:$B$22&lt;&gt;"")*(Besatzung!$F$11:$F$22="x")),SUMPRODUCT((J109:U109="x")*(Besatzung!$F$11:$F$22="x"))),1))))),0))))</f>
        <v/>
      </c>
      <c r="AE109" s="106">
        <f>IF(C109="Gutschrift","",IF(G109="","",IF(Besatzung!$B$20="","",IFERROR(IF(I109="Zeitanteilig",(Besatzung!$G$20*(G109-IFERROR(H109,0))+((Besatzung!$B$20&lt;&gt;"")*IF(B109="",1,(IF(Besatzung!$C$20="",Besatzung!$B$5,Besatzung!$C$20)&lt;=B109)*(IF(Besatzung!$D$20="",Besatzung!$B$6,Besatzung!$D$20)&gt;=B109)))*(Besatzung!$F$20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$20&lt;&gt;"")*IF(B109="",1,(IF(Besatzung!$C$20="",Besatzung!$B$5,Besatzung!$C$20)&lt;=B109)*(IF(Besatzung!$D$20="",Besatzung!$B$6,Besatzung!$D$20)&gt;=B109)))*((G109-IFERROR(H109,0))/IFERROR(SUMPRODUCT((Besatzung!$B$11:$B$22&lt;&gt;"")*(IF(Besatzung!$C$11:$C$22="",Besatzung!$B$5,Besatzung!$C$11:$C$22)&lt;=B109)*(IF(Besatzung!$D$11:$D$22="",Besatzung!$B$6,Besatzung!$D$11:$D$22)&gt;=B109)),1)+(Besatzung!$F$20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S109="x")*((G109-IFERROR(H109,0))/IFERROR(COUNTIF(J109:U109,"x"),1)+(Besatzung!$F$20="x")*IFERROR(H109,0)/IFERROR(SUMPRODUCT((J109:U109="x")*(Besatzung!$F$11:$F$22="x")),1))),(IF(COUNTIF(J109:U109,"x")=0,IF(Besatzung!$B$20&lt;&gt;"",1,0),(S109="x"))*(G109-IFERROR(H109,0))/IFERROR(IF(COUNTIF(J109:U109,"x")=0,COUNTA(Besatzung!$B$11:$B$22),COUNTIF(J109:U109,"x")),1)+IF(COUNTIF(J109:U109,"x")=0,(Besatzung!$F$20="x"),(S109="x")*(Besatzung!$F$20="x"))*IFERROR(H109,0)/IFERROR(IF(COUNTIF(J109:U109,"x")=0,SUMPRODUCT((Besatzung!$B$11:$B$22&lt;&gt;"")*(Besatzung!$F$11:$F$22="x")),SUMPRODUCT((J109:U109="x")*(Besatzung!$F$11:$F$22="x"))),1))))),0))))</f>
        <v/>
      </c>
      <c r="AF109" s="106">
        <f>IF(C109="Gutschrift","",IF(G109="","",IF(Besatzung!$B$21="","",IFERROR(IF(I109="Zeitanteilig",(Besatzung!$G$21*(G109-IFERROR(H109,0))+((Besatzung!$B$21&lt;&gt;"")*IF(B109="",1,(IF(Besatzung!$C$21="",Besatzung!$B$5,Besatzung!$C$21)&lt;=B109)*(IF(Besatzung!$D$21="",Besatzung!$B$6,Besatzung!$D$21)&gt;=B109)))*(Besatzung!$F$21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$21&lt;&gt;"")*IF(B109="",1,(IF(Besatzung!$C$21="",Besatzung!$B$5,Besatzung!$C$21)&lt;=B109)*(IF(Besatzung!$D$21="",Besatzung!$B$6,Besatzung!$D$21)&gt;=B109)))*((G109-IFERROR(H109,0))/IFERROR(SUMPRODUCT((Besatzung!$B$11:$B$22&lt;&gt;"")*(IF(Besatzung!$C$11:$C$22="",Besatzung!$B$5,Besatzung!$C$11:$C$22)&lt;=B109)*(IF(Besatzung!$D$11:$D$22="",Besatzung!$B$6,Besatzung!$D$11:$D$22)&gt;=B109)),1)+(Besatzung!$F$21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T109="x")*((G109-IFERROR(H109,0))/IFERROR(COUNTIF(J109:U109,"x"),1)+(Besatzung!$F$21="x")*IFERROR(H109,0)/IFERROR(SUMPRODUCT((J109:U109="x")*(Besatzung!$F$11:$F$22="x")),1))),(IF(COUNTIF(J109:U109,"x")=0,IF(Besatzung!$B$21&lt;&gt;"",1,0),(T109="x"))*(G109-IFERROR(H109,0))/IFERROR(IF(COUNTIF(J109:U109,"x")=0,COUNTA(Besatzung!$B$11:$B$22),COUNTIF(J109:U109,"x")),1)+IF(COUNTIF(J109:U109,"x")=0,(Besatzung!$F$21="x"),(T109="x")*(Besatzung!$F$21="x"))*IFERROR(H109,0)/IFERROR(IF(COUNTIF(J109:U109,"x")=0,SUMPRODUCT((Besatzung!$B$11:$B$22&lt;&gt;"")*(Besatzung!$F$11:$F$22="x")),SUMPRODUCT((J109:U109="x")*(Besatzung!$F$11:$F$22="x"))),1))))),0))))</f>
        <v/>
      </c>
      <c r="AG109" s="106">
        <f>IF(C109="Gutschrift","",IF(G109="","",IF(Besatzung!$B$22="","",IFERROR(IF(I109="Zeitanteilig",(Besatzung!$G$22*(G109-IFERROR(H109,0))+((Besatzung!$B$22&lt;&gt;"")*IF(B109="",1,(IF(Besatzung!$C$22="",Besatzung!$B$5,Besatzung!$C$22)&lt;=B109)*(IF(Besatzung!$D$22="",Besatzung!$B$6,Besatzung!$D$22)&gt;=B109)))*(Besatzung!$F$22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$22&lt;&gt;"")*IF(B109="",1,(IF(Besatzung!$C$22="",Besatzung!$B$5,Besatzung!$C$22)&lt;=B109)*(IF(Besatzung!$D$22="",Besatzung!$B$6,Besatzung!$D$22)&gt;=B109)))*((G109-IFERROR(H109,0))/IFERROR(SUMPRODUCT((Besatzung!$B$11:$B$22&lt;&gt;"")*(IF(Besatzung!$C$11:$C$22="",Besatzung!$B$5,Besatzung!$C$11:$C$22)&lt;=B109)*(IF(Besatzung!$D$11:$D$22="",Besatzung!$B$6,Besatzung!$D$11:$D$22)&gt;=B109)),1)+(Besatzung!$F$22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U109="x")*((G109-IFERROR(H109,0))/IFERROR(COUNTIF(J109:U109,"x"),1)+(Besatzung!$F$22="x")*IFERROR(H109,0)/IFERROR(SUMPRODUCT((J109:U109="x")*(Besatzung!$F$11:$F$22="x")),1))),(IF(COUNTIF(J109:U109,"x")=0,IF(Besatzung!$B$22&lt;&gt;"",1,0),(U109="x"))*(G109-IFERROR(H109,0))/IFERROR(IF(COUNTIF(J109:U109,"x")=0,COUNTA(Besatzung!$B$11:$B$22),COUNTIF(J109:U109,"x")),1)+IF(COUNTIF(J109:U109,"x")=0,(Besatzung!$F$22="x"),(U109="x")*(Besatzung!$F$22="x"))*IFERROR(H109,0)/IFERROR(IF(COUNTIF(J109:U109,"x")=0,SUMPRODUCT((Besatzung!$B$11:$B$22&lt;&gt;"")*(Besatzung!$F$11:$F$22="x")),SUMPRODUCT((J109:U109="x")*(Besatzung!$F$11:$F$22="x"))),1))))),0))))</f>
        <v/>
      </c>
      <c r="AH109" s="107" t="n"/>
      <c r="AI109" s="107" t="n"/>
    </row>
    <row r="110" ht="21.75" customHeight="1" s="182">
      <c r="A110" s="97">
        <f>IF(AND(D110="",C110=""),"",107)</f>
        <v/>
      </c>
      <c r="B110" s="56" t="n"/>
      <c r="C110" s="98" t="n"/>
      <c r="D110" s="99" t="n"/>
      <c r="E110" s="100" t="n"/>
      <c r="F110" s="101" t="n"/>
      <c r="G110" s="102" t="n"/>
      <c r="H110" s="103" t="n"/>
      <c r="I110" s="104" t="n"/>
      <c r="J110" s="105" t="n"/>
      <c r="K110" s="105" t="n"/>
      <c r="L110" s="105" t="n"/>
      <c r="M110" s="105" t="n"/>
      <c r="N110" s="105" t="n"/>
      <c r="O110" s="105" t="n"/>
      <c r="P110" s="105" t="n"/>
      <c r="Q110" s="105" t="n"/>
      <c r="R110" s="105" t="n"/>
      <c r="S110" s="105" t="n"/>
      <c r="T110" s="105" t="n"/>
      <c r="U110" s="105" t="n"/>
      <c r="V110" s="106">
        <f>IF(C110="Gutschrift","",IF(G110="","",IF(Besatzung!$B$11="","",IFERROR(IF(I110="Zeitanteilig",(Besatzung!$G$11*(G110-IFERROR(H110,0))+((Besatzung!$B$11&lt;&gt;"")*IF(B110="",1,(IF(Besatzung!$C$11="",Besatzung!$B$5,Besatzung!$C$11)&lt;=B110)*(IF(Besatzung!$D$11="",Besatzung!$B$6,Besatzung!$D$11)&gt;=B110)))*(Besatzung!$F$11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$11&lt;&gt;"")*IF(B110="",1,(IF(Besatzung!$C$11="",Besatzung!$B$5,Besatzung!$C$11)&lt;=B110)*(IF(Besatzung!$D$11="",Besatzung!$B$6,Besatzung!$D$11)&gt;=B110)))*((G110-IFERROR(H110,0))/IFERROR(SUMPRODUCT((Besatzung!$B$11:$B$22&lt;&gt;"")*(IF(Besatzung!$C$11:$C$22="",Besatzung!$B$5,Besatzung!$C$11:$C$22)&lt;=B110)*(IF(Besatzung!$D$11:$D$22="",Besatzung!$B$6,Besatzung!$D$11:$D$22)&gt;=B110)),1)+(Besatzung!$F$11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J110="x")*((G110-IFERROR(H110,0))/IFERROR(COUNTIF(J110:U110,"x"),1)+(Besatzung!$F$11="x")*IFERROR(H110,0)/IFERROR(SUMPRODUCT((J110:U110="x")*(Besatzung!$F$11:$F$22="x")),1))),(IF(COUNTIF(J110:U110,"x")=0,IF(Besatzung!$B$11&lt;&gt;"",1,0),(J110="x"))*(G110-IFERROR(H110,0))/IFERROR(IF(COUNTIF(J110:U110,"x")=0,COUNTA(Besatzung!$B$11:$B$22),COUNTIF(J110:U110,"x")),1)+IF(COUNTIF(J110:U110,"x")=0,(Besatzung!$F$11="x"),(J110="x")*(Besatzung!$F$11="x"))*IFERROR(H110,0)/IFERROR(IF(COUNTIF(J110:U110,"x")=0,SUMPRODUCT((Besatzung!$B$11:$B$22&lt;&gt;"")*(Besatzung!$F$11:$F$22="x")),SUMPRODUCT((J110:U110="x")*(Besatzung!$F$11:$F$22="x"))),1))))),0))))</f>
        <v/>
      </c>
      <c r="W110" s="106">
        <f>IF(C110="Gutschrift","",IF(G110="","",IF(Besatzung!$B$12="","",IFERROR(IF(I110="Zeitanteilig",(Besatzung!$G$12*(G110-IFERROR(H110,0))+((Besatzung!$B$12&lt;&gt;"")*IF(B110="",1,(IF(Besatzung!$C$12="",Besatzung!$B$5,Besatzung!$C$12)&lt;=B110)*(IF(Besatzung!$D$12="",Besatzung!$B$6,Besatzung!$D$12)&gt;=B110)))*(Besatzung!$F$12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$12&lt;&gt;"")*IF(B110="",1,(IF(Besatzung!$C$12="",Besatzung!$B$5,Besatzung!$C$12)&lt;=B110)*(IF(Besatzung!$D$12="",Besatzung!$B$6,Besatzung!$D$12)&gt;=B110)))*((G110-IFERROR(H110,0))/IFERROR(SUMPRODUCT((Besatzung!$B$11:$B$22&lt;&gt;"")*(IF(Besatzung!$C$11:$C$22="",Besatzung!$B$5,Besatzung!$C$11:$C$22)&lt;=B110)*(IF(Besatzung!$D$11:$D$22="",Besatzung!$B$6,Besatzung!$D$11:$D$22)&gt;=B110)),1)+(Besatzung!$F$12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K110="x")*((G110-IFERROR(H110,0))/IFERROR(COUNTIF(J110:U110,"x"),1)+(Besatzung!$F$12="x")*IFERROR(H110,0)/IFERROR(SUMPRODUCT((J110:U110="x")*(Besatzung!$F$11:$F$22="x")),1))),(IF(COUNTIF(J110:U110,"x")=0,IF(Besatzung!$B$12&lt;&gt;"",1,0),(K110="x"))*(G110-IFERROR(H110,0))/IFERROR(IF(COUNTIF(J110:U110,"x")=0,COUNTA(Besatzung!$B$11:$B$22),COUNTIF(J110:U110,"x")),1)+IF(COUNTIF(J110:U110,"x")=0,(Besatzung!$F$12="x"),(K110="x")*(Besatzung!$F$12="x"))*IFERROR(H110,0)/IFERROR(IF(COUNTIF(J110:U110,"x")=0,SUMPRODUCT((Besatzung!$B$11:$B$22&lt;&gt;"")*(Besatzung!$F$11:$F$22="x")),SUMPRODUCT((J110:U110="x")*(Besatzung!$F$11:$F$22="x"))),1))))),0))))</f>
        <v/>
      </c>
      <c r="X110" s="106">
        <f>IF(C110="Gutschrift","",IF(G110="","",IF(Besatzung!$B$13="","",IFERROR(IF(I110="Zeitanteilig",(Besatzung!$G$13*(G110-IFERROR(H110,0))+((Besatzung!$B$13&lt;&gt;"")*IF(B110="",1,(IF(Besatzung!$C$13="",Besatzung!$B$5,Besatzung!$C$13)&lt;=B110)*(IF(Besatzung!$D$13="",Besatzung!$B$6,Besatzung!$D$13)&gt;=B110)))*(Besatzung!$F$13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$13&lt;&gt;"")*IF(B110="",1,(IF(Besatzung!$C$13="",Besatzung!$B$5,Besatzung!$C$13)&lt;=B110)*(IF(Besatzung!$D$13="",Besatzung!$B$6,Besatzung!$D$13)&gt;=B110)))*((G110-IFERROR(H110,0))/IFERROR(SUMPRODUCT((Besatzung!$B$11:$B$22&lt;&gt;"")*(IF(Besatzung!$C$11:$C$22="",Besatzung!$B$5,Besatzung!$C$11:$C$22)&lt;=B110)*(IF(Besatzung!$D$11:$D$22="",Besatzung!$B$6,Besatzung!$D$11:$D$22)&gt;=B110)),1)+(Besatzung!$F$13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K110="x")*((G110-IFERROR(H110,0))/IFERROR(COUNTIF(J110:U110,"x"),1)+(Besatzung!$F$13="x")*IFERROR(H110,0)/IFERROR(SUMPRODUCT((J110:U110="x")*(Besatzung!$F$11:$F$22="x")),1))),(IF(COUNTIF(J110:U110,"x")=0,IF(Besatzung!$B$13&lt;&gt;"",1,0),(K110="x"))*(G110-IFERROR(H110,0))/IFERROR(IF(COUNTIF(J110:U110,"x")=0,COUNTA(Besatzung!$B$11:$B$22),COUNTIF(J110:U110,"x")),1)+IF(COUNTIF(J110:U110,"x")=0,(Besatzung!$F$13="x"),(K110="x")*(Besatzung!$F$13="x"))*IFERROR(H110,0)/IFERROR(IF(COUNTIF(J110:U110,"x")=0,SUMPRODUCT((Besatzung!$B$11:$B$22&lt;&gt;"")*(Besatzung!$F$11:$F$22="x")),SUMPRODUCT((J110:U110="x")*(Besatzung!$F$11:$F$22="x"))),1))))),0))))</f>
        <v/>
      </c>
      <c r="Y110" s="106">
        <f>IF(C110="Gutschrift","",IF(G110="","",IF(Besatzung!$B$14="","",IFERROR(IF(I110="Zeitanteilig",(Besatzung!$G$14*(G110-IFERROR(H110,0))+((Besatzung!$B$14&lt;&gt;"")*IF(B110="",1,(IF(Besatzung!$C$14="",Besatzung!$B$5,Besatzung!$C$14)&lt;=B110)*(IF(Besatzung!$D$14="",Besatzung!$B$6,Besatzung!$D$14)&gt;=B110)))*(Besatzung!$F$14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$14&lt;&gt;"")*IF(B110="",1,(IF(Besatzung!$C$14="",Besatzung!$B$5,Besatzung!$C$14)&lt;=B110)*(IF(Besatzung!$D$14="",Besatzung!$B$6,Besatzung!$D$14)&gt;=B110)))*((G110-IFERROR(H110,0))/IFERROR(SUMPRODUCT((Besatzung!$B$11:$B$22&lt;&gt;"")*(IF(Besatzung!$C$11:$C$22="",Besatzung!$B$5,Besatzung!$C$11:$C$22)&lt;=B110)*(IF(Besatzung!$D$11:$D$22="",Besatzung!$B$6,Besatzung!$D$11:$D$22)&gt;=B110)),1)+(Besatzung!$F$14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M110="x")*((G110-IFERROR(H110,0))/IFERROR(COUNTIF(J110:U110,"x"),1)+(Besatzung!$F$14="x")*IFERROR(H110,0)/IFERROR(SUMPRODUCT((J110:U110="x")*(Besatzung!$F$11:$F$22="x")),1))),(IF(COUNTIF(J110:U110,"x")=0,IF(Besatzung!$B$14&lt;&gt;"",1,0),(M110="x"))*(G110-IFERROR(H110,0))/IFERROR(IF(COUNTIF(J110:U110,"x")=0,COUNTA(Besatzung!$B$11:$B$22),COUNTIF(J110:U110,"x")),1)+IF(COUNTIF(J110:U110,"x")=0,(Besatzung!$F$14="x"),(M110="x")*(Besatzung!$F$14="x"))*IFERROR(H110,0)/IFERROR(IF(COUNTIF(J110:U110,"x")=0,SUMPRODUCT((Besatzung!$B$11:$B$22&lt;&gt;"")*(Besatzung!$F$11:$F$22="x")),SUMPRODUCT((J110:U110="x")*(Besatzung!$F$11:$F$22="x"))),1))))),0))))</f>
        <v/>
      </c>
      <c r="Z110" s="106">
        <f>IF(C110="Gutschrift","",IF(G110="","",IF(Besatzung!$B$13="","",IFERROR(IF(I110="Zeitanteilig",(Besatzung!$G$15*(G110-IFERROR(H110,0))+((Besatzung!$B$13&lt;&gt;"")*IF(B110="",1,(IF(Besatzung!$C$15="",Besatzung!$B$5,Besatzung!$C$15)&lt;=B110)*(IF(Besatzung!$D$15="",Besatzung!$B$6,Besatzung!$D$15)&gt;=B110)))*(Besatzung!$F$15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$13&lt;&gt;"")*IF(B110="",1,(IF(Besatzung!$C$15="",Besatzung!$B$5,Besatzung!$C$15)&lt;=B110)*(IF(Besatzung!$D$15="",Besatzung!$B$6,Besatzung!$D$15)&gt;=B110)))*((G110-IFERROR(H110,0))/IFERROR(SUMPRODUCT((Besatzung!$B$11:$B$22&lt;&gt;"")*(IF(Besatzung!$C$11:$C$22="",Besatzung!$B$5,Besatzung!$C$11:$C$22)&lt;=B110)*(IF(Besatzung!$D$11:$D$22="",Besatzung!$B$6,Besatzung!$D$11:$D$22)&gt;=B110)),1)+(Besatzung!$F$15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N110="x")*((G110-IFERROR(H110,0))/IFERROR(COUNTIF(J110:U110,"x"),1)+(Besatzung!$F$15="x")*IFERROR(H110,0)/IFERROR(SUMPRODUCT((J110:U110="x")*(Besatzung!$F$11:$F$22="x")),1))),(IF(COUNTIF(J110:U110,"x")=0,IF(Besatzung!$B$13&lt;&gt;"",1,0),(N110="x"))*(G110-IFERROR(H110,0))/IFERROR(IF(COUNTIF(J110:U110,"x")=0,COUNTA(Besatzung!$B$11:$B$22),COUNTIF(J110:U110,"x")),1)+IF(COUNTIF(J110:U110,"x")=0,(Besatzung!$F$15="x"),(N110="x")*(Besatzung!$F$15="x"))*IFERROR(H110,0)/IFERROR(IF(COUNTIF(J110:U110,"x")=0,SUMPRODUCT((Besatzung!$B$11:$B$22&lt;&gt;"")*(Besatzung!$F$11:$F$22="x")),SUMPRODUCT((J110:U110="x")*(Besatzung!$F$11:$F$22="x"))),1))))),0))))</f>
        <v/>
      </c>
      <c r="AA110" s="106">
        <f>IF(C110="Gutschrift","",IF(G110="","",IF(Besatzung!$B$15="","",IFERROR(IF(I110="Zeitanteilig",(Besatzung!$G$16*(G110-IFERROR(H110,0))+((Besatzung!$B$15&lt;&gt;"")*IF(B110="",1,(IF(Besatzung!$C$16="",Besatzung!$B$5,Besatzung!$C$16)&lt;=B110)*(IF(Besatzung!$D$16="",Besatzung!$B$6,Besatzung!$D$16)&gt;=B110)))*(Besatzung!$F$16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$15&lt;&gt;"")*IF(B110="",1,(IF(Besatzung!$C$16="",Besatzung!$B$5,Besatzung!$C$16)&lt;=B110)*(IF(Besatzung!$D$16="",Besatzung!$B$6,Besatzung!$D$16)&gt;=B110)))*((G110-IFERROR(H110,0))/IFERROR(SUMPRODUCT((Besatzung!$B$11:$B$22&lt;&gt;"")*(IF(Besatzung!$C$11:$C$22="",Besatzung!$B$5,Besatzung!$C$11:$C$22)&lt;=B110)*(IF(Besatzung!$D$11:$D$22="",Besatzung!$B$6,Besatzung!$D$11:$D$22)&gt;=B110)),1)+(Besatzung!$F$16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O110="x")*((G110-IFERROR(H110,0))/IFERROR(COUNTIF(J110:U110,"x"),1)+(Besatzung!$F$16="x")*IFERROR(H110,0)/IFERROR(SUMPRODUCT((J110:U110="x")*(Besatzung!$F$11:$F$22="x")),1))),(IF(COUNTIF(J110:U110,"x")=0,IF(Besatzung!$B$15&lt;&gt;"",1,0),(O110="x"))*(G110-IFERROR(H110,0))/IFERROR(IF(COUNTIF(J110:U110,"x")=0,COUNTA(Besatzung!$B$11:$B$22),COUNTIF(J110:U110,"x")),1)+IF(COUNTIF(J110:U110,"x")=0,(Besatzung!$F$16="x"),(O110="x")*(Besatzung!$F$16="x"))*IFERROR(H110,0)/IFERROR(IF(COUNTIF(J110:U110,"x")=0,SUMPRODUCT((Besatzung!$B$11:$B$22&lt;&gt;"")*(Besatzung!$F$11:$F$22="x")),SUMPRODUCT((J110:U110="x")*(Besatzung!$F$11:$F$22="x"))),1))))),0))))</f>
        <v/>
      </c>
      <c r="AB110" s="106">
        <f>IF(C110="Gutschrift","",IF(G110="","",IF(Besatzung!$B$17="","",IFERROR(IF(I110="Zeitanteilig",(Besatzung!$G$17*(G110-IFERROR(H110,0))+((Besatzung!$B$17&lt;&gt;"")*IF(B110="",1,(IF(Besatzung!$C$17="",Besatzung!$B$5,Besatzung!$C$17)&lt;=B110)*(IF(Besatzung!$D$17="",Besatzung!$B$6,Besatzung!$D$17)&gt;=B110)))*(Besatzung!$F$17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$17&lt;&gt;"")*IF(B110="",1,(IF(Besatzung!$C$17="",Besatzung!$B$5,Besatzung!$C$17)&lt;=B110)*(IF(Besatzung!$D$17="",Besatzung!$B$6,Besatzung!$D$17)&gt;=B110)))*((G110-IFERROR(H110,0))/IFERROR(SUMPRODUCT((Besatzung!$B$11:$B$22&lt;&gt;"")*(IF(Besatzung!$C$11:$C$22="",Besatzung!$B$5,Besatzung!$C$11:$C$22)&lt;=B110)*(IF(Besatzung!$D$11:$D$22="",Besatzung!$B$6,Besatzung!$D$11:$D$22)&gt;=B110)),1)+(Besatzung!$F$17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P110="x")*((G110-IFERROR(H110,0))/IFERROR(COUNTIF(J110:U110,"x"),1)+(Besatzung!$F$17="x")*IFERROR(H110,0)/IFERROR(SUMPRODUCT((J110:U110="x")*(Besatzung!$F$11:$F$22="x")),1))),(IF(COUNTIF(J110:U110,"x")=0,IF(Besatzung!$B$17&lt;&gt;"",1,0),(P110="x"))*(G110-IFERROR(H110,0))/IFERROR(IF(COUNTIF(J110:U110,"x")=0,COUNTA(Besatzung!$B$11:$B$22),COUNTIF(J110:U110,"x")),1)+IF(COUNTIF(J110:U110,"x")=0,(Besatzung!$F$17="x"),(P110="x")*(Besatzung!$F$17="x"))*IFERROR(H110,0)/IFERROR(IF(COUNTIF(J110:U110,"x")=0,SUMPRODUCT((Besatzung!$B$11:$B$22&lt;&gt;"")*(Besatzung!$F$11:$F$22="x")),SUMPRODUCT((J110:U110="x")*(Besatzung!$F$11:$F$22="x"))),1))))),0))))</f>
        <v/>
      </c>
      <c r="AC110" s="106">
        <f>IF(C110="Gutschrift","",IF(G110="","",IF(Besatzung!$B$18="","",IFERROR(IF(I110="Zeitanteilig",(Besatzung!$G$18*(G110-IFERROR(H110,0))+((Besatzung!$B$18&lt;&gt;"")*IF(B110="",1,(IF(Besatzung!$C$18="",Besatzung!$B$5,Besatzung!$C$18)&lt;=B110)*(IF(Besatzung!$D$18="",Besatzung!$B$6,Besatzung!$D$18)&gt;=B110)))*(Besatzung!$F$18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$18&lt;&gt;"")*IF(B110="",1,(IF(Besatzung!$C$18="",Besatzung!$B$5,Besatzung!$C$18)&lt;=B110)*(IF(Besatzung!$D$18="",Besatzung!$B$6,Besatzung!$D$18)&gt;=B110)))*((G110-IFERROR(H110,0))/IFERROR(SUMPRODUCT((Besatzung!$B$11:$B$22&lt;&gt;"")*(IF(Besatzung!$C$11:$C$22="",Besatzung!$B$5,Besatzung!$C$11:$C$22)&lt;=B110)*(IF(Besatzung!$D$11:$D$22="",Besatzung!$B$6,Besatzung!$D$11:$D$22)&gt;=B110)),1)+(Besatzung!$F$18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Q110="x")*((G110-IFERROR(H110,0))/IFERROR(COUNTIF(J110:U110,"x"),1)+(Besatzung!$F$18="x")*IFERROR(H110,0)/IFERROR(SUMPRODUCT((J110:U110="x")*(Besatzung!$F$11:$F$22="x")),1))),(IF(COUNTIF(J110:U110,"x")=0,IF(Besatzung!$B$18&lt;&gt;"",1,0),(Q110="x"))*(G110-IFERROR(H110,0))/IFERROR(IF(COUNTIF(J110:U110,"x")=0,COUNTA(Besatzung!$B$11:$B$22),COUNTIF(J110:U110,"x")),1)+IF(COUNTIF(J110:U110,"x")=0,(Besatzung!$F$18="x"),(Q110="x")*(Besatzung!$F$18="x"))*IFERROR(H110,0)/IFERROR(IF(COUNTIF(J110:U110,"x")=0,SUMPRODUCT((Besatzung!$B$11:$B$22&lt;&gt;"")*(Besatzung!$F$11:$F$22="x")),SUMPRODUCT((J110:U110="x")*(Besatzung!$F$11:$F$22="x"))),1))))),0))))</f>
        <v/>
      </c>
      <c r="AD110" s="106">
        <f>IF(C110="Gutschrift","",IF(G110="","",IF(Besatzung!$B$19="","",IFERROR(IF(I110="Zeitanteilig",(Besatzung!$G$19*(G110-IFERROR(H110,0))+((Besatzung!$B$19&lt;&gt;"")*IF(B110="",1,(IF(Besatzung!$C$19="",Besatzung!$B$5,Besatzung!$C$19)&lt;=B110)*(IF(Besatzung!$D$19="",Besatzung!$B$6,Besatzung!$D$19)&gt;=B110)))*(Besatzung!$F$19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$19&lt;&gt;"")*IF(B110="",1,(IF(Besatzung!$C$19="",Besatzung!$B$5,Besatzung!$C$19)&lt;=B110)*(IF(Besatzung!$D$19="",Besatzung!$B$6,Besatzung!$D$19)&gt;=B110)))*((G110-IFERROR(H110,0))/IFERROR(SUMPRODUCT((Besatzung!$B$11:$B$22&lt;&gt;"")*(IF(Besatzung!$C$11:$C$22="",Besatzung!$B$5,Besatzung!$C$11:$C$22)&lt;=B110)*(IF(Besatzung!$D$11:$D$22="",Besatzung!$B$6,Besatzung!$D$11:$D$22)&gt;=B110)),1)+(Besatzung!$F$19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R110="x")*((G110-IFERROR(H110,0))/IFERROR(COUNTIF(J110:U110,"x"),1)+(Besatzung!$F$19="x")*IFERROR(H110,0)/IFERROR(SUMPRODUCT((J110:U110="x")*(Besatzung!$F$11:$F$22="x")),1))),(IF(COUNTIF(J110:U110,"x")=0,IF(Besatzung!$B$19&lt;&gt;"",1,0),(R110="x"))*(G110-IFERROR(H110,0))/IFERROR(IF(COUNTIF(J110:U110,"x")=0,COUNTA(Besatzung!$B$11:$B$22),COUNTIF(J110:U110,"x")),1)+IF(COUNTIF(J110:U110,"x")=0,(Besatzung!$F$19="x"),(R110="x")*(Besatzung!$F$19="x"))*IFERROR(H110,0)/IFERROR(IF(COUNTIF(J110:U110,"x")=0,SUMPRODUCT((Besatzung!$B$11:$B$22&lt;&gt;"")*(Besatzung!$F$11:$F$22="x")),SUMPRODUCT((J110:U110="x")*(Besatzung!$F$11:$F$22="x"))),1))))),0))))</f>
        <v/>
      </c>
      <c r="AE110" s="106">
        <f>IF(C110="Gutschrift","",IF(G110="","",IF(Besatzung!$B$20="","",IFERROR(IF(I110="Zeitanteilig",(Besatzung!$G$20*(G110-IFERROR(H110,0))+((Besatzung!$B$20&lt;&gt;"")*IF(B110="",1,(IF(Besatzung!$C$20="",Besatzung!$B$5,Besatzung!$C$20)&lt;=B110)*(IF(Besatzung!$D$20="",Besatzung!$B$6,Besatzung!$D$20)&gt;=B110)))*(Besatzung!$F$20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$20&lt;&gt;"")*IF(B110="",1,(IF(Besatzung!$C$20="",Besatzung!$B$5,Besatzung!$C$20)&lt;=B110)*(IF(Besatzung!$D$20="",Besatzung!$B$6,Besatzung!$D$20)&gt;=B110)))*((G110-IFERROR(H110,0))/IFERROR(SUMPRODUCT((Besatzung!$B$11:$B$22&lt;&gt;"")*(IF(Besatzung!$C$11:$C$22="",Besatzung!$B$5,Besatzung!$C$11:$C$22)&lt;=B110)*(IF(Besatzung!$D$11:$D$22="",Besatzung!$B$6,Besatzung!$D$11:$D$22)&gt;=B110)),1)+(Besatzung!$F$20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S110="x")*((G110-IFERROR(H110,0))/IFERROR(COUNTIF(J110:U110,"x"),1)+(Besatzung!$F$20="x")*IFERROR(H110,0)/IFERROR(SUMPRODUCT((J110:U110="x")*(Besatzung!$F$11:$F$22="x")),1))),(IF(COUNTIF(J110:U110,"x")=0,IF(Besatzung!$B$20&lt;&gt;"",1,0),(S110="x"))*(G110-IFERROR(H110,0))/IFERROR(IF(COUNTIF(J110:U110,"x")=0,COUNTA(Besatzung!$B$11:$B$22),COUNTIF(J110:U110,"x")),1)+IF(COUNTIF(J110:U110,"x")=0,(Besatzung!$F$20="x"),(S110="x")*(Besatzung!$F$20="x"))*IFERROR(H110,0)/IFERROR(IF(COUNTIF(J110:U110,"x")=0,SUMPRODUCT((Besatzung!$B$11:$B$22&lt;&gt;"")*(Besatzung!$F$11:$F$22="x")),SUMPRODUCT((J110:U110="x")*(Besatzung!$F$11:$F$22="x"))),1))))),0))))</f>
        <v/>
      </c>
      <c r="AF110" s="106">
        <f>IF(C110="Gutschrift","",IF(G110="","",IF(Besatzung!$B$21="","",IFERROR(IF(I110="Zeitanteilig",(Besatzung!$G$21*(G110-IFERROR(H110,0))+((Besatzung!$B$21&lt;&gt;"")*IF(B110="",1,(IF(Besatzung!$C$21="",Besatzung!$B$5,Besatzung!$C$21)&lt;=B110)*(IF(Besatzung!$D$21="",Besatzung!$B$6,Besatzung!$D$21)&gt;=B110)))*(Besatzung!$F$21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$21&lt;&gt;"")*IF(B110="",1,(IF(Besatzung!$C$21="",Besatzung!$B$5,Besatzung!$C$21)&lt;=B110)*(IF(Besatzung!$D$21="",Besatzung!$B$6,Besatzung!$D$21)&gt;=B110)))*((G110-IFERROR(H110,0))/IFERROR(SUMPRODUCT((Besatzung!$B$11:$B$22&lt;&gt;"")*(IF(Besatzung!$C$11:$C$22="",Besatzung!$B$5,Besatzung!$C$11:$C$22)&lt;=B110)*(IF(Besatzung!$D$11:$D$22="",Besatzung!$B$6,Besatzung!$D$11:$D$22)&gt;=B110)),1)+(Besatzung!$F$21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T110="x")*((G110-IFERROR(H110,0))/IFERROR(COUNTIF(J110:U110,"x"),1)+(Besatzung!$F$21="x")*IFERROR(H110,0)/IFERROR(SUMPRODUCT((J110:U110="x")*(Besatzung!$F$11:$F$22="x")),1))),(IF(COUNTIF(J110:U110,"x")=0,IF(Besatzung!$B$21&lt;&gt;"",1,0),(T110="x"))*(G110-IFERROR(H110,0))/IFERROR(IF(COUNTIF(J110:U110,"x")=0,COUNTA(Besatzung!$B$11:$B$22),COUNTIF(J110:U110,"x")),1)+IF(COUNTIF(J110:U110,"x")=0,(Besatzung!$F$21="x"),(T110="x")*(Besatzung!$F$21="x"))*IFERROR(H110,0)/IFERROR(IF(COUNTIF(J110:U110,"x")=0,SUMPRODUCT((Besatzung!$B$11:$B$22&lt;&gt;"")*(Besatzung!$F$11:$F$22="x")),SUMPRODUCT((J110:U110="x")*(Besatzung!$F$11:$F$22="x"))),1))))),0))))</f>
        <v/>
      </c>
      <c r="AG110" s="106">
        <f>IF(C110="Gutschrift","",IF(G110="","",IF(Besatzung!$B$22="","",IFERROR(IF(I110="Zeitanteilig",(Besatzung!$G$22*(G110-IFERROR(H110,0))+((Besatzung!$B$22&lt;&gt;"")*IF(B110="",1,(IF(Besatzung!$C$22="",Besatzung!$B$5,Besatzung!$C$22)&lt;=B110)*(IF(Besatzung!$D$22="",Besatzung!$B$6,Besatzung!$D$22)&gt;=B110)))*(Besatzung!$F$22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$22&lt;&gt;"")*IF(B110="",1,(IF(Besatzung!$C$22="",Besatzung!$B$5,Besatzung!$C$22)&lt;=B110)*(IF(Besatzung!$D$22="",Besatzung!$B$6,Besatzung!$D$22)&gt;=B110)))*((G110-IFERROR(H110,0))/IFERROR(SUMPRODUCT((Besatzung!$B$11:$B$22&lt;&gt;"")*(IF(Besatzung!$C$11:$C$22="",Besatzung!$B$5,Besatzung!$C$11:$C$22)&lt;=B110)*(IF(Besatzung!$D$11:$D$22="",Besatzung!$B$6,Besatzung!$D$11:$D$22)&gt;=B110)),1)+(Besatzung!$F$22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U110="x")*((G110-IFERROR(H110,0))/IFERROR(COUNTIF(J110:U110,"x"),1)+(Besatzung!$F$22="x")*IFERROR(H110,0)/IFERROR(SUMPRODUCT((J110:U110="x")*(Besatzung!$F$11:$F$22="x")),1))),(IF(COUNTIF(J110:U110,"x")=0,IF(Besatzung!$B$22&lt;&gt;"",1,0),(U110="x"))*(G110-IFERROR(H110,0))/IFERROR(IF(COUNTIF(J110:U110,"x")=0,COUNTA(Besatzung!$B$11:$B$22),COUNTIF(J110:U110,"x")),1)+IF(COUNTIF(J110:U110,"x")=0,(Besatzung!$F$22="x"),(U110="x")*(Besatzung!$F$22="x"))*IFERROR(H110,0)/IFERROR(IF(COUNTIF(J110:U110,"x")=0,SUMPRODUCT((Besatzung!$B$11:$B$22&lt;&gt;"")*(Besatzung!$F$11:$F$22="x")),SUMPRODUCT((J110:U110="x")*(Besatzung!$F$11:$F$22="x"))),1))))),0))))</f>
        <v/>
      </c>
      <c r="AH110" s="107" t="n"/>
      <c r="AI110" s="107" t="n"/>
    </row>
    <row r="111" ht="21.75" customHeight="1" s="182">
      <c r="A111" s="97">
        <f>IF(AND(D111="",C111=""),"",108)</f>
        <v/>
      </c>
      <c r="B111" s="63" t="n"/>
      <c r="C111" s="108" t="n"/>
      <c r="D111" s="109" t="n"/>
      <c r="E111" s="110" t="n"/>
      <c r="F111" s="111" t="n"/>
      <c r="G111" s="112" t="n"/>
      <c r="H111" s="113" t="n"/>
      <c r="I111" s="114" t="n"/>
      <c r="J111" s="115" t="n"/>
      <c r="K111" s="115" t="n"/>
      <c r="L111" s="115" t="n"/>
      <c r="M111" s="115" t="n"/>
      <c r="N111" s="115" t="n"/>
      <c r="O111" s="115" t="n"/>
      <c r="P111" s="115" t="n"/>
      <c r="Q111" s="115" t="n"/>
      <c r="R111" s="115" t="n"/>
      <c r="S111" s="115" t="n"/>
      <c r="T111" s="115" t="n"/>
      <c r="U111" s="115" t="n"/>
      <c r="V111" s="106">
        <f>IF(C111="Gutschrift","",IF(G111="","",IF(Besatzung!$B$11="","",IFERROR(IF(I111="Zeitanteilig",(Besatzung!$G$11*(G111-IFERROR(H111,0))+((Besatzung!$B$11&lt;&gt;"")*IF(B111="",1,(IF(Besatzung!$C$11="",Besatzung!$B$5,Besatzung!$C$11)&lt;=B111)*(IF(Besatzung!$D$11="",Besatzung!$B$6,Besatzung!$D$11)&gt;=B111)))*(Besatzung!$F$11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$11&lt;&gt;"")*IF(B111="",1,(IF(Besatzung!$C$11="",Besatzung!$B$5,Besatzung!$C$11)&lt;=B111)*(IF(Besatzung!$D$11="",Besatzung!$B$6,Besatzung!$D$11)&gt;=B111)))*((G111-IFERROR(H111,0))/IFERROR(SUMPRODUCT((Besatzung!$B$11:$B$22&lt;&gt;"")*(IF(Besatzung!$C$11:$C$22="",Besatzung!$B$5,Besatzung!$C$11:$C$22)&lt;=B111)*(IF(Besatzung!$D$11:$D$22="",Besatzung!$B$6,Besatzung!$D$11:$D$22)&gt;=B111)),1)+(Besatzung!$F$11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J111="x")*((G111-IFERROR(H111,0))/IFERROR(COUNTIF(J111:U111,"x"),1)+(Besatzung!$F$11="x")*IFERROR(H111,0)/IFERROR(SUMPRODUCT((J111:U111="x")*(Besatzung!$F$11:$F$22="x")),1))),(IF(COUNTIF(J111:U111,"x")=0,IF(Besatzung!$B$11&lt;&gt;"",1,0),(J111="x"))*(G111-IFERROR(H111,0))/IFERROR(IF(COUNTIF(J111:U111,"x")=0,COUNTA(Besatzung!$B$11:$B$22),COUNTIF(J111:U111,"x")),1)+IF(COUNTIF(J111:U111,"x")=0,(Besatzung!$F$11="x"),(J111="x")*(Besatzung!$F$11="x"))*IFERROR(H111,0)/IFERROR(IF(COUNTIF(J111:U111,"x")=0,SUMPRODUCT((Besatzung!$B$11:$B$22&lt;&gt;"")*(Besatzung!$F$11:$F$22="x")),SUMPRODUCT((J111:U111="x")*(Besatzung!$F$11:$F$22="x"))),1))))),0))))</f>
        <v/>
      </c>
      <c r="W111" s="106">
        <f>IF(C111="Gutschrift","",IF(G111="","",IF(Besatzung!$B$12="","",IFERROR(IF(I111="Zeitanteilig",(Besatzung!$G$12*(G111-IFERROR(H111,0))+((Besatzung!$B$12&lt;&gt;"")*IF(B111="",1,(IF(Besatzung!$C$12="",Besatzung!$B$5,Besatzung!$C$12)&lt;=B111)*(IF(Besatzung!$D$12="",Besatzung!$B$6,Besatzung!$D$12)&gt;=B111)))*(Besatzung!$F$12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$12&lt;&gt;"")*IF(B111="",1,(IF(Besatzung!$C$12="",Besatzung!$B$5,Besatzung!$C$12)&lt;=B111)*(IF(Besatzung!$D$12="",Besatzung!$B$6,Besatzung!$D$12)&gt;=B111)))*((G111-IFERROR(H111,0))/IFERROR(SUMPRODUCT((Besatzung!$B$11:$B$22&lt;&gt;"")*(IF(Besatzung!$C$11:$C$22="",Besatzung!$B$5,Besatzung!$C$11:$C$22)&lt;=B111)*(IF(Besatzung!$D$11:$D$22="",Besatzung!$B$6,Besatzung!$D$11:$D$22)&gt;=B111)),1)+(Besatzung!$F$12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K111="x")*((G111-IFERROR(H111,0))/IFERROR(COUNTIF(J111:U111,"x"),1)+(Besatzung!$F$12="x")*IFERROR(H111,0)/IFERROR(SUMPRODUCT((J111:U111="x")*(Besatzung!$F$11:$F$22="x")),1))),(IF(COUNTIF(J111:U111,"x")=0,IF(Besatzung!$B$12&lt;&gt;"",1,0),(K111="x"))*(G111-IFERROR(H111,0))/IFERROR(IF(COUNTIF(J111:U111,"x")=0,COUNTA(Besatzung!$B$11:$B$22),COUNTIF(J111:U111,"x")),1)+IF(COUNTIF(J111:U111,"x")=0,(Besatzung!$F$12="x"),(K111="x")*(Besatzung!$F$12="x"))*IFERROR(H111,0)/IFERROR(IF(COUNTIF(J111:U111,"x")=0,SUMPRODUCT((Besatzung!$B$11:$B$22&lt;&gt;"")*(Besatzung!$F$11:$F$22="x")),SUMPRODUCT((J111:U111="x")*(Besatzung!$F$11:$F$22="x"))),1))))),0))))</f>
        <v/>
      </c>
      <c r="X111" s="106">
        <f>IF(C111="Gutschrift","",IF(G111="","",IF(Besatzung!$B$13="","",IFERROR(IF(I111="Zeitanteilig",(Besatzung!$G$13*(G111-IFERROR(H111,0))+((Besatzung!$B$13&lt;&gt;"")*IF(B111="",1,(IF(Besatzung!$C$13="",Besatzung!$B$5,Besatzung!$C$13)&lt;=B111)*(IF(Besatzung!$D$13="",Besatzung!$B$6,Besatzung!$D$13)&gt;=B111)))*(Besatzung!$F$13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$13&lt;&gt;"")*IF(B111="",1,(IF(Besatzung!$C$13="",Besatzung!$B$5,Besatzung!$C$13)&lt;=B111)*(IF(Besatzung!$D$13="",Besatzung!$B$6,Besatzung!$D$13)&gt;=B111)))*((G111-IFERROR(H111,0))/IFERROR(SUMPRODUCT((Besatzung!$B$11:$B$22&lt;&gt;"")*(IF(Besatzung!$C$11:$C$22="",Besatzung!$B$5,Besatzung!$C$11:$C$22)&lt;=B111)*(IF(Besatzung!$D$11:$D$22="",Besatzung!$B$6,Besatzung!$D$11:$D$22)&gt;=B111)),1)+(Besatzung!$F$13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K111="x")*((G111-IFERROR(H111,0))/IFERROR(COUNTIF(J111:U111,"x"),1)+(Besatzung!$F$13="x")*IFERROR(H111,0)/IFERROR(SUMPRODUCT((J111:U111="x")*(Besatzung!$F$11:$F$22="x")),1))),(IF(COUNTIF(J111:U111,"x")=0,IF(Besatzung!$B$13&lt;&gt;"",1,0),(K111="x"))*(G111-IFERROR(H111,0))/IFERROR(IF(COUNTIF(J111:U111,"x")=0,COUNTA(Besatzung!$B$11:$B$22),COUNTIF(J111:U111,"x")),1)+IF(COUNTIF(J111:U111,"x")=0,(Besatzung!$F$13="x"),(K111="x")*(Besatzung!$F$13="x"))*IFERROR(H111,0)/IFERROR(IF(COUNTIF(J111:U111,"x")=0,SUMPRODUCT((Besatzung!$B$11:$B$22&lt;&gt;"")*(Besatzung!$F$11:$F$22="x")),SUMPRODUCT((J111:U111="x")*(Besatzung!$F$11:$F$22="x"))),1))))),0))))</f>
        <v/>
      </c>
      <c r="Y111" s="106">
        <f>IF(C111="Gutschrift","",IF(G111="","",IF(Besatzung!$B$14="","",IFERROR(IF(I111="Zeitanteilig",(Besatzung!$G$14*(G111-IFERROR(H111,0))+((Besatzung!$B$14&lt;&gt;"")*IF(B111="",1,(IF(Besatzung!$C$14="",Besatzung!$B$5,Besatzung!$C$14)&lt;=B111)*(IF(Besatzung!$D$14="",Besatzung!$B$6,Besatzung!$D$14)&gt;=B111)))*(Besatzung!$F$14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$14&lt;&gt;"")*IF(B111="",1,(IF(Besatzung!$C$14="",Besatzung!$B$5,Besatzung!$C$14)&lt;=B111)*(IF(Besatzung!$D$14="",Besatzung!$B$6,Besatzung!$D$14)&gt;=B111)))*((G111-IFERROR(H111,0))/IFERROR(SUMPRODUCT((Besatzung!$B$11:$B$22&lt;&gt;"")*(IF(Besatzung!$C$11:$C$22="",Besatzung!$B$5,Besatzung!$C$11:$C$22)&lt;=B111)*(IF(Besatzung!$D$11:$D$22="",Besatzung!$B$6,Besatzung!$D$11:$D$22)&gt;=B111)),1)+(Besatzung!$F$14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M111="x")*((G111-IFERROR(H111,0))/IFERROR(COUNTIF(J111:U111,"x"),1)+(Besatzung!$F$14="x")*IFERROR(H111,0)/IFERROR(SUMPRODUCT((J111:U111="x")*(Besatzung!$F$11:$F$22="x")),1))),(IF(COUNTIF(J111:U111,"x")=0,IF(Besatzung!$B$14&lt;&gt;"",1,0),(M111="x"))*(G111-IFERROR(H111,0))/IFERROR(IF(COUNTIF(J111:U111,"x")=0,COUNTA(Besatzung!$B$11:$B$22),COUNTIF(J111:U111,"x")),1)+IF(COUNTIF(J111:U111,"x")=0,(Besatzung!$F$14="x"),(M111="x")*(Besatzung!$F$14="x"))*IFERROR(H111,0)/IFERROR(IF(COUNTIF(J111:U111,"x")=0,SUMPRODUCT((Besatzung!$B$11:$B$22&lt;&gt;"")*(Besatzung!$F$11:$F$22="x")),SUMPRODUCT((J111:U111="x")*(Besatzung!$F$11:$F$22="x"))),1))))),0))))</f>
        <v/>
      </c>
      <c r="Z111" s="106">
        <f>IF(C111="Gutschrift","",IF(G111="","",IF(Besatzung!$B$13="","",IFERROR(IF(I111="Zeitanteilig",(Besatzung!$G$15*(G111-IFERROR(H111,0))+((Besatzung!$B$13&lt;&gt;"")*IF(B111="",1,(IF(Besatzung!$C$15="",Besatzung!$B$5,Besatzung!$C$15)&lt;=B111)*(IF(Besatzung!$D$15="",Besatzung!$B$6,Besatzung!$D$15)&gt;=B111)))*(Besatzung!$F$15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$13&lt;&gt;"")*IF(B111="",1,(IF(Besatzung!$C$15="",Besatzung!$B$5,Besatzung!$C$15)&lt;=B111)*(IF(Besatzung!$D$15="",Besatzung!$B$6,Besatzung!$D$15)&gt;=B111)))*((G111-IFERROR(H111,0))/IFERROR(SUMPRODUCT((Besatzung!$B$11:$B$22&lt;&gt;"")*(IF(Besatzung!$C$11:$C$22="",Besatzung!$B$5,Besatzung!$C$11:$C$22)&lt;=B111)*(IF(Besatzung!$D$11:$D$22="",Besatzung!$B$6,Besatzung!$D$11:$D$22)&gt;=B111)),1)+(Besatzung!$F$15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N111="x")*((G111-IFERROR(H111,0))/IFERROR(COUNTIF(J111:U111,"x"),1)+(Besatzung!$F$15="x")*IFERROR(H111,0)/IFERROR(SUMPRODUCT((J111:U111="x")*(Besatzung!$F$11:$F$22="x")),1))),(IF(COUNTIF(J111:U111,"x")=0,IF(Besatzung!$B$13&lt;&gt;"",1,0),(N111="x"))*(G111-IFERROR(H111,0))/IFERROR(IF(COUNTIF(J111:U111,"x")=0,COUNTA(Besatzung!$B$11:$B$22),COUNTIF(J111:U111,"x")),1)+IF(COUNTIF(J111:U111,"x")=0,(Besatzung!$F$15="x"),(N111="x")*(Besatzung!$F$15="x"))*IFERROR(H111,0)/IFERROR(IF(COUNTIF(J111:U111,"x")=0,SUMPRODUCT((Besatzung!$B$11:$B$22&lt;&gt;"")*(Besatzung!$F$11:$F$22="x")),SUMPRODUCT((J111:U111="x")*(Besatzung!$F$11:$F$22="x"))),1))))),0))))</f>
        <v/>
      </c>
      <c r="AA111" s="106">
        <f>IF(C111="Gutschrift","",IF(G111="","",IF(Besatzung!$B$15="","",IFERROR(IF(I111="Zeitanteilig",(Besatzung!$G$16*(G111-IFERROR(H111,0))+((Besatzung!$B$15&lt;&gt;"")*IF(B111="",1,(IF(Besatzung!$C$16="",Besatzung!$B$5,Besatzung!$C$16)&lt;=B111)*(IF(Besatzung!$D$16="",Besatzung!$B$6,Besatzung!$D$16)&gt;=B111)))*(Besatzung!$F$16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$15&lt;&gt;"")*IF(B111="",1,(IF(Besatzung!$C$16="",Besatzung!$B$5,Besatzung!$C$16)&lt;=B111)*(IF(Besatzung!$D$16="",Besatzung!$B$6,Besatzung!$D$16)&gt;=B111)))*((G111-IFERROR(H111,0))/IFERROR(SUMPRODUCT((Besatzung!$B$11:$B$22&lt;&gt;"")*(IF(Besatzung!$C$11:$C$22="",Besatzung!$B$5,Besatzung!$C$11:$C$22)&lt;=B111)*(IF(Besatzung!$D$11:$D$22="",Besatzung!$B$6,Besatzung!$D$11:$D$22)&gt;=B111)),1)+(Besatzung!$F$16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O111="x")*((G111-IFERROR(H111,0))/IFERROR(COUNTIF(J111:U111,"x"),1)+(Besatzung!$F$16="x")*IFERROR(H111,0)/IFERROR(SUMPRODUCT((J111:U111="x")*(Besatzung!$F$11:$F$22="x")),1))),(IF(COUNTIF(J111:U111,"x")=0,IF(Besatzung!$B$15&lt;&gt;"",1,0),(O111="x"))*(G111-IFERROR(H111,0))/IFERROR(IF(COUNTIF(J111:U111,"x")=0,COUNTA(Besatzung!$B$11:$B$22),COUNTIF(J111:U111,"x")),1)+IF(COUNTIF(J111:U111,"x")=0,(Besatzung!$F$16="x"),(O111="x")*(Besatzung!$F$16="x"))*IFERROR(H111,0)/IFERROR(IF(COUNTIF(J111:U111,"x")=0,SUMPRODUCT((Besatzung!$B$11:$B$22&lt;&gt;"")*(Besatzung!$F$11:$F$22="x")),SUMPRODUCT((J111:U111="x")*(Besatzung!$F$11:$F$22="x"))),1))))),0))))</f>
        <v/>
      </c>
      <c r="AB111" s="106">
        <f>IF(C111="Gutschrift","",IF(G111="","",IF(Besatzung!$B$17="","",IFERROR(IF(I111="Zeitanteilig",(Besatzung!$G$17*(G111-IFERROR(H111,0))+((Besatzung!$B$17&lt;&gt;"")*IF(B111="",1,(IF(Besatzung!$C$17="",Besatzung!$B$5,Besatzung!$C$17)&lt;=B111)*(IF(Besatzung!$D$17="",Besatzung!$B$6,Besatzung!$D$17)&gt;=B111)))*(Besatzung!$F$17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$17&lt;&gt;"")*IF(B111="",1,(IF(Besatzung!$C$17="",Besatzung!$B$5,Besatzung!$C$17)&lt;=B111)*(IF(Besatzung!$D$17="",Besatzung!$B$6,Besatzung!$D$17)&gt;=B111)))*((G111-IFERROR(H111,0))/IFERROR(SUMPRODUCT((Besatzung!$B$11:$B$22&lt;&gt;"")*(IF(Besatzung!$C$11:$C$22="",Besatzung!$B$5,Besatzung!$C$11:$C$22)&lt;=B111)*(IF(Besatzung!$D$11:$D$22="",Besatzung!$B$6,Besatzung!$D$11:$D$22)&gt;=B111)),1)+(Besatzung!$F$17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P111="x")*((G111-IFERROR(H111,0))/IFERROR(COUNTIF(J111:U111,"x"),1)+(Besatzung!$F$17="x")*IFERROR(H111,0)/IFERROR(SUMPRODUCT((J111:U111="x")*(Besatzung!$F$11:$F$22="x")),1))),(IF(COUNTIF(J111:U111,"x")=0,IF(Besatzung!$B$17&lt;&gt;"",1,0),(P111="x"))*(G111-IFERROR(H111,0))/IFERROR(IF(COUNTIF(J111:U111,"x")=0,COUNTA(Besatzung!$B$11:$B$22),COUNTIF(J111:U111,"x")),1)+IF(COUNTIF(J111:U111,"x")=0,(Besatzung!$F$17="x"),(P111="x")*(Besatzung!$F$17="x"))*IFERROR(H111,0)/IFERROR(IF(COUNTIF(J111:U111,"x")=0,SUMPRODUCT((Besatzung!$B$11:$B$22&lt;&gt;"")*(Besatzung!$F$11:$F$22="x")),SUMPRODUCT((J111:U111="x")*(Besatzung!$F$11:$F$22="x"))),1))))),0))))</f>
        <v/>
      </c>
      <c r="AC111" s="106">
        <f>IF(C111="Gutschrift","",IF(G111="","",IF(Besatzung!$B$18="","",IFERROR(IF(I111="Zeitanteilig",(Besatzung!$G$18*(G111-IFERROR(H111,0))+((Besatzung!$B$18&lt;&gt;"")*IF(B111="",1,(IF(Besatzung!$C$18="",Besatzung!$B$5,Besatzung!$C$18)&lt;=B111)*(IF(Besatzung!$D$18="",Besatzung!$B$6,Besatzung!$D$18)&gt;=B111)))*(Besatzung!$F$18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$18&lt;&gt;"")*IF(B111="",1,(IF(Besatzung!$C$18="",Besatzung!$B$5,Besatzung!$C$18)&lt;=B111)*(IF(Besatzung!$D$18="",Besatzung!$B$6,Besatzung!$D$18)&gt;=B111)))*((G111-IFERROR(H111,0))/IFERROR(SUMPRODUCT((Besatzung!$B$11:$B$22&lt;&gt;"")*(IF(Besatzung!$C$11:$C$22="",Besatzung!$B$5,Besatzung!$C$11:$C$22)&lt;=B111)*(IF(Besatzung!$D$11:$D$22="",Besatzung!$B$6,Besatzung!$D$11:$D$22)&gt;=B111)),1)+(Besatzung!$F$18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Q111="x")*((G111-IFERROR(H111,0))/IFERROR(COUNTIF(J111:U111,"x"),1)+(Besatzung!$F$18="x")*IFERROR(H111,0)/IFERROR(SUMPRODUCT((J111:U111="x")*(Besatzung!$F$11:$F$22="x")),1))),(IF(COUNTIF(J111:U111,"x")=0,IF(Besatzung!$B$18&lt;&gt;"",1,0),(Q111="x"))*(G111-IFERROR(H111,0))/IFERROR(IF(COUNTIF(J111:U111,"x")=0,COUNTA(Besatzung!$B$11:$B$22),COUNTIF(J111:U111,"x")),1)+IF(COUNTIF(J111:U111,"x")=0,(Besatzung!$F$18="x"),(Q111="x")*(Besatzung!$F$18="x"))*IFERROR(H111,0)/IFERROR(IF(COUNTIF(J111:U111,"x")=0,SUMPRODUCT((Besatzung!$B$11:$B$22&lt;&gt;"")*(Besatzung!$F$11:$F$22="x")),SUMPRODUCT((J111:U111="x")*(Besatzung!$F$11:$F$22="x"))),1))))),0))))</f>
        <v/>
      </c>
      <c r="AD111" s="106">
        <f>IF(C111="Gutschrift","",IF(G111="","",IF(Besatzung!$B$19="","",IFERROR(IF(I111="Zeitanteilig",(Besatzung!$G$19*(G111-IFERROR(H111,0))+((Besatzung!$B$19&lt;&gt;"")*IF(B111="",1,(IF(Besatzung!$C$19="",Besatzung!$B$5,Besatzung!$C$19)&lt;=B111)*(IF(Besatzung!$D$19="",Besatzung!$B$6,Besatzung!$D$19)&gt;=B111)))*(Besatzung!$F$19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$19&lt;&gt;"")*IF(B111="",1,(IF(Besatzung!$C$19="",Besatzung!$B$5,Besatzung!$C$19)&lt;=B111)*(IF(Besatzung!$D$19="",Besatzung!$B$6,Besatzung!$D$19)&gt;=B111)))*((G111-IFERROR(H111,0))/IFERROR(SUMPRODUCT((Besatzung!$B$11:$B$22&lt;&gt;"")*(IF(Besatzung!$C$11:$C$22="",Besatzung!$B$5,Besatzung!$C$11:$C$22)&lt;=B111)*(IF(Besatzung!$D$11:$D$22="",Besatzung!$B$6,Besatzung!$D$11:$D$22)&gt;=B111)),1)+(Besatzung!$F$19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R111="x")*((G111-IFERROR(H111,0))/IFERROR(COUNTIF(J111:U111,"x"),1)+(Besatzung!$F$19="x")*IFERROR(H111,0)/IFERROR(SUMPRODUCT((J111:U111="x")*(Besatzung!$F$11:$F$22="x")),1))),(IF(COUNTIF(J111:U111,"x")=0,IF(Besatzung!$B$19&lt;&gt;"",1,0),(R111="x"))*(G111-IFERROR(H111,0))/IFERROR(IF(COUNTIF(J111:U111,"x")=0,COUNTA(Besatzung!$B$11:$B$22),COUNTIF(J111:U111,"x")),1)+IF(COUNTIF(J111:U111,"x")=0,(Besatzung!$F$19="x"),(R111="x")*(Besatzung!$F$19="x"))*IFERROR(H111,0)/IFERROR(IF(COUNTIF(J111:U111,"x")=0,SUMPRODUCT((Besatzung!$B$11:$B$22&lt;&gt;"")*(Besatzung!$F$11:$F$22="x")),SUMPRODUCT((J111:U111="x")*(Besatzung!$F$11:$F$22="x"))),1))))),0))))</f>
        <v/>
      </c>
      <c r="AE111" s="106">
        <f>IF(C111="Gutschrift","",IF(G111="","",IF(Besatzung!$B$20="","",IFERROR(IF(I111="Zeitanteilig",(Besatzung!$G$20*(G111-IFERROR(H111,0))+((Besatzung!$B$20&lt;&gt;"")*IF(B111="",1,(IF(Besatzung!$C$20="",Besatzung!$B$5,Besatzung!$C$20)&lt;=B111)*(IF(Besatzung!$D$20="",Besatzung!$B$6,Besatzung!$D$20)&gt;=B111)))*(Besatzung!$F$20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$20&lt;&gt;"")*IF(B111="",1,(IF(Besatzung!$C$20="",Besatzung!$B$5,Besatzung!$C$20)&lt;=B111)*(IF(Besatzung!$D$20="",Besatzung!$B$6,Besatzung!$D$20)&gt;=B111)))*((G111-IFERROR(H111,0))/IFERROR(SUMPRODUCT((Besatzung!$B$11:$B$22&lt;&gt;"")*(IF(Besatzung!$C$11:$C$22="",Besatzung!$B$5,Besatzung!$C$11:$C$22)&lt;=B111)*(IF(Besatzung!$D$11:$D$22="",Besatzung!$B$6,Besatzung!$D$11:$D$22)&gt;=B111)),1)+(Besatzung!$F$20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S111="x")*((G111-IFERROR(H111,0))/IFERROR(COUNTIF(J111:U111,"x"),1)+(Besatzung!$F$20="x")*IFERROR(H111,0)/IFERROR(SUMPRODUCT((J111:U111="x")*(Besatzung!$F$11:$F$22="x")),1))),(IF(COUNTIF(J111:U111,"x")=0,IF(Besatzung!$B$20&lt;&gt;"",1,0),(S111="x"))*(G111-IFERROR(H111,0))/IFERROR(IF(COUNTIF(J111:U111,"x")=0,COUNTA(Besatzung!$B$11:$B$22),COUNTIF(J111:U111,"x")),1)+IF(COUNTIF(J111:U111,"x")=0,(Besatzung!$F$20="x"),(S111="x")*(Besatzung!$F$20="x"))*IFERROR(H111,0)/IFERROR(IF(COUNTIF(J111:U111,"x")=0,SUMPRODUCT((Besatzung!$B$11:$B$22&lt;&gt;"")*(Besatzung!$F$11:$F$22="x")),SUMPRODUCT((J111:U111="x")*(Besatzung!$F$11:$F$22="x"))),1))))),0))))</f>
        <v/>
      </c>
      <c r="AF111" s="106">
        <f>IF(C111="Gutschrift","",IF(G111="","",IF(Besatzung!$B$21="","",IFERROR(IF(I111="Zeitanteilig",(Besatzung!$G$21*(G111-IFERROR(H111,0))+((Besatzung!$B$21&lt;&gt;"")*IF(B111="",1,(IF(Besatzung!$C$21="",Besatzung!$B$5,Besatzung!$C$21)&lt;=B111)*(IF(Besatzung!$D$21="",Besatzung!$B$6,Besatzung!$D$21)&gt;=B111)))*(Besatzung!$F$21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$21&lt;&gt;"")*IF(B111="",1,(IF(Besatzung!$C$21="",Besatzung!$B$5,Besatzung!$C$21)&lt;=B111)*(IF(Besatzung!$D$21="",Besatzung!$B$6,Besatzung!$D$21)&gt;=B111)))*((G111-IFERROR(H111,0))/IFERROR(SUMPRODUCT((Besatzung!$B$11:$B$22&lt;&gt;"")*(IF(Besatzung!$C$11:$C$22="",Besatzung!$B$5,Besatzung!$C$11:$C$22)&lt;=B111)*(IF(Besatzung!$D$11:$D$22="",Besatzung!$B$6,Besatzung!$D$11:$D$22)&gt;=B111)),1)+(Besatzung!$F$21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T111="x")*((G111-IFERROR(H111,0))/IFERROR(COUNTIF(J111:U111,"x"),1)+(Besatzung!$F$21="x")*IFERROR(H111,0)/IFERROR(SUMPRODUCT((J111:U111="x")*(Besatzung!$F$11:$F$22="x")),1))),(IF(COUNTIF(J111:U111,"x")=0,IF(Besatzung!$B$21&lt;&gt;"",1,0),(T111="x"))*(G111-IFERROR(H111,0))/IFERROR(IF(COUNTIF(J111:U111,"x")=0,COUNTA(Besatzung!$B$11:$B$22),COUNTIF(J111:U111,"x")),1)+IF(COUNTIF(J111:U111,"x")=0,(Besatzung!$F$21="x"),(T111="x")*(Besatzung!$F$21="x"))*IFERROR(H111,0)/IFERROR(IF(COUNTIF(J111:U111,"x")=0,SUMPRODUCT((Besatzung!$B$11:$B$22&lt;&gt;"")*(Besatzung!$F$11:$F$22="x")),SUMPRODUCT((J111:U111="x")*(Besatzung!$F$11:$F$22="x"))),1))))),0))))</f>
        <v/>
      </c>
      <c r="AG111" s="106">
        <f>IF(C111="Gutschrift","",IF(G111="","",IF(Besatzung!$B$22="","",IFERROR(IF(I111="Zeitanteilig",(Besatzung!$G$22*(G111-IFERROR(H111,0))+((Besatzung!$B$22&lt;&gt;"")*IF(B111="",1,(IF(Besatzung!$C$22="",Besatzung!$B$5,Besatzung!$C$22)&lt;=B111)*(IF(Besatzung!$D$22="",Besatzung!$B$6,Besatzung!$D$22)&gt;=B111)))*(Besatzung!$F$22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$22&lt;&gt;"")*IF(B111="",1,(IF(Besatzung!$C$22="",Besatzung!$B$5,Besatzung!$C$22)&lt;=B111)*(IF(Besatzung!$D$22="",Besatzung!$B$6,Besatzung!$D$22)&gt;=B111)))*((G111-IFERROR(H111,0))/IFERROR(SUMPRODUCT((Besatzung!$B$11:$B$22&lt;&gt;"")*(IF(Besatzung!$C$11:$C$22="",Besatzung!$B$5,Besatzung!$C$11:$C$22)&lt;=B111)*(IF(Besatzung!$D$11:$D$22="",Besatzung!$B$6,Besatzung!$D$11:$D$22)&gt;=B111)),1)+(Besatzung!$F$22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U111="x")*((G111-IFERROR(H111,0))/IFERROR(COUNTIF(J111:U111,"x"),1)+(Besatzung!$F$22="x")*IFERROR(H111,0)/IFERROR(SUMPRODUCT((J111:U111="x")*(Besatzung!$F$11:$F$22="x")),1))),(IF(COUNTIF(J111:U111,"x")=0,IF(Besatzung!$B$22&lt;&gt;"",1,0),(U111="x"))*(G111-IFERROR(H111,0))/IFERROR(IF(COUNTIF(J111:U111,"x")=0,COUNTA(Besatzung!$B$11:$B$22),COUNTIF(J111:U111,"x")),1)+IF(COUNTIF(J111:U111,"x")=0,(Besatzung!$F$22="x"),(U111="x")*(Besatzung!$F$22="x"))*IFERROR(H111,0)/IFERROR(IF(COUNTIF(J111:U111,"x")=0,SUMPRODUCT((Besatzung!$B$11:$B$22&lt;&gt;"")*(Besatzung!$F$11:$F$22="x")),SUMPRODUCT((J111:U111="x")*(Besatzung!$F$11:$F$22="x"))),1))))),0))))</f>
        <v/>
      </c>
      <c r="AH111" s="107" t="n"/>
      <c r="AI111" s="107" t="n"/>
    </row>
    <row r="112" ht="21.75" customHeight="1" s="182">
      <c r="A112" s="97">
        <f>IF(AND(D112="",C112=""),"",109)</f>
        <v/>
      </c>
      <c r="B112" s="56" t="n"/>
      <c r="C112" s="98" t="n"/>
      <c r="D112" s="99" t="n"/>
      <c r="E112" s="100" t="n"/>
      <c r="F112" s="101" t="n"/>
      <c r="G112" s="102" t="n"/>
      <c r="H112" s="103" t="n"/>
      <c r="I112" s="104" t="n"/>
      <c r="J112" s="105" t="n"/>
      <c r="K112" s="105" t="n"/>
      <c r="L112" s="105" t="n"/>
      <c r="M112" s="105" t="n"/>
      <c r="N112" s="105" t="n"/>
      <c r="O112" s="105" t="n"/>
      <c r="P112" s="105" t="n"/>
      <c r="Q112" s="105" t="n"/>
      <c r="R112" s="105" t="n"/>
      <c r="S112" s="105" t="n"/>
      <c r="T112" s="105" t="n"/>
      <c r="U112" s="105" t="n"/>
      <c r="V112" s="106">
        <f>IF(C112="Gutschrift","",IF(G112="","",IF(Besatzung!$B$11="","",IFERROR(IF(I112="Zeitanteilig",(Besatzung!$G$11*(G112-IFERROR(H112,0))+((Besatzung!$B$11&lt;&gt;"")*IF(B112="",1,(IF(Besatzung!$C$11="",Besatzung!$B$5,Besatzung!$C$11)&lt;=B112)*(IF(Besatzung!$D$11="",Besatzung!$B$6,Besatzung!$D$11)&gt;=B112)))*(Besatzung!$F$11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$11&lt;&gt;"")*IF(B112="",1,(IF(Besatzung!$C$11="",Besatzung!$B$5,Besatzung!$C$11)&lt;=B112)*(IF(Besatzung!$D$11="",Besatzung!$B$6,Besatzung!$D$11)&gt;=B112)))*((G112-IFERROR(H112,0))/IFERROR(SUMPRODUCT((Besatzung!$B$11:$B$22&lt;&gt;"")*(IF(Besatzung!$C$11:$C$22="",Besatzung!$B$5,Besatzung!$C$11:$C$22)&lt;=B112)*(IF(Besatzung!$D$11:$D$22="",Besatzung!$B$6,Besatzung!$D$11:$D$22)&gt;=B112)),1)+(Besatzung!$F$11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J112="x")*((G112-IFERROR(H112,0))/IFERROR(COUNTIF(J112:U112,"x"),1)+(Besatzung!$F$11="x")*IFERROR(H112,0)/IFERROR(SUMPRODUCT((J112:U112="x")*(Besatzung!$F$11:$F$22="x")),1))),(IF(COUNTIF(J112:U112,"x")=0,IF(Besatzung!$B$11&lt;&gt;"",1,0),(J112="x"))*(G112-IFERROR(H112,0))/IFERROR(IF(COUNTIF(J112:U112,"x")=0,COUNTA(Besatzung!$B$11:$B$22),COUNTIF(J112:U112,"x")),1)+IF(COUNTIF(J112:U112,"x")=0,(Besatzung!$F$11="x"),(J112="x")*(Besatzung!$F$11="x"))*IFERROR(H112,0)/IFERROR(IF(COUNTIF(J112:U112,"x")=0,SUMPRODUCT((Besatzung!$B$11:$B$22&lt;&gt;"")*(Besatzung!$F$11:$F$22="x")),SUMPRODUCT((J112:U112="x")*(Besatzung!$F$11:$F$22="x"))),1))))),0))))</f>
        <v/>
      </c>
      <c r="W112" s="106">
        <f>IF(C112="Gutschrift","",IF(G112="","",IF(Besatzung!$B$12="","",IFERROR(IF(I112="Zeitanteilig",(Besatzung!$G$12*(G112-IFERROR(H112,0))+((Besatzung!$B$12&lt;&gt;"")*IF(B112="",1,(IF(Besatzung!$C$12="",Besatzung!$B$5,Besatzung!$C$12)&lt;=B112)*(IF(Besatzung!$D$12="",Besatzung!$B$6,Besatzung!$D$12)&gt;=B112)))*(Besatzung!$F$12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$12&lt;&gt;"")*IF(B112="",1,(IF(Besatzung!$C$12="",Besatzung!$B$5,Besatzung!$C$12)&lt;=B112)*(IF(Besatzung!$D$12="",Besatzung!$B$6,Besatzung!$D$12)&gt;=B112)))*((G112-IFERROR(H112,0))/IFERROR(SUMPRODUCT((Besatzung!$B$11:$B$22&lt;&gt;"")*(IF(Besatzung!$C$11:$C$22="",Besatzung!$B$5,Besatzung!$C$11:$C$22)&lt;=B112)*(IF(Besatzung!$D$11:$D$22="",Besatzung!$B$6,Besatzung!$D$11:$D$22)&gt;=B112)),1)+(Besatzung!$F$12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K112="x")*((G112-IFERROR(H112,0))/IFERROR(COUNTIF(J112:U112,"x"),1)+(Besatzung!$F$12="x")*IFERROR(H112,0)/IFERROR(SUMPRODUCT((J112:U112="x")*(Besatzung!$F$11:$F$22="x")),1))),(IF(COUNTIF(J112:U112,"x")=0,IF(Besatzung!$B$12&lt;&gt;"",1,0),(K112="x"))*(G112-IFERROR(H112,0))/IFERROR(IF(COUNTIF(J112:U112,"x")=0,COUNTA(Besatzung!$B$11:$B$22),COUNTIF(J112:U112,"x")),1)+IF(COUNTIF(J112:U112,"x")=0,(Besatzung!$F$12="x"),(K112="x")*(Besatzung!$F$12="x"))*IFERROR(H112,0)/IFERROR(IF(COUNTIF(J112:U112,"x")=0,SUMPRODUCT((Besatzung!$B$11:$B$22&lt;&gt;"")*(Besatzung!$F$11:$F$22="x")),SUMPRODUCT((J112:U112="x")*(Besatzung!$F$11:$F$22="x"))),1))))),0))))</f>
        <v/>
      </c>
      <c r="X112" s="106">
        <f>IF(C112="Gutschrift","",IF(G112="","",IF(Besatzung!$B$13="","",IFERROR(IF(I112="Zeitanteilig",(Besatzung!$G$13*(G112-IFERROR(H112,0))+((Besatzung!$B$13&lt;&gt;"")*IF(B112="",1,(IF(Besatzung!$C$13="",Besatzung!$B$5,Besatzung!$C$13)&lt;=B112)*(IF(Besatzung!$D$13="",Besatzung!$B$6,Besatzung!$D$13)&gt;=B112)))*(Besatzung!$F$13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$13&lt;&gt;"")*IF(B112="",1,(IF(Besatzung!$C$13="",Besatzung!$B$5,Besatzung!$C$13)&lt;=B112)*(IF(Besatzung!$D$13="",Besatzung!$B$6,Besatzung!$D$13)&gt;=B112)))*((G112-IFERROR(H112,0))/IFERROR(SUMPRODUCT((Besatzung!$B$11:$B$22&lt;&gt;"")*(IF(Besatzung!$C$11:$C$22="",Besatzung!$B$5,Besatzung!$C$11:$C$22)&lt;=B112)*(IF(Besatzung!$D$11:$D$22="",Besatzung!$B$6,Besatzung!$D$11:$D$22)&gt;=B112)),1)+(Besatzung!$F$13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K112="x")*((G112-IFERROR(H112,0))/IFERROR(COUNTIF(J112:U112,"x"),1)+(Besatzung!$F$13="x")*IFERROR(H112,0)/IFERROR(SUMPRODUCT((J112:U112="x")*(Besatzung!$F$11:$F$22="x")),1))),(IF(COUNTIF(J112:U112,"x")=0,IF(Besatzung!$B$13&lt;&gt;"",1,0),(K112="x"))*(G112-IFERROR(H112,0))/IFERROR(IF(COUNTIF(J112:U112,"x")=0,COUNTA(Besatzung!$B$11:$B$22),COUNTIF(J112:U112,"x")),1)+IF(COUNTIF(J112:U112,"x")=0,(Besatzung!$F$13="x"),(K112="x")*(Besatzung!$F$13="x"))*IFERROR(H112,0)/IFERROR(IF(COUNTIF(J112:U112,"x")=0,SUMPRODUCT((Besatzung!$B$11:$B$22&lt;&gt;"")*(Besatzung!$F$11:$F$22="x")),SUMPRODUCT((J112:U112="x")*(Besatzung!$F$11:$F$22="x"))),1))))),0))))</f>
        <v/>
      </c>
      <c r="Y112" s="106">
        <f>IF(C112="Gutschrift","",IF(G112="","",IF(Besatzung!$B$14="","",IFERROR(IF(I112="Zeitanteilig",(Besatzung!$G$14*(G112-IFERROR(H112,0))+((Besatzung!$B$14&lt;&gt;"")*IF(B112="",1,(IF(Besatzung!$C$14="",Besatzung!$B$5,Besatzung!$C$14)&lt;=B112)*(IF(Besatzung!$D$14="",Besatzung!$B$6,Besatzung!$D$14)&gt;=B112)))*(Besatzung!$F$14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$14&lt;&gt;"")*IF(B112="",1,(IF(Besatzung!$C$14="",Besatzung!$B$5,Besatzung!$C$14)&lt;=B112)*(IF(Besatzung!$D$14="",Besatzung!$B$6,Besatzung!$D$14)&gt;=B112)))*((G112-IFERROR(H112,0))/IFERROR(SUMPRODUCT((Besatzung!$B$11:$B$22&lt;&gt;"")*(IF(Besatzung!$C$11:$C$22="",Besatzung!$B$5,Besatzung!$C$11:$C$22)&lt;=B112)*(IF(Besatzung!$D$11:$D$22="",Besatzung!$B$6,Besatzung!$D$11:$D$22)&gt;=B112)),1)+(Besatzung!$F$14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M112="x")*((G112-IFERROR(H112,0))/IFERROR(COUNTIF(J112:U112,"x"),1)+(Besatzung!$F$14="x")*IFERROR(H112,0)/IFERROR(SUMPRODUCT((J112:U112="x")*(Besatzung!$F$11:$F$22="x")),1))),(IF(COUNTIF(J112:U112,"x")=0,IF(Besatzung!$B$14&lt;&gt;"",1,0),(M112="x"))*(G112-IFERROR(H112,0))/IFERROR(IF(COUNTIF(J112:U112,"x")=0,COUNTA(Besatzung!$B$11:$B$22),COUNTIF(J112:U112,"x")),1)+IF(COUNTIF(J112:U112,"x")=0,(Besatzung!$F$14="x"),(M112="x")*(Besatzung!$F$14="x"))*IFERROR(H112,0)/IFERROR(IF(COUNTIF(J112:U112,"x")=0,SUMPRODUCT((Besatzung!$B$11:$B$22&lt;&gt;"")*(Besatzung!$F$11:$F$22="x")),SUMPRODUCT((J112:U112="x")*(Besatzung!$F$11:$F$22="x"))),1))))),0))))</f>
        <v/>
      </c>
      <c r="Z112" s="106">
        <f>IF(C112="Gutschrift","",IF(G112="","",IF(Besatzung!$B$13="","",IFERROR(IF(I112="Zeitanteilig",(Besatzung!$G$15*(G112-IFERROR(H112,0))+((Besatzung!$B$13&lt;&gt;"")*IF(B112="",1,(IF(Besatzung!$C$15="",Besatzung!$B$5,Besatzung!$C$15)&lt;=B112)*(IF(Besatzung!$D$15="",Besatzung!$B$6,Besatzung!$D$15)&gt;=B112)))*(Besatzung!$F$15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$13&lt;&gt;"")*IF(B112="",1,(IF(Besatzung!$C$15="",Besatzung!$B$5,Besatzung!$C$15)&lt;=B112)*(IF(Besatzung!$D$15="",Besatzung!$B$6,Besatzung!$D$15)&gt;=B112)))*((G112-IFERROR(H112,0))/IFERROR(SUMPRODUCT((Besatzung!$B$11:$B$22&lt;&gt;"")*(IF(Besatzung!$C$11:$C$22="",Besatzung!$B$5,Besatzung!$C$11:$C$22)&lt;=B112)*(IF(Besatzung!$D$11:$D$22="",Besatzung!$B$6,Besatzung!$D$11:$D$22)&gt;=B112)),1)+(Besatzung!$F$15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N112="x")*((G112-IFERROR(H112,0))/IFERROR(COUNTIF(J112:U112,"x"),1)+(Besatzung!$F$15="x")*IFERROR(H112,0)/IFERROR(SUMPRODUCT((J112:U112="x")*(Besatzung!$F$11:$F$22="x")),1))),(IF(COUNTIF(J112:U112,"x")=0,IF(Besatzung!$B$13&lt;&gt;"",1,0),(N112="x"))*(G112-IFERROR(H112,0))/IFERROR(IF(COUNTIF(J112:U112,"x")=0,COUNTA(Besatzung!$B$11:$B$22),COUNTIF(J112:U112,"x")),1)+IF(COUNTIF(J112:U112,"x")=0,(Besatzung!$F$15="x"),(N112="x")*(Besatzung!$F$15="x"))*IFERROR(H112,0)/IFERROR(IF(COUNTIF(J112:U112,"x")=0,SUMPRODUCT((Besatzung!$B$11:$B$22&lt;&gt;"")*(Besatzung!$F$11:$F$22="x")),SUMPRODUCT((J112:U112="x")*(Besatzung!$F$11:$F$22="x"))),1))))),0))))</f>
        <v/>
      </c>
      <c r="AA112" s="106">
        <f>IF(C112="Gutschrift","",IF(G112="","",IF(Besatzung!$B$15="","",IFERROR(IF(I112="Zeitanteilig",(Besatzung!$G$16*(G112-IFERROR(H112,0))+((Besatzung!$B$15&lt;&gt;"")*IF(B112="",1,(IF(Besatzung!$C$16="",Besatzung!$B$5,Besatzung!$C$16)&lt;=B112)*(IF(Besatzung!$D$16="",Besatzung!$B$6,Besatzung!$D$16)&gt;=B112)))*(Besatzung!$F$16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$15&lt;&gt;"")*IF(B112="",1,(IF(Besatzung!$C$16="",Besatzung!$B$5,Besatzung!$C$16)&lt;=B112)*(IF(Besatzung!$D$16="",Besatzung!$B$6,Besatzung!$D$16)&gt;=B112)))*((G112-IFERROR(H112,0))/IFERROR(SUMPRODUCT((Besatzung!$B$11:$B$22&lt;&gt;"")*(IF(Besatzung!$C$11:$C$22="",Besatzung!$B$5,Besatzung!$C$11:$C$22)&lt;=B112)*(IF(Besatzung!$D$11:$D$22="",Besatzung!$B$6,Besatzung!$D$11:$D$22)&gt;=B112)),1)+(Besatzung!$F$16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O112="x")*((G112-IFERROR(H112,0))/IFERROR(COUNTIF(J112:U112,"x"),1)+(Besatzung!$F$16="x")*IFERROR(H112,0)/IFERROR(SUMPRODUCT((J112:U112="x")*(Besatzung!$F$11:$F$22="x")),1))),(IF(COUNTIF(J112:U112,"x")=0,IF(Besatzung!$B$15&lt;&gt;"",1,0),(O112="x"))*(G112-IFERROR(H112,0))/IFERROR(IF(COUNTIF(J112:U112,"x")=0,COUNTA(Besatzung!$B$11:$B$22),COUNTIF(J112:U112,"x")),1)+IF(COUNTIF(J112:U112,"x")=0,(Besatzung!$F$16="x"),(O112="x")*(Besatzung!$F$16="x"))*IFERROR(H112,0)/IFERROR(IF(COUNTIF(J112:U112,"x")=0,SUMPRODUCT((Besatzung!$B$11:$B$22&lt;&gt;"")*(Besatzung!$F$11:$F$22="x")),SUMPRODUCT((J112:U112="x")*(Besatzung!$F$11:$F$22="x"))),1))))),0))))</f>
        <v/>
      </c>
      <c r="AB112" s="106">
        <f>IF(C112="Gutschrift","",IF(G112="","",IF(Besatzung!$B$17="","",IFERROR(IF(I112="Zeitanteilig",(Besatzung!$G$17*(G112-IFERROR(H112,0))+((Besatzung!$B$17&lt;&gt;"")*IF(B112="",1,(IF(Besatzung!$C$17="",Besatzung!$B$5,Besatzung!$C$17)&lt;=B112)*(IF(Besatzung!$D$17="",Besatzung!$B$6,Besatzung!$D$17)&gt;=B112)))*(Besatzung!$F$17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$17&lt;&gt;"")*IF(B112="",1,(IF(Besatzung!$C$17="",Besatzung!$B$5,Besatzung!$C$17)&lt;=B112)*(IF(Besatzung!$D$17="",Besatzung!$B$6,Besatzung!$D$17)&gt;=B112)))*((G112-IFERROR(H112,0))/IFERROR(SUMPRODUCT((Besatzung!$B$11:$B$22&lt;&gt;"")*(IF(Besatzung!$C$11:$C$22="",Besatzung!$B$5,Besatzung!$C$11:$C$22)&lt;=B112)*(IF(Besatzung!$D$11:$D$22="",Besatzung!$B$6,Besatzung!$D$11:$D$22)&gt;=B112)),1)+(Besatzung!$F$17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P112="x")*((G112-IFERROR(H112,0))/IFERROR(COUNTIF(J112:U112,"x"),1)+(Besatzung!$F$17="x")*IFERROR(H112,0)/IFERROR(SUMPRODUCT((J112:U112="x")*(Besatzung!$F$11:$F$22="x")),1))),(IF(COUNTIF(J112:U112,"x")=0,IF(Besatzung!$B$17&lt;&gt;"",1,0),(P112="x"))*(G112-IFERROR(H112,0))/IFERROR(IF(COUNTIF(J112:U112,"x")=0,COUNTA(Besatzung!$B$11:$B$22),COUNTIF(J112:U112,"x")),1)+IF(COUNTIF(J112:U112,"x")=0,(Besatzung!$F$17="x"),(P112="x")*(Besatzung!$F$17="x"))*IFERROR(H112,0)/IFERROR(IF(COUNTIF(J112:U112,"x")=0,SUMPRODUCT((Besatzung!$B$11:$B$22&lt;&gt;"")*(Besatzung!$F$11:$F$22="x")),SUMPRODUCT((J112:U112="x")*(Besatzung!$F$11:$F$22="x"))),1))))),0))))</f>
        <v/>
      </c>
      <c r="AC112" s="106">
        <f>IF(C112="Gutschrift","",IF(G112="","",IF(Besatzung!$B$18="","",IFERROR(IF(I112="Zeitanteilig",(Besatzung!$G$18*(G112-IFERROR(H112,0))+((Besatzung!$B$18&lt;&gt;"")*IF(B112="",1,(IF(Besatzung!$C$18="",Besatzung!$B$5,Besatzung!$C$18)&lt;=B112)*(IF(Besatzung!$D$18="",Besatzung!$B$6,Besatzung!$D$18)&gt;=B112)))*(Besatzung!$F$18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$18&lt;&gt;"")*IF(B112="",1,(IF(Besatzung!$C$18="",Besatzung!$B$5,Besatzung!$C$18)&lt;=B112)*(IF(Besatzung!$D$18="",Besatzung!$B$6,Besatzung!$D$18)&gt;=B112)))*((G112-IFERROR(H112,0))/IFERROR(SUMPRODUCT((Besatzung!$B$11:$B$22&lt;&gt;"")*(IF(Besatzung!$C$11:$C$22="",Besatzung!$B$5,Besatzung!$C$11:$C$22)&lt;=B112)*(IF(Besatzung!$D$11:$D$22="",Besatzung!$B$6,Besatzung!$D$11:$D$22)&gt;=B112)),1)+(Besatzung!$F$18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Q112="x")*((G112-IFERROR(H112,0))/IFERROR(COUNTIF(J112:U112,"x"),1)+(Besatzung!$F$18="x")*IFERROR(H112,0)/IFERROR(SUMPRODUCT((J112:U112="x")*(Besatzung!$F$11:$F$22="x")),1))),(IF(COUNTIF(J112:U112,"x")=0,IF(Besatzung!$B$18&lt;&gt;"",1,0),(Q112="x"))*(G112-IFERROR(H112,0))/IFERROR(IF(COUNTIF(J112:U112,"x")=0,COUNTA(Besatzung!$B$11:$B$22),COUNTIF(J112:U112,"x")),1)+IF(COUNTIF(J112:U112,"x")=0,(Besatzung!$F$18="x"),(Q112="x")*(Besatzung!$F$18="x"))*IFERROR(H112,0)/IFERROR(IF(COUNTIF(J112:U112,"x")=0,SUMPRODUCT((Besatzung!$B$11:$B$22&lt;&gt;"")*(Besatzung!$F$11:$F$22="x")),SUMPRODUCT((J112:U112="x")*(Besatzung!$F$11:$F$22="x"))),1))))),0))))</f>
        <v/>
      </c>
      <c r="AD112" s="106">
        <f>IF(C112="Gutschrift","",IF(G112="","",IF(Besatzung!$B$19="","",IFERROR(IF(I112="Zeitanteilig",(Besatzung!$G$19*(G112-IFERROR(H112,0))+((Besatzung!$B$19&lt;&gt;"")*IF(B112="",1,(IF(Besatzung!$C$19="",Besatzung!$B$5,Besatzung!$C$19)&lt;=B112)*(IF(Besatzung!$D$19="",Besatzung!$B$6,Besatzung!$D$19)&gt;=B112)))*(Besatzung!$F$19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$19&lt;&gt;"")*IF(B112="",1,(IF(Besatzung!$C$19="",Besatzung!$B$5,Besatzung!$C$19)&lt;=B112)*(IF(Besatzung!$D$19="",Besatzung!$B$6,Besatzung!$D$19)&gt;=B112)))*((G112-IFERROR(H112,0))/IFERROR(SUMPRODUCT((Besatzung!$B$11:$B$22&lt;&gt;"")*(IF(Besatzung!$C$11:$C$22="",Besatzung!$B$5,Besatzung!$C$11:$C$22)&lt;=B112)*(IF(Besatzung!$D$11:$D$22="",Besatzung!$B$6,Besatzung!$D$11:$D$22)&gt;=B112)),1)+(Besatzung!$F$19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R112="x")*((G112-IFERROR(H112,0))/IFERROR(COUNTIF(J112:U112,"x"),1)+(Besatzung!$F$19="x")*IFERROR(H112,0)/IFERROR(SUMPRODUCT((J112:U112="x")*(Besatzung!$F$11:$F$22="x")),1))),(IF(COUNTIF(J112:U112,"x")=0,IF(Besatzung!$B$19&lt;&gt;"",1,0),(R112="x"))*(G112-IFERROR(H112,0))/IFERROR(IF(COUNTIF(J112:U112,"x")=0,COUNTA(Besatzung!$B$11:$B$22),COUNTIF(J112:U112,"x")),1)+IF(COUNTIF(J112:U112,"x")=0,(Besatzung!$F$19="x"),(R112="x")*(Besatzung!$F$19="x"))*IFERROR(H112,0)/IFERROR(IF(COUNTIF(J112:U112,"x")=0,SUMPRODUCT((Besatzung!$B$11:$B$22&lt;&gt;"")*(Besatzung!$F$11:$F$22="x")),SUMPRODUCT((J112:U112="x")*(Besatzung!$F$11:$F$22="x"))),1))))),0))))</f>
        <v/>
      </c>
      <c r="AE112" s="106">
        <f>IF(C112="Gutschrift","",IF(G112="","",IF(Besatzung!$B$20="","",IFERROR(IF(I112="Zeitanteilig",(Besatzung!$G$20*(G112-IFERROR(H112,0))+((Besatzung!$B$20&lt;&gt;"")*IF(B112="",1,(IF(Besatzung!$C$20="",Besatzung!$B$5,Besatzung!$C$20)&lt;=B112)*(IF(Besatzung!$D$20="",Besatzung!$B$6,Besatzung!$D$20)&gt;=B112)))*(Besatzung!$F$20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$20&lt;&gt;"")*IF(B112="",1,(IF(Besatzung!$C$20="",Besatzung!$B$5,Besatzung!$C$20)&lt;=B112)*(IF(Besatzung!$D$20="",Besatzung!$B$6,Besatzung!$D$20)&gt;=B112)))*((G112-IFERROR(H112,0))/IFERROR(SUMPRODUCT((Besatzung!$B$11:$B$22&lt;&gt;"")*(IF(Besatzung!$C$11:$C$22="",Besatzung!$B$5,Besatzung!$C$11:$C$22)&lt;=B112)*(IF(Besatzung!$D$11:$D$22="",Besatzung!$B$6,Besatzung!$D$11:$D$22)&gt;=B112)),1)+(Besatzung!$F$20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S112="x")*((G112-IFERROR(H112,0))/IFERROR(COUNTIF(J112:U112,"x"),1)+(Besatzung!$F$20="x")*IFERROR(H112,0)/IFERROR(SUMPRODUCT((J112:U112="x")*(Besatzung!$F$11:$F$22="x")),1))),(IF(COUNTIF(J112:U112,"x")=0,IF(Besatzung!$B$20&lt;&gt;"",1,0),(S112="x"))*(G112-IFERROR(H112,0))/IFERROR(IF(COUNTIF(J112:U112,"x")=0,COUNTA(Besatzung!$B$11:$B$22),COUNTIF(J112:U112,"x")),1)+IF(COUNTIF(J112:U112,"x")=0,(Besatzung!$F$20="x"),(S112="x")*(Besatzung!$F$20="x"))*IFERROR(H112,0)/IFERROR(IF(COUNTIF(J112:U112,"x")=0,SUMPRODUCT((Besatzung!$B$11:$B$22&lt;&gt;"")*(Besatzung!$F$11:$F$22="x")),SUMPRODUCT((J112:U112="x")*(Besatzung!$F$11:$F$22="x"))),1))))),0))))</f>
        <v/>
      </c>
      <c r="AF112" s="106">
        <f>IF(C112="Gutschrift","",IF(G112="","",IF(Besatzung!$B$21="","",IFERROR(IF(I112="Zeitanteilig",(Besatzung!$G$21*(G112-IFERROR(H112,0))+((Besatzung!$B$21&lt;&gt;"")*IF(B112="",1,(IF(Besatzung!$C$21="",Besatzung!$B$5,Besatzung!$C$21)&lt;=B112)*(IF(Besatzung!$D$21="",Besatzung!$B$6,Besatzung!$D$21)&gt;=B112)))*(Besatzung!$F$21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$21&lt;&gt;"")*IF(B112="",1,(IF(Besatzung!$C$21="",Besatzung!$B$5,Besatzung!$C$21)&lt;=B112)*(IF(Besatzung!$D$21="",Besatzung!$B$6,Besatzung!$D$21)&gt;=B112)))*((G112-IFERROR(H112,0))/IFERROR(SUMPRODUCT((Besatzung!$B$11:$B$22&lt;&gt;"")*(IF(Besatzung!$C$11:$C$22="",Besatzung!$B$5,Besatzung!$C$11:$C$22)&lt;=B112)*(IF(Besatzung!$D$11:$D$22="",Besatzung!$B$6,Besatzung!$D$11:$D$22)&gt;=B112)),1)+(Besatzung!$F$21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T112="x")*((G112-IFERROR(H112,0))/IFERROR(COUNTIF(J112:U112,"x"),1)+(Besatzung!$F$21="x")*IFERROR(H112,0)/IFERROR(SUMPRODUCT((J112:U112="x")*(Besatzung!$F$11:$F$22="x")),1))),(IF(COUNTIF(J112:U112,"x")=0,IF(Besatzung!$B$21&lt;&gt;"",1,0),(T112="x"))*(G112-IFERROR(H112,0))/IFERROR(IF(COUNTIF(J112:U112,"x")=0,COUNTA(Besatzung!$B$11:$B$22),COUNTIF(J112:U112,"x")),1)+IF(COUNTIF(J112:U112,"x")=0,(Besatzung!$F$21="x"),(T112="x")*(Besatzung!$F$21="x"))*IFERROR(H112,0)/IFERROR(IF(COUNTIF(J112:U112,"x")=0,SUMPRODUCT((Besatzung!$B$11:$B$22&lt;&gt;"")*(Besatzung!$F$11:$F$22="x")),SUMPRODUCT((J112:U112="x")*(Besatzung!$F$11:$F$22="x"))),1))))),0))))</f>
        <v/>
      </c>
      <c r="AG112" s="106">
        <f>IF(C112="Gutschrift","",IF(G112="","",IF(Besatzung!$B$22="","",IFERROR(IF(I112="Zeitanteilig",(Besatzung!$G$22*(G112-IFERROR(H112,0))+((Besatzung!$B$22&lt;&gt;"")*IF(B112="",1,(IF(Besatzung!$C$22="",Besatzung!$B$5,Besatzung!$C$22)&lt;=B112)*(IF(Besatzung!$D$22="",Besatzung!$B$6,Besatzung!$D$22)&gt;=B112)))*(Besatzung!$F$22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$22&lt;&gt;"")*IF(B112="",1,(IF(Besatzung!$C$22="",Besatzung!$B$5,Besatzung!$C$22)&lt;=B112)*(IF(Besatzung!$D$22="",Besatzung!$B$6,Besatzung!$D$22)&gt;=B112)))*((G112-IFERROR(H112,0))/IFERROR(SUMPRODUCT((Besatzung!$B$11:$B$22&lt;&gt;"")*(IF(Besatzung!$C$11:$C$22="",Besatzung!$B$5,Besatzung!$C$11:$C$22)&lt;=B112)*(IF(Besatzung!$D$11:$D$22="",Besatzung!$B$6,Besatzung!$D$11:$D$22)&gt;=B112)),1)+(Besatzung!$F$22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U112="x")*((G112-IFERROR(H112,0))/IFERROR(COUNTIF(J112:U112,"x"),1)+(Besatzung!$F$22="x")*IFERROR(H112,0)/IFERROR(SUMPRODUCT((J112:U112="x")*(Besatzung!$F$11:$F$22="x")),1))),(IF(COUNTIF(J112:U112,"x")=0,IF(Besatzung!$B$22&lt;&gt;"",1,0),(U112="x"))*(G112-IFERROR(H112,0))/IFERROR(IF(COUNTIF(J112:U112,"x")=0,COUNTA(Besatzung!$B$11:$B$22),COUNTIF(J112:U112,"x")),1)+IF(COUNTIF(J112:U112,"x")=0,(Besatzung!$F$22="x"),(U112="x")*(Besatzung!$F$22="x"))*IFERROR(H112,0)/IFERROR(IF(COUNTIF(J112:U112,"x")=0,SUMPRODUCT((Besatzung!$B$11:$B$22&lt;&gt;"")*(Besatzung!$F$11:$F$22="x")),SUMPRODUCT((J112:U112="x")*(Besatzung!$F$11:$F$22="x"))),1))))),0))))</f>
        <v/>
      </c>
      <c r="AH112" s="107" t="n"/>
      <c r="AI112" s="107" t="n"/>
    </row>
    <row r="113" ht="21.75" customHeight="1" s="182">
      <c r="A113" s="97">
        <f>IF(AND(D113="",C113=""),"",110)</f>
        <v/>
      </c>
      <c r="B113" s="63" t="n"/>
      <c r="C113" s="108" t="n"/>
      <c r="D113" s="109" t="n"/>
      <c r="E113" s="110" t="n"/>
      <c r="F113" s="111" t="n"/>
      <c r="G113" s="112" t="n"/>
      <c r="H113" s="113" t="n"/>
      <c r="I113" s="114" t="n"/>
      <c r="J113" s="115" t="n"/>
      <c r="K113" s="115" t="n"/>
      <c r="L113" s="115" t="n"/>
      <c r="M113" s="115" t="n"/>
      <c r="N113" s="115" t="n"/>
      <c r="O113" s="115" t="n"/>
      <c r="P113" s="115" t="n"/>
      <c r="Q113" s="115" t="n"/>
      <c r="R113" s="115" t="n"/>
      <c r="S113" s="115" t="n"/>
      <c r="T113" s="115" t="n"/>
      <c r="U113" s="115" t="n"/>
      <c r="V113" s="106">
        <f>IF(C113="Gutschrift","",IF(G113="","",IF(Besatzung!$B$11="","",IFERROR(IF(I113="Zeitanteilig",(Besatzung!$G$11*(G113-IFERROR(H113,0))+((Besatzung!$B$11&lt;&gt;"")*IF(B113="",1,(IF(Besatzung!$C$11="",Besatzung!$B$5,Besatzung!$C$11)&lt;=B113)*(IF(Besatzung!$D$11="",Besatzung!$B$6,Besatzung!$D$11)&gt;=B113)))*(Besatzung!$F$11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$11&lt;&gt;"")*IF(B113="",1,(IF(Besatzung!$C$11="",Besatzung!$B$5,Besatzung!$C$11)&lt;=B113)*(IF(Besatzung!$D$11="",Besatzung!$B$6,Besatzung!$D$11)&gt;=B113)))*((G113-IFERROR(H113,0))/IFERROR(SUMPRODUCT((Besatzung!$B$11:$B$22&lt;&gt;"")*(IF(Besatzung!$C$11:$C$22="",Besatzung!$B$5,Besatzung!$C$11:$C$22)&lt;=B113)*(IF(Besatzung!$D$11:$D$22="",Besatzung!$B$6,Besatzung!$D$11:$D$22)&gt;=B113)),1)+(Besatzung!$F$11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J113="x")*((G113-IFERROR(H113,0))/IFERROR(COUNTIF(J113:U113,"x"),1)+(Besatzung!$F$11="x")*IFERROR(H113,0)/IFERROR(SUMPRODUCT((J113:U113="x")*(Besatzung!$F$11:$F$22="x")),1))),(IF(COUNTIF(J113:U113,"x")=0,IF(Besatzung!$B$11&lt;&gt;"",1,0),(J113="x"))*(G113-IFERROR(H113,0))/IFERROR(IF(COUNTIF(J113:U113,"x")=0,COUNTA(Besatzung!$B$11:$B$22),COUNTIF(J113:U113,"x")),1)+IF(COUNTIF(J113:U113,"x")=0,(Besatzung!$F$11="x"),(J113="x")*(Besatzung!$F$11="x"))*IFERROR(H113,0)/IFERROR(IF(COUNTIF(J113:U113,"x")=0,SUMPRODUCT((Besatzung!$B$11:$B$22&lt;&gt;"")*(Besatzung!$F$11:$F$22="x")),SUMPRODUCT((J113:U113="x")*(Besatzung!$F$11:$F$22="x"))),1))))),0))))</f>
        <v/>
      </c>
      <c r="W113" s="106">
        <f>IF(C113="Gutschrift","",IF(G113="","",IF(Besatzung!$B$12="","",IFERROR(IF(I113="Zeitanteilig",(Besatzung!$G$12*(G113-IFERROR(H113,0))+((Besatzung!$B$12&lt;&gt;"")*IF(B113="",1,(IF(Besatzung!$C$12="",Besatzung!$B$5,Besatzung!$C$12)&lt;=B113)*(IF(Besatzung!$D$12="",Besatzung!$B$6,Besatzung!$D$12)&gt;=B113)))*(Besatzung!$F$12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$12&lt;&gt;"")*IF(B113="",1,(IF(Besatzung!$C$12="",Besatzung!$B$5,Besatzung!$C$12)&lt;=B113)*(IF(Besatzung!$D$12="",Besatzung!$B$6,Besatzung!$D$12)&gt;=B113)))*((G113-IFERROR(H113,0))/IFERROR(SUMPRODUCT((Besatzung!$B$11:$B$22&lt;&gt;"")*(IF(Besatzung!$C$11:$C$22="",Besatzung!$B$5,Besatzung!$C$11:$C$22)&lt;=B113)*(IF(Besatzung!$D$11:$D$22="",Besatzung!$B$6,Besatzung!$D$11:$D$22)&gt;=B113)),1)+(Besatzung!$F$12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K113="x")*((G113-IFERROR(H113,0))/IFERROR(COUNTIF(J113:U113,"x"),1)+(Besatzung!$F$12="x")*IFERROR(H113,0)/IFERROR(SUMPRODUCT((J113:U113="x")*(Besatzung!$F$11:$F$22="x")),1))),(IF(COUNTIF(J113:U113,"x")=0,IF(Besatzung!$B$12&lt;&gt;"",1,0),(K113="x"))*(G113-IFERROR(H113,0))/IFERROR(IF(COUNTIF(J113:U113,"x")=0,COUNTA(Besatzung!$B$11:$B$22),COUNTIF(J113:U113,"x")),1)+IF(COUNTIF(J113:U113,"x")=0,(Besatzung!$F$12="x"),(K113="x")*(Besatzung!$F$12="x"))*IFERROR(H113,0)/IFERROR(IF(COUNTIF(J113:U113,"x")=0,SUMPRODUCT((Besatzung!$B$11:$B$22&lt;&gt;"")*(Besatzung!$F$11:$F$22="x")),SUMPRODUCT((J113:U113="x")*(Besatzung!$F$11:$F$22="x"))),1))))),0))))</f>
        <v/>
      </c>
      <c r="X113" s="106">
        <f>IF(C113="Gutschrift","",IF(G113="","",IF(Besatzung!$B$13="","",IFERROR(IF(I113="Zeitanteilig",(Besatzung!$G$13*(G113-IFERROR(H113,0))+((Besatzung!$B$13&lt;&gt;"")*IF(B113="",1,(IF(Besatzung!$C$13="",Besatzung!$B$5,Besatzung!$C$13)&lt;=B113)*(IF(Besatzung!$D$13="",Besatzung!$B$6,Besatzung!$D$13)&gt;=B113)))*(Besatzung!$F$13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$13&lt;&gt;"")*IF(B113="",1,(IF(Besatzung!$C$13="",Besatzung!$B$5,Besatzung!$C$13)&lt;=B113)*(IF(Besatzung!$D$13="",Besatzung!$B$6,Besatzung!$D$13)&gt;=B113)))*((G113-IFERROR(H113,0))/IFERROR(SUMPRODUCT((Besatzung!$B$11:$B$22&lt;&gt;"")*(IF(Besatzung!$C$11:$C$22="",Besatzung!$B$5,Besatzung!$C$11:$C$22)&lt;=B113)*(IF(Besatzung!$D$11:$D$22="",Besatzung!$B$6,Besatzung!$D$11:$D$22)&gt;=B113)),1)+(Besatzung!$F$13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K113="x")*((G113-IFERROR(H113,0))/IFERROR(COUNTIF(J113:U113,"x"),1)+(Besatzung!$F$13="x")*IFERROR(H113,0)/IFERROR(SUMPRODUCT((J113:U113="x")*(Besatzung!$F$11:$F$22="x")),1))),(IF(COUNTIF(J113:U113,"x")=0,IF(Besatzung!$B$13&lt;&gt;"",1,0),(K113="x"))*(G113-IFERROR(H113,0))/IFERROR(IF(COUNTIF(J113:U113,"x")=0,COUNTA(Besatzung!$B$11:$B$22),COUNTIF(J113:U113,"x")),1)+IF(COUNTIF(J113:U113,"x")=0,(Besatzung!$F$13="x"),(K113="x")*(Besatzung!$F$13="x"))*IFERROR(H113,0)/IFERROR(IF(COUNTIF(J113:U113,"x")=0,SUMPRODUCT((Besatzung!$B$11:$B$22&lt;&gt;"")*(Besatzung!$F$11:$F$22="x")),SUMPRODUCT((J113:U113="x")*(Besatzung!$F$11:$F$22="x"))),1))))),0))))</f>
        <v/>
      </c>
      <c r="Y113" s="106">
        <f>IF(C113="Gutschrift","",IF(G113="","",IF(Besatzung!$B$14="","",IFERROR(IF(I113="Zeitanteilig",(Besatzung!$G$14*(G113-IFERROR(H113,0))+((Besatzung!$B$14&lt;&gt;"")*IF(B113="",1,(IF(Besatzung!$C$14="",Besatzung!$B$5,Besatzung!$C$14)&lt;=B113)*(IF(Besatzung!$D$14="",Besatzung!$B$6,Besatzung!$D$14)&gt;=B113)))*(Besatzung!$F$14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$14&lt;&gt;"")*IF(B113="",1,(IF(Besatzung!$C$14="",Besatzung!$B$5,Besatzung!$C$14)&lt;=B113)*(IF(Besatzung!$D$14="",Besatzung!$B$6,Besatzung!$D$14)&gt;=B113)))*((G113-IFERROR(H113,0))/IFERROR(SUMPRODUCT((Besatzung!$B$11:$B$22&lt;&gt;"")*(IF(Besatzung!$C$11:$C$22="",Besatzung!$B$5,Besatzung!$C$11:$C$22)&lt;=B113)*(IF(Besatzung!$D$11:$D$22="",Besatzung!$B$6,Besatzung!$D$11:$D$22)&gt;=B113)),1)+(Besatzung!$F$14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M113="x")*((G113-IFERROR(H113,0))/IFERROR(COUNTIF(J113:U113,"x"),1)+(Besatzung!$F$14="x")*IFERROR(H113,0)/IFERROR(SUMPRODUCT((J113:U113="x")*(Besatzung!$F$11:$F$22="x")),1))),(IF(COUNTIF(J113:U113,"x")=0,IF(Besatzung!$B$14&lt;&gt;"",1,0),(M113="x"))*(G113-IFERROR(H113,0))/IFERROR(IF(COUNTIF(J113:U113,"x")=0,COUNTA(Besatzung!$B$11:$B$22),COUNTIF(J113:U113,"x")),1)+IF(COUNTIF(J113:U113,"x")=0,(Besatzung!$F$14="x"),(M113="x")*(Besatzung!$F$14="x"))*IFERROR(H113,0)/IFERROR(IF(COUNTIF(J113:U113,"x")=0,SUMPRODUCT((Besatzung!$B$11:$B$22&lt;&gt;"")*(Besatzung!$F$11:$F$22="x")),SUMPRODUCT((J113:U113="x")*(Besatzung!$F$11:$F$22="x"))),1))))),0))))</f>
        <v/>
      </c>
      <c r="Z113" s="106">
        <f>IF(C113="Gutschrift","",IF(G113="","",IF(Besatzung!$B$13="","",IFERROR(IF(I113="Zeitanteilig",(Besatzung!$G$15*(G113-IFERROR(H113,0))+((Besatzung!$B$13&lt;&gt;"")*IF(B113="",1,(IF(Besatzung!$C$15="",Besatzung!$B$5,Besatzung!$C$15)&lt;=B113)*(IF(Besatzung!$D$15="",Besatzung!$B$6,Besatzung!$D$15)&gt;=B113)))*(Besatzung!$F$15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$13&lt;&gt;"")*IF(B113="",1,(IF(Besatzung!$C$15="",Besatzung!$B$5,Besatzung!$C$15)&lt;=B113)*(IF(Besatzung!$D$15="",Besatzung!$B$6,Besatzung!$D$15)&gt;=B113)))*((G113-IFERROR(H113,0))/IFERROR(SUMPRODUCT((Besatzung!$B$11:$B$22&lt;&gt;"")*(IF(Besatzung!$C$11:$C$22="",Besatzung!$B$5,Besatzung!$C$11:$C$22)&lt;=B113)*(IF(Besatzung!$D$11:$D$22="",Besatzung!$B$6,Besatzung!$D$11:$D$22)&gt;=B113)),1)+(Besatzung!$F$15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N113="x")*((G113-IFERROR(H113,0))/IFERROR(COUNTIF(J113:U113,"x"),1)+(Besatzung!$F$15="x")*IFERROR(H113,0)/IFERROR(SUMPRODUCT((J113:U113="x")*(Besatzung!$F$11:$F$22="x")),1))),(IF(COUNTIF(J113:U113,"x")=0,IF(Besatzung!$B$13&lt;&gt;"",1,0),(N113="x"))*(G113-IFERROR(H113,0))/IFERROR(IF(COUNTIF(J113:U113,"x")=0,COUNTA(Besatzung!$B$11:$B$22),COUNTIF(J113:U113,"x")),1)+IF(COUNTIF(J113:U113,"x")=0,(Besatzung!$F$15="x"),(N113="x")*(Besatzung!$F$15="x"))*IFERROR(H113,0)/IFERROR(IF(COUNTIF(J113:U113,"x")=0,SUMPRODUCT((Besatzung!$B$11:$B$22&lt;&gt;"")*(Besatzung!$F$11:$F$22="x")),SUMPRODUCT((J113:U113="x")*(Besatzung!$F$11:$F$22="x"))),1))))),0))))</f>
        <v/>
      </c>
      <c r="AA113" s="106">
        <f>IF(C113="Gutschrift","",IF(G113="","",IF(Besatzung!$B$15="","",IFERROR(IF(I113="Zeitanteilig",(Besatzung!$G$16*(G113-IFERROR(H113,0))+((Besatzung!$B$15&lt;&gt;"")*IF(B113="",1,(IF(Besatzung!$C$16="",Besatzung!$B$5,Besatzung!$C$16)&lt;=B113)*(IF(Besatzung!$D$16="",Besatzung!$B$6,Besatzung!$D$16)&gt;=B113)))*(Besatzung!$F$16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$15&lt;&gt;"")*IF(B113="",1,(IF(Besatzung!$C$16="",Besatzung!$B$5,Besatzung!$C$16)&lt;=B113)*(IF(Besatzung!$D$16="",Besatzung!$B$6,Besatzung!$D$16)&gt;=B113)))*((G113-IFERROR(H113,0))/IFERROR(SUMPRODUCT((Besatzung!$B$11:$B$22&lt;&gt;"")*(IF(Besatzung!$C$11:$C$22="",Besatzung!$B$5,Besatzung!$C$11:$C$22)&lt;=B113)*(IF(Besatzung!$D$11:$D$22="",Besatzung!$B$6,Besatzung!$D$11:$D$22)&gt;=B113)),1)+(Besatzung!$F$16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O113="x")*((G113-IFERROR(H113,0))/IFERROR(COUNTIF(J113:U113,"x"),1)+(Besatzung!$F$16="x")*IFERROR(H113,0)/IFERROR(SUMPRODUCT((J113:U113="x")*(Besatzung!$F$11:$F$22="x")),1))),(IF(COUNTIF(J113:U113,"x")=0,IF(Besatzung!$B$15&lt;&gt;"",1,0),(O113="x"))*(G113-IFERROR(H113,0))/IFERROR(IF(COUNTIF(J113:U113,"x")=0,COUNTA(Besatzung!$B$11:$B$22),COUNTIF(J113:U113,"x")),1)+IF(COUNTIF(J113:U113,"x")=0,(Besatzung!$F$16="x"),(O113="x")*(Besatzung!$F$16="x"))*IFERROR(H113,0)/IFERROR(IF(COUNTIF(J113:U113,"x")=0,SUMPRODUCT((Besatzung!$B$11:$B$22&lt;&gt;"")*(Besatzung!$F$11:$F$22="x")),SUMPRODUCT((J113:U113="x")*(Besatzung!$F$11:$F$22="x"))),1))))),0))))</f>
        <v/>
      </c>
      <c r="AB113" s="106">
        <f>IF(C113="Gutschrift","",IF(G113="","",IF(Besatzung!$B$17="","",IFERROR(IF(I113="Zeitanteilig",(Besatzung!$G$17*(G113-IFERROR(H113,0))+((Besatzung!$B$17&lt;&gt;"")*IF(B113="",1,(IF(Besatzung!$C$17="",Besatzung!$B$5,Besatzung!$C$17)&lt;=B113)*(IF(Besatzung!$D$17="",Besatzung!$B$6,Besatzung!$D$17)&gt;=B113)))*(Besatzung!$F$17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$17&lt;&gt;"")*IF(B113="",1,(IF(Besatzung!$C$17="",Besatzung!$B$5,Besatzung!$C$17)&lt;=B113)*(IF(Besatzung!$D$17="",Besatzung!$B$6,Besatzung!$D$17)&gt;=B113)))*((G113-IFERROR(H113,0))/IFERROR(SUMPRODUCT((Besatzung!$B$11:$B$22&lt;&gt;"")*(IF(Besatzung!$C$11:$C$22="",Besatzung!$B$5,Besatzung!$C$11:$C$22)&lt;=B113)*(IF(Besatzung!$D$11:$D$22="",Besatzung!$B$6,Besatzung!$D$11:$D$22)&gt;=B113)),1)+(Besatzung!$F$17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P113="x")*((G113-IFERROR(H113,0))/IFERROR(COUNTIF(J113:U113,"x"),1)+(Besatzung!$F$17="x")*IFERROR(H113,0)/IFERROR(SUMPRODUCT((J113:U113="x")*(Besatzung!$F$11:$F$22="x")),1))),(IF(COUNTIF(J113:U113,"x")=0,IF(Besatzung!$B$17&lt;&gt;"",1,0),(P113="x"))*(G113-IFERROR(H113,0))/IFERROR(IF(COUNTIF(J113:U113,"x")=0,COUNTA(Besatzung!$B$11:$B$22),COUNTIF(J113:U113,"x")),1)+IF(COUNTIF(J113:U113,"x")=0,(Besatzung!$F$17="x"),(P113="x")*(Besatzung!$F$17="x"))*IFERROR(H113,0)/IFERROR(IF(COUNTIF(J113:U113,"x")=0,SUMPRODUCT((Besatzung!$B$11:$B$22&lt;&gt;"")*(Besatzung!$F$11:$F$22="x")),SUMPRODUCT((J113:U113="x")*(Besatzung!$F$11:$F$22="x"))),1))))),0))))</f>
        <v/>
      </c>
      <c r="AC113" s="106">
        <f>IF(C113="Gutschrift","",IF(G113="","",IF(Besatzung!$B$18="","",IFERROR(IF(I113="Zeitanteilig",(Besatzung!$G$18*(G113-IFERROR(H113,0))+((Besatzung!$B$18&lt;&gt;"")*IF(B113="",1,(IF(Besatzung!$C$18="",Besatzung!$B$5,Besatzung!$C$18)&lt;=B113)*(IF(Besatzung!$D$18="",Besatzung!$B$6,Besatzung!$D$18)&gt;=B113)))*(Besatzung!$F$18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$18&lt;&gt;"")*IF(B113="",1,(IF(Besatzung!$C$18="",Besatzung!$B$5,Besatzung!$C$18)&lt;=B113)*(IF(Besatzung!$D$18="",Besatzung!$B$6,Besatzung!$D$18)&gt;=B113)))*((G113-IFERROR(H113,0))/IFERROR(SUMPRODUCT((Besatzung!$B$11:$B$22&lt;&gt;"")*(IF(Besatzung!$C$11:$C$22="",Besatzung!$B$5,Besatzung!$C$11:$C$22)&lt;=B113)*(IF(Besatzung!$D$11:$D$22="",Besatzung!$B$6,Besatzung!$D$11:$D$22)&gt;=B113)),1)+(Besatzung!$F$18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Q113="x")*((G113-IFERROR(H113,0))/IFERROR(COUNTIF(J113:U113,"x"),1)+(Besatzung!$F$18="x")*IFERROR(H113,0)/IFERROR(SUMPRODUCT((J113:U113="x")*(Besatzung!$F$11:$F$22="x")),1))),(IF(COUNTIF(J113:U113,"x")=0,IF(Besatzung!$B$18&lt;&gt;"",1,0),(Q113="x"))*(G113-IFERROR(H113,0))/IFERROR(IF(COUNTIF(J113:U113,"x")=0,COUNTA(Besatzung!$B$11:$B$22),COUNTIF(J113:U113,"x")),1)+IF(COUNTIF(J113:U113,"x")=0,(Besatzung!$F$18="x"),(Q113="x")*(Besatzung!$F$18="x"))*IFERROR(H113,0)/IFERROR(IF(COUNTIF(J113:U113,"x")=0,SUMPRODUCT((Besatzung!$B$11:$B$22&lt;&gt;"")*(Besatzung!$F$11:$F$22="x")),SUMPRODUCT((J113:U113="x")*(Besatzung!$F$11:$F$22="x"))),1))))),0))))</f>
        <v/>
      </c>
      <c r="AD113" s="106">
        <f>IF(C113="Gutschrift","",IF(G113="","",IF(Besatzung!$B$19="","",IFERROR(IF(I113="Zeitanteilig",(Besatzung!$G$19*(G113-IFERROR(H113,0))+((Besatzung!$B$19&lt;&gt;"")*IF(B113="",1,(IF(Besatzung!$C$19="",Besatzung!$B$5,Besatzung!$C$19)&lt;=B113)*(IF(Besatzung!$D$19="",Besatzung!$B$6,Besatzung!$D$19)&gt;=B113)))*(Besatzung!$F$19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$19&lt;&gt;"")*IF(B113="",1,(IF(Besatzung!$C$19="",Besatzung!$B$5,Besatzung!$C$19)&lt;=B113)*(IF(Besatzung!$D$19="",Besatzung!$B$6,Besatzung!$D$19)&gt;=B113)))*((G113-IFERROR(H113,0))/IFERROR(SUMPRODUCT((Besatzung!$B$11:$B$22&lt;&gt;"")*(IF(Besatzung!$C$11:$C$22="",Besatzung!$B$5,Besatzung!$C$11:$C$22)&lt;=B113)*(IF(Besatzung!$D$11:$D$22="",Besatzung!$B$6,Besatzung!$D$11:$D$22)&gt;=B113)),1)+(Besatzung!$F$19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R113="x")*((G113-IFERROR(H113,0))/IFERROR(COUNTIF(J113:U113,"x"),1)+(Besatzung!$F$19="x")*IFERROR(H113,0)/IFERROR(SUMPRODUCT((J113:U113="x")*(Besatzung!$F$11:$F$22="x")),1))),(IF(COUNTIF(J113:U113,"x")=0,IF(Besatzung!$B$19&lt;&gt;"",1,0),(R113="x"))*(G113-IFERROR(H113,0))/IFERROR(IF(COUNTIF(J113:U113,"x")=0,COUNTA(Besatzung!$B$11:$B$22),COUNTIF(J113:U113,"x")),1)+IF(COUNTIF(J113:U113,"x")=0,(Besatzung!$F$19="x"),(R113="x")*(Besatzung!$F$19="x"))*IFERROR(H113,0)/IFERROR(IF(COUNTIF(J113:U113,"x")=0,SUMPRODUCT((Besatzung!$B$11:$B$22&lt;&gt;"")*(Besatzung!$F$11:$F$22="x")),SUMPRODUCT((J113:U113="x")*(Besatzung!$F$11:$F$22="x"))),1))))),0))))</f>
        <v/>
      </c>
      <c r="AE113" s="106">
        <f>IF(C113="Gutschrift","",IF(G113="","",IF(Besatzung!$B$20="","",IFERROR(IF(I113="Zeitanteilig",(Besatzung!$G$20*(G113-IFERROR(H113,0))+((Besatzung!$B$20&lt;&gt;"")*IF(B113="",1,(IF(Besatzung!$C$20="",Besatzung!$B$5,Besatzung!$C$20)&lt;=B113)*(IF(Besatzung!$D$20="",Besatzung!$B$6,Besatzung!$D$20)&gt;=B113)))*(Besatzung!$F$20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$20&lt;&gt;"")*IF(B113="",1,(IF(Besatzung!$C$20="",Besatzung!$B$5,Besatzung!$C$20)&lt;=B113)*(IF(Besatzung!$D$20="",Besatzung!$B$6,Besatzung!$D$20)&gt;=B113)))*((G113-IFERROR(H113,0))/IFERROR(SUMPRODUCT((Besatzung!$B$11:$B$22&lt;&gt;"")*(IF(Besatzung!$C$11:$C$22="",Besatzung!$B$5,Besatzung!$C$11:$C$22)&lt;=B113)*(IF(Besatzung!$D$11:$D$22="",Besatzung!$B$6,Besatzung!$D$11:$D$22)&gt;=B113)),1)+(Besatzung!$F$20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S113="x")*((G113-IFERROR(H113,0))/IFERROR(COUNTIF(J113:U113,"x"),1)+(Besatzung!$F$20="x")*IFERROR(H113,0)/IFERROR(SUMPRODUCT((J113:U113="x")*(Besatzung!$F$11:$F$22="x")),1))),(IF(COUNTIF(J113:U113,"x")=0,IF(Besatzung!$B$20&lt;&gt;"",1,0),(S113="x"))*(G113-IFERROR(H113,0))/IFERROR(IF(COUNTIF(J113:U113,"x")=0,COUNTA(Besatzung!$B$11:$B$22),COUNTIF(J113:U113,"x")),1)+IF(COUNTIF(J113:U113,"x")=0,(Besatzung!$F$20="x"),(S113="x")*(Besatzung!$F$20="x"))*IFERROR(H113,0)/IFERROR(IF(COUNTIF(J113:U113,"x")=0,SUMPRODUCT((Besatzung!$B$11:$B$22&lt;&gt;"")*(Besatzung!$F$11:$F$22="x")),SUMPRODUCT((J113:U113="x")*(Besatzung!$F$11:$F$22="x"))),1))))),0))))</f>
        <v/>
      </c>
      <c r="AF113" s="106">
        <f>IF(C113="Gutschrift","",IF(G113="","",IF(Besatzung!$B$21="","",IFERROR(IF(I113="Zeitanteilig",(Besatzung!$G$21*(G113-IFERROR(H113,0))+((Besatzung!$B$21&lt;&gt;"")*IF(B113="",1,(IF(Besatzung!$C$21="",Besatzung!$B$5,Besatzung!$C$21)&lt;=B113)*(IF(Besatzung!$D$21="",Besatzung!$B$6,Besatzung!$D$21)&gt;=B113)))*(Besatzung!$F$21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$21&lt;&gt;"")*IF(B113="",1,(IF(Besatzung!$C$21="",Besatzung!$B$5,Besatzung!$C$21)&lt;=B113)*(IF(Besatzung!$D$21="",Besatzung!$B$6,Besatzung!$D$21)&gt;=B113)))*((G113-IFERROR(H113,0))/IFERROR(SUMPRODUCT((Besatzung!$B$11:$B$22&lt;&gt;"")*(IF(Besatzung!$C$11:$C$22="",Besatzung!$B$5,Besatzung!$C$11:$C$22)&lt;=B113)*(IF(Besatzung!$D$11:$D$22="",Besatzung!$B$6,Besatzung!$D$11:$D$22)&gt;=B113)),1)+(Besatzung!$F$21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T113="x")*((G113-IFERROR(H113,0))/IFERROR(COUNTIF(J113:U113,"x"),1)+(Besatzung!$F$21="x")*IFERROR(H113,0)/IFERROR(SUMPRODUCT((J113:U113="x")*(Besatzung!$F$11:$F$22="x")),1))),(IF(COUNTIF(J113:U113,"x")=0,IF(Besatzung!$B$21&lt;&gt;"",1,0),(T113="x"))*(G113-IFERROR(H113,0))/IFERROR(IF(COUNTIF(J113:U113,"x")=0,COUNTA(Besatzung!$B$11:$B$22),COUNTIF(J113:U113,"x")),1)+IF(COUNTIF(J113:U113,"x")=0,(Besatzung!$F$21="x"),(T113="x")*(Besatzung!$F$21="x"))*IFERROR(H113,0)/IFERROR(IF(COUNTIF(J113:U113,"x")=0,SUMPRODUCT((Besatzung!$B$11:$B$22&lt;&gt;"")*(Besatzung!$F$11:$F$22="x")),SUMPRODUCT((J113:U113="x")*(Besatzung!$F$11:$F$22="x"))),1))))),0))))</f>
        <v/>
      </c>
      <c r="AG113" s="106">
        <f>IF(C113="Gutschrift","",IF(G113="","",IF(Besatzung!$B$22="","",IFERROR(IF(I113="Zeitanteilig",(Besatzung!$G$22*(G113-IFERROR(H113,0))+((Besatzung!$B$22&lt;&gt;"")*IF(B113="",1,(IF(Besatzung!$C$22="",Besatzung!$B$5,Besatzung!$C$22)&lt;=B113)*(IF(Besatzung!$D$22="",Besatzung!$B$6,Besatzung!$D$22)&gt;=B113)))*(Besatzung!$F$22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$22&lt;&gt;"")*IF(B113="",1,(IF(Besatzung!$C$22="",Besatzung!$B$5,Besatzung!$C$22)&lt;=B113)*(IF(Besatzung!$D$22="",Besatzung!$B$6,Besatzung!$D$22)&gt;=B113)))*((G113-IFERROR(H113,0))/IFERROR(SUMPRODUCT((Besatzung!$B$11:$B$22&lt;&gt;"")*(IF(Besatzung!$C$11:$C$22="",Besatzung!$B$5,Besatzung!$C$11:$C$22)&lt;=B113)*(IF(Besatzung!$D$11:$D$22="",Besatzung!$B$6,Besatzung!$D$11:$D$22)&gt;=B113)),1)+(Besatzung!$F$22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U113="x")*((G113-IFERROR(H113,0))/IFERROR(COUNTIF(J113:U113,"x"),1)+(Besatzung!$F$22="x")*IFERROR(H113,0)/IFERROR(SUMPRODUCT((J113:U113="x")*(Besatzung!$F$11:$F$22="x")),1))),(IF(COUNTIF(J113:U113,"x")=0,IF(Besatzung!$B$22&lt;&gt;"",1,0),(U113="x"))*(G113-IFERROR(H113,0))/IFERROR(IF(COUNTIF(J113:U113,"x")=0,COUNTA(Besatzung!$B$11:$B$22),COUNTIF(J113:U113,"x")),1)+IF(COUNTIF(J113:U113,"x")=0,(Besatzung!$F$22="x"),(U113="x")*(Besatzung!$F$22="x"))*IFERROR(H113,0)/IFERROR(IF(COUNTIF(J113:U113,"x")=0,SUMPRODUCT((Besatzung!$B$11:$B$22&lt;&gt;"")*(Besatzung!$F$11:$F$22="x")),SUMPRODUCT((J113:U113="x")*(Besatzung!$F$11:$F$22="x"))),1))))),0))))</f>
        <v/>
      </c>
      <c r="AH113" s="107" t="n"/>
      <c r="AI113" s="107" t="n"/>
    </row>
    <row r="114" ht="21.75" customHeight="1" s="182">
      <c r="A114" s="97">
        <f>IF(AND(D114="",C114=""),"",111)</f>
        <v/>
      </c>
      <c r="B114" s="56" t="n"/>
      <c r="C114" s="98" t="n"/>
      <c r="D114" s="99" t="n"/>
      <c r="E114" s="100" t="n"/>
      <c r="F114" s="101" t="n"/>
      <c r="G114" s="102" t="n"/>
      <c r="H114" s="103" t="n"/>
      <c r="I114" s="104" t="n"/>
      <c r="J114" s="105" t="n"/>
      <c r="K114" s="105" t="n"/>
      <c r="L114" s="105" t="n"/>
      <c r="M114" s="105" t="n"/>
      <c r="N114" s="105" t="n"/>
      <c r="O114" s="105" t="n"/>
      <c r="P114" s="105" t="n"/>
      <c r="Q114" s="105" t="n"/>
      <c r="R114" s="105" t="n"/>
      <c r="S114" s="105" t="n"/>
      <c r="T114" s="105" t="n"/>
      <c r="U114" s="105" t="n"/>
      <c r="V114" s="106">
        <f>IF(C114="Gutschrift","",IF(G114="","",IF(Besatzung!$B$11="","",IFERROR(IF(I114="Zeitanteilig",(Besatzung!$G$11*(G114-IFERROR(H114,0))+((Besatzung!$B$11&lt;&gt;"")*IF(B114="",1,(IF(Besatzung!$C$11="",Besatzung!$B$5,Besatzung!$C$11)&lt;=B114)*(IF(Besatzung!$D$11="",Besatzung!$B$6,Besatzung!$D$11)&gt;=B114)))*(Besatzung!$F$11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$11&lt;&gt;"")*IF(B114="",1,(IF(Besatzung!$C$11="",Besatzung!$B$5,Besatzung!$C$11)&lt;=B114)*(IF(Besatzung!$D$11="",Besatzung!$B$6,Besatzung!$D$11)&gt;=B114)))*((G114-IFERROR(H114,0))/IFERROR(SUMPRODUCT((Besatzung!$B$11:$B$22&lt;&gt;"")*(IF(Besatzung!$C$11:$C$22="",Besatzung!$B$5,Besatzung!$C$11:$C$22)&lt;=B114)*(IF(Besatzung!$D$11:$D$22="",Besatzung!$B$6,Besatzung!$D$11:$D$22)&gt;=B114)),1)+(Besatzung!$F$11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J114="x")*((G114-IFERROR(H114,0))/IFERROR(COUNTIF(J114:U114,"x"),1)+(Besatzung!$F$11="x")*IFERROR(H114,0)/IFERROR(SUMPRODUCT((J114:U114="x")*(Besatzung!$F$11:$F$22="x")),1))),(IF(COUNTIF(J114:U114,"x")=0,IF(Besatzung!$B$11&lt;&gt;"",1,0),(J114="x"))*(G114-IFERROR(H114,0))/IFERROR(IF(COUNTIF(J114:U114,"x")=0,COUNTA(Besatzung!$B$11:$B$22),COUNTIF(J114:U114,"x")),1)+IF(COUNTIF(J114:U114,"x")=0,(Besatzung!$F$11="x"),(J114="x")*(Besatzung!$F$11="x"))*IFERROR(H114,0)/IFERROR(IF(COUNTIF(J114:U114,"x")=0,SUMPRODUCT((Besatzung!$B$11:$B$22&lt;&gt;"")*(Besatzung!$F$11:$F$22="x")),SUMPRODUCT((J114:U114="x")*(Besatzung!$F$11:$F$22="x"))),1))))),0))))</f>
        <v/>
      </c>
      <c r="W114" s="106">
        <f>IF(C114="Gutschrift","",IF(G114="","",IF(Besatzung!$B$12="","",IFERROR(IF(I114="Zeitanteilig",(Besatzung!$G$12*(G114-IFERROR(H114,0))+((Besatzung!$B$12&lt;&gt;"")*IF(B114="",1,(IF(Besatzung!$C$12="",Besatzung!$B$5,Besatzung!$C$12)&lt;=B114)*(IF(Besatzung!$D$12="",Besatzung!$B$6,Besatzung!$D$12)&gt;=B114)))*(Besatzung!$F$12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$12&lt;&gt;"")*IF(B114="",1,(IF(Besatzung!$C$12="",Besatzung!$B$5,Besatzung!$C$12)&lt;=B114)*(IF(Besatzung!$D$12="",Besatzung!$B$6,Besatzung!$D$12)&gt;=B114)))*((G114-IFERROR(H114,0))/IFERROR(SUMPRODUCT((Besatzung!$B$11:$B$22&lt;&gt;"")*(IF(Besatzung!$C$11:$C$22="",Besatzung!$B$5,Besatzung!$C$11:$C$22)&lt;=B114)*(IF(Besatzung!$D$11:$D$22="",Besatzung!$B$6,Besatzung!$D$11:$D$22)&gt;=B114)),1)+(Besatzung!$F$12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K114="x")*((G114-IFERROR(H114,0))/IFERROR(COUNTIF(J114:U114,"x"),1)+(Besatzung!$F$12="x")*IFERROR(H114,0)/IFERROR(SUMPRODUCT((J114:U114="x")*(Besatzung!$F$11:$F$22="x")),1))),(IF(COUNTIF(J114:U114,"x")=0,IF(Besatzung!$B$12&lt;&gt;"",1,0),(K114="x"))*(G114-IFERROR(H114,0))/IFERROR(IF(COUNTIF(J114:U114,"x")=0,COUNTA(Besatzung!$B$11:$B$22),COUNTIF(J114:U114,"x")),1)+IF(COUNTIF(J114:U114,"x")=0,(Besatzung!$F$12="x"),(K114="x")*(Besatzung!$F$12="x"))*IFERROR(H114,0)/IFERROR(IF(COUNTIF(J114:U114,"x")=0,SUMPRODUCT((Besatzung!$B$11:$B$22&lt;&gt;"")*(Besatzung!$F$11:$F$22="x")),SUMPRODUCT((J114:U114="x")*(Besatzung!$F$11:$F$22="x"))),1))))),0))))</f>
        <v/>
      </c>
      <c r="X114" s="106">
        <f>IF(C114="Gutschrift","",IF(G114="","",IF(Besatzung!$B$13="","",IFERROR(IF(I114="Zeitanteilig",(Besatzung!$G$13*(G114-IFERROR(H114,0))+((Besatzung!$B$13&lt;&gt;"")*IF(B114="",1,(IF(Besatzung!$C$13="",Besatzung!$B$5,Besatzung!$C$13)&lt;=B114)*(IF(Besatzung!$D$13="",Besatzung!$B$6,Besatzung!$D$13)&gt;=B114)))*(Besatzung!$F$13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$13&lt;&gt;"")*IF(B114="",1,(IF(Besatzung!$C$13="",Besatzung!$B$5,Besatzung!$C$13)&lt;=B114)*(IF(Besatzung!$D$13="",Besatzung!$B$6,Besatzung!$D$13)&gt;=B114)))*((G114-IFERROR(H114,0))/IFERROR(SUMPRODUCT((Besatzung!$B$11:$B$22&lt;&gt;"")*(IF(Besatzung!$C$11:$C$22="",Besatzung!$B$5,Besatzung!$C$11:$C$22)&lt;=B114)*(IF(Besatzung!$D$11:$D$22="",Besatzung!$B$6,Besatzung!$D$11:$D$22)&gt;=B114)),1)+(Besatzung!$F$13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K114="x")*((G114-IFERROR(H114,0))/IFERROR(COUNTIF(J114:U114,"x"),1)+(Besatzung!$F$13="x")*IFERROR(H114,0)/IFERROR(SUMPRODUCT((J114:U114="x")*(Besatzung!$F$11:$F$22="x")),1))),(IF(COUNTIF(J114:U114,"x")=0,IF(Besatzung!$B$13&lt;&gt;"",1,0),(K114="x"))*(G114-IFERROR(H114,0))/IFERROR(IF(COUNTIF(J114:U114,"x")=0,COUNTA(Besatzung!$B$11:$B$22),COUNTIF(J114:U114,"x")),1)+IF(COUNTIF(J114:U114,"x")=0,(Besatzung!$F$13="x"),(K114="x")*(Besatzung!$F$13="x"))*IFERROR(H114,0)/IFERROR(IF(COUNTIF(J114:U114,"x")=0,SUMPRODUCT((Besatzung!$B$11:$B$22&lt;&gt;"")*(Besatzung!$F$11:$F$22="x")),SUMPRODUCT((J114:U114="x")*(Besatzung!$F$11:$F$22="x"))),1))))),0))))</f>
        <v/>
      </c>
      <c r="Y114" s="106">
        <f>IF(C114="Gutschrift","",IF(G114="","",IF(Besatzung!$B$14="","",IFERROR(IF(I114="Zeitanteilig",(Besatzung!$G$14*(G114-IFERROR(H114,0))+((Besatzung!$B$14&lt;&gt;"")*IF(B114="",1,(IF(Besatzung!$C$14="",Besatzung!$B$5,Besatzung!$C$14)&lt;=B114)*(IF(Besatzung!$D$14="",Besatzung!$B$6,Besatzung!$D$14)&gt;=B114)))*(Besatzung!$F$14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$14&lt;&gt;"")*IF(B114="",1,(IF(Besatzung!$C$14="",Besatzung!$B$5,Besatzung!$C$14)&lt;=B114)*(IF(Besatzung!$D$14="",Besatzung!$B$6,Besatzung!$D$14)&gt;=B114)))*((G114-IFERROR(H114,0))/IFERROR(SUMPRODUCT((Besatzung!$B$11:$B$22&lt;&gt;"")*(IF(Besatzung!$C$11:$C$22="",Besatzung!$B$5,Besatzung!$C$11:$C$22)&lt;=B114)*(IF(Besatzung!$D$11:$D$22="",Besatzung!$B$6,Besatzung!$D$11:$D$22)&gt;=B114)),1)+(Besatzung!$F$14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M114="x")*((G114-IFERROR(H114,0))/IFERROR(COUNTIF(J114:U114,"x"),1)+(Besatzung!$F$14="x")*IFERROR(H114,0)/IFERROR(SUMPRODUCT((J114:U114="x")*(Besatzung!$F$11:$F$22="x")),1))),(IF(COUNTIF(J114:U114,"x")=0,IF(Besatzung!$B$14&lt;&gt;"",1,0),(M114="x"))*(G114-IFERROR(H114,0))/IFERROR(IF(COUNTIF(J114:U114,"x")=0,COUNTA(Besatzung!$B$11:$B$22),COUNTIF(J114:U114,"x")),1)+IF(COUNTIF(J114:U114,"x")=0,(Besatzung!$F$14="x"),(M114="x")*(Besatzung!$F$14="x"))*IFERROR(H114,0)/IFERROR(IF(COUNTIF(J114:U114,"x")=0,SUMPRODUCT((Besatzung!$B$11:$B$22&lt;&gt;"")*(Besatzung!$F$11:$F$22="x")),SUMPRODUCT((J114:U114="x")*(Besatzung!$F$11:$F$22="x"))),1))))),0))))</f>
        <v/>
      </c>
      <c r="Z114" s="106">
        <f>IF(C114="Gutschrift","",IF(G114="","",IF(Besatzung!$B$13="","",IFERROR(IF(I114="Zeitanteilig",(Besatzung!$G$15*(G114-IFERROR(H114,0))+((Besatzung!$B$13&lt;&gt;"")*IF(B114="",1,(IF(Besatzung!$C$15="",Besatzung!$B$5,Besatzung!$C$15)&lt;=B114)*(IF(Besatzung!$D$15="",Besatzung!$B$6,Besatzung!$D$15)&gt;=B114)))*(Besatzung!$F$15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$13&lt;&gt;"")*IF(B114="",1,(IF(Besatzung!$C$15="",Besatzung!$B$5,Besatzung!$C$15)&lt;=B114)*(IF(Besatzung!$D$15="",Besatzung!$B$6,Besatzung!$D$15)&gt;=B114)))*((G114-IFERROR(H114,0))/IFERROR(SUMPRODUCT((Besatzung!$B$11:$B$22&lt;&gt;"")*(IF(Besatzung!$C$11:$C$22="",Besatzung!$B$5,Besatzung!$C$11:$C$22)&lt;=B114)*(IF(Besatzung!$D$11:$D$22="",Besatzung!$B$6,Besatzung!$D$11:$D$22)&gt;=B114)),1)+(Besatzung!$F$15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N114="x")*((G114-IFERROR(H114,0))/IFERROR(COUNTIF(J114:U114,"x"),1)+(Besatzung!$F$15="x")*IFERROR(H114,0)/IFERROR(SUMPRODUCT((J114:U114="x")*(Besatzung!$F$11:$F$22="x")),1))),(IF(COUNTIF(J114:U114,"x")=0,IF(Besatzung!$B$13&lt;&gt;"",1,0),(N114="x"))*(G114-IFERROR(H114,0))/IFERROR(IF(COUNTIF(J114:U114,"x")=0,COUNTA(Besatzung!$B$11:$B$22),COUNTIF(J114:U114,"x")),1)+IF(COUNTIF(J114:U114,"x")=0,(Besatzung!$F$15="x"),(N114="x")*(Besatzung!$F$15="x"))*IFERROR(H114,0)/IFERROR(IF(COUNTIF(J114:U114,"x")=0,SUMPRODUCT((Besatzung!$B$11:$B$22&lt;&gt;"")*(Besatzung!$F$11:$F$22="x")),SUMPRODUCT((J114:U114="x")*(Besatzung!$F$11:$F$22="x"))),1))))),0))))</f>
        <v/>
      </c>
      <c r="AA114" s="106">
        <f>IF(C114="Gutschrift","",IF(G114="","",IF(Besatzung!$B$15="","",IFERROR(IF(I114="Zeitanteilig",(Besatzung!$G$16*(G114-IFERROR(H114,0))+((Besatzung!$B$15&lt;&gt;"")*IF(B114="",1,(IF(Besatzung!$C$16="",Besatzung!$B$5,Besatzung!$C$16)&lt;=B114)*(IF(Besatzung!$D$16="",Besatzung!$B$6,Besatzung!$D$16)&gt;=B114)))*(Besatzung!$F$16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$15&lt;&gt;"")*IF(B114="",1,(IF(Besatzung!$C$16="",Besatzung!$B$5,Besatzung!$C$16)&lt;=B114)*(IF(Besatzung!$D$16="",Besatzung!$B$6,Besatzung!$D$16)&gt;=B114)))*((G114-IFERROR(H114,0))/IFERROR(SUMPRODUCT((Besatzung!$B$11:$B$22&lt;&gt;"")*(IF(Besatzung!$C$11:$C$22="",Besatzung!$B$5,Besatzung!$C$11:$C$22)&lt;=B114)*(IF(Besatzung!$D$11:$D$22="",Besatzung!$B$6,Besatzung!$D$11:$D$22)&gt;=B114)),1)+(Besatzung!$F$16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O114="x")*((G114-IFERROR(H114,0))/IFERROR(COUNTIF(J114:U114,"x"),1)+(Besatzung!$F$16="x")*IFERROR(H114,0)/IFERROR(SUMPRODUCT((J114:U114="x")*(Besatzung!$F$11:$F$22="x")),1))),(IF(COUNTIF(J114:U114,"x")=0,IF(Besatzung!$B$15&lt;&gt;"",1,0),(O114="x"))*(G114-IFERROR(H114,0))/IFERROR(IF(COUNTIF(J114:U114,"x")=0,COUNTA(Besatzung!$B$11:$B$22),COUNTIF(J114:U114,"x")),1)+IF(COUNTIF(J114:U114,"x")=0,(Besatzung!$F$16="x"),(O114="x")*(Besatzung!$F$16="x"))*IFERROR(H114,0)/IFERROR(IF(COUNTIF(J114:U114,"x")=0,SUMPRODUCT((Besatzung!$B$11:$B$22&lt;&gt;"")*(Besatzung!$F$11:$F$22="x")),SUMPRODUCT((J114:U114="x")*(Besatzung!$F$11:$F$22="x"))),1))))),0))))</f>
        <v/>
      </c>
      <c r="AB114" s="106">
        <f>IF(C114="Gutschrift","",IF(G114="","",IF(Besatzung!$B$17="","",IFERROR(IF(I114="Zeitanteilig",(Besatzung!$G$17*(G114-IFERROR(H114,0))+((Besatzung!$B$17&lt;&gt;"")*IF(B114="",1,(IF(Besatzung!$C$17="",Besatzung!$B$5,Besatzung!$C$17)&lt;=B114)*(IF(Besatzung!$D$17="",Besatzung!$B$6,Besatzung!$D$17)&gt;=B114)))*(Besatzung!$F$17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$17&lt;&gt;"")*IF(B114="",1,(IF(Besatzung!$C$17="",Besatzung!$B$5,Besatzung!$C$17)&lt;=B114)*(IF(Besatzung!$D$17="",Besatzung!$B$6,Besatzung!$D$17)&gt;=B114)))*((G114-IFERROR(H114,0))/IFERROR(SUMPRODUCT((Besatzung!$B$11:$B$22&lt;&gt;"")*(IF(Besatzung!$C$11:$C$22="",Besatzung!$B$5,Besatzung!$C$11:$C$22)&lt;=B114)*(IF(Besatzung!$D$11:$D$22="",Besatzung!$B$6,Besatzung!$D$11:$D$22)&gt;=B114)),1)+(Besatzung!$F$17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P114="x")*((G114-IFERROR(H114,0))/IFERROR(COUNTIF(J114:U114,"x"),1)+(Besatzung!$F$17="x")*IFERROR(H114,0)/IFERROR(SUMPRODUCT((J114:U114="x")*(Besatzung!$F$11:$F$22="x")),1))),(IF(COUNTIF(J114:U114,"x")=0,IF(Besatzung!$B$17&lt;&gt;"",1,0),(P114="x"))*(G114-IFERROR(H114,0))/IFERROR(IF(COUNTIF(J114:U114,"x")=0,COUNTA(Besatzung!$B$11:$B$22),COUNTIF(J114:U114,"x")),1)+IF(COUNTIF(J114:U114,"x")=0,(Besatzung!$F$17="x"),(P114="x")*(Besatzung!$F$17="x"))*IFERROR(H114,0)/IFERROR(IF(COUNTIF(J114:U114,"x")=0,SUMPRODUCT((Besatzung!$B$11:$B$22&lt;&gt;"")*(Besatzung!$F$11:$F$22="x")),SUMPRODUCT((J114:U114="x")*(Besatzung!$F$11:$F$22="x"))),1))))),0))))</f>
        <v/>
      </c>
      <c r="AC114" s="106">
        <f>IF(C114="Gutschrift","",IF(G114="","",IF(Besatzung!$B$18="","",IFERROR(IF(I114="Zeitanteilig",(Besatzung!$G$18*(G114-IFERROR(H114,0))+((Besatzung!$B$18&lt;&gt;"")*IF(B114="",1,(IF(Besatzung!$C$18="",Besatzung!$B$5,Besatzung!$C$18)&lt;=B114)*(IF(Besatzung!$D$18="",Besatzung!$B$6,Besatzung!$D$18)&gt;=B114)))*(Besatzung!$F$18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$18&lt;&gt;"")*IF(B114="",1,(IF(Besatzung!$C$18="",Besatzung!$B$5,Besatzung!$C$18)&lt;=B114)*(IF(Besatzung!$D$18="",Besatzung!$B$6,Besatzung!$D$18)&gt;=B114)))*((G114-IFERROR(H114,0))/IFERROR(SUMPRODUCT((Besatzung!$B$11:$B$22&lt;&gt;"")*(IF(Besatzung!$C$11:$C$22="",Besatzung!$B$5,Besatzung!$C$11:$C$22)&lt;=B114)*(IF(Besatzung!$D$11:$D$22="",Besatzung!$B$6,Besatzung!$D$11:$D$22)&gt;=B114)),1)+(Besatzung!$F$18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Q114="x")*((G114-IFERROR(H114,0))/IFERROR(COUNTIF(J114:U114,"x"),1)+(Besatzung!$F$18="x")*IFERROR(H114,0)/IFERROR(SUMPRODUCT((J114:U114="x")*(Besatzung!$F$11:$F$22="x")),1))),(IF(COUNTIF(J114:U114,"x")=0,IF(Besatzung!$B$18&lt;&gt;"",1,0),(Q114="x"))*(G114-IFERROR(H114,0))/IFERROR(IF(COUNTIF(J114:U114,"x")=0,COUNTA(Besatzung!$B$11:$B$22),COUNTIF(J114:U114,"x")),1)+IF(COUNTIF(J114:U114,"x")=0,(Besatzung!$F$18="x"),(Q114="x")*(Besatzung!$F$18="x"))*IFERROR(H114,0)/IFERROR(IF(COUNTIF(J114:U114,"x")=0,SUMPRODUCT((Besatzung!$B$11:$B$22&lt;&gt;"")*(Besatzung!$F$11:$F$22="x")),SUMPRODUCT((J114:U114="x")*(Besatzung!$F$11:$F$22="x"))),1))))),0))))</f>
        <v/>
      </c>
      <c r="AD114" s="106">
        <f>IF(C114="Gutschrift","",IF(G114="","",IF(Besatzung!$B$19="","",IFERROR(IF(I114="Zeitanteilig",(Besatzung!$G$19*(G114-IFERROR(H114,0))+((Besatzung!$B$19&lt;&gt;"")*IF(B114="",1,(IF(Besatzung!$C$19="",Besatzung!$B$5,Besatzung!$C$19)&lt;=B114)*(IF(Besatzung!$D$19="",Besatzung!$B$6,Besatzung!$D$19)&gt;=B114)))*(Besatzung!$F$19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$19&lt;&gt;"")*IF(B114="",1,(IF(Besatzung!$C$19="",Besatzung!$B$5,Besatzung!$C$19)&lt;=B114)*(IF(Besatzung!$D$19="",Besatzung!$B$6,Besatzung!$D$19)&gt;=B114)))*((G114-IFERROR(H114,0))/IFERROR(SUMPRODUCT((Besatzung!$B$11:$B$22&lt;&gt;"")*(IF(Besatzung!$C$11:$C$22="",Besatzung!$B$5,Besatzung!$C$11:$C$22)&lt;=B114)*(IF(Besatzung!$D$11:$D$22="",Besatzung!$B$6,Besatzung!$D$11:$D$22)&gt;=B114)),1)+(Besatzung!$F$19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R114="x")*((G114-IFERROR(H114,0))/IFERROR(COUNTIF(J114:U114,"x"),1)+(Besatzung!$F$19="x")*IFERROR(H114,0)/IFERROR(SUMPRODUCT((J114:U114="x")*(Besatzung!$F$11:$F$22="x")),1))),(IF(COUNTIF(J114:U114,"x")=0,IF(Besatzung!$B$19&lt;&gt;"",1,0),(R114="x"))*(G114-IFERROR(H114,0))/IFERROR(IF(COUNTIF(J114:U114,"x")=0,COUNTA(Besatzung!$B$11:$B$22),COUNTIF(J114:U114,"x")),1)+IF(COUNTIF(J114:U114,"x")=0,(Besatzung!$F$19="x"),(R114="x")*(Besatzung!$F$19="x"))*IFERROR(H114,0)/IFERROR(IF(COUNTIF(J114:U114,"x")=0,SUMPRODUCT((Besatzung!$B$11:$B$22&lt;&gt;"")*(Besatzung!$F$11:$F$22="x")),SUMPRODUCT((J114:U114="x")*(Besatzung!$F$11:$F$22="x"))),1))))),0))))</f>
        <v/>
      </c>
      <c r="AE114" s="106">
        <f>IF(C114="Gutschrift","",IF(G114="","",IF(Besatzung!$B$20="","",IFERROR(IF(I114="Zeitanteilig",(Besatzung!$G$20*(G114-IFERROR(H114,0))+((Besatzung!$B$20&lt;&gt;"")*IF(B114="",1,(IF(Besatzung!$C$20="",Besatzung!$B$5,Besatzung!$C$20)&lt;=B114)*(IF(Besatzung!$D$20="",Besatzung!$B$6,Besatzung!$D$20)&gt;=B114)))*(Besatzung!$F$20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$20&lt;&gt;"")*IF(B114="",1,(IF(Besatzung!$C$20="",Besatzung!$B$5,Besatzung!$C$20)&lt;=B114)*(IF(Besatzung!$D$20="",Besatzung!$B$6,Besatzung!$D$20)&gt;=B114)))*((G114-IFERROR(H114,0))/IFERROR(SUMPRODUCT((Besatzung!$B$11:$B$22&lt;&gt;"")*(IF(Besatzung!$C$11:$C$22="",Besatzung!$B$5,Besatzung!$C$11:$C$22)&lt;=B114)*(IF(Besatzung!$D$11:$D$22="",Besatzung!$B$6,Besatzung!$D$11:$D$22)&gt;=B114)),1)+(Besatzung!$F$20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S114="x")*((G114-IFERROR(H114,0))/IFERROR(COUNTIF(J114:U114,"x"),1)+(Besatzung!$F$20="x")*IFERROR(H114,0)/IFERROR(SUMPRODUCT((J114:U114="x")*(Besatzung!$F$11:$F$22="x")),1))),(IF(COUNTIF(J114:U114,"x")=0,IF(Besatzung!$B$20&lt;&gt;"",1,0),(S114="x"))*(G114-IFERROR(H114,0))/IFERROR(IF(COUNTIF(J114:U114,"x")=0,COUNTA(Besatzung!$B$11:$B$22),COUNTIF(J114:U114,"x")),1)+IF(COUNTIF(J114:U114,"x")=0,(Besatzung!$F$20="x"),(S114="x")*(Besatzung!$F$20="x"))*IFERROR(H114,0)/IFERROR(IF(COUNTIF(J114:U114,"x")=0,SUMPRODUCT((Besatzung!$B$11:$B$22&lt;&gt;"")*(Besatzung!$F$11:$F$22="x")),SUMPRODUCT((J114:U114="x")*(Besatzung!$F$11:$F$22="x"))),1))))),0))))</f>
        <v/>
      </c>
      <c r="AF114" s="106">
        <f>IF(C114="Gutschrift","",IF(G114="","",IF(Besatzung!$B$21="","",IFERROR(IF(I114="Zeitanteilig",(Besatzung!$G$21*(G114-IFERROR(H114,0))+((Besatzung!$B$21&lt;&gt;"")*IF(B114="",1,(IF(Besatzung!$C$21="",Besatzung!$B$5,Besatzung!$C$21)&lt;=B114)*(IF(Besatzung!$D$21="",Besatzung!$B$6,Besatzung!$D$21)&gt;=B114)))*(Besatzung!$F$21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$21&lt;&gt;"")*IF(B114="",1,(IF(Besatzung!$C$21="",Besatzung!$B$5,Besatzung!$C$21)&lt;=B114)*(IF(Besatzung!$D$21="",Besatzung!$B$6,Besatzung!$D$21)&gt;=B114)))*((G114-IFERROR(H114,0))/IFERROR(SUMPRODUCT((Besatzung!$B$11:$B$22&lt;&gt;"")*(IF(Besatzung!$C$11:$C$22="",Besatzung!$B$5,Besatzung!$C$11:$C$22)&lt;=B114)*(IF(Besatzung!$D$11:$D$22="",Besatzung!$B$6,Besatzung!$D$11:$D$22)&gt;=B114)),1)+(Besatzung!$F$21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T114="x")*((G114-IFERROR(H114,0))/IFERROR(COUNTIF(J114:U114,"x"),1)+(Besatzung!$F$21="x")*IFERROR(H114,0)/IFERROR(SUMPRODUCT((J114:U114="x")*(Besatzung!$F$11:$F$22="x")),1))),(IF(COUNTIF(J114:U114,"x")=0,IF(Besatzung!$B$21&lt;&gt;"",1,0),(T114="x"))*(G114-IFERROR(H114,0))/IFERROR(IF(COUNTIF(J114:U114,"x")=0,COUNTA(Besatzung!$B$11:$B$22),COUNTIF(J114:U114,"x")),1)+IF(COUNTIF(J114:U114,"x")=0,(Besatzung!$F$21="x"),(T114="x")*(Besatzung!$F$21="x"))*IFERROR(H114,0)/IFERROR(IF(COUNTIF(J114:U114,"x")=0,SUMPRODUCT((Besatzung!$B$11:$B$22&lt;&gt;"")*(Besatzung!$F$11:$F$22="x")),SUMPRODUCT((J114:U114="x")*(Besatzung!$F$11:$F$22="x"))),1))))),0))))</f>
        <v/>
      </c>
      <c r="AG114" s="106">
        <f>IF(C114="Gutschrift","",IF(G114="","",IF(Besatzung!$B$22="","",IFERROR(IF(I114="Zeitanteilig",(Besatzung!$G$22*(G114-IFERROR(H114,0))+((Besatzung!$B$22&lt;&gt;"")*IF(B114="",1,(IF(Besatzung!$C$22="",Besatzung!$B$5,Besatzung!$C$22)&lt;=B114)*(IF(Besatzung!$D$22="",Besatzung!$B$6,Besatzung!$D$22)&gt;=B114)))*(Besatzung!$F$22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$22&lt;&gt;"")*IF(B114="",1,(IF(Besatzung!$C$22="",Besatzung!$B$5,Besatzung!$C$22)&lt;=B114)*(IF(Besatzung!$D$22="",Besatzung!$B$6,Besatzung!$D$22)&gt;=B114)))*((G114-IFERROR(H114,0))/IFERROR(SUMPRODUCT((Besatzung!$B$11:$B$22&lt;&gt;"")*(IF(Besatzung!$C$11:$C$22="",Besatzung!$B$5,Besatzung!$C$11:$C$22)&lt;=B114)*(IF(Besatzung!$D$11:$D$22="",Besatzung!$B$6,Besatzung!$D$11:$D$22)&gt;=B114)),1)+(Besatzung!$F$22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U114="x")*((G114-IFERROR(H114,0))/IFERROR(COUNTIF(J114:U114,"x"),1)+(Besatzung!$F$22="x")*IFERROR(H114,0)/IFERROR(SUMPRODUCT((J114:U114="x")*(Besatzung!$F$11:$F$22="x")),1))),(IF(COUNTIF(J114:U114,"x")=0,IF(Besatzung!$B$22&lt;&gt;"",1,0),(U114="x"))*(G114-IFERROR(H114,0))/IFERROR(IF(COUNTIF(J114:U114,"x")=0,COUNTA(Besatzung!$B$11:$B$22),COUNTIF(J114:U114,"x")),1)+IF(COUNTIF(J114:U114,"x")=0,(Besatzung!$F$22="x"),(U114="x")*(Besatzung!$F$22="x"))*IFERROR(H114,0)/IFERROR(IF(COUNTIF(J114:U114,"x")=0,SUMPRODUCT((Besatzung!$B$11:$B$22&lt;&gt;"")*(Besatzung!$F$11:$F$22="x")),SUMPRODUCT((J114:U114="x")*(Besatzung!$F$11:$F$22="x"))),1))))),0))))</f>
        <v/>
      </c>
      <c r="AH114" s="107" t="n"/>
      <c r="AI114" s="107" t="n"/>
    </row>
    <row r="115" ht="21.75" customHeight="1" s="182">
      <c r="A115" s="97">
        <f>IF(AND(D115="",C115=""),"",112)</f>
        <v/>
      </c>
      <c r="B115" s="63" t="n"/>
      <c r="C115" s="108" t="n"/>
      <c r="D115" s="109" t="n"/>
      <c r="E115" s="110" t="n"/>
      <c r="F115" s="111" t="n"/>
      <c r="G115" s="112" t="n"/>
      <c r="H115" s="113" t="n"/>
      <c r="I115" s="114" t="n"/>
      <c r="J115" s="115" t="n"/>
      <c r="K115" s="115" t="n"/>
      <c r="L115" s="115" t="n"/>
      <c r="M115" s="115" t="n"/>
      <c r="N115" s="115" t="n"/>
      <c r="O115" s="115" t="n"/>
      <c r="P115" s="115" t="n"/>
      <c r="Q115" s="115" t="n"/>
      <c r="R115" s="115" t="n"/>
      <c r="S115" s="115" t="n"/>
      <c r="T115" s="115" t="n"/>
      <c r="U115" s="115" t="n"/>
      <c r="V115" s="106">
        <f>IF(C115="Gutschrift","",IF(G115="","",IF(Besatzung!$B$11="","",IFERROR(IF(I115="Zeitanteilig",(Besatzung!$G$11*(G115-IFERROR(H115,0))+((Besatzung!$B$11&lt;&gt;"")*IF(B115="",1,(IF(Besatzung!$C$11="",Besatzung!$B$5,Besatzung!$C$11)&lt;=B115)*(IF(Besatzung!$D$11="",Besatzung!$B$6,Besatzung!$D$11)&gt;=B115)))*(Besatzung!$F$11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$11&lt;&gt;"")*IF(B115="",1,(IF(Besatzung!$C$11="",Besatzung!$B$5,Besatzung!$C$11)&lt;=B115)*(IF(Besatzung!$D$11="",Besatzung!$B$6,Besatzung!$D$11)&gt;=B115)))*((G115-IFERROR(H115,0))/IFERROR(SUMPRODUCT((Besatzung!$B$11:$B$22&lt;&gt;"")*(IF(Besatzung!$C$11:$C$22="",Besatzung!$B$5,Besatzung!$C$11:$C$22)&lt;=B115)*(IF(Besatzung!$D$11:$D$22="",Besatzung!$B$6,Besatzung!$D$11:$D$22)&gt;=B115)),1)+(Besatzung!$F$11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J115="x")*((G115-IFERROR(H115,0))/IFERROR(COUNTIF(J115:U115,"x"),1)+(Besatzung!$F$11="x")*IFERROR(H115,0)/IFERROR(SUMPRODUCT((J115:U115="x")*(Besatzung!$F$11:$F$22="x")),1))),(IF(COUNTIF(J115:U115,"x")=0,IF(Besatzung!$B$11&lt;&gt;"",1,0),(J115="x"))*(G115-IFERROR(H115,0))/IFERROR(IF(COUNTIF(J115:U115,"x")=0,COUNTA(Besatzung!$B$11:$B$22),COUNTIF(J115:U115,"x")),1)+IF(COUNTIF(J115:U115,"x")=0,(Besatzung!$F$11="x"),(J115="x")*(Besatzung!$F$11="x"))*IFERROR(H115,0)/IFERROR(IF(COUNTIF(J115:U115,"x")=0,SUMPRODUCT((Besatzung!$B$11:$B$22&lt;&gt;"")*(Besatzung!$F$11:$F$22="x")),SUMPRODUCT((J115:U115="x")*(Besatzung!$F$11:$F$22="x"))),1))))),0))))</f>
        <v/>
      </c>
      <c r="W115" s="106">
        <f>IF(C115="Gutschrift","",IF(G115="","",IF(Besatzung!$B$12="","",IFERROR(IF(I115="Zeitanteilig",(Besatzung!$G$12*(G115-IFERROR(H115,0))+((Besatzung!$B$12&lt;&gt;"")*IF(B115="",1,(IF(Besatzung!$C$12="",Besatzung!$B$5,Besatzung!$C$12)&lt;=B115)*(IF(Besatzung!$D$12="",Besatzung!$B$6,Besatzung!$D$12)&gt;=B115)))*(Besatzung!$F$12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$12&lt;&gt;"")*IF(B115="",1,(IF(Besatzung!$C$12="",Besatzung!$B$5,Besatzung!$C$12)&lt;=B115)*(IF(Besatzung!$D$12="",Besatzung!$B$6,Besatzung!$D$12)&gt;=B115)))*((G115-IFERROR(H115,0))/IFERROR(SUMPRODUCT((Besatzung!$B$11:$B$22&lt;&gt;"")*(IF(Besatzung!$C$11:$C$22="",Besatzung!$B$5,Besatzung!$C$11:$C$22)&lt;=B115)*(IF(Besatzung!$D$11:$D$22="",Besatzung!$B$6,Besatzung!$D$11:$D$22)&gt;=B115)),1)+(Besatzung!$F$12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K115="x")*((G115-IFERROR(H115,0))/IFERROR(COUNTIF(J115:U115,"x"),1)+(Besatzung!$F$12="x")*IFERROR(H115,0)/IFERROR(SUMPRODUCT((J115:U115="x")*(Besatzung!$F$11:$F$22="x")),1))),(IF(COUNTIF(J115:U115,"x")=0,IF(Besatzung!$B$12&lt;&gt;"",1,0),(K115="x"))*(G115-IFERROR(H115,0))/IFERROR(IF(COUNTIF(J115:U115,"x")=0,COUNTA(Besatzung!$B$11:$B$22),COUNTIF(J115:U115,"x")),1)+IF(COUNTIF(J115:U115,"x")=0,(Besatzung!$F$12="x"),(K115="x")*(Besatzung!$F$12="x"))*IFERROR(H115,0)/IFERROR(IF(COUNTIF(J115:U115,"x")=0,SUMPRODUCT((Besatzung!$B$11:$B$22&lt;&gt;"")*(Besatzung!$F$11:$F$22="x")),SUMPRODUCT((J115:U115="x")*(Besatzung!$F$11:$F$22="x"))),1))))),0))))</f>
        <v/>
      </c>
      <c r="X115" s="106">
        <f>IF(C115="Gutschrift","",IF(G115="","",IF(Besatzung!$B$13="","",IFERROR(IF(I115="Zeitanteilig",(Besatzung!$G$13*(G115-IFERROR(H115,0))+((Besatzung!$B$13&lt;&gt;"")*IF(B115="",1,(IF(Besatzung!$C$13="",Besatzung!$B$5,Besatzung!$C$13)&lt;=B115)*(IF(Besatzung!$D$13="",Besatzung!$B$6,Besatzung!$D$13)&gt;=B115)))*(Besatzung!$F$13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$13&lt;&gt;"")*IF(B115="",1,(IF(Besatzung!$C$13="",Besatzung!$B$5,Besatzung!$C$13)&lt;=B115)*(IF(Besatzung!$D$13="",Besatzung!$B$6,Besatzung!$D$13)&gt;=B115)))*((G115-IFERROR(H115,0))/IFERROR(SUMPRODUCT((Besatzung!$B$11:$B$22&lt;&gt;"")*(IF(Besatzung!$C$11:$C$22="",Besatzung!$B$5,Besatzung!$C$11:$C$22)&lt;=B115)*(IF(Besatzung!$D$11:$D$22="",Besatzung!$B$6,Besatzung!$D$11:$D$22)&gt;=B115)),1)+(Besatzung!$F$13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K115="x")*((G115-IFERROR(H115,0))/IFERROR(COUNTIF(J115:U115,"x"),1)+(Besatzung!$F$13="x")*IFERROR(H115,0)/IFERROR(SUMPRODUCT((J115:U115="x")*(Besatzung!$F$11:$F$22="x")),1))),(IF(COUNTIF(J115:U115,"x")=0,IF(Besatzung!$B$13&lt;&gt;"",1,0),(K115="x"))*(G115-IFERROR(H115,0))/IFERROR(IF(COUNTIF(J115:U115,"x")=0,COUNTA(Besatzung!$B$11:$B$22),COUNTIF(J115:U115,"x")),1)+IF(COUNTIF(J115:U115,"x")=0,(Besatzung!$F$13="x"),(K115="x")*(Besatzung!$F$13="x"))*IFERROR(H115,0)/IFERROR(IF(COUNTIF(J115:U115,"x")=0,SUMPRODUCT((Besatzung!$B$11:$B$22&lt;&gt;"")*(Besatzung!$F$11:$F$22="x")),SUMPRODUCT((J115:U115="x")*(Besatzung!$F$11:$F$22="x"))),1))))),0))))</f>
        <v/>
      </c>
      <c r="Y115" s="106">
        <f>IF(C115="Gutschrift","",IF(G115="","",IF(Besatzung!$B$14="","",IFERROR(IF(I115="Zeitanteilig",(Besatzung!$G$14*(G115-IFERROR(H115,0))+((Besatzung!$B$14&lt;&gt;"")*IF(B115="",1,(IF(Besatzung!$C$14="",Besatzung!$B$5,Besatzung!$C$14)&lt;=B115)*(IF(Besatzung!$D$14="",Besatzung!$B$6,Besatzung!$D$14)&gt;=B115)))*(Besatzung!$F$14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$14&lt;&gt;"")*IF(B115="",1,(IF(Besatzung!$C$14="",Besatzung!$B$5,Besatzung!$C$14)&lt;=B115)*(IF(Besatzung!$D$14="",Besatzung!$B$6,Besatzung!$D$14)&gt;=B115)))*((G115-IFERROR(H115,0))/IFERROR(SUMPRODUCT((Besatzung!$B$11:$B$22&lt;&gt;"")*(IF(Besatzung!$C$11:$C$22="",Besatzung!$B$5,Besatzung!$C$11:$C$22)&lt;=B115)*(IF(Besatzung!$D$11:$D$22="",Besatzung!$B$6,Besatzung!$D$11:$D$22)&gt;=B115)),1)+(Besatzung!$F$14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M115="x")*((G115-IFERROR(H115,0))/IFERROR(COUNTIF(J115:U115,"x"),1)+(Besatzung!$F$14="x")*IFERROR(H115,0)/IFERROR(SUMPRODUCT((J115:U115="x")*(Besatzung!$F$11:$F$22="x")),1))),(IF(COUNTIF(J115:U115,"x")=0,IF(Besatzung!$B$14&lt;&gt;"",1,0),(M115="x"))*(G115-IFERROR(H115,0))/IFERROR(IF(COUNTIF(J115:U115,"x")=0,COUNTA(Besatzung!$B$11:$B$22),COUNTIF(J115:U115,"x")),1)+IF(COUNTIF(J115:U115,"x")=0,(Besatzung!$F$14="x"),(M115="x")*(Besatzung!$F$14="x"))*IFERROR(H115,0)/IFERROR(IF(COUNTIF(J115:U115,"x")=0,SUMPRODUCT((Besatzung!$B$11:$B$22&lt;&gt;"")*(Besatzung!$F$11:$F$22="x")),SUMPRODUCT((J115:U115="x")*(Besatzung!$F$11:$F$22="x"))),1))))),0))))</f>
        <v/>
      </c>
      <c r="Z115" s="106">
        <f>IF(C115="Gutschrift","",IF(G115="","",IF(Besatzung!$B$13="","",IFERROR(IF(I115="Zeitanteilig",(Besatzung!$G$15*(G115-IFERROR(H115,0))+((Besatzung!$B$13&lt;&gt;"")*IF(B115="",1,(IF(Besatzung!$C$15="",Besatzung!$B$5,Besatzung!$C$15)&lt;=B115)*(IF(Besatzung!$D$15="",Besatzung!$B$6,Besatzung!$D$15)&gt;=B115)))*(Besatzung!$F$15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$13&lt;&gt;"")*IF(B115="",1,(IF(Besatzung!$C$15="",Besatzung!$B$5,Besatzung!$C$15)&lt;=B115)*(IF(Besatzung!$D$15="",Besatzung!$B$6,Besatzung!$D$15)&gt;=B115)))*((G115-IFERROR(H115,0))/IFERROR(SUMPRODUCT((Besatzung!$B$11:$B$22&lt;&gt;"")*(IF(Besatzung!$C$11:$C$22="",Besatzung!$B$5,Besatzung!$C$11:$C$22)&lt;=B115)*(IF(Besatzung!$D$11:$D$22="",Besatzung!$B$6,Besatzung!$D$11:$D$22)&gt;=B115)),1)+(Besatzung!$F$15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N115="x")*((G115-IFERROR(H115,0))/IFERROR(COUNTIF(J115:U115,"x"),1)+(Besatzung!$F$15="x")*IFERROR(H115,0)/IFERROR(SUMPRODUCT((J115:U115="x")*(Besatzung!$F$11:$F$22="x")),1))),(IF(COUNTIF(J115:U115,"x")=0,IF(Besatzung!$B$13&lt;&gt;"",1,0),(N115="x"))*(G115-IFERROR(H115,0))/IFERROR(IF(COUNTIF(J115:U115,"x")=0,COUNTA(Besatzung!$B$11:$B$22),COUNTIF(J115:U115,"x")),1)+IF(COUNTIF(J115:U115,"x")=0,(Besatzung!$F$15="x"),(N115="x")*(Besatzung!$F$15="x"))*IFERROR(H115,0)/IFERROR(IF(COUNTIF(J115:U115,"x")=0,SUMPRODUCT((Besatzung!$B$11:$B$22&lt;&gt;"")*(Besatzung!$F$11:$F$22="x")),SUMPRODUCT((J115:U115="x")*(Besatzung!$F$11:$F$22="x"))),1))))),0))))</f>
        <v/>
      </c>
      <c r="AA115" s="106">
        <f>IF(C115="Gutschrift","",IF(G115="","",IF(Besatzung!$B$15="","",IFERROR(IF(I115="Zeitanteilig",(Besatzung!$G$16*(G115-IFERROR(H115,0))+((Besatzung!$B$15&lt;&gt;"")*IF(B115="",1,(IF(Besatzung!$C$16="",Besatzung!$B$5,Besatzung!$C$16)&lt;=B115)*(IF(Besatzung!$D$16="",Besatzung!$B$6,Besatzung!$D$16)&gt;=B115)))*(Besatzung!$F$16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$15&lt;&gt;"")*IF(B115="",1,(IF(Besatzung!$C$16="",Besatzung!$B$5,Besatzung!$C$16)&lt;=B115)*(IF(Besatzung!$D$16="",Besatzung!$B$6,Besatzung!$D$16)&gt;=B115)))*((G115-IFERROR(H115,0))/IFERROR(SUMPRODUCT((Besatzung!$B$11:$B$22&lt;&gt;"")*(IF(Besatzung!$C$11:$C$22="",Besatzung!$B$5,Besatzung!$C$11:$C$22)&lt;=B115)*(IF(Besatzung!$D$11:$D$22="",Besatzung!$B$6,Besatzung!$D$11:$D$22)&gt;=B115)),1)+(Besatzung!$F$16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O115="x")*((G115-IFERROR(H115,0))/IFERROR(COUNTIF(J115:U115,"x"),1)+(Besatzung!$F$16="x")*IFERROR(H115,0)/IFERROR(SUMPRODUCT((J115:U115="x")*(Besatzung!$F$11:$F$22="x")),1))),(IF(COUNTIF(J115:U115,"x")=0,IF(Besatzung!$B$15&lt;&gt;"",1,0),(O115="x"))*(G115-IFERROR(H115,0))/IFERROR(IF(COUNTIF(J115:U115,"x")=0,COUNTA(Besatzung!$B$11:$B$22),COUNTIF(J115:U115,"x")),1)+IF(COUNTIF(J115:U115,"x")=0,(Besatzung!$F$16="x"),(O115="x")*(Besatzung!$F$16="x"))*IFERROR(H115,0)/IFERROR(IF(COUNTIF(J115:U115,"x")=0,SUMPRODUCT((Besatzung!$B$11:$B$22&lt;&gt;"")*(Besatzung!$F$11:$F$22="x")),SUMPRODUCT((J115:U115="x")*(Besatzung!$F$11:$F$22="x"))),1))))),0))))</f>
        <v/>
      </c>
      <c r="AB115" s="106">
        <f>IF(C115="Gutschrift","",IF(G115="","",IF(Besatzung!$B$17="","",IFERROR(IF(I115="Zeitanteilig",(Besatzung!$G$17*(G115-IFERROR(H115,0))+((Besatzung!$B$17&lt;&gt;"")*IF(B115="",1,(IF(Besatzung!$C$17="",Besatzung!$B$5,Besatzung!$C$17)&lt;=B115)*(IF(Besatzung!$D$17="",Besatzung!$B$6,Besatzung!$D$17)&gt;=B115)))*(Besatzung!$F$17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$17&lt;&gt;"")*IF(B115="",1,(IF(Besatzung!$C$17="",Besatzung!$B$5,Besatzung!$C$17)&lt;=B115)*(IF(Besatzung!$D$17="",Besatzung!$B$6,Besatzung!$D$17)&gt;=B115)))*((G115-IFERROR(H115,0))/IFERROR(SUMPRODUCT((Besatzung!$B$11:$B$22&lt;&gt;"")*(IF(Besatzung!$C$11:$C$22="",Besatzung!$B$5,Besatzung!$C$11:$C$22)&lt;=B115)*(IF(Besatzung!$D$11:$D$22="",Besatzung!$B$6,Besatzung!$D$11:$D$22)&gt;=B115)),1)+(Besatzung!$F$17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P115="x")*((G115-IFERROR(H115,0))/IFERROR(COUNTIF(J115:U115,"x"),1)+(Besatzung!$F$17="x")*IFERROR(H115,0)/IFERROR(SUMPRODUCT((J115:U115="x")*(Besatzung!$F$11:$F$22="x")),1))),(IF(COUNTIF(J115:U115,"x")=0,IF(Besatzung!$B$17&lt;&gt;"",1,0),(P115="x"))*(G115-IFERROR(H115,0))/IFERROR(IF(COUNTIF(J115:U115,"x")=0,COUNTA(Besatzung!$B$11:$B$22),COUNTIF(J115:U115,"x")),1)+IF(COUNTIF(J115:U115,"x")=0,(Besatzung!$F$17="x"),(P115="x")*(Besatzung!$F$17="x"))*IFERROR(H115,0)/IFERROR(IF(COUNTIF(J115:U115,"x")=0,SUMPRODUCT((Besatzung!$B$11:$B$22&lt;&gt;"")*(Besatzung!$F$11:$F$22="x")),SUMPRODUCT((J115:U115="x")*(Besatzung!$F$11:$F$22="x"))),1))))),0))))</f>
        <v/>
      </c>
      <c r="AC115" s="106">
        <f>IF(C115="Gutschrift","",IF(G115="","",IF(Besatzung!$B$18="","",IFERROR(IF(I115="Zeitanteilig",(Besatzung!$G$18*(G115-IFERROR(H115,0))+((Besatzung!$B$18&lt;&gt;"")*IF(B115="",1,(IF(Besatzung!$C$18="",Besatzung!$B$5,Besatzung!$C$18)&lt;=B115)*(IF(Besatzung!$D$18="",Besatzung!$B$6,Besatzung!$D$18)&gt;=B115)))*(Besatzung!$F$18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$18&lt;&gt;"")*IF(B115="",1,(IF(Besatzung!$C$18="",Besatzung!$B$5,Besatzung!$C$18)&lt;=B115)*(IF(Besatzung!$D$18="",Besatzung!$B$6,Besatzung!$D$18)&gt;=B115)))*((G115-IFERROR(H115,0))/IFERROR(SUMPRODUCT((Besatzung!$B$11:$B$22&lt;&gt;"")*(IF(Besatzung!$C$11:$C$22="",Besatzung!$B$5,Besatzung!$C$11:$C$22)&lt;=B115)*(IF(Besatzung!$D$11:$D$22="",Besatzung!$B$6,Besatzung!$D$11:$D$22)&gt;=B115)),1)+(Besatzung!$F$18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Q115="x")*((G115-IFERROR(H115,0))/IFERROR(COUNTIF(J115:U115,"x"),1)+(Besatzung!$F$18="x")*IFERROR(H115,0)/IFERROR(SUMPRODUCT((J115:U115="x")*(Besatzung!$F$11:$F$22="x")),1))),(IF(COUNTIF(J115:U115,"x")=0,IF(Besatzung!$B$18&lt;&gt;"",1,0),(Q115="x"))*(G115-IFERROR(H115,0))/IFERROR(IF(COUNTIF(J115:U115,"x")=0,COUNTA(Besatzung!$B$11:$B$22),COUNTIF(J115:U115,"x")),1)+IF(COUNTIF(J115:U115,"x")=0,(Besatzung!$F$18="x"),(Q115="x")*(Besatzung!$F$18="x"))*IFERROR(H115,0)/IFERROR(IF(COUNTIF(J115:U115,"x")=0,SUMPRODUCT((Besatzung!$B$11:$B$22&lt;&gt;"")*(Besatzung!$F$11:$F$22="x")),SUMPRODUCT((J115:U115="x")*(Besatzung!$F$11:$F$22="x"))),1))))),0))))</f>
        <v/>
      </c>
      <c r="AD115" s="106">
        <f>IF(C115="Gutschrift","",IF(G115="","",IF(Besatzung!$B$19="","",IFERROR(IF(I115="Zeitanteilig",(Besatzung!$G$19*(G115-IFERROR(H115,0))+((Besatzung!$B$19&lt;&gt;"")*IF(B115="",1,(IF(Besatzung!$C$19="",Besatzung!$B$5,Besatzung!$C$19)&lt;=B115)*(IF(Besatzung!$D$19="",Besatzung!$B$6,Besatzung!$D$19)&gt;=B115)))*(Besatzung!$F$19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$19&lt;&gt;"")*IF(B115="",1,(IF(Besatzung!$C$19="",Besatzung!$B$5,Besatzung!$C$19)&lt;=B115)*(IF(Besatzung!$D$19="",Besatzung!$B$6,Besatzung!$D$19)&gt;=B115)))*((G115-IFERROR(H115,0))/IFERROR(SUMPRODUCT((Besatzung!$B$11:$B$22&lt;&gt;"")*(IF(Besatzung!$C$11:$C$22="",Besatzung!$B$5,Besatzung!$C$11:$C$22)&lt;=B115)*(IF(Besatzung!$D$11:$D$22="",Besatzung!$B$6,Besatzung!$D$11:$D$22)&gt;=B115)),1)+(Besatzung!$F$19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R115="x")*((G115-IFERROR(H115,0))/IFERROR(COUNTIF(J115:U115,"x"),1)+(Besatzung!$F$19="x")*IFERROR(H115,0)/IFERROR(SUMPRODUCT((J115:U115="x")*(Besatzung!$F$11:$F$22="x")),1))),(IF(COUNTIF(J115:U115,"x")=0,IF(Besatzung!$B$19&lt;&gt;"",1,0),(R115="x"))*(G115-IFERROR(H115,0))/IFERROR(IF(COUNTIF(J115:U115,"x")=0,COUNTA(Besatzung!$B$11:$B$22),COUNTIF(J115:U115,"x")),1)+IF(COUNTIF(J115:U115,"x")=0,(Besatzung!$F$19="x"),(R115="x")*(Besatzung!$F$19="x"))*IFERROR(H115,0)/IFERROR(IF(COUNTIF(J115:U115,"x")=0,SUMPRODUCT((Besatzung!$B$11:$B$22&lt;&gt;"")*(Besatzung!$F$11:$F$22="x")),SUMPRODUCT((J115:U115="x")*(Besatzung!$F$11:$F$22="x"))),1))))),0))))</f>
        <v/>
      </c>
      <c r="AE115" s="106">
        <f>IF(C115="Gutschrift","",IF(G115="","",IF(Besatzung!$B$20="","",IFERROR(IF(I115="Zeitanteilig",(Besatzung!$G$20*(G115-IFERROR(H115,0))+((Besatzung!$B$20&lt;&gt;"")*IF(B115="",1,(IF(Besatzung!$C$20="",Besatzung!$B$5,Besatzung!$C$20)&lt;=B115)*(IF(Besatzung!$D$20="",Besatzung!$B$6,Besatzung!$D$20)&gt;=B115)))*(Besatzung!$F$20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$20&lt;&gt;"")*IF(B115="",1,(IF(Besatzung!$C$20="",Besatzung!$B$5,Besatzung!$C$20)&lt;=B115)*(IF(Besatzung!$D$20="",Besatzung!$B$6,Besatzung!$D$20)&gt;=B115)))*((G115-IFERROR(H115,0))/IFERROR(SUMPRODUCT((Besatzung!$B$11:$B$22&lt;&gt;"")*(IF(Besatzung!$C$11:$C$22="",Besatzung!$B$5,Besatzung!$C$11:$C$22)&lt;=B115)*(IF(Besatzung!$D$11:$D$22="",Besatzung!$B$6,Besatzung!$D$11:$D$22)&gt;=B115)),1)+(Besatzung!$F$20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S115="x")*((G115-IFERROR(H115,0))/IFERROR(COUNTIF(J115:U115,"x"),1)+(Besatzung!$F$20="x")*IFERROR(H115,0)/IFERROR(SUMPRODUCT((J115:U115="x")*(Besatzung!$F$11:$F$22="x")),1))),(IF(COUNTIF(J115:U115,"x")=0,IF(Besatzung!$B$20&lt;&gt;"",1,0),(S115="x"))*(G115-IFERROR(H115,0))/IFERROR(IF(COUNTIF(J115:U115,"x")=0,COUNTA(Besatzung!$B$11:$B$22),COUNTIF(J115:U115,"x")),1)+IF(COUNTIF(J115:U115,"x")=0,(Besatzung!$F$20="x"),(S115="x")*(Besatzung!$F$20="x"))*IFERROR(H115,0)/IFERROR(IF(COUNTIF(J115:U115,"x")=0,SUMPRODUCT((Besatzung!$B$11:$B$22&lt;&gt;"")*(Besatzung!$F$11:$F$22="x")),SUMPRODUCT((J115:U115="x")*(Besatzung!$F$11:$F$22="x"))),1))))),0))))</f>
        <v/>
      </c>
      <c r="AF115" s="106">
        <f>IF(C115="Gutschrift","",IF(G115="","",IF(Besatzung!$B$21="","",IFERROR(IF(I115="Zeitanteilig",(Besatzung!$G$21*(G115-IFERROR(H115,0))+((Besatzung!$B$21&lt;&gt;"")*IF(B115="",1,(IF(Besatzung!$C$21="",Besatzung!$B$5,Besatzung!$C$21)&lt;=B115)*(IF(Besatzung!$D$21="",Besatzung!$B$6,Besatzung!$D$21)&gt;=B115)))*(Besatzung!$F$21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$21&lt;&gt;"")*IF(B115="",1,(IF(Besatzung!$C$21="",Besatzung!$B$5,Besatzung!$C$21)&lt;=B115)*(IF(Besatzung!$D$21="",Besatzung!$B$6,Besatzung!$D$21)&gt;=B115)))*((G115-IFERROR(H115,0))/IFERROR(SUMPRODUCT((Besatzung!$B$11:$B$22&lt;&gt;"")*(IF(Besatzung!$C$11:$C$22="",Besatzung!$B$5,Besatzung!$C$11:$C$22)&lt;=B115)*(IF(Besatzung!$D$11:$D$22="",Besatzung!$B$6,Besatzung!$D$11:$D$22)&gt;=B115)),1)+(Besatzung!$F$21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T115="x")*((G115-IFERROR(H115,0))/IFERROR(COUNTIF(J115:U115,"x"),1)+(Besatzung!$F$21="x")*IFERROR(H115,0)/IFERROR(SUMPRODUCT((J115:U115="x")*(Besatzung!$F$11:$F$22="x")),1))),(IF(COUNTIF(J115:U115,"x")=0,IF(Besatzung!$B$21&lt;&gt;"",1,0),(T115="x"))*(G115-IFERROR(H115,0))/IFERROR(IF(COUNTIF(J115:U115,"x")=0,COUNTA(Besatzung!$B$11:$B$22),COUNTIF(J115:U115,"x")),1)+IF(COUNTIF(J115:U115,"x")=0,(Besatzung!$F$21="x"),(T115="x")*(Besatzung!$F$21="x"))*IFERROR(H115,0)/IFERROR(IF(COUNTIF(J115:U115,"x")=0,SUMPRODUCT((Besatzung!$B$11:$B$22&lt;&gt;"")*(Besatzung!$F$11:$F$22="x")),SUMPRODUCT((J115:U115="x")*(Besatzung!$F$11:$F$22="x"))),1))))),0))))</f>
        <v/>
      </c>
      <c r="AG115" s="106">
        <f>IF(C115="Gutschrift","",IF(G115="","",IF(Besatzung!$B$22="","",IFERROR(IF(I115="Zeitanteilig",(Besatzung!$G$22*(G115-IFERROR(H115,0))+((Besatzung!$B$22&lt;&gt;"")*IF(B115="",1,(IF(Besatzung!$C$22="",Besatzung!$B$5,Besatzung!$C$22)&lt;=B115)*(IF(Besatzung!$D$22="",Besatzung!$B$6,Besatzung!$D$22)&gt;=B115)))*(Besatzung!$F$22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$22&lt;&gt;"")*IF(B115="",1,(IF(Besatzung!$C$22="",Besatzung!$B$5,Besatzung!$C$22)&lt;=B115)*(IF(Besatzung!$D$22="",Besatzung!$B$6,Besatzung!$D$22)&gt;=B115)))*((G115-IFERROR(H115,0))/IFERROR(SUMPRODUCT((Besatzung!$B$11:$B$22&lt;&gt;"")*(IF(Besatzung!$C$11:$C$22="",Besatzung!$B$5,Besatzung!$C$11:$C$22)&lt;=B115)*(IF(Besatzung!$D$11:$D$22="",Besatzung!$B$6,Besatzung!$D$11:$D$22)&gt;=B115)),1)+(Besatzung!$F$22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U115="x")*((G115-IFERROR(H115,0))/IFERROR(COUNTIF(J115:U115,"x"),1)+(Besatzung!$F$22="x")*IFERROR(H115,0)/IFERROR(SUMPRODUCT((J115:U115="x")*(Besatzung!$F$11:$F$22="x")),1))),(IF(COUNTIF(J115:U115,"x")=0,IF(Besatzung!$B$22&lt;&gt;"",1,0),(U115="x"))*(G115-IFERROR(H115,0))/IFERROR(IF(COUNTIF(J115:U115,"x")=0,COUNTA(Besatzung!$B$11:$B$22),COUNTIF(J115:U115,"x")),1)+IF(COUNTIF(J115:U115,"x")=0,(Besatzung!$F$22="x"),(U115="x")*(Besatzung!$F$22="x"))*IFERROR(H115,0)/IFERROR(IF(COUNTIF(J115:U115,"x")=0,SUMPRODUCT((Besatzung!$B$11:$B$22&lt;&gt;"")*(Besatzung!$F$11:$F$22="x")),SUMPRODUCT((J115:U115="x")*(Besatzung!$F$11:$F$22="x"))),1))))),0))))</f>
        <v/>
      </c>
      <c r="AH115" s="107" t="n"/>
      <c r="AI115" s="107" t="n"/>
    </row>
    <row r="116" ht="21.75" customHeight="1" s="182">
      <c r="A116" s="97">
        <f>IF(AND(D116="",C116=""),"",113)</f>
        <v/>
      </c>
      <c r="B116" s="56" t="n"/>
      <c r="C116" s="98" t="n"/>
      <c r="D116" s="99" t="n"/>
      <c r="E116" s="100" t="n"/>
      <c r="F116" s="101" t="n"/>
      <c r="G116" s="102" t="n"/>
      <c r="H116" s="103" t="n"/>
      <c r="I116" s="104" t="n"/>
      <c r="J116" s="105" t="n"/>
      <c r="K116" s="105" t="n"/>
      <c r="L116" s="105" t="n"/>
      <c r="M116" s="105" t="n"/>
      <c r="N116" s="105" t="n"/>
      <c r="O116" s="105" t="n"/>
      <c r="P116" s="105" t="n"/>
      <c r="Q116" s="105" t="n"/>
      <c r="R116" s="105" t="n"/>
      <c r="S116" s="105" t="n"/>
      <c r="T116" s="105" t="n"/>
      <c r="U116" s="105" t="n"/>
      <c r="V116" s="106">
        <f>IF(C116="Gutschrift","",IF(G116="","",IF(Besatzung!$B$11="","",IFERROR(IF(I116="Zeitanteilig",(Besatzung!$G$11*(G116-IFERROR(H116,0))+((Besatzung!$B$11&lt;&gt;"")*IF(B116="",1,(IF(Besatzung!$C$11="",Besatzung!$B$5,Besatzung!$C$11)&lt;=B116)*(IF(Besatzung!$D$11="",Besatzung!$B$6,Besatzung!$D$11)&gt;=B116)))*(Besatzung!$F$11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$11&lt;&gt;"")*IF(B116="",1,(IF(Besatzung!$C$11="",Besatzung!$B$5,Besatzung!$C$11)&lt;=B116)*(IF(Besatzung!$D$11="",Besatzung!$B$6,Besatzung!$D$11)&gt;=B116)))*((G116-IFERROR(H116,0))/IFERROR(SUMPRODUCT((Besatzung!$B$11:$B$22&lt;&gt;"")*(IF(Besatzung!$C$11:$C$22="",Besatzung!$B$5,Besatzung!$C$11:$C$22)&lt;=B116)*(IF(Besatzung!$D$11:$D$22="",Besatzung!$B$6,Besatzung!$D$11:$D$22)&gt;=B116)),1)+(Besatzung!$F$11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J116="x")*((G116-IFERROR(H116,0))/IFERROR(COUNTIF(J116:U116,"x"),1)+(Besatzung!$F$11="x")*IFERROR(H116,0)/IFERROR(SUMPRODUCT((J116:U116="x")*(Besatzung!$F$11:$F$22="x")),1))),(IF(COUNTIF(J116:U116,"x")=0,IF(Besatzung!$B$11&lt;&gt;"",1,0),(J116="x"))*(G116-IFERROR(H116,0))/IFERROR(IF(COUNTIF(J116:U116,"x")=0,COUNTA(Besatzung!$B$11:$B$22),COUNTIF(J116:U116,"x")),1)+IF(COUNTIF(J116:U116,"x")=0,(Besatzung!$F$11="x"),(J116="x")*(Besatzung!$F$11="x"))*IFERROR(H116,0)/IFERROR(IF(COUNTIF(J116:U116,"x")=0,SUMPRODUCT((Besatzung!$B$11:$B$22&lt;&gt;"")*(Besatzung!$F$11:$F$22="x")),SUMPRODUCT((J116:U116="x")*(Besatzung!$F$11:$F$22="x"))),1))))),0))))</f>
        <v/>
      </c>
      <c r="W116" s="106">
        <f>IF(C116="Gutschrift","",IF(G116="","",IF(Besatzung!$B$12="","",IFERROR(IF(I116="Zeitanteilig",(Besatzung!$G$12*(G116-IFERROR(H116,0))+((Besatzung!$B$12&lt;&gt;"")*IF(B116="",1,(IF(Besatzung!$C$12="",Besatzung!$B$5,Besatzung!$C$12)&lt;=B116)*(IF(Besatzung!$D$12="",Besatzung!$B$6,Besatzung!$D$12)&gt;=B116)))*(Besatzung!$F$12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$12&lt;&gt;"")*IF(B116="",1,(IF(Besatzung!$C$12="",Besatzung!$B$5,Besatzung!$C$12)&lt;=B116)*(IF(Besatzung!$D$12="",Besatzung!$B$6,Besatzung!$D$12)&gt;=B116)))*((G116-IFERROR(H116,0))/IFERROR(SUMPRODUCT((Besatzung!$B$11:$B$22&lt;&gt;"")*(IF(Besatzung!$C$11:$C$22="",Besatzung!$B$5,Besatzung!$C$11:$C$22)&lt;=B116)*(IF(Besatzung!$D$11:$D$22="",Besatzung!$B$6,Besatzung!$D$11:$D$22)&gt;=B116)),1)+(Besatzung!$F$12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K116="x")*((G116-IFERROR(H116,0))/IFERROR(COUNTIF(J116:U116,"x"),1)+(Besatzung!$F$12="x")*IFERROR(H116,0)/IFERROR(SUMPRODUCT((J116:U116="x")*(Besatzung!$F$11:$F$22="x")),1))),(IF(COUNTIF(J116:U116,"x")=0,IF(Besatzung!$B$12&lt;&gt;"",1,0),(K116="x"))*(G116-IFERROR(H116,0))/IFERROR(IF(COUNTIF(J116:U116,"x")=0,COUNTA(Besatzung!$B$11:$B$22),COUNTIF(J116:U116,"x")),1)+IF(COUNTIF(J116:U116,"x")=0,(Besatzung!$F$12="x"),(K116="x")*(Besatzung!$F$12="x"))*IFERROR(H116,0)/IFERROR(IF(COUNTIF(J116:U116,"x")=0,SUMPRODUCT((Besatzung!$B$11:$B$22&lt;&gt;"")*(Besatzung!$F$11:$F$22="x")),SUMPRODUCT((J116:U116="x")*(Besatzung!$F$11:$F$22="x"))),1))))),0))))</f>
        <v/>
      </c>
      <c r="X116" s="106">
        <f>IF(C116="Gutschrift","",IF(G116="","",IF(Besatzung!$B$13="","",IFERROR(IF(I116="Zeitanteilig",(Besatzung!$G$13*(G116-IFERROR(H116,0))+((Besatzung!$B$13&lt;&gt;"")*IF(B116="",1,(IF(Besatzung!$C$13="",Besatzung!$B$5,Besatzung!$C$13)&lt;=B116)*(IF(Besatzung!$D$13="",Besatzung!$B$6,Besatzung!$D$13)&gt;=B116)))*(Besatzung!$F$13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$13&lt;&gt;"")*IF(B116="",1,(IF(Besatzung!$C$13="",Besatzung!$B$5,Besatzung!$C$13)&lt;=B116)*(IF(Besatzung!$D$13="",Besatzung!$B$6,Besatzung!$D$13)&gt;=B116)))*((G116-IFERROR(H116,0))/IFERROR(SUMPRODUCT((Besatzung!$B$11:$B$22&lt;&gt;"")*(IF(Besatzung!$C$11:$C$22="",Besatzung!$B$5,Besatzung!$C$11:$C$22)&lt;=B116)*(IF(Besatzung!$D$11:$D$22="",Besatzung!$B$6,Besatzung!$D$11:$D$22)&gt;=B116)),1)+(Besatzung!$F$13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K116="x")*((G116-IFERROR(H116,0))/IFERROR(COUNTIF(J116:U116,"x"),1)+(Besatzung!$F$13="x")*IFERROR(H116,0)/IFERROR(SUMPRODUCT((J116:U116="x")*(Besatzung!$F$11:$F$22="x")),1))),(IF(COUNTIF(J116:U116,"x")=0,IF(Besatzung!$B$13&lt;&gt;"",1,0),(K116="x"))*(G116-IFERROR(H116,0))/IFERROR(IF(COUNTIF(J116:U116,"x")=0,COUNTA(Besatzung!$B$11:$B$22),COUNTIF(J116:U116,"x")),1)+IF(COUNTIF(J116:U116,"x")=0,(Besatzung!$F$13="x"),(K116="x")*(Besatzung!$F$13="x"))*IFERROR(H116,0)/IFERROR(IF(COUNTIF(J116:U116,"x")=0,SUMPRODUCT((Besatzung!$B$11:$B$22&lt;&gt;"")*(Besatzung!$F$11:$F$22="x")),SUMPRODUCT((J116:U116="x")*(Besatzung!$F$11:$F$22="x"))),1))))),0))))</f>
        <v/>
      </c>
      <c r="Y116" s="106">
        <f>IF(C116="Gutschrift","",IF(G116="","",IF(Besatzung!$B$14="","",IFERROR(IF(I116="Zeitanteilig",(Besatzung!$G$14*(G116-IFERROR(H116,0))+((Besatzung!$B$14&lt;&gt;"")*IF(B116="",1,(IF(Besatzung!$C$14="",Besatzung!$B$5,Besatzung!$C$14)&lt;=B116)*(IF(Besatzung!$D$14="",Besatzung!$B$6,Besatzung!$D$14)&gt;=B116)))*(Besatzung!$F$14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$14&lt;&gt;"")*IF(B116="",1,(IF(Besatzung!$C$14="",Besatzung!$B$5,Besatzung!$C$14)&lt;=B116)*(IF(Besatzung!$D$14="",Besatzung!$B$6,Besatzung!$D$14)&gt;=B116)))*((G116-IFERROR(H116,0))/IFERROR(SUMPRODUCT((Besatzung!$B$11:$B$22&lt;&gt;"")*(IF(Besatzung!$C$11:$C$22="",Besatzung!$B$5,Besatzung!$C$11:$C$22)&lt;=B116)*(IF(Besatzung!$D$11:$D$22="",Besatzung!$B$6,Besatzung!$D$11:$D$22)&gt;=B116)),1)+(Besatzung!$F$14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M116="x")*((G116-IFERROR(H116,0))/IFERROR(COUNTIF(J116:U116,"x"),1)+(Besatzung!$F$14="x")*IFERROR(H116,0)/IFERROR(SUMPRODUCT((J116:U116="x")*(Besatzung!$F$11:$F$22="x")),1))),(IF(COUNTIF(J116:U116,"x")=0,IF(Besatzung!$B$14&lt;&gt;"",1,0),(M116="x"))*(G116-IFERROR(H116,0))/IFERROR(IF(COUNTIF(J116:U116,"x")=0,COUNTA(Besatzung!$B$11:$B$22),COUNTIF(J116:U116,"x")),1)+IF(COUNTIF(J116:U116,"x")=0,(Besatzung!$F$14="x"),(M116="x")*(Besatzung!$F$14="x"))*IFERROR(H116,0)/IFERROR(IF(COUNTIF(J116:U116,"x")=0,SUMPRODUCT((Besatzung!$B$11:$B$22&lt;&gt;"")*(Besatzung!$F$11:$F$22="x")),SUMPRODUCT((J116:U116="x")*(Besatzung!$F$11:$F$22="x"))),1))))),0))))</f>
        <v/>
      </c>
      <c r="Z116" s="106">
        <f>IF(C116="Gutschrift","",IF(G116="","",IF(Besatzung!$B$13="","",IFERROR(IF(I116="Zeitanteilig",(Besatzung!$G$15*(G116-IFERROR(H116,0))+((Besatzung!$B$13&lt;&gt;"")*IF(B116="",1,(IF(Besatzung!$C$15="",Besatzung!$B$5,Besatzung!$C$15)&lt;=B116)*(IF(Besatzung!$D$15="",Besatzung!$B$6,Besatzung!$D$15)&gt;=B116)))*(Besatzung!$F$15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$13&lt;&gt;"")*IF(B116="",1,(IF(Besatzung!$C$15="",Besatzung!$B$5,Besatzung!$C$15)&lt;=B116)*(IF(Besatzung!$D$15="",Besatzung!$B$6,Besatzung!$D$15)&gt;=B116)))*((G116-IFERROR(H116,0))/IFERROR(SUMPRODUCT((Besatzung!$B$11:$B$22&lt;&gt;"")*(IF(Besatzung!$C$11:$C$22="",Besatzung!$B$5,Besatzung!$C$11:$C$22)&lt;=B116)*(IF(Besatzung!$D$11:$D$22="",Besatzung!$B$6,Besatzung!$D$11:$D$22)&gt;=B116)),1)+(Besatzung!$F$15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N116="x")*((G116-IFERROR(H116,0))/IFERROR(COUNTIF(J116:U116,"x"),1)+(Besatzung!$F$15="x")*IFERROR(H116,0)/IFERROR(SUMPRODUCT((J116:U116="x")*(Besatzung!$F$11:$F$22="x")),1))),(IF(COUNTIF(J116:U116,"x")=0,IF(Besatzung!$B$13&lt;&gt;"",1,0),(N116="x"))*(G116-IFERROR(H116,0))/IFERROR(IF(COUNTIF(J116:U116,"x")=0,COUNTA(Besatzung!$B$11:$B$22),COUNTIF(J116:U116,"x")),1)+IF(COUNTIF(J116:U116,"x")=0,(Besatzung!$F$15="x"),(N116="x")*(Besatzung!$F$15="x"))*IFERROR(H116,0)/IFERROR(IF(COUNTIF(J116:U116,"x")=0,SUMPRODUCT((Besatzung!$B$11:$B$22&lt;&gt;"")*(Besatzung!$F$11:$F$22="x")),SUMPRODUCT((J116:U116="x")*(Besatzung!$F$11:$F$22="x"))),1))))),0))))</f>
        <v/>
      </c>
      <c r="AA116" s="106">
        <f>IF(C116="Gutschrift","",IF(G116="","",IF(Besatzung!$B$15="","",IFERROR(IF(I116="Zeitanteilig",(Besatzung!$G$16*(G116-IFERROR(H116,0))+((Besatzung!$B$15&lt;&gt;"")*IF(B116="",1,(IF(Besatzung!$C$16="",Besatzung!$B$5,Besatzung!$C$16)&lt;=B116)*(IF(Besatzung!$D$16="",Besatzung!$B$6,Besatzung!$D$16)&gt;=B116)))*(Besatzung!$F$16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$15&lt;&gt;"")*IF(B116="",1,(IF(Besatzung!$C$16="",Besatzung!$B$5,Besatzung!$C$16)&lt;=B116)*(IF(Besatzung!$D$16="",Besatzung!$B$6,Besatzung!$D$16)&gt;=B116)))*((G116-IFERROR(H116,0))/IFERROR(SUMPRODUCT((Besatzung!$B$11:$B$22&lt;&gt;"")*(IF(Besatzung!$C$11:$C$22="",Besatzung!$B$5,Besatzung!$C$11:$C$22)&lt;=B116)*(IF(Besatzung!$D$11:$D$22="",Besatzung!$B$6,Besatzung!$D$11:$D$22)&gt;=B116)),1)+(Besatzung!$F$16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O116="x")*((G116-IFERROR(H116,0))/IFERROR(COUNTIF(J116:U116,"x"),1)+(Besatzung!$F$16="x")*IFERROR(H116,0)/IFERROR(SUMPRODUCT((J116:U116="x")*(Besatzung!$F$11:$F$22="x")),1))),(IF(COUNTIF(J116:U116,"x")=0,IF(Besatzung!$B$15&lt;&gt;"",1,0),(O116="x"))*(G116-IFERROR(H116,0))/IFERROR(IF(COUNTIF(J116:U116,"x")=0,COUNTA(Besatzung!$B$11:$B$22),COUNTIF(J116:U116,"x")),1)+IF(COUNTIF(J116:U116,"x")=0,(Besatzung!$F$16="x"),(O116="x")*(Besatzung!$F$16="x"))*IFERROR(H116,0)/IFERROR(IF(COUNTIF(J116:U116,"x")=0,SUMPRODUCT((Besatzung!$B$11:$B$22&lt;&gt;"")*(Besatzung!$F$11:$F$22="x")),SUMPRODUCT((J116:U116="x")*(Besatzung!$F$11:$F$22="x"))),1))))),0))))</f>
        <v/>
      </c>
      <c r="AB116" s="106">
        <f>IF(C116="Gutschrift","",IF(G116="","",IF(Besatzung!$B$17="","",IFERROR(IF(I116="Zeitanteilig",(Besatzung!$G$17*(G116-IFERROR(H116,0))+((Besatzung!$B$17&lt;&gt;"")*IF(B116="",1,(IF(Besatzung!$C$17="",Besatzung!$B$5,Besatzung!$C$17)&lt;=B116)*(IF(Besatzung!$D$17="",Besatzung!$B$6,Besatzung!$D$17)&gt;=B116)))*(Besatzung!$F$17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$17&lt;&gt;"")*IF(B116="",1,(IF(Besatzung!$C$17="",Besatzung!$B$5,Besatzung!$C$17)&lt;=B116)*(IF(Besatzung!$D$17="",Besatzung!$B$6,Besatzung!$D$17)&gt;=B116)))*((G116-IFERROR(H116,0))/IFERROR(SUMPRODUCT((Besatzung!$B$11:$B$22&lt;&gt;"")*(IF(Besatzung!$C$11:$C$22="",Besatzung!$B$5,Besatzung!$C$11:$C$22)&lt;=B116)*(IF(Besatzung!$D$11:$D$22="",Besatzung!$B$6,Besatzung!$D$11:$D$22)&gt;=B116)),1)+(Besatzung!$F$17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P116="x")*((G116-IFERROR(H116,0))/IFERROR(COUNTIF(J116:U116,"x"),1)+(Besatzung!$F$17="x")*IFERROR(H116,0)/IFERROR(SUMPRODUCT((J116:U116="x")*(Besatzung!$F$11:$F$22="x")),1))),(IF(COUNTIF(J116:U116,"x")=0,IF(Besatzung!$B$17&lt;&gt;"",1,0),(P116="x"))*(G116-IFERROR(H116,0))/IFERROR(IF(COUNTIF(J116:U116,"x")=0,COUNTA(Besatzung!$B$11:$B$22),COUNTIF(J116:U116,"x")),1)+IF(COUNTIF(J116:U116,"x")=0,(Besatzung!$F$17="x"),(P116="x")*(Besatzung!$F$17="x"))*IFERROR(H116,0)/IFERROR(IF(COUNTIF(J116:U116,"x")=0,SUMPRODUCT((Besatzung!$B$11:$B$22&lt;&gt;"")*(Besatzung!$F$11:$F$22="x")),SUMPRODUCT((J116:U116="x")*(Besatzung!$F$11:$F$22="x"))),1))))),0))))</f>
        <v/>
      </c>
      <c r="AC116" s="106">
        <f>IF(C116="Gutschrift","",IF(G116="","",IF(Besatzung!$B$18="","",IFERROR(IF(I116="Zeitanteilig",(Besatzung!$G$18*(G116-IFERROR(H116,0))+((Besatzung!$B$18&lt;&gt;"")*IF(B116="",1,(IF(Besatzung!$C$18="",Besatzung!$B$5,Besatzung!$C$18)&lt;=B116)*(IF(Besatzung!$D$18="",Besatzung!$B$6,Besatzung!$D$18)&gt;=B116)))*(Besatzung!$F$18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$18&lt;&gt;"")*IF(B116="",1,(IF(Besatzung!$C$18="",Besatzung!$B$5,Besatzung!$C$18)&lt;=B116)*(IF(Besatzung!$D$18="",Besatzung!$B$6,Besatzung!$D$18)&gt;=B116)))*((G116-IFERROR(H116,0))/IFERROR(SUMPRODUCT((Besatzung!$B$11:$B$22&lt;&gt;"")*(IF(Besatzung!$C$11:$C$22="",Besatzung!$B$5,Besatzung!$C$11:$C$22)&lt;=B116)*(IF(Besatzung!$D$11:$D$22="",Besatzung!$B$6,Besatzung!$D$11:$D$22)&gt;=B116)),1)+(Besatzung!$F$18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Q116="x")*((G116-IFERROR(H116,0))/IFERROR(COUNTIF(J116:U116,"x"),1)+(Besatzung!$F$18="x")*IFERROR(H116,0)/IFERROR(SUMPRODUCT((J116:U116="x")*(Besatzung!$F$11:$F$22="x")),1))),(IF(COUNTIF(J116:U116,"x")=0,IF(Besatzung!$B$18&lt;&gt;"",1,0),(Q116="x"))*(G116-IFERROR(H116,0))/IFERROR(IF(COUNTIF(J116:U116,"x")=0,COUNTA(Besatzung!$B$11:$B$22),COUNTIF(J116:U116,"x")),1)+IF(COUNTIF(J116:U116,"x")=0,(Besatzung!$F$18="x"),(Q116="x")*(Besatzung!$F$18="x"))*IFERROR(H116,0)/IFERROR(IF(COUNTIF(J116:U116,"x")=0,SUMPRODUCT((Besatzung!$B$11:$B$22&lt;&gt;"")*(Besatzung!$F$11:$F$22="x")),SUMPRODUCT((J116:U116="x")*(Besatzung!$F$11:$F$22="x"))),1))))),0))))</f>
        <v/>
      </c>
      <c r="AD116" s="106">
        <f>IF(C116="Gutschrift","",IF(G116="","",IF(Besatzung!$B$19="","",IFERROR(IF(I116="Zeitanteilig",(Besatzung!$G$19*(G116-IFERROR(H116,0))+((Besatzung!$B$19&lt;&gt;"")*IF(B116="",1,(IF(Besatzung!$C$19="",Besatzung!$B$5,Besatzung!$C$19)&lt;=B116)*(IF(Besatzung!$D$19="",Besatzung!$B$6,Besatzung!$D$19)&gt;=B116)))*(Besatzung!$F$19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$19&lt;&gt;"")*IF(B116="",1,(IF(Besatzung!$C$19="",Besatzung!$B$5,Besatzung!$C$19)&lt;=B116)*(IF(Besatzung!$D$19="",Besatzung!$B$6,Besatzung!$D$19)&gt;=B116)))*((G116-IFERROR(H116,0))/IFERROR(SUMPRODUCT((Besatzung!$B$11:$B$22&lt;&gt;"")*(IF(Besatzung!$C$11:$C$22="",Besatzung!$B$5,Besatzung!$C$11:$C$22)&lt;=B116)*(IF(Besatzung!$D$11:$D$22="",Besatzung!$B$6,Besatzung!$D$11:$D$22)&gt;=B116)),1)+(Besatzung!$F$19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R116="x")*((G116-IFERROR(H116,0))/IFERROR(COUNTIF(J116:U116,"x"),1)+(Besatzung!$F$19="x")*IFERROR(H116,0)/IFERROR(SUMPRODUCT((J116:U116="x")*(Besatzung!$F$11:$F$22="x")),1))),(IF(COUNTIF(J116:U116,"x")=0,IF(Besatzung!$B$19&lt;&gt;"",1,0),(R116="x"))*(G116-IFERROR(H116,0))/IFERROR(IF(COUNTIF(J116:U116,"x")=0,COUNTA(Besatzung!$B$11:$B$22),COUNTIF(J116:U116,"x")),1)+IF(COUNTIF(J116:U116,"x")=0,(Besatzung!$F$19="x"),(R116="x")*(Besatzung!$F$19="x"))*IFERROR(H116,0)/IFERROR(IF(COUNTIF(J116:U116,"x")=0,SUMPRODUCT((Besatzung!$B$11:$B$22&lt;&gt;"")*(Besatzung!$F$11:$F$22="x")),SUMPRODUCT((J116:U116="x")*(Besatzung!$F$11:$F$22="x"))),1))))),0))))</f>
        <v/>
      </c>
      <c r="AE116" s="106">
        <f>IF(C116="Gutschrift","",IF(G116="","",IF(Besatzung!$B$20="","",IFERROR(IF(I116="Zeitanteilig",(Besatzung!$G$20*(G116-IFERROR(H116,0))+((Besatzung!$B$20&lt;&gt;"")*IF(B116="",1,(IF(Besatzung!$C$20="",Besatzung!$B$5,Besatzung!$C$20)&lt;=B116)*(IF(Besatzung!$D$20="",Besatzung!$B$6,Besatzung!$D$20)&gt;=B116)))*(Besatzung!$F$20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$20&lt;&gt;"")*IF(B116="",1,(IF(Besatzung!$C$20="",Besatzung!$B$5,Besatzung!$C$20)&lt;=B116)*(IF(Besatzung!$D$20="",Besatzung!$B$6,Besatzung!$D$20)&gt;=B116)))*((G116-IFERROR(H116,0))/IFERROR(SUMPRODUCT((Besatzung!$B$11:$B$22&lt;&gt;"")*(IF(Besatzung!$C$11:$C$22="",Besatzung!$B$5,Besatzung!$C$11:$C$22)&lt;=B116)*(IF(Besatzung!$D$11:$D$22="",Besatzung!$B$6,Besatzung!$D$11:$D$22)&gt;=B116)),1)+(Besatzung!$F$20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S116="x")*((G116-IFERROR(H116,0))/IFERROR(COUNTIF(J116:U116,"x"),1)+(Besatzung!$F$20="x")*IFERROR(H116,0)/IFERROR(SUMPRODUCT((J116:U116="x")*(Besatzung!$F$11:$F$22="x")),1))),(IF(COUNTIF(J116:U116,"x")=0,IF(Besatzung!$B$20&lt;&gt;"",1,0),(S116="x"))*(G116-IFERROR(H116,0))/IFERROR(IF(COUNTIF(J116:U116,"x")=0,COUNTA(Besatzung!$B$11:$B$22),COUNTIF(J116:U116,"x")),1)+IF(COUNTIF(J116:U116,"x")=0,(Besatzung!$F$20="x"),(S116="x")*(Besatzung!$F$20="x"))*IFERROR(H116,0)/IFERROR(IF(COUNTIF(J116:U116,"x")=0,SUMPRODUCT((Besatzung!$B$11:$B$22&lt;&gt;"")*(Besatzung!$F$11:$F$22="x")),SUMPRODUCT((J116:U116="x")*(Besatzung!$F$11:$F$22="x"))),1))))),0))))</f>
        <v/>
      </c>
      <c r="AF116" s="106">
        <f>IF(C116="Gutschrift","",IF(G116="","",IF(Besatzung!$B$21="","",IFERROR(IF(I116="Zeitanteilig",(Besatzung!$G$21*(G116-IFERROR(H116,0))+((Besatzung!$B$21&lt;&gt;"")*IF(B116="",1,(IF(Besatzung!$C$21="",Besatzung!$B$5,Besatzung!$C$21)&lt;=B116)*(IF(Besatzung!$D$21="",Besatzung!$B$6,Besatzung!$D$21)&gt;=B116)))*(Besatzung!$F$21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$21&lt;&gt;"")*IF(B116="",1,(IF(Besatzung!$C$21="",Besatzung!$B$5,Besatzung!$C$21)&lt;=B116)*(IF(Besatzung!$D$21="",Besatzung!$B$6,Besatzung!$D$21)&gt;=B116)))*((G116-IFERROR(H116,0))/IFERROR(SUMPRODUCT((Besatzung!$B$11:$B$22&lt;&gt;"")*(IF(Besatzung!$C$11:$C$22="",Besatzung!$B$5,Besatzung!$C$11:$C$22)&lt;=B116)*(IF(Besatzung!$D$11:$D$22="",Besatzung!$B$6,Besatzung!$D$11:$D$22)&gt;=B116)),1)+(Besatzung!$F$21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T116="x")*((G116-IFERROR(H116,0))/IFERROR(COUNTIF(J116:U116,"x"),1)+(Besatzung!$F$21="x")*IFERROR(H116,0)/IFERROR(SUMPRODUCT((J116:U116="x")*(Besatzung!$F$11:$F$22="x")),1))),(IF(COUNTIF(J116:U116,"x")=0,IF(Besatzung!$B$21&lt;&gt;"",1,0),(T116="x"))*(G116-IFERROR(H116,0))/IFERROR(IF(COUNTIF(J116:U116,"x")=0,COUNTA(Besatzung!$B$11:$B$22),COUNTIF(J116:U116,"x")),1)+IF(COUNTIF(J116:U116,"x")=0,(Besatzung!$F$21="x"),(T116="x")*(Besatzung!$F$21="x"))*IFERROR(H116,0)/IFERROR(IF(COUNTIF(J116:U116,"x")=0,SUMPRODUCT((Besatzung!$B$11:$B$22&lt;&gt;"")*(Besatzung!$F$11:$F$22="x")),SUMPRODUCT((J116:U116="x")*(Besatzung!$F$11:$F$22="x"))),1))))),0))))</f>
        <v/>
      </c>
      <c r="AG116" s="106">
        <f>IF(C116="Gutschrift","",IF(G116="","",IF(Besatzung!$B$22="","",IFERROR(IF(I116="Zeitanteilig",(Besatzung!$G$22*(G116-IFERROR(H116,0))+((Besatzung!$B$22&lt;&gt;"")*IF(B116="",1,(IF(Besatzung!$C$22="",Besatzung!$B$5,Besatzung!$C$22)&lt;=B116)*(IF(Besatzung!$D$22="",Besatzung!$B$6,Besatzung!$D$22)&gt;=B116)))*(Besatzung!$F$22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$22&lt;&gt;"")*IF(B116="",1,(IF(Besatzung!$C$22="",Besatzung!$B$5,Besatzung!$C$22)&lt;=B116)*(IF(Besatzung!$D$22="",Besatzung!$B$6,Besatzung!$D$22)&gt;=B116)))*((G116-IFERROR(H116,0))/IFERROR(SUMPRODUCT((Besatzung!$B$11:$B$22&lt;&gt;"")*(IF(Besatzung!$C$11:$C$22="",Besatzung!$B$5,Besatzung!$C$11:$C$22)&lt;=B116)*(IF(Besatzung!$D$11:$D$22="",Besatzung!$B$6,Besatzung!$D$11:$D$22)&gt;=B116)),1)+(Besatzung!$F$22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U116="x")*((G116-IFERROR(H116,0))/IFERROR(COUNTIF(J116:U116,"x"),1)+(Besatzung!$F$22="x")*IFERROR(H116,0)/IFERROR(SUMPRODUCT((J116:U116="x")*(Besatzung!$F$11:$F$22="x")),1))),(IF(COUNTIF(J116:U116,"x")=0,IF(Besatzung!$B$22&lt;&gt;"",1,0),(U116="x"))*(G116-IFERROR(H116,0))/IFERROR(IF(COUNTIF(J116:U116,"x")=0,COUNTA(Besatzung!$B$11:$B$22),COUNTIF(J116:U116,"x")),1)+IF(COUNTIF(J116:U116,"x")=0,(Besatzung!$F$22="x"),(U116="x")*(Besatzung!$F$22="x"))*IFERROR(H116,0)/IFERROR(IF(COUNTIF(J116:U116,"x")=0,SUMPRODUCT((Besatzung!$B$11:$B$22&lt;&gt;"")*(Besatzung!$F$11:$F$22="x")),SUMPRODUCT((J116:U116="x")*(Besatzung!$F$11:$F$22="x"))),1))))),0))))</f>
        <v/>
      </c>
      <c r="AH116" s="107" t="n"/>
      <c r="AI116" s="107" t="n"/>
    </row>
    <row r="117" ht="21.75" customHeight="1" s="182">
      <c r="A117" s="97">
        <f>IF(AND(D117="",C117=""),"",114)</f>
        <v/>
      </c>
      <c r="B117" s="63" t="n"/>
      <c r="C117" s="108" t="n"/>
      <c r="D117" s="109" t="n"/>
      <c r="E117" s="110" t="n"/>
      <c r="F117" s="111" t="n"/>
      <c r="G117" s="112" t="n"/>
      <c r="H117" s="113" t="n"/>
      <c r="I117" s="114" t="n"/>
      <c r="J117" s="115" t="n"/>
      <c r="K117" s="115" t="n"/>
      <c r="L117" s="115" t="n"/>
      <c r="M117" s="115" t="n"/>
      <c r="N117" s="115" t="n"/>
      <c r="O117" s="115" t="n"/>
      <c r="P117" s="115" t="n"/>
      <c r="Q117" s="115" t="n"/>
      <c r="R117" s="115" t="n"/>
      <c r="S117" s="115" t="n"/>
      <c r="T117" s="115" t="n"/>
      <c r="U117" s="115" t="n"/>
      <c r="V117" s="106">
        <f>IF(C117="Gutschrift","",IF(G117="","",IF(Besatzung!$B$11="","",IFERROR(IF(I117="Zeitanteilig",(Besatzung!$G$11*(G117-IFERROR(H117,0))+((Besatzung!$B$11&lt;&gt;"")*IF(B117="",1,(IF(Besatzung!$C$11="",Besatzung!$B$5,Besatzung!$C$11)&lt;=B117)*(IF(Besatzung!$D$11="",Besatzung!$B$6,Besatzung!$D$11)&gt;=B117)))*(Besatzung!$F$11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$11&lt;&gt;"")*IF(B117="",1,(IF(Besatzung!$C$11="",Besatzung!$B$5,Besatzung!$C$11)&lt;=B117)*(IF(Besatzung!$D$11="",Besatzung!$B$6,Besatzung!$D$11)&gt;=B117)))*((G117-IFERROR(H117,0))/IFERROR(SUMPRODUCT((Besatzung!$B$11:$B$22&lt;&gt;"")*(IF(Besatzung!$C$11:$C$22="",Besatzung!$B$5,Besatzung!$C$11:$C$22)&lt;=B117)*(IF(Besatzung!$D$11:$D$22="",Besatzung!$B$6,Besatzung!$D$11:$D$22)&gt;=B117)),1)+(Besatzung!$F$11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J117="x")*((G117-IFERROR(H117,0))/IFERROR(COUNTIF(J117:U117,"x"),1)+(Besatzung!$F$11="x")*IFERROR(H117,0)/IFERROR(SUMPRODUCT((J117:U117="x")*(Besatzung!$F$11:$F$22="x")),1))),(IF(COUNTIF(J117:U117,"x")=0,IF(Besatzung!$B$11&lt;&gt;"",1,0),(J117="x"))*(G117-IFERROR(H117,0))/IFERROR(IF(COUNTIF(J117:U117,"x")=0,COUNTA(Besatzung!$B$11:$B$22),COUNTIF(J117:U117,"x")),1)+IF(COUNTIF(J117:U117,"x")=0,(Besatzung!$F$11="x"),(J117="x")*(Besatzung!$F$11="x"))*IFERROR(H117,0)/IFERROR(IF(COUNTIF(J117:U117,"x")=0,SUMPRODUCT((Besatzung!$B$11:$B$22&lt;&gt;"")*(Besatzung!$F$11:$F$22="x")),SUMPRODUCT((J117:U117="x")*(Besatzung!$F$11:$F$22="x"))),1))))),0))))</f>
        <v/>
      </c>
      <c r="W117" s="106">
        <f>IF(C117="Gutschrift","",IF(G117="","",IF(Besatzung!$B$12="","",IFERROR(IF(I117="Zeitanteilig",(Besatzung!$G$12*(G117-IFERROR(H117,0))+((Besatzung!$B$12&lt;&gt;"")*IF(B117="",1,(IF(Besatzung!$C$12="",Besatzung!$B$5,Besatzung!$C$12)&lt;=B117)*(IF(Besatzung!$D$12="",Besatzung!$B$6,Besatzung!$D$12)&gt;=B117)))*(Besatzung!$F$12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$12&lt;&gt;"")*IF(B117="",1,(IF(Besatzung!$C$12="",Besatzung!$B$5,Besatzung!$C$12)&lt;=B117)*(IF(Besatzung!$D$12="",Besatzung!$B$6,Besatzung!$D$12)&gt;=B117)))*((G117-IFERROR(H117,0))/IFERROR(SUMPRODUCT((Besatzung!$B$11:$B$22&lt;&gt;"")*(IF(Besatzung!$C$11:$C$22="",Besatzung!$B$5,Besatzung!$C$11:$C$22)&lt;=B117)*(IF(Besatzung!$D$11:$D$22="",Besatzung!$B$6,Besatzung!$D$11:$D$22)&gt;=B117)),1)+(Besatzung!$F$12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K117="x")*((G117-IFERROR(H117,0))/IFERROR(COUNTIF(J117:U117,"x"),1)+(Besatzung!$F$12="x")*IFERROR(H117,0)/IFERROR(SUMPRODUCT((J117:U117="x")*(Besatzung!$F$11:$F$22="x")),1))),(IF(COUNTIF(J117:U117,"x")=0,IF(Besatzung!$B$12&lt;&gt;"",1,0),(K117="x"))*(G117-IFERROR(H117,0))/IFERROR(IF(COUNTIF(J117:U117,"x")=0,COUNTA(Besatzung!$B$11:$B$22),COUNTIF(J117:U117,"x")),1)+IF(COUNTIF(J117:U117,"x")=0,(Besatzung!$F$12="x"),(K117="x")*(Besatzung!$F$12="x"))*IFERROR(H117,0)/IFERROR(IF(COUNTIF(J117:U117,"x")=0,SUMPRODUCT((Besatzung!$B$11:$B$22&lt;&gt;"")*(Besatzung!$F$11:$F$22="x")),SUMPRODUCT((J117:U117="x")*(Besatzung!$F$11:$F$22="x"))),1))))),0))))</f>
        <v/>
      </c>
      <c r="X117" s="106">
        <f>IF(C117="Gutschrift","",IF(G117="","",IF(Besatzung!$B$13="","",IFERROR(IF(I117="Zeitanteilig",(Besatzung!$G$13*(G117-IFERROR(H117,0))+((Besatzung!$B$13&lt;&gt;"")*IF(B117="",1,(IF(Besatzung!$C$13="",Besatzung!$B$5,Besatzung!$C$13)&lt;=B117)*(IF(Besatzung!$D$13="",Besatzung!$B$6,Besatzung!$D$13)&gt;=B117)))*(Besatzung!$F$13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$13&lt;&gt;"")*IF(B117="",1,(IF(Besatzung!$C$13="",Besatzung!$B$5,Besatzung!$C$13)&lt;=B117)*(IF(Besatzung!$D$13="",Besatzung!$B$6,Besatzung!$D$13)&gt;=B117)))*((G117-IFERROR(H117,0))/IFERROR(SUMPRODUCT((Besatzung!$B$11:$B$22&lt;&gt;"")*(IF(Besatzung!$C$11:$C$22="",Besatzung!$B$5,Besatzung!$C$11:$C$22)&lt;=B117)*(IF(Besatzung!$D$11:$D$22="",Besatzung!$B$6,Besatzung!$D$11:$D$22)&gt;=B117)),1)+(Besatzung!$F$13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K117="x")*((G117-IFERROR(H117,0))/IFERROR(COUNTIF(J117:U117,"x"),1)+(Besatzung!$F$13="x")*IFERROR(H117,0)/IFERROR(SUMPRODUCT((J117:U117="x")*(Besatzung!$F$11:$F$22="x")),1))),(IF(COUNTIF(J117:U117,"x")=0,IF(Besatzung!$B$13&lt;&gt;"",1,0),(K117="x"))*(G117-IFERROR(H117,0))/IFERROR(IF(COUNTIF(J117:U117,"x")=0,COUNTA(Besatzung!$B$11:$B$22),COUNTIF(J117:U117,"x")),1)+IF(COUNTIF(J117:U117,"x")=0,(Besatzung!$F$13="x"),(K117="x")*(Besatzung!$F$13="x"))*IFERROR(H117,0)/IFERROR(IF(COUNTIF(J117:U117,"x")=0,SUMPRODUCT((Besatzung!$B$11:$B$22&lt;&gt;"")*(Besatzung!$F$11:$F$22="x")),SUMPRODUCT((J117:U117="x")*(Besatzung!$F$11:$F$22="x"))),1))))),0))))</f>
        <v/>
      </c>
      <c r="Y117" s="106">
        <f>IF(C117="Gutschrift","",IF(G117="","",IF(Besatzung!$B$14="","",IFERROR(IF(I117="Zeitanteilig",(Besatzung!$G$14*(G117-IFERROR(H117,0))+((Besatzung!$B$14&lt;&gt;"")*IF(B117="",1,(IF(Besatzung!$C$14="",Besatzung!$B$5,Besatzung!$C$14)&lt;=B117)*(IF(Besatzung!$D$14="",Besatzung!$B$6,Besatzung!$D$14)&gt;=B117)))*(Besatzung!$F$14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$14&lt;&gt;"")*IF(B117="",1,(IF(Besatzung!$C$14="",Besatzung!$B$5,Besatzung!$C$14)&lt;=B117)*(IF(Besatzung!$D$14="",Besatzung!$B$6,Besatzung!$D$14)&gt;=B117)))*((G117-IFERROR(H117,0))/IFERROR(SUMPRODUCT((Besatzung!$B$11:$B$22&lt;&gt;"")*(IF(Besatzung!$C$11:$C$22="",Besatzung!$B$5,Besatzung!$C$11:$C$22)&lt;=B117)*(IF(Besatzung!$D$11:$D$22="",Besatzung!$B$6,Besatzung!$D$11:$D$22)&gt;=B117)),1)+(Besatzung!$F$14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M117="x")*((G117-IFERROR(H117,0))/IFERROR(COUNTIF(J117:U117,"x"),1)+(Besatzung!$F$14="x")*IFERROR(H117,0)/IFERROR(SUMPRODUCT((J117:U117="x")*(Besatzung!$F$11:$F$22="x")),1))),(IF(COUNTIF(J117:U117,"x")=0,IF(Besatzung!$B$14&lt;&gt;"",1,0),(M117="x"))*(G117-IFERROR(H117,0))/IFERROR(IF(COUNTIF(J117:U117,"x")=0,COUNTA(Besatzung!$B$11:$B$22),COUNTIF(J117:U117,"x")),1)+IF(COUNTIF(J117:U117,"x")=0,(Besatzung!$F$14="x"),(M117="x")*(Besatzung!$F$14="x"))*IFERROR(H117,0)/IFERROR(IF(COUNTIF(J117:U117,"x")=0,SUMPRODUCT((Besatzung!$B$11:$B$22&lt;&gt;"")*(Besatzung!$F$11:$F$22="x")),SUMPRODUCT((J117:U117="x")*(Besatzung!$F$11:$F$22="x"))),1))))),0))))</f>
        <v/>
      </c>
      <c r="Z117" s="106">
        <f>IF(C117="Gutschrift","",IF(G117="","",IF(Besatzung!$B$13="","",IFERROR(IF(I117="Zeitanteilig",(Besatzung!$G$15*(G117-IFERROR(H117,0))+((Besatzung!$B$13&lt;&gt;"")*IF(B117="",1,(IF(Besatzung!$C$15="",Besatzung!$B$5,Besatzung!$C$15)&lt;=B117)*(IF(Besatzung!$D$15="",Besatzung!$B$6,Besatzung!$D$15)&gt;=B117)))*(Besatzung!$F$15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$13&lt;&gt;"")*IF(B117="",1,(IF(Besatzung!$C$15="",Besatzung!$B$5,Besatzung!$C$15)&lt;=B117)*(IF(Besatzung!$D$15="",Besatzung!$B$6,Besatzung!$D$15)&gt;=B117)))*((G117-IFERROR(H117,0))/IFERROR(SUMPRODUCT((Besatzung!$B$11:$B$22&lt;&gt;"")*(IF(Besatzung!$C$11:$C$22="",Besatzung!$B$5,Besatzung!$C$11:$C$22)&lt;=B117)*(IF(Besatzung!$D$11:$D$22="",Besatzung!$B$6,Besatzung!$D$11:$D$22)&gt;=B117)),1)+(Besatzung!$F$15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N117="x")*((G117-IFERROR(H117,0))/IFERROR(COUNTIF(J117:U117,"x"),1)+(Besatzung!$F$15="x")*IFERROR(H117,0)/IFERROR(SUMPRODUCT((J117:U117="x")*(Besatzung!$F$11:$F$22="x")),1))),(IF(COUNTIF(J117:U117,"x")=0,IF(Besatzung!$B$13&lt;&gt;"",1,0),(N117="x"))*(G117-IFERROR(H117,0))/IFERROR(IF(COUNTIF(J117:U117,"x")=0,COUNTA(Besatzung!$B$11:$B$22),COUNTIF(J117:U117,"x")),1)+IF(COUNTIF(J117:U117,"x")=0,(Besatzung!$F$15="x"),(N117="x")*(Besatzung!$F$15="x"))*IFERROR(H117,0)/IFERROR(IF(COUNTIF(J117:U117,"x")=0,SUMPRODUCT((Besatzung!$B$11:$B$22&lt;&gt;"")*(Besatzung!$F$11:$F$22="x")),SUMPRODUCT((J117:U117="x")*(Besatzung!$F$11:$F$22="x"))),1))))),0))))</f>
        <v/>
      </c>
      <c r="AA117" s="106">
        <f>IF(C117="Gutschrift","",IF(G117="","",IF(Besatzung!$B$15="","",IFERROR(IF(I117="Zeitanteilig",(Besatzung!$G$16*(G117-IFERROR(H117,0))+((Besatzung!$B$15&lt;&gt;"")*IF(B117="",1,(IF(Besatzung!$C$16="",Besatzung!$B$5,Besatzung!$C$16)&lt;=B117)*(IF(Besatzung!$D$16="",Besatzung!$B$6,Besatzung!$D$16)&gt;=B117)))*(Besatzung!$F$16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$15&lt;&gt;"")*IF(B117="",1,(IF(Besatzung!$C$16="",Besatzung!$B$5,Besatzung!$C$16)&lt;=B117)*(IF(Besatzung!$D$16="",Besatzung!$B$6,Besatzung!$D$16)&gt;=B117)))*((G117-IFERROR(H117,0))/IFERROR(SUMPRODUCT((Besatzung!$B$11:$B$22&lt;&gt;"")*(IF(Besatzung!$C$11:$C$22="",Besatzung!$B$5,Besatzung!$C$11:$C$22)&lt;=B117)*(IF(Besatzung!$D$11:$D$22="",Besatzung!$B$6,Besatzung!$D$11:$D$22)&gt;=B117)),1)+(Besatzung!$F$16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O117="x")*((G117-IFERROR(H117,0))/IFERROR(COUNTIF(J117:U117,"x"),1)+(Besatzung!$F$16="x")*IFERROR(H117,0)/IFERROR(SUMPRODUCT((J117:U117="x")*(Besatzung!$F$11:$F$22="x")),1))),(IF(COUNTIF(J117:U117,"x")=0,IF(Besatzung!$B$15&lt;&gt;"",1,0),(O117="x"))*(G117-IFERROR(H117,0))/IFERROR(IF(COUNTIF(J117:U117,"x")=0,COUNTA(Besatzung!$B$11:$B$22),COUNTIF(J117:U117,"x")),1)+IF(COUNTIF(J117:U117,"x")=0,(Besatzung!$F$16="x"),(O117="x")*(Besatzung!$F$16="x"))*IFERROR(H117,0)/IFERROR(IF(COUNTIF(J117:U117,"x")=0,SUMPRODUCT((Besatzung!$B$11:$B$22&lt;&gt;"")*(Besatzung!$F$11:$F$22="x")),SUMPRODUCT((J117:U117="x")*(Besatzung!$F$11:$F$22="x"))),1))))),0))))</f>
        <v/>
      </c>
      <c r="AB117" s="106">
        <f>IF(C117="Gutschrift","",IF(G117="","",IF(Besatzung!$B$17="","",IFERROR(IF(I117="Zeitanteilig",(Besatzung!$G$17*(G117-IFERROR(H117,0))+((Besatzung!$B$17&lt;&gt;"")*IF(B117="",1,(IF(Besatzung!$C$17="",Besatzung!$B$5,Besatzung!$C$17)&lt;=B117)*(IF(Besatzung!$D$17="",Besatzung!$B$6,Besatzung!$D$17)&gt;=B117)))*(Besatzung!$F$17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$17&lt;&gt;"")*IF(B117="",1,(IF(Besatzung!$C$17="",Besatzung!$B$5,Besatzung!$C$17)&lt;=B117)*(IF(Besatzung!$D$17="",Besatzung!$B$6,Besatzung!$D$17)&gt;=B117)))*((G117-IFERROR(H117,0))/IFERROR(SUMPRODUCT((Besatzung!$B$11:$B$22&lt;&gt;"")*(IF(Besatzung!$C$11:$C$22="",Besatzung!$B$5,Besatzung!$C$11:$C$22)&lt;=B117)*(IF(Besatzung!$D$11:$D$22="",Besatzung!$B$6,Besatzung!$D$11:$D$22)&gt;=B117)),1)+(Besatzung!$F$17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P117="x")*((G117-IFERROR(H117,0))/IFERROR(COUNTIF(J117:U117,"x"),1)+(Besatzung!$F$17="x")*IFERROR(H117,0)/IFERROR(SUMPRODUCT((J117:U117="x")*(Besatzung!$F$11:$F$22="x")),1))),(IF(COUNTIF(J117:U117,"x")=0,IF(Besatzung!$B$17&lt;&gt;"",1,0),(P117="x"))*(G117-IFERROR(H117,0))/IFERROR(IF(COUNTIF(J117:U117,"x")=0,COUNTA(Besatzung!$B$11:$B$22),COUNTIF(J117:U117,"x")),1)+IF(COUNTIF(J117:U117,"x")=0,(Besatzung!$F$17="x"),(P117="x")*(Besatzung!$F$17="x"))*IFERROR(H117,0)/IFERROR(IF(COUNTIF(J117:U117,"x")=0,SUMPRODUCT((Besatzung!$B$11:$B$22&lt;&gt;"")*(Besatzung!$F$11:$F$22="x")),SUMPRODUCT((J117:U117="x")*(Besatzung!$F$11:$F$22="x"))),1))))),0))))</f>
        <v/>
      </c>
      <c r="AC117" s="106">
        <f>IF(C117="Gutschrift","",IF(G117="","",IF(Besatzung!$B$18="","",IFERROR(IF(I117="Zeitanteilig",(Besatzung!$G$18*(G117-IFERROR(H117,0))+((Besatzung!$B$18&lt;&gt;"")*IF(B117="",1,(IF(Besatzung!$C$18="",Besatzung!$B$5,Besatzung!$C$18)&lt;=B117)*(IF(Besatzung!$D$18="",Besatzung!$B$6,Besatzung!$D$18)&gt;=B117)))*(Besatzung!$F$18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$18&lt;&gt;"")*IF(B117="",1,(IF(Besatzung!$C$18="",Besatzung!$B$5,Besatzung!$C$18)&lt;=B117)*(IF(Besatzung!$D$18="",Besatzung!$B$6,Besatzung!$D$18)&gt;=B117)))*((G117-IFERROR(H117,0))/IFERROR(SUMPRODUCT((Besatzung!$B$11:$B$22&lt;&gt;"")*(IF(Besatzung!$C$11:$C$22="",Besatzung!$B$5,Besatzung!$C$11:$C$22)&lt;=B117)*(IF(Besatzung!$D$11:$D$22="",Besatzung!$B$6,Besatzung!$D$11:$D$22)&gt;=B117)),1)+(Besatzung!$F$18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Q117="x")*((G117-IFERROR(H117,0))/IFERROR(COUNTIF(J117:U117,"x"),1)+(Besatzung!$F$18="x")*IFERROR(H117,0)/IFERROR(SUMPRODUCT((J117:U117="x")*(Besatzung!$F$11:$F$22="x")),1))),(IF(COUNTIF(J117:U117,"x")=0,IF(Besatzung!$B$18&lt;&gt;"",1,0),(Q117="x"))*(G117-IFERROR(H117,0))/IFERROR(IF(COUNTIF(J117:U117,"x")=0,COUNTA(Besatzung!$B$11:$B$22),COUNTIF(J117:U117,"x")),1)+IF(COUNTIF(J117:U117,"x")=0,(Besatzung!$F$18="x"),(Q117="x")*(Besatzung!$F$18="x"))*IFERROR(H117,0)/IFERROR(IF(COUNTIF(J117:U117,"x")=0,SUMPRODUCT((Besatzung!$B$11:$B$22&lt;&gt;"")*(Besatzung!$F$11:$F$22="x")),SUMPRODUCT((J117:U117="x")*(Besatzung!$F$11:$F$22="x"))),1))))),0))))</f>
        <v/>
      </c>
      <c r="AD117" s="106">
        <f>IF(C117="Gutschrift","",IF(G117="","",IF(Besatzung!$B$19="","",IFERROR(IF(I117="Zeitanteilig",(Besatzung!$G$19*(G117-IFERROR(H117,0))+((Besatzung!$B$19&lt;&gt;"")*IF(B117="",1,(IF(Besatzung!$C$19="",Besatzung!$B$5,Besatzung!$C$19)&lt;=B117)*(IF(Besatzung!$D$19="",Besatzung!$B$6,Besatzung!$D$19)&gt;=B117)))*(Besatzung!$F$19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$19&lt;&gt;"")*IF(B117="",1,(IF(Besatzung!$C$19="",Besatzung!$B$5,Besatzung!$C$19)&lt;=B117)*(IF(Besatzung!$D$19="",Besatzung!$B$6,Besatzung!$D$19)&gt;=B117)))*((G117-IFERROR(H117,0))/IFERROR(SUMPRODUCT((Besatzung!$B$11:$B$22&lt;&gt;"")*(IF(Besatzung!$C$11:$C$22="",Besatzung!$B$5,Besatzung!$C$11:$C$22)&lt;=B117)*(IF(Besatzung!$D$11:$D$22="",Besatzung!$B$6,Besatzung!$D$11:$D$22)&gt;=B117)),1)+(Besatzung!$F$19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R117="x")*((G117-IFERROR(H117,0))/IFERROR(COUNTIF(J117:U117,"x"),1)+(Besatzung!$F$19="x")*IFERROR(H117,0)/IFERROR(SUMPRODUCT((J117:U117="x")*(Besatzung!$F$11:$F$22="x")),1))),(IF(COUNTIF(J117:U117,"x")=0,IF(Besatzung!$B$19&lt;&gt;"",1,0),(R117="x"))*(G117-IFERROR(H117,0))/IFERROR(IF(COUNTIF(J117:U117,"x")=0,COUNTA(Besatzung!$B$11:$B$22),COUNTIF(J117:U117,"x")),1)+IF(COUNTIF(J117:U117,"x")=0,(Besatzung!$F$19="x"),(R117="x")*(Besatzung!$F$19="x"))*IFERROR(H117,0)/IFERROR(IF(COUNTIF(J117:U117,"x")=0,SUMPRODUCT((Besatzung!$B$11:$B$22&lt;&gt;"")*(Besatzung!$F$11:$F$22="x")),SUMPRODUCT((J117:U117="x")*(Besatzung!$F$11:$F$22="x"))),1))))),0))))</f>
        <v/>
      </c>
      <c r="AE117" s="106">
        <f>IF(C117="Gutschrift","",IF(G117="","",IF(Besatzung!$B$20="","",IFERROR(IF(I117="Zeitanteilig",(Besatzung!$G$20*(G117-IFERROR(H117,0))+((Besatzung!$B$20&lt;&gt;"")*IF(B117="",1,(IF(Besatzung!$C$20="",Besatzung!$B$5,Besatzung!$C$20)&lt;=B117)*(IF(Besatzung!$D$20="",Besatzung!$B$6,Besatzung!$D$20)&gt;=B117)))*(Besatzung!$F$20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$20&lt;&gt;"")*IF(B117="",1,(IF(Besatzung!$C$20="",Besatzung!$B$5,Besatzung!$C$20)&lt;=B117)*(IF(Besatzung!$D$20="",Besatzung!$B$6,Besatzung!$D$20)&gt;=B117)))*((G117-IFERROR(H117,0))/IFERROR(SUMPRODUCT((Besatzung!$B$11:$B$22&lt;&gt;"")*(IF(Besatzung!$C$11:$C$22="",Besatzung!$B$5,Besatzung!$C$11:$C$22)&lt;=B117)*(IF(Besatzung!$D$11:$D$22="",Besatzung!$B$6,Besatzung!$D$11:$D$22)&gt;=B117)),1)+(Besatzung!$F$20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S117="x")*((G117-IFERROR(H117,0))/IFERROR(COUNTIF(J117:U117,"x"),1)+(Besatzung!$F$20="x")*IFERROR(H117,0)/IFERROR(SUMPRODUCT((J117:U117="x")*(Besatzung!$F$11:$F$22="x")),1))),(IF(COUNTIF(J117:U117,"x")=0,IF(Besatzung!$B$20&lt;&gt;"",1,0),(S117="x"))*(G117-IFERROR(H117,0))/IFERROR(IF(COUNTIF(J117:U117,"x")=0,COUNTA(Besatzung!$B$11:$B$22),COUNTIF(J117:U117,"x")),1)+IF(COUNTIF(J117:U117,"x")=0,(Besatzung!$F$20="x"),(S117="x")*(Besatzung!$F$20="x"))*IFERROR(H117,0)/IFERROR(IF(COUNTIF(J117:U117,"x")=0,SUMPRODUCT((Besatzung!$B$11:$B$22&lt;&gt;"")*(Besatzung!$F$11:$F$22="x")),SUMPRODUCT((J117:U117="x")*(Besatzung!$F$11:$F$22="x"))),1))))),0))))</f>
        <v/>
      </c>
      <c r="AF117" s="106">
        <f>IF(C117="Gutschrift","",IF(G117="","",IF(Besatzung!$B$21="","",IFERROR(IF(I117="Zeitanteilig",(Besatzung!$G$21*(G117-IFERROR(H117,0))+((Besatzung!$B$21&lt;&gt;"")*IF(B117="",1,(IF(Besatzung!$C$21="",Besatzung!$B$5,Besatzung!$C$21)&lt;=B117)*(IF(Besatzung!$D$21="",Besatzung!$B$6,Besatzung!$D$21)&gt;=B117)))*(Besatzung!$F$21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$21&lt;&gt;"")*IF(B117="",1,(IF(Besatzung!$C$21="",Besatzung!$B$5,Besatzung!$C$21)&lt;=B117)*(IF(Besatzung!$D$21="",Besatzung!$B$6,Besatzung!$D$21)&gt;=B117)))*((G117-IFERROR(H117,0))/IFERROR(SUMPRODUCT((Besatzung!$B$11:$B$22&lt;&gt;"")*(IF(Besatzung!$C$11:$C$22="",Besatzung!$B$5,Besatzung!$C$11:$C$22)&lt;=B117)*(IF(Besatzung!$D$11:$D$22="",Besatzung!$B$6,Besatzung!$D$11:$D$22)&gt;=B117)),1)+(Besatzung!$F$21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T117="x")*((G117-IFERROR(H117,0))/IFERROR(COUNTIF(J117:U117,"x"),1)+(Besatzung!$F$21="x")*IFERROR(H117,0)/IFERROR(SUMPRODUCT((J117:U117="x")*(Besatzung!$F$11:$F$22="x")),1))),(IF(COUNTIF(J117:U117,"x")=0,IF(Besatzung!$B$21&lt;&gt;"",1,0),(T117="x"))*(G117-IFERROR(H117,0))/IFERROR(IF(COUNTIF(J117:U117,"x")=0,COUNTA(Besatzung!$B$11:$B$22),COUNTIF(J117:U117,"x")),1)+IF(COUNTIF(J117:U117,"x")=0,(Besatzung!$F$21="x"),(T117="x")*(Besatzung!$F$21="x"))*IFERROR(H117,0)/IFERROR(IF(COUNTIF(J117:U117,"x")=0,SUMPRODUCT((Besatzung!$B$11:$B$22&lt;&gt;"")*(Besatzung!$F$11:$F$22="x")),SUMPRODUCT((J117:U117="x")*(Besatzung!$F$11:$F$22="x"))),1))))),0))))</f>
        <v/>
      </c>
      <c r="AG117" s="106">
        <f>IF(C117="Gutschrift","",IF(G117="","",IF(Besatzung!$B$22="","",IFERROR(IF(I117="Zeitanteilig",(Besatzung!$G$22*(G117-IFERROR(H117,0))+((Besatzung!$B$22&lt;&gt;"")*IF(B117="",1,(IF(Besatzung!$C$22="",Besatzung!$B$5,Besatzung!$C$22)&lt;=B117)*(IF(Besatzung!$D$22="",Besatzung!$B$6,Besatzung!$D$22)&gt;=B117)))*(Besatzung!$F$22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$22&lt;&gt;"")*IF(B117="",1,(IF(Besatzung!$C$22="",Besatzung!$B$5,Besatzung!$C$22)&lt;=B117)*(IF(Besatzung!$D$22="",Besatzung!$B$6,Besatzung!$D$22)&gt;=B117)))*((G117-IFERROR(H117,0))/IFERROR(SUMPRODUCT((Besatzung!$B$11:$B$22&lt;&gt;"")*(IF(Besatzung!$C$11:$C$22="",Besatzung!$B$5,Besatzung!$C$11:$C$22)&lt;=B117)*(IF(Besatzung!$D$11:$D$22="",Besatzung!$B$6,Besatzung!$D$11:$D$22)&gt;=B117)),1)+(Besatzung!$F$22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U117="x")*((G117-IFERROR(H117,0))/IFERROR(COUNTIF(J117:U117,"x"),1)+(Besatzung!$F$22="x")*IFERROR(H117,0)/IFERROR(SUMPRODUCT((J117:U117="x")*(Besatzung!$F$11:$F$22="x")),1))),(IF(COUNTIF(J117:U117,"x")=0,IF(Besatzung!$B$22&lt;&gt;"",1,0),(U117="x"))*(G117-IFERROR(H117,0))/IFERROR(IF(COUNTIF(J117:U117,"x")=0,COUNTA(Besatzung!$B$11:$B$22),COUNTIF(J117:U117,"x")),1)+IF(COUNTIF(J117:U117,"x")=0,(Besatzung!$F$22="x"),(U117="x")*(Besatzung!$F$22="x"))*IFERROR(H117,0)/IFERROR(IF(COUNTIF(J117:U117,"x")=0,SUMPRODUCT((Besatzung!$B$11:$B$22&lt;&gt;"")*(Besatzung!$F$11:$F$22="x")),SUMPRODUCT((J117:U117="x")*(Besatzung!$F$11:$F$22="x"))),1))))),0))))</f>
        <v/>
      </c>
      <c r="AH117" s="107" t="n"/>
      <c r="AI117" s="107" t="n"/>
    </row>
    <row r="118" ht="21.75" customHeight="1" s="182">
      <c r="A118" s="97">
        <f>IF(AND(D118="",C118=""),"",115)</f>
        <v/>
      </c>
      <c r="B118" s="56" t="n"/>
      <c r="C118" s="98" t="n"/>
      <c r="D118" s="99" t="n"/>
      <c r="E118" s="100" t="n"/>
      <c r="F118" s="101" t="n"/>
      <c r="G118" s="102" t="n"/>
      <c r="H118" s="103" t="n"/>
      <c r="I118" s="104" t="n"/>
      <c r="J118" s="105" t="n"/>
      <c r="K118" s="105" t="n"/>
      <c r="L118" s="105" t="n"/>
      <c r="M118" s="105" t="n"/>
      <c r="N118" s="105" t="n"/>
      <c r="O118" s="105" t="n"/>
      <c r="P118" s="105" t="n"/>
      <c r="Q118" s="105" t="n"/>
      <c r="R118" s="105" t="n"/>
      <c r="S118" s="105" t="n"/>
      <c r="T118" s="105" t="n"/>
      <c r="U118" s="105" t="n"/>
      <c r="V118" s="106">
        <f>IF(C118="Gutschrift","",IF(G118="","",IF(Besatzung!$B$11="","",IFERROR(IF(I118="Zeitanteilig",(Besatzung!$G$11*(G118-IFERROR(H118,0))+((Besatzung!$B$11&lt;&gt;"")*IF(B118="",1,(IF(Besatzung!$C$11="",Besatzung!$B$5,Besatzung!$C$11)&lt;=B118)*(IF(Besatzung!$D$11="",Besatzung!$B$6,Besatzung!$D$11)&gt;=B118)))*(Besatzung!$F$11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$11&lt;&gt;"")*IF(B118="",1,(IF(Besatzung!$C$11="",Besatzung!$B$5,Besatzung!$C$11)&lt;=B118)*(IF(Besatzung!$D$11="",Besatzung!$B$6,Besatzung!$D$11)&gt;=B118)))*((G118-IFERROR(H118,0))/IFERROR(SUMPRODUCT((Besatzung!$B$11:$B$22&lt;&gt;"")*(IF(Besatzung!$C$11:$C$22="",Besatzung!$B$5,Besatzung!$C$11:$C$22)&lt;=B118)*(IF(Besatzung!$D$11:$D$22="",Besatzung!$B$6,Besatzung!$D$11:$D$22)&gt;=B118)),1)+(Besatzung!$F$11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J118="x")*((G118-IFERROR(H118,0))/IFERROR(COUNTIF(J118:U118,"x"),1)+(Besatzung!$F$11="x")*IFERROR(H118,0)/IFERROR(SUMPRODUCT((J118:U118="x")*(Besatzung!$F$11:$F$22="x")),1))),(IF(COUNTIF(J118:U118,"x")=0,IF(Besatzung!$B$11&lt;&gt;"",1,0),(J118="x"))*(G118-IFERROR(H118,0))/IFERROR(IF(COUNTIF(J118:U118,"x")=0,COUNTA(Besatzung!$B$11:$B$22),COUNTIF(J118:U118,"x")),1)+IF(COUNTIF(J118:U118,"x")=0,(Besatzung!$F$11="x"),(J118="x")*(Besatzung!$F$11="x"))*IFERROR(H118,0)/IFERROR(IF(COUNTIF(J118:U118,"x")=0,SUMPRODUCT((Besatzung!$B$11:$B$22&lt;&gt;"")*(Besatzung!$F$11:$F$22="x")),SUMPRODUCT((J118:U118="x")*(Besatzung!$F$11:$F$22="x"))),1))))),0))))</f>
        <v/>
      </c>
      <c r="W118" s="106">
        <f>IF(C118="Gutschrift","",IF(G118="","",IF(Besatzung!$B$12="","",IFERROR(IF(I118="Zeitanteilig",(Besatzung!$G$12*(G118-IFERROR(H118,0))+((Besatzung!$B$12&lt;&gt;"")*IF(B118="",1,(IF(Besatzung!$C$12="",Besatzung!$B$5,Besatzung!$C$12)&lt;=B118)*(IF(Besatzung!$D$12="",Besatzung!$B$6,Besatzung!$D$12)&gt;=B118)))*(Besatzung!$F$12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$12&lt;&gt;"")*IF(B118="",1,(IF(Besatzung!$C$12="",Besatzung!$B$5,Besatzung!$C$12)&lt;=B118)*(IF(Besatzung!$D$12="",Besatzung!$B$6,Besatzung!$D$12)&gt;=B118)))*((G118-IFERROR(H118,0))/IFERROR(SUMPRODUCT((Besatzung!$B$11:$B$22&lt;&gt;"")*(IF(Besatzung!$C$11:$C$22="",Besatzung!$B$5,Besatzung!$C$11:$C$22)&lt;=B118)*(IF(Besatzung!$D$11:$D$22="",Besatzung!$B$6,Besatzung!$D$11:$D$22)&gt;=B118)),1)+(Besatzung!$F$12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K118="x")*((G118-IFERROR(H118,0))/IFERROR(COUNTIF(J118:U118,"x"),1)+(Besatzung!$F$12="x")*IFERROR(H118,0)/IFERROR(SUMPRODUCT((J118:U118="x")*(Besatzung!$F$11:$F$22="x")),1))),(IF(COUNTIF(J118:U118,"x")=0,IF(Besatzung!$B$12&lt;&gt;"",1,0),(K118="x"))*(G118-IFERROR(H118,0))/IFERROR(IF(COUNTIF(J118:U118,"x")=0,COUNTA(Besatzung!$B$11:$B$22),COUNTIF(J118:U118,"x")),1)+IF(COUNTIF(J118:U118,"x")=0,(Besatzung!$F$12="x"),(K118="x")*(Besatzung!$F$12="x"))*IFERROR(H118,0)/IFERROR(IF(COUNTIF(J118:U118,"x")=0,SUMPRODUCT((Besatzung!$B$11:$B$22&lt;&gt;"")*(Besatzung!$F$11:$F$22="x")),SUMPRODUCT((J118:U118="x")*(Besatzung!$F$11:$F$22="x"))),1))))),0))))</f>
        <v/>
      </c>
      <c r="X118" s="106">
        <f>IF(C118="Gutschrift","",IF(G118="","",IF(Besatzung!$B$13="","",IFERROR(IF(I118="Zeitanteilig",(Besatzung!$G$13*(G118-IFERROR(H118,0))+((Besatzung!$B$13&lt;&gt;"")*IF(B118="",1,(IF(Besatzung!$C$13="",Besatzung!$B$5,Besatzung!$C$13)&lt;=B118)*(IF(Besatzung!$D$13="",Besatzung!$B$6,Besatzung!$D$13)&gt;=B118)))*(Besatzung!$F$13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$13&lt;&gt;"")*IF(B118="",1,(IF(Besatzung!$C$13="",Besatzung!$B$5,Besatzung!$C$13)&lt;=B118)*(IF(Besatzung!$D$13="",Besatzung!$B$6,Besatzung!$D$13)&gt;=B118)))*((G118-IFERROR(H118,0))/IFERROR(SUMPRODUCT((Besatzung!$B$11:$B$22&lt;&gt;"")*(IF(Besatzung!$C$11:$C$22="",Besatzung!$B$5,Besatzung!$C$11:$C$22)&lt;=B118)*(IF(Besatzung!$D$11:$D$22="",Besatzung!$B$6,Besatzung!$D$11:$D$22)&gt;=B118)),1)+(Besatzung!$F$13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K118="x")*((G118-IFERROR(H118,0))/IFERROR(COUNTIF(J118:U118,"x"),1)+(Besatzung!$F$13="x")*IFERROR(H118,0)/IFERROR(SUMPRODUCT((J118:U118="x")*(Besatzung!$F$11:$F$22="x")),1))),(IF(COUNTIF(J118:U118,"x")=0,IF(Besatzung!$B$13&lt;&gt;"",1,0),(K118="x"))*(G118-IFERROR(H118,0))/IFERROR(IF(COUNTIF(J118:U118,"x")=0,COUNTA(Besatzung!$B$11:$B$22),COUNTIF(J118:U118,"x")),1)+IF(COUNTIF(J118:U118,"x")=0,(Besatzung!$F$13="x"),(K118="x")*(Besatzung!$F$13="x"))*IFERROR(H118,0)/IFERROR(IF(COUNTIF(J118:U118,"x")=0,SUMPRODUCT((Besatzung!$B$11:$B$22&lt;&gt;"")*(Besatzung!$F$11:$F$22="x")),SUMPRODUCT((J118:U118="x")*(Besatzung!$F$11:$F$22="x"))),1))))),0))))</f>
        <v/>
      </c>
      <c r="Y118" s="106">
        <f>IF(C118="Gutschrift","",IF(G118="","",IF(Besatzung!$B$14="","",IFERROR(IF(I118="Zeitanteilig",(Besatzung!$G$14*(G118-IFERROR(H118,0))+((Besatzung!$B$14&lt;&gt;"")*IF(B118="",1,(IF(Besatzung!$C$14="",Besatzung!$B$5,Besatzung!$C$14)&lt;=B118)*(IF(Besatzung!$D$14="",Besatzung!$B$6,Besatzung!$D$14)&gt;=B118)))*(Besatzung!$F$14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$14&lt;&gt;"")*IF(B118="",1,(IF(Besatzung!$C$14="",Besatzung!$B$5,Besatzung!$C$14)&lt;=B118)*(IF(Besatzung!$D$14="",Besatzung!$B$6,Besatzung!$D$14)&gt;=B118)))*((G118-IFERROR(H118,0))/IFERROR(SUMPRODUCT((Besatzung!$B$11:$B$22&lt;&gt;"")*(IF(Besatzung!$C$11:$C$22="",Besatzung!$B$5,Besatzung!$C$11:$C$22)&lt;=B118)*(IF(Besatzung!$D$11:$D$22="",Besatzung!$B$6,Besatzung!$D$11:$D$22)&gt;=B118)),1)+(Besatzung!$F$14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M118="x")*((G118-IFERROR(H118,0))/IFERROR(COUNTIF(J118:U118,"x"),1)+(Besatzung!$F$14="x")*IFERROR(H118,0)/IFERROR(SUMPRODUCT((J118:U118="x")*(Besatzung!$F$11:$F$22="x")),1))),(IF(COUNTIF(J118:U118,"x")=0,IF(Besatzung!$B$14&lt;&gt;"",1,0),(M118="x"))*(G118-IFERROR(H118,0))/IFERROR(IF(COUNTIF(J118:U118,"x")=0,COUNTA(Besatzung!$B$11:$B$22),COUNTIF(J118:U118,"x")),1)+IF(COUNTIF(J118:U118,"x")=0,(Besatzung!$F$14="x"),(M118="x")*(Besatzung!$F$14="x"))*IFERROR(H118,0)/IFERROR(IF(COUNTIF(J118:U118,"x")=0,SUMPRODUCT((Besatzung!$B$11:$B$22&lt;&gt;"")*(Besatzung!$F$11:$F$22="x")),SUMPRODUCT((J118:U118="x")*(Besatzung!$F$11:$F$22="x"))),1))))),0))))</f>
        <v/>
      </c>
      <c r="Z118" s="106">
        <f>IF(C118="Gutschrift","",IF(G118="","",IF(Besatzung!$B$13="","",IFERROR(IF(I118="Zeitanteilig",(Besatzung!$G$15*(G118-IFERROR(H118,0))+((Besatzung!$B$13&lt;&gt;"")*IF(B118="",1,(IF(Besatzung!$C$15="",Besatzung!$B$5,Besatzung!$C$15)&lt;=B118)*(IF(Besatzung!$D$15="",Besatzung!$B$6,Besatzung!$D$15)&gt;=B118)))*(Besatzung!$F$15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$13&lt;&gt;"")*IF(B118="",1,(IF(Besatzung!$C$15="",Besatzung!$B$5,Besatzung!$C$15)&lt;=B118)*(IF(Besatzung!$D$15="",Besatzung!$B$6,Besatzung!$D$15)&gt;=B118)))*((G118-IFERROR(H118,0))/IFERROR(SUMPRODUCT((Besatzung!$B$11:$B$22&lt;&gt;"")*(IF(Besatzung!$C$11:$C$22="",Besatzung!$B$5,Besatzung!$C$11:$C$22)&lt;=B118)*(IF(Besatzung!$D$11:$D$22="",Besatzung!$B$6,Besatzung!$D$11:$D$22)&gt;=B118)),1)+(Besatzung!$F$15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N118="x")*((G118-IFERROR(H118,0))/IFERROR(COUNTIF(J118:U118,"x"),1)+(Besatzung!$F$15="x")*IFERROR(H118,0)/IFERROR(SUMPRODUCT((J118:U118="x")*(Besatzung!$F$11:$F$22="x")),1))),(IF(COUNTIF(J118:U118,"x")=0,IF(Besatzung!$B$13&lt;&gt;"",1,0),(N118="x"))*(G118-IFERROR(H118,0))/IFERROR(IF(COUNTIF(J118:U118,"x")=0,COUNTA(Besatzung!$B$11:$B$22),COUNTIF(J118:U118,"x")),1)+IF(COUNTIF(J118:U118,"x")=0,(Besatzung!$F$15="x"),(N118="x")*(Besatzung!$F$15="x"))*IFERROR(H118,0)/IFERROR(IF(COUNTIF(J118:U118,"x")=0,SUMPRODUCT((Besatzung!$B$11:$B$22&lt;&gt;"")*(Besatzung!$F$11:$F$22="x")),SUMPRODUCT((J118:U118="x")*(Besatzung!$F$11:$F$22="x"))),1))))),0))))</f>
        <v/>
      </c>
      <c r="AA118" s="106">
        <f>IF(C118="Gutschrift","",IF(G118="","",IF(Besatzung!$B$15="","",IFERROR(IF(I118="Zeitanteilig",(Besatzung!$G$16*(G118-IFERROR(H118,0))+((Besatzung!$B$15&lt;&gt;"")*IF(B118="",1,(IF(Besatzung!$C$16="",Besatzung!$B$5,Besatzung!$C$16)&lt;=B118)*(IF(Besatzung!$D$16="",Besatzung!$B$6,Besatzung!$D$16)&gt;=B118)))*(Besatzung!$F$16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$15&lt;&gt;"")*IF(B118="",1,(IF(Besatzung!$C$16="",Besatzung!$B$5,Besatzung!$C$16)&lt;=B118)*(IF(Besatzung!$D$16="",Besatzung!$B$6,Besatzung!$D$16)&gt;=B118)))*((G118-IFERROR(H118,0))/IFERROR(SUMPRODUCT((Besatzung!$B$11:$B$22&lt;&gt;"")*(IF(Besatzung!$C$11:$C$22="",Besatzung!$B$5,Besatzung!$C$11:$C$22)&lt;=B118)*(IF(Besatzung!$D$11:$D$22="",Besatzung!$B$6,Besatzung!$D$11:$D$22)&gt;=B118)),1)+(Besatzung!$F$16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O118="x")*((G118-IFERROR(H118,0))/IFERROR(COUNTIF(J118:U118,"x"),1)+(Besatzung!$F$16="x")*IFERROR(H118,0)/IFERROR(SUMPRODUCT((J118:U118="x")*(Besatzung!$F$11:$F$22="x")),1))),(IF(COUNTIF(J118:U118,"x")=0,IF(Besatzung!$B$15&lt;&gt;"",1,0),(O118="x"))*(G118-IFERROR(H118,0))/IFERROR(IF(COUNTIF(J118:U118,"x")=0,COUNTA(Besatzung!$B$11:$B$22),COUNTIF(J118:U118,"x")),1)+IF(COUNTIF(J118:U118,"x")=0,(Besatzung!$F$16="x"),(O118="x")*(Besatzung!$F$16="x"))*IFERROR(H118,0)/IFERROR(IF(COUNTIF(J118:U118,"x")=0,SUMPRODUCT((Besatzung!$B$11:$B$22&lt;&gt;"")*(Besatzung!$F$11:$F$22="x")),SUMPRODUCT((J118:U118="x")*(Besatzung!$F$11:$F$22="x"))),1))))),0))))</f>
        <v/>
      </c>
      <c r="AB118" s="106">
        <f>IF(C118="Gutschrift","",IF(G118="","",IF(Besatzung!$B$17="","",IFERROR(IF(I118="Zeitanteilig",(Besatzung!$G$17*(G118-IFERROR(H118,0))+((Besatzung!$B$17&lt;&gt;"")*IF(B118="",1,(IF(Besatzung!$C$17="",Besatzung!$B$5,Besatzung!$C$17)&lt;=B118)*(IF(Besatzung!$D$17="",Besatzung!$B$6,Besatzung!$D$17)&gt;=B118)))*(Besatzung!$F$17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$17&lt;&gt;"")*IF(B118="",1,(IF(Besatzung!$C$17="",Besatzung!$B$5,Besatzung!$C$17)&lt;=B118)*(IF(Besatzung!$D$17="",Besatzung!$B$6,Besatzung!$D$17)&gt;=B118)))*((G118-IFERROR(H118,0))/IFERROR(SUMPRODUCT((Besatzung!$B$11:$B$22&lt;&gt;"")*(IF(Besatzung!$C$11:$C$22="",Besatzung!$B$5,Besatzung!$C$11:$C$22)&lt;=B118)*(IF(Besatzung!$D$11:$D$22="",Besatzung!$B$6,Besatzung!$D$11:$D$22)&gt;=B118)),1)+(Besatzung!$F$17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P118="x")*((G118-IFERROR(H118,0))/IFERROR(COUNTIF(J118:U118,"x"),1)+(Besatzung!$F$17="x")*IFERROR(H118,0)/IFERROR(SUMPRODUCT((J118:U118="x")*(Besatzung!$F$11:$F$22="x")),1))),(IF(COUNTIF(J118:U118,"x")=0,IF(Besatzung!$B$17&lt;&gt;"",1,0),(P118="x"))*(G118-IFERROR(H118,0))/IFERROR(IF(COUNTIF(J118:U118,"x")=0,COUNTA(Besatzung!$B$11:$B$22),COUNTIF(J118:U118,"x")),1)+IF(COUNTIF(J118:U118,"x")=0,(Besatzung!$F$17="x"),(P118="x")*(Besatzung!$F$17="x"))*IFERROR(H118,0)/IFERROR(IF(COUNTIF(J118:U118,"x")=0,SUMPRODUCT((Besatzung!$B$11:$B$22&lt;&gt;"")*(Besatzung!$F$11:$F$22="x")),SUMPRODUCT((J118:U118="x")*(Besatzung!$F$11:$F$22="x"))),1))))),0))))</f>
        <v/>
      </c>
      <c r="AC118" s="106">
        <f>IF(C118="Gutschrift","",IF(G118="","",IF(Besatzung!$B$18="","",IFERROR(IF(I118="Zeitanteilig",(Besatzung!$G$18*(G118-IFERROR(H118,0))+((Besatzung!$B$18&lt;&gt;"")*IF(B118="",1,(IF(Besatzung!$C$18="",Besatzung!$B$5,Besatzung!$C$18)&lt;=B118)*(IF(Besatzung!$D$18="",Besatzung!$B$6,Besatzung!$D$18)&gt;=B118)))*(Besatzung!$F$18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$18&lt;&gt;"")*IF(B118="",1,(IF(Besatzung!$C$18="",Besatzung!$B$5,Besatzung!$C$18)&lt;=B118)*(IF(Besatzung!$D$18="",Besatzung!$B$6,Besatzung!$D$18)&gt;=B118)))*((G118-IFERROR(H118,0))/IFERROR(SUMPRODUCT((Besatzung!$B$11:$B$22&lt;&gt;"")*(IF(Besatzung!$C$11:$C$22="",Besatzung!$B$5,Besatzung!$C$11:$C$22)&lt;=B118)*(IF(Besatzung!$D$11:$D$22="",Besatzung!$B$6,Besatzung!$D$11:$D$22)&gt;=B118)),1)+(Besatzung!$F$18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Q118="x")*((G118-IFERROR(H118,0))/IFERROR(COUNTIF(J118:U118,"x"),1)+(Besatzung!$F$18="x")*IFERROR(H118,0)/IFERROR(SUMPRODUCT((J118:U118="x")*(Besatzung!$F$11:$F$22="x")),1))),(IF(COUNTIF(J118:U118,"x")=0,IF(Besatzung!$B$18&lt;&gt;"",1,0),(Q118="x"))*(G118-IFERROR(H118,0))/IFERROR(IF(COUNTIF(J118:U118,"x")=0,COUNTA(Besatzung!$B$11:$B$22),COUNTIF(J118:U118,"x")),1)+IF(COUNTIF(J118:U118,"x")=0,(Besatzung!$F$18="x"),(Q118="x")*(Besatzung!$F$18="x"))*IFERROR(H118,0)/IFERROR(IF(COUNTIF(J118:U118,"x")=0,SUMPRODUCT((Besatzung!$B$11:$B$22&lt;&gt;"")*(Besatzung!$F$11:$F$22="x")),SUMPRODUCT((J118:U118="x")*(Besatzung!$F$11:$F$22="x"))),1))))),0))))</f>
        <v/>
      </c>
      <c r="AD118" s="106">
        <f>IF(C118="Gutschrift","",IF(G118="","",IF(Besatzung!$B$19="","",IFERROR(IF(I118="Zeitanteilig",(Besatzung!$G$19*(G118-IFERROR(H118,0))+((Besatzung!$B$19&lt;&gt;"")*IF(B118="",1,(IF(Besatzung!$C$19="",Besatzung!$B$5,Besatzung!$C$19)&lt;=B118)*(IF(Besatzung!$D$19="",Besatzung!$B$6,Besatzung!$D$19)&gt;=B118)))*(Besatzung!$F$19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$19&lt;&gt;"")*IF(B118="",1,(IF(Besatzung!$C$19="",Besatzung!$B$5,Besatzung!$C$19)&lt;=B118)*(IF(Besatzung!$D$19="",Besatzung!$B$6,Besatzung!$D$19)&gt;=B118)))*((G118-IFERROR(H118,0))/IFERROR(SUMPRODUCT((Besatzung!$B$11:$B$22&lt;&gt;"")*(IF(Besatzung!$C$11:$C$22="",Besatzung!$B$5,Besatzung!$C$11:$C$22)&lt;=B118)*(IF(Besatzung!$D$11:$D$22="",Besatzung!$B$6,Besatzung!$D$11:$D$22)&gt;=B118)),1)+(Besatzung!$F$19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R118="x")*((G118-IFERROR(H118,0))/IFERROR(COUNTIF(J118:U118,"x"),1)+(Besatzung!$F$19="x")*IFERROR(H118,0)/IFERROR(SUMPRODUCT((J118:U118="x")*(Besatzung!$F$11:$F$22="x")),1))),(IF(COUNTIF(J118:U118,"x")=0,IF(Besatzung!$B$19&lt;&gt;"",1,0),(R118="x"))*(G118-IFERROR(H118,0))/IFERROR(IF(COUNTIF(J118:U118,"x")=0,COUNTA(Besatzung!$B$11:$B$22),COUNTIF(J118:U118,"x")),1)+IF(COUNTIF(J118:U118,"x")=0,(Besatzung!$F$19="x"),(R118="x")*(Besatzung!$F$19="x"))*IFERROR(H118,0)/IFERROR(IF(COUNTIF(J118:U118,"x")=0,SUMPRODUCT((Besatzung!$B$11:$B$22&lt;&gt;"")*(Besatzung!$F$11:$F$22="x")),SUMPRODUCT((J118:U118="x")*(Besatzung!$F$11:$F$22="x"))),1))))),0))))</f>
        <v/>
      </c>
      <c r="AE118" s="106">
        <f>IF(C118="Gutschrift","",IF(G118="","",IF(Besatzung!$B$20="","",IFERROR(IF(I118="Zeitanteilig",(Besatzung!$G$20*(G118-IFERROR(H118,0))+((Besatzung!$B$20&lt;&gt;"")*IF(B118="",1,(IF(Besatzung!$C$20="",Besatzung!$B$5,Besatzung!$C$20)&lt;=B118)*(IF(Besatzung!$D$20="",Besatzung!$B$6,Besatzung!$D$20)&gt;=B118)))*(Besatzung!$F$20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$20&lt;&gt;"")*IF(B118="",1,(IF(Besatzung!$C$20="",Besatzung!$B$5,Besatzung!$C$20)&lt;=B118)*(IF(Besatzung!$D$20="",Besatzung!$B$6,Besatzung!$D$20)&gt;=B118)))*((G118-IFERROR(H118,0))/IFERROR(SUMPRODUCT((Besatzung!$B$11:$B$22&lt;&gt;"")*(IF(Besatzung!$C$11:$C$22="",Besatzung!$B$5,Besatzung!$C$11:$C$22)&lt;=B118)*(IF(Besatzung!$D$11:$D$22="",Besatzung!$B$6,Besatzung!$D$11:$D$22)&gt;=B118)),1)+(Besatzung!$F$20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S118="x")*((G118-IFERROR(H118,0))/IFERROR(COUNTIF(J118:U118,"x"),1)+(Besatzung!$F$20="x")*IFERROR(H118,0)/IFERROR(SUMPRODUCT((J118:U118="x")*(Besatzung!$F$11:$F$22="x")),1))),(IF(COUNTIF(J118:U118,"x")=0,IF(Besatzung!$B$20&lt;&gt;"",1,0),(S118="x"))*(G118-IFERROR(H118,0))/IFERROR(IF(COUNTIF(J118:U118,"x")=0,COUNTA(Besatzung!$B$11:$B$22),COUNTIF(J118:U118,"x")),1)+IF(COUNTIF(J118:U118,"x")=0,(Besatzung!$F$20="x"),(S118="x")*(Besatzung!$F$20="x"))*IFERROR(H118,0)/IFERROR(IF(COUNTIF(J118:U118,"x")=0,SUMPRODUCT((Besatzung!$B$11:$B$22&lt;&gt;"")*(Besatzung!$F$11:$F$22="x")),SUMPRODUCT((J118:U118="x")*(Besatzung!$F$11:$F$22="x"))),1))))),0))))</f>
        <v/>
      </c>
      <c r="AF118" s="106">
        <f>IF(C118="Gutschrift","",IF(G118="","",IF(Besatzung!$B$21="","",IFERROR(IF(I118="Zeitanteilig",(Besatzung!$G$21*(G118-IFERROR(H118,0))+((Besatzung!$B$21&lt;&gt;"")*IF(B118="",1,(IF(Besatzung!$C$21="",Besatzung!$B$5,Besatzung!$C$21)&lt;=B118)*(IF(Besatzung!$D$21="",Besatzung!$B$6,Besatzung!$D$21)&gt;=B118)))*(Besatzung!$F$21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$21&lt;&gt;"")*IF(B118="",1,(IF(Besatzung!$C$21="",Besatzung!$B$5,Besatzung!$C$21)&lt;=B118)*(IF(Besatzung!$D$21="",Besatzung!$B$6,Besatzung!$D$21)&gt;=B118)))*((G118-IFERROR(H118,0))/IFERROR(SUMPRODUCT((Besatzung!$B$11:$B$22&lt;&gt;"")*(IF(Besatzung!$C$11:$C$22="",Besatzung!$B$5,Besatzung!$C$11:$C$22)&lt;=B118)*(IF(Besatzung!$D$11:$D$22="",Besatzung!$B$6,Besatzung!$D$11:$D$22)&gt;=B118)),1)+(Besatzung!$F$21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T118="x")*((G118-IFERROR(H118,0))/IFERROR(COUNTIF(J118:U118,"x"),1)+(Besatzung!$F$21="x")*IFERROR(H118,0)/IFERROR(SUMPRODUCT((J118:U118="x")*(Besatzung!$F$11:$F$22="x")),1))),(IF(COUNTIF(J118:U118,"x")=0,IF(Besatzung!$B$21&lt;&gt;"",1,0),(T118="x"))*(G118-IFERROR(H118,0))/IFERROR(IF(COUNTIF(J118:U118,"x")=0,COUNTA(Besatzung!$B$11:$B$22),COUNTIF(J118:U118,"x")),1)+IF(COUNTIF(J118:U118,"x")=0,(Besatzung!$F$21="x"),(T118="x")*(Besatzung!$F$21="x"))*IFERROR(H118,0)/IFERROR(IF(COUNTIF(J118:U118,"x")=0,SUMPRODUCT((Besatzung!$B$11:$B$22&lt;&gt;"")*(Besatzung!$F$11:$F$22="x")),SUMPRODUCT((J118:U118="x")*(Besatzung!$F$11:$F$22="x"))),1))))),0))))</f>
        <v/>
      </c>
      <c r="AG118" s="106">
        <f>IF(C118="Gutschrift","",IF(G118="","",IF(Besatzung!$B$22="","",IFERROR(IF(I118="Zeitanteilig",(Besatzung!$G$22*(G118-IFERROR(H118,0))+((Besatzung!$B$22&lt;&gt;"")*IF(B118="",1,(IF(Besatzung!$C$22="",Besatzung!$B$5,Besatzung!$C$22)&lt;=B118)*(IF(Besatzung!$D$22="",Besatzung!$B$6,Besatzung!$D$22)&gt;=B118)))*(Besatzung!$F$22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$22&lt;&gt;"")*IF(B118="",1,(IF(Besatzung!$C$22="",Besatzung!$B$5,Besatzung!$C$22)&lt;=B118)*(IF(Besatzung!$D$22="",Besatzung!$B$6,Besatzung!$D$22)&gt;=B118)))*((G118-IFERROR(H118,0))/IFERROR(SUMPRODUCT((Besatzung!$B$11:$B$22&lt;&gt;"")*(IF(Besatzung!$C$11:$C$22="",Besatzung!$B$5,Besatzung!$C$11:$C$22)&lt;=B118)*(IF(Besatzung!$D$11:$D$22="",Besatzung!$B$6,Besatzung!$D$11:$D$22)&gt;=B118)),1)+(Besatzung!$F$22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U118="x")*((G118-IFERROR(H118,0))/IFERROR(COUNTIF(J118:U118,"x"),1)+(Besatzung!$F$22="x")*IFERROR(H118,0)/IFERROR(SUMPRODUCT((J118:U118="x")*(Besatzung!$F$11:$F$22="x")),1))),(IF(COUNTIF(J118:U118,"x")=0,IF(Besatzung!$B$22&lt;&gt;"",1,0),(U118="x"))*(G118-IFERROR(H118,0))/IFERROR(IF(COUNTIF(J118:U118,"x")=0,COUNTA(Besatzung!$B$11:$B$22),COUNTIF(J118:U118,"x")),1)+IF(COUNTIF(J118:U118,"x")=0,(Besatzung!$F$22="x"),(U118="x")*(Besatzung!$F$22="x"))*IFERROR(H118,0)/IFERROR(IF(COUNTIF(J118:U118,"x")=0,SUMPRODUCT((Besatzung!$B$11:$B$22&lt;&gt;"")*(Besatzung!$F$11:$F$22="x")),SUMPRODUCT((J118:U118="x")*(Besatzung!$F$11:$F$22="x"))),1))))),0))))</f>
        <v/>
      </c>
      <c r="AH118" s="107" t="n"/>
      <c r="AI118" s="107" t="n"/>
    </row>
    <row r="119" ht="21.75" customHeight="1" s="182">
      <c r="A119" s="97">
        <f>IF(AND(D119="",C119=""),"",116)</f>
        <v/>
      </c>
      <c r="B119" s="63" t="n"/>
      <c r="C119" s="108" t="n"/>
      <c r="D119" s="109" t="n"/>
      <c r="E119" s="110" t="n"/>
      <c r="F119" s="111" t="n"/>
      <c r="G119" s="112" t="n"/>
      <c r="H119" s="113" t="n"/>
      <c r="I119" s="114" t="n"/>
      <c r="J119" s="115" t="n"/>
      <c r="K119" s="115" t="n"/>
      <c r="L119" s="115" t="n"/>
      <c r="M119" s="115" t="n"/>
      <c r="N119" s="115" t="n"/>
      <c r="O119" s="115" t="n"/>
      <c r="P119" s="115" t="n"/>
      <c r="Q119" s="115" t="n"/>
      <c r="R119" s="115" t="n"/>
      <c r="S119" s="115" t="n"/>
      <c r="T119" s="115" t="n"/>
      <c r="U119" s="115" t="n"/>
      <c r="V119" s="106">
        <f>IF(C119="Gutschrift","",IF(G119="","",IF(Besatzung!$B$11="","",IFERROR(IF(I119="Zeitanteilig",(Besatzung!$G$11*(G119-IFERROR(H119,0))+((Besatzung!$B$11&lt;&gt;"")*IF(B119="",1,(IF(Besatzung!$C$11="",Besatzung!$B$5,Besatzung!$C$11)&lt;=B119)*(IF(Besatzung!$D$11="",Besatzung!$B$6,Besatzung!$D$11)&gt;=B119)))*(Besatzung!$F$11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$11&lt;&gt;"")*IF(B119="",1,(IF(Besatzung!$C$11="",Besatzung!$B$5,Besatzung!$C$11)&lt;=B119)*(IF(Besatzung!$D$11="",Besatzung!$B$6,Besatzung!$D$11)&gt;=B119)))*((G119-IFERROR(H119,0))/IFERROR(SUMPRODUCT((Besatzung!$B$11:$B$22&lt;&gt;"")*(IF(Besatzung!$C$11:$C$22="",Besatzung!$B$5,Besatzung!$C$11:$C$22)&lt;=B119)*(IF(Besatzung!$D$11:$D$22="",Besatzung!$B$6,Besatzung!$D$11:$D$22)&gt;=B119)),1)+(Besatzung!$F$11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J119="x")*((G119-IFERROR(H119,0))/IFERROR(COUNTIF(J119:U119,"x"),1)+(Besatzung!$F$11="x")*IFERROR(H119,0)/IFERROR(SUMPRODUCT((J119:U119="x")*(Besatzung!$F$11:$F$22="x")),1))),(IF(COUNTIF(J119:U119,"x")=0,IF(Besatzung!$B$11&lt;&gt;"",1,0),(J119="x"))*(G119-IFERROR(H119,0))/IFERROR(IF(COUNTIF(J119:U119,"x")=0,COUNTA(Besatzung!$B$11:$B$22),COUNTIF(J119:U119,"x")),1)+IF(COUNTIF(J119:U119,"x")=0,(Besatzung!$F$11="x"),(J119="x")*(Besatzung!$F$11="x"))*IFERROR(H119,0)/IFERROR(IF(COUNTIF(J119:U119,"x")=0,SUMPRODUCT((Besatzung!$B$11:$B$22&lt;&gt;"")*(Besatzung!$F$11:$F$22="x")),SUMPRODUCT((J119:U119="x")*(Besatzung!$F$11:$F$22="x"))),1))))),0))))</f>
        <v/>
      </c>
      <c r="W119" s="106">
        <f>IF(C119="Gutschrift","",IF(G119="","",IF(Besatzung!$B$12="","",IFERROR(IF(I119="Zeitanteilig",(Besatzung!$G$12*(G119-IFERROR(H119,0))+((Besatzung!$B$12&lt;&gt;"")*IF(B119="",1,(IF(Besatzung!$C$12="",Besatzung!$B$5,Besatzung!$C$12)&lt;=B119)*(IF(Besatzung!$D$12="",Besatzung!$B$6,Besatzung!$D$12)&gt;=B119)))*(Besatzung!$F$12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$12&lt;&gt;"")*IF(B119="",1,(IF(Besatzung!$C$12="",Besatzung!$B$5,Besatzung!$C$12)&lt;=B119)*(IF(Besatzung!$D$12="",Besatzung!$B$6,Besatzung!$D$12)&gt;=B119)))*((G119-IFERROR(H119,0))/IFERROR(SUMPRODUCT((Besatzung!$B$11:$B$22&lt;&gt;"")*(IF(Besatzung!$C$11:$C$22="",Besatzung!$B$5,Besatzung!$C$11:$C$22)&lt;=B119)*(IF(Besatzung!$D$11:$D$22="",Besatzung!$B$6,Besatzung!$D$11:$D$22)&gt;=B119)),1)+(Besatzung!$F$12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K119="x")*((G119-IFERROR(H119,0))/IFERROR(COUNTIF(J119:U119,"x"),1)+(Besatzung!$F$12="x")*IFERROR(H119,0)/IFERROR(SUMPRODUCT((J119:U119="x")*(Besatzung!$F$11:$F$22="x")),1))),(IF(COUNTIF(J119:U119,"x")=0,IF(Besatzung!$B$12&lt;&gt;"",1,0),(K119="x"))*(G119-IFERROR(H119,0))/IFERROR(IF(COUNTIF(J119:U119,"x")=0,COUNTA(Besatzung!$B$11:$B$22),COUNTIF(J119:U119,"x")),1)+IF(COUNTIF(J119:U119,"x")=0,(Besatzung!$F$12="x"),(K119="x")*(Besatzung!$F$12="x"))*IFERROR(H119,0)/IFERROR(IF(COUNTIF(J119:U119,"x")=0,SUMPRODUCT((Besatzung!$B$11:$B$22&lt;&gt;"")*(Besatzung!$F$11:$F$22="x")),SUMPRODUCT((J119:U119="x")*(Besatzung!$F$11:$F$22="x"))),1))))),0))))</f>
        <v/>
      </c>
      <c r="X119" s="106">
        <f>IF(C119="Gutschrift","",IF(G119="","",IF(Besatzung!$B$13="","",IFERROR(IF(I119="Zeitanteilig",(Besatzung!$G$13*(G119-IFERROR(H119,0))+((Besatzung!$B$13&lt;&gt;"")*IF(B119="",1,(IF(Besatzung!$C$13="",Besatzung!$B$5,Besatzung!$C$13)&lt;=B119)*(IF(Besatzung!$D$13="",Besatzung!$B$6,Besatzung!$D$13)&gt;=B119)))*(Besatzung!$F$13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$13&lt;&gt;"")*IF(B119="",1,(IF(Besatzung!$C$13="",Besatzung!$B$5,Besatzung!$C$13)&lt;=B119)*(IF(Besatzung!$D$13="",Besatzung!$B$6,Besatzung!$D$13)&gt;=B119)))*((G119-IFERROR(H119,0))/IFERROR(SUMPRODUCT((Besatzung!$B$11:$B$22&lt;&gt;"")*(IF(Besatzung!$C$11:$C$22="",Besatzung!$B$5,Besatzung!$C$11:$C$22)&lt;=B119)*(IF(Besatzung!$D$11:$D$22="",Besatzung!$B$6,Besatzung!$D$11:$D$22)&gt;=B119)),1)+(Besatzung!$F$13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K119="x")*((G119-IFERROR(H119,0))/IFERROR(COUNTIF(J119:U119,"x"),1)+(Besatzung!$F$13="x")*IFERROR(H119,0)/IFERROR(SUMPRODUCT((J119:U119="x")*(Besatzung!$F$11:$F$22="x")),1))),(IF(COUNTIF(J119:U119,"x")=0,IF(Besatzung!$B$13&lt;&gt;"",1,0),(K119="x"))*(G119-IFERROR(H119,0))/IFERROR(IF(COUNTIF(J119:U119,"x")=0,COUNTA(Besatzung!$B$11:$B$22),COUNTIF(J119:U119,"x")),1)+IF(COUNTIF(J119:U119,"x")=0,(Besatzung!$F$13="x"),(K119="x")*(Besatzung!$F$13="x"))*IFERROR(H119,0)/IFERROR(IF(COUNTIF(J119:U119,"x")=0,SUMPRODUCT((Besatzung!$B$11:$B$22&lt;&gt;"")*(Besatzung!$F$11:$F$22="x")),SUMPRODUCT((J119:U119="x")*(Besatzung!$F$11:$F$22="x"))),1))))),0))))</f>
        <v/>
      </c>
      <c r="Y119" s="106">
        <f>IF(C119="Gutschrift","",IF(G119="","",IF(Besatzung!$B$14="","",IFERROR(IF(I119="Zeitanteilig",(Besatzung!$G$14*(G119-IFERROR(H119,0))+((Besatzung!$B$14&lt;&gt;"")*IF(B119="",1,(IF(Besatzung!$C$14="",Besatzung!$B$5,Besatzung!$C$14)&lt;=B119)*(IF(Besatzung!$D$14="",Besatzung!$B$6,Besatzung!$D$14)&gt;=B119)))*(Besatzung!$F$14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$14&lt;&gt;"")*IF(B119="",1,(IF(Besatzung!$C$14="",Besatzung!$B$5,Besatzung!$C$14)&lt;=B119)*(IF(Besatzung!$D$14="",Besatzung!$B$6,Besatzung!$D$14)&gt;=B119)))*((G119-IFERROR(H119,0))/IFERROR(SUMPRODUCT((Besatzung!$B$11:$B$22&lt;&gt;"")*(IF(Besatzung!$C$11:$C$22="",Besatzung!$B$5,Besatzung!$C$11:$C$22)&lt;=B119)*(IF(Besatzung!$D$11:$D$22="",Besatzung!$B$6,Besatzung!$D$11:$D$22)&gt;=B119)),1)+(Besatzung!$F$14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M119="x")*((G119-IFERROR(H119,0))/IFERROR(COUNTIF(J119:U119,"x"),1)+(Besatzung!$F$14="x")*IFERROR(H119,0)/IFERROR(SUMPRODUCT((J119:U119="x")*(Besatzung!$F$11:$F$22="x")),1))),(IF(COUNTIF(J119:U119,"x")=0,IF(Besatzung!$B$14&lt;&gt;"",1,0),(M119="x"))*(G119-IFERROR(H119,0))/IFERROR(IF(COUNTIF(J119:U119,"x")=0,COUNTA(Besatzung!$B$11:$B$22),COUNTIF(J119:U119,"x")),1)+IF(COUNTIF(J119:U119,"x")=0,(Besatzung!$F$14="x"),(M119="x")*(Besatzung!$F$14="x"))*IFERROR(H119,0)/IFERROR(IF(COUNTIF(J119:U119,"x")=0,SUMPRODUCT((Besatzung!$B$11:$B$22&lt;&gt;"")*(Besatzung!$F$11:$F$22="x")),SUMPRODUCT((J119:U119="x")*(Besatzung!$F$11:$F$22="x"))),1))))),0))))</f>
        <v/>
      </c>
      <c r="Z119" s="106">
        <f>IF(C119="Gutschrift","",IF(G119="","",IF(Besatzung!$B$13="","",IFERROR(IF(I119="Zeitanteilig",(Besatzung!$G$15*(G119-IFERROR(H119,0))+((Besatzung!$B$13&lt;&gt;"")*IF(B119="",1,(IF(Besatzung!$C$15="",Besatzung!$B$5,Besatzung!$C$15)&lt;=B119)*(IF(Besatzung!$D$15="",Besatzung!$B$6,Besatzung!$D$15)&gt;=B119)))*(Besatzung!$F$15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$13&lt;&gt;"")*IF(B119="",1,(IF(Besatzung!$C$15="",Besatzung!$B$5,Besatzung!$C$15)&lt;=B119)*(IF(Besatzung!$D$15="",Besatzung!$B$6,Besatzung!$D$15)&gt;=B119)))*((G119-IFERROR(H119,0))/IFERROR(SUMPRODUCT((Besatzung!$B$11:$B$22&lt;&gt;"")*(IF(Besatzung!$C$11:$C$22="",Besatzung!$B$5,Besatzung!$C$11:$C$22)&lt;=B119)*(IF(Besatzung!$D$11:$D$22="",Besatzung!$B$6,Besatzung!$D$11:$D$22)&gt;=B119)),1)+(Besatzung!$F$15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N119="x")*((G119-IFERROR(H119,0))/IFERROR(COUNTIF(J119:U119,"x"),1)+(Besatzung!$F$15="x")*IFERROR(H119,0)/IFERROR(SUMPRODUCT((J119:U119="x")*(Besatzung!$F$11:$F$22="x")),1))),(IF(COUNTIF(J119:U119,"x")=0,IF(Besatzung!$B$13&lt;&gt;"",1,0),(N119="x"))*(G119-IFERROR(H119,0))/IFERROR(IF(COUNTIF(J119:U119,"x")=0,COUNTA(Besatzung!$B$11:$B$22),COUNTIF(J119:U119,"x")),1)+IF(COUNTIF(J119:U119,"x")=0,(Besatzung!$F$15="x"),(N119="x")*(Besatzung!$F$15="x"))*IFERROR(H119,0)/IFERROR(IF(COUNTIF(J119:U119,"x")=0,SUMPRODUCT((Besatzung!$B$11:$B$22&lt;&gt;"")*(Besatzung!$F$11:$F$22="x")),SUMPRODUCT((J119:U119="x")*(Besatzung!$F$11:$F$22="x"))),1))))),0))))</f>
        <v/>
      </c>
      <c r="AA119" s="106">
        <f>IF(C119="Gutschrift","",IF(G119="","",IF(Besatzung!$B$15="","",IFERROR(IF(I119="Zeitanteilig",(Besatzung!$G$16*(G119-IFERROR(H119,0))+((Besatzung!$B$15&lt;&gt;"")*IF(B119="",1,(IF(Besatzung!$C$16="",Besatzung!$B$5,Besatzung!$C$16)&lt;=B119)*(IF(Besatzung!$D$16="",Besatzung!$B$6,Besatzung!$D$16)&gt;=B119)))*(Besatzung!$F$16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$15&lt;&gt;"")*IF(B119="",1,(IF(Besatzung!$C$16="",Besatzung!$B$5,Besatzung!$C$16)&lt;=B119)*(IF(Besatzung!$D$16="",Besatzung!$B$6,Besatzung!$D$16)&gt;=B119)))*((G119-IFERROR(H119,0))/IFERROR(SUMPRODUCT((Besatzung!$B$11:$B$22&lt;&gt;"")*(IF(Besatzung!$C$11:$C$22="",Besatzung!$B$5,Besatzung!$C$11:$C$22)&lt;=B119)*(IF(Besatzung!$D$11:$D$22="",Besatzung!$B$6,Besatzung!$D$11:$D$22)&gt;=B119)),1)+(Besatzung!$F$16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O119="x")*((G119-IFERROR(H119,0))/IFERROR(COUNTIF(J119:U119,"x"),1)+(Besatzung!$F$16="x")*IFERROR(H119,0)/IFERROR(SUMPRODUCT((J119:U119="x")*(Besatzung!$F$11:$F$22="x")),1))),(IF(COUNTIF(J119:U119,"x")=0,IF(Besatzung!$B$15&lt;&gt;"",1,0),(O119="x"))*(G119-IFERROR(H119,0))/IFERROR(IF(COUNTIF(J119:U119,"x")=0,COUNTA(Besatzung!$B$11:$B$22),COUNTIF(J119:U119,"x")),1)+IF(COUNTIF(J119:U119,"x")=0,(Besatzung!$F$16="x"),(O119="x")*(Besatzung!$F$16="x"))*IFERROR(H119,0)/IFERROR(IF(COUNTIF(J119:U119,"x")=0,SUMPRODUCT((Besatzung!$B$11:$B$22&lt;&gt;"")*(Besatzung!$F$11:$F$22="x")),SUMPRODUCT((J119:U119="x")*(Besatzung!$F$11:$F$22="x"))),1))))),0))))</f>
        <v/>
      </c>
      <c r="AB119" s="106">
        <f>IF(C119="Gutschrift","",IF(G119="","",IF(Besatzung!$B$17="","",IFERROR(IF(I119="Zeitanteilig",(Besatzung!$G$17*(G119-IFERROR(H119,0))+((Besatzung!$B$17&lt;&gt;"")*IF(B119="",1,(IF(Besatzung!$C$17="",Besatzung!$B$5,Besatzung!$C$17)&lt;=B119)*(IF(Besatzung!$D$17="",Besatzung!$B$6,Besatzung!$D$17)&gt;=B119)))*(Besatzung!$F$17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$17&lt;&gt;"")*IF(B119="",1,(IF(Besatzung!$C$17="",Besatzung!$B$5,Besatzung!$C$17)&lt;=B119)*(IF(Besatzung!$D$17="",Besatzung!$B$6,Besatzung!$D$17)&gt;=B119)))*((G119-IFERROR(H119,0))/IFERROR(SUMPRODUCT((Besatzung!$B$11:$B$22&lt;&gt;"")*(IF(Besatzung!$C$11:$C$22="",Besatzung!$B$5,Besatzung!$C$11:$C$22)&lt;=B119)*(IF(Besatzung!$D$11:$D$22="",Besatzung!$B$6,Besatzung!$D$11:$D$22)&gt;=B119)),1)+(Besatzung!$F$17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P119="x")*((G119-IFERROR(H119,0))/IFERROR(COUNTIF(J119:U119,"x"),1)+(Besatzung!$F$17="x")*IFERROR(H119,0)/IFERROR(SUMPRODUCT((J119:U119="x")*(Besatzung!$F$11:$F$22="x")),1))),(IF(COUNTIF(J119:U119,"x")=0,IF(Besatzung!$B$17&lt;&gt;"",1,0),(P119="x"))*(G119-IFERROR(H119,0))/IFERROR(IF(COUNTIF(J119:U119,"x")=0,COUNTA(Besatzung!$B$11:$B$22),COUNTIF(J119:U119,"x")),1)+IF(COUNTIF(J119:U119,"x")=0,(Besatzung!$F$17="x"),(P119="x")*(Besatzung!$F$17="x"))*IFERROR(H119,0)/IFERROR(IF(COUNTIF(J119:U119,"x")=0,SUMPRODUCT((Besatzung!$B$11:$B$22&lt;&gt;"")*(Besatzung!$F$11:$F$22="x")),SUMPRODUCT((J119:U119="x")*(Besatzung!$F$11:$F$22="x"))),1))))),0))))</f>
        <v/>
      </c>
      <c r="AC119" s="106">
        <f>IF(C119="Gutschrift","",IF(G119="","",IF(Besatzung!$B$18="","",IFERROR(IF(I119="Zeitanteilig",(Besatzung!$G$18*(G119-IFERROR(H119,0))+((Besatzung!$B$18&lt;&gt;"")*IF(B119="",1,(IF(Besatzung!$C$18="",Besatzung!$B$5,Besatzung!$C$18)&lt;=B119)*(IF(Besatzung!$D$18="",Besatzung!$B$6,Besatzung!$D$18)&gt;=B119)))*(Besatzung!$F$18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$18&lt;&gt;"")*IF(B119="",1,(IF(Besatzung!$C$18="",Besatzung!$B$5,Besatzung!$C$18)&lt;=B119)*(IF(Besatzung!$D$18="",Besatzung!$B$6,Besatzung!$D$18)&gt;=B119)))*((G119-IFERROR(H119,0))/IFERROR(SUMPRODUCT((Besatzung!$B$11:$B$22&lt;&gt;"")*(IF(Besatzung!$C$11:$C$22="",Besatzung!$B$5,Besatzung!$C$11:$C$22)&lt;=B119)*(IF(Besatzung!$D$11:$D$22="",Besatzung!$B$6,Besatzung!$D$11:$D$22)&gt;=B119)),1)+(Besatzung!$F$18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Q119="x")*((G119-IFERROR(H119,0))/IFERROR(COUNTIF(J119:U119,"x"),1)+(Besatzung!$F$18="x")*IFERROR(H119,0)/IFERROR(SUMPRODUCT((J119:U119="x")*(Besatzung!$F$11:$F$22="x")),1))),(IF(COUNTIF(J119:U119,"x")=0,IF(Besatzung!$B$18&lt;&gt;"",1,0),(Q119="x"))*(G119-IFERROR(H119,0))/IFERROR(IF(COUNTIF(J119:U119,"x")=0,COUNTA(Besatzung!$B$11:$B$22),COUNTIF(J119:U119,"x")),1)+IF(COUNTIF(J119:U119,"x")=0,(Besatzung!$F$18="x"),(Q119="x")*(Besatzung!$F$18="x"))*IFERROR(H119,0)/IFERROR(IF(COUNTIF(J119:U119,"x")=0,SUMPRODUCT((Besatzung!$B$11:$B$22&lt;&gt;"")*(Besatzung!$F$11:$F$22="x")),SUMPRODUCT((J119:U119="x")*(Besatzung!$F$11:$F$22="x"))),1))))),0))))</f>
        <v/>
      </c>
      <c r="AD119" s="106">
        <f>IF(C119="Gutschrift","",IF(G119="","",IF(Besatzung!$B$19="","",IFERROR(IF(I119="Zeitanteilig",(Besatzung!$G$19*(G119-IFERROR(H119,0))+((Besatzung!$B$19&lt;&gt;"")*IF(B119="",1,(IF(Besatzung!$C$19="",Besatzung!$B$5,Besatzung!$C$19)&lt;=B119)*(IF(Besatzung!$D$19="",Besatzung!$B$6,Besatzung!$D$19)&gt;=B119)))*(Besatzung!$F$19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$19&lt;&gt;"")*IF(B119="",1,(IF(Besatzung!$C$19="",Besatzung!$B$5,Besatzung!$C$19)&lt;=B119)*(IF(Besatzung!$D$19="",Besatzung!$B$6,Besatzung!$D$19)&gt;=B119)))*((G119-IFERROR(H119,0))/IFERROR(SUMPRODUCT((Besatzung!$B$11:$B$22&lt;&gt;"")*(IF(Besatzung!$C$11:$C$22="",Besatzung!$B$5,Besatzung!$C$11:$C$22)&lt;=B119)*(IF(Besatzung!$D$11:$D$22="",Besatzung!$B$6,Besatzung!$D$11:$D$22)&gt;=B119)),1)+(Besatzung!$F$19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R119="x")*((G119-IFERROR(H119,0))/IFERROR(COUNTIF(J119:U119,"x"),1)+(Besatzung!$F$19="x")*IFERROR(H119,0)/IFERROR(SUMPRODUCT((J119:U119="x")*(Besatzung!$F$11:$F$22="x")),1))),(IF(COUNTIF(J119:U119,"x")=0,IF(Besatzung!$B$19&lt;&gt;"",1,0),(R119="x"))*(G119-IFERROR(H119,0))/IFERROR(IF(COUNTIF(J119:U119,"x")=0,COUNTA(Besatzung!$B$11:$B$22),COUNTIF(J119:U119,"x")),1)+IF(COUNTIF(J119:U119,"x")=0,(Besatzung!$F$19="x"),(R119="x")*(Besatzung!$F$19="x"))*IFERROR(H119,0)/IFERROR(IF(COUNTIF(J119:U119,"x")=0,SUMPRODUCT((Besatzung!$B$11:$B$22&lt;&gt;"")*(Besatzung!$F$11:$F$22="x")),SUMPRODUCT((J119:U119="x")*(Besatzung!$F$11:$F$22="x"))),1))))),0))))</f>
        <v/>
      </c>
      <c r="AE119" s="106">
        <f>IF(C119="Gutschrift","",IF(G119="","",IF(Besatzung!$B$20="","",IFERROR(IF(I119="Zeitanteilig",(Besatzung!$G$20*(G119-IFERROR(H119,0))+((Besatzung!$B$20&lt;&gt;"")*IF(B119="",1,(IF(Besatzung!$C$20="",Besatzung!$B$5,Besatzung!$C$20)&lt;=B119)*(IF(Besatzung!$D$20="",Besatzung!$B$6,Besatzung!$D$20)&gt;=B119)))*(Besatzung!$F$20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$20&lt;&gt;"")*IF(B119="",1,(IF(Besatzung!$C$20="",Besatzung!$B$5,Besatzung!$C$20)&lt;=B119)*(IF(Besatzung!$D$20="",Besatzung!$B$6,Besatzung!$D$20)&gt;=B119)))*((G119-IFERROR(H119,0))/IFERROR(SUMPRODUCT((Besatzung!$B$11:$B$22&lt;&gt;"")*(IF(Besatzung!$C$11:$C$22="",Besatzung!$B$5,Besatzung!$C$11:$C$22)&lt;=B119)*(IF(Besatzung!$D$11:$D$22="",Besatzung!$B$6,Besatzung!$D$11:$D$22)&gt;=B119)),1)+(Besatzung!$F$20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S119="x")*((G119-IFERROR(H119,0))/IFERROR(COUNTIF(J119:U119,"x"),1)+(Besatzung!$F$20="x")*IFERROR(H119,0)/IFERROR(SUMPRODUCT((J119:U119="x")*(Besatzung!$F$11:$F$22="x")),1))),(IF(COUNTIF(J119:U119,"x")=0,IF(Besatzung!$B$20&lt;&gt;"",1,0),(S119="x"))*(G119-IFERROR(H119,0))/IFERROR(IF(COUNTIF(J119:U119,"x")=0,COUNTA(Besatzung!$B$11:$B$22),COUNTIF(J119:U119,"x")),1)+IF(COUNTIF(J119:U119,"x")=0,(Besatzung!$F$20="x"),(S119="x")*(Besatzung!$F$20="x"))*IFERROR(H119,0)/IFERROR(IF(COUNTIF(J119:U119,"x")=0,SUMPRODUCT((Besatzung!$B$11:$B$22&lt;&gt;"")*(Besatzung!$F$11:$F$22="x")),SUMPRODUCT((J119:U119="x")*(Besatzung!$F$11:$F$22="x"))),1))))),0))))</f>
        <v/>
      </c>
      <c r="AF119" s="106">
        <f>IF(C119="Gutschrift","",IF(G119="","",IF(Besatzung!$B$21="","",IFERROR(IF(I119="Zeitanteilig",(Besatzung!$G$21*(G119-IFERROR(H119,0))+((Besatzung!$B$21&lt;&gt;"")*IF(B119="",1,(IF(Besatzung!$C$21="",Besatzung!$B$5,Besatzung!$C$21)&lt;=B119)*(IF(Besatzung!$D$21="",Besatzung!$B$6,Besatzung!$D$21)&gt;=B119)))*(Besatzung!$F$21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$21&lt;&gt;"")*IF(B119="",1,(IF(Besatzung!$C$21="",Besatzung!$B$5,Besatzung!$C$21)&lt;=B119)*(IF(Besatzung!$D$21="",Besatzung!$B$6,Besatzung!$D$21)&gt;=B119)))*((G119-IFERROR(H119,0))/IFERROR(SUMPRODUCT((Besatzung!$B$11:$B$22&lt;&gt;"")*(IF(Besatzung!$C$11:$C$22="",Besatzung!$B$5,Besatzung!$C$11:$C$22)&lt;=B119)*(IF(Besatzung!$D$11:$D$22="",Besatzung!$B$6,Besatzung!$D$11:$D$22)&gt;=B119)),1)+(Besatzung!$F$21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T119="x")*((G119-IFERROR(H119,0))/IFERROR(COUNTIF(J119:U119,"x"),1)+(Besatzung!$F$21="x")*IFERROR(H119,0)/IFERROR(SUMPRODUCT((J119:U119="x")*(Besatzung!$F$11:$F$22="x")),1))),(IF(COUNTIF(J119:U119,"x")=0,IF(Besatzung!$B$21&lt;&gt;"",1,0),(T119="x"))*(G119-IFERROR(H119,0))/IFERROR(IF(COUNTIF(J119:U119,"x")=0,COUNTA(Besatzung!$B$11:$B$22),COUNTIF(J119:U119,"x")),1)+IF(COUNTIF(J119:U119,"x")=0,(Besatzung!$F$21="x"),(T119="x")*(Besatzung!$F$21="x"))*IFERROR(H119,0)/IFERROR(IF(COUNTIF(J119:U119,"x")=0,SUMPRODUCT((Besatzung!$B$11:$B$22&lt;&gt;"")*(Besatzung!$F$11:$F$22="x")),SUMPRODUCT((J119:U119="x")*(Besatzung!$F$11:$F$22="x"))),1))))),0))))</f>
        <v/>
      </c>
      <c r="AG119" s="106">
        <f>IF(C119="Gutschrift","",IF(G119="","",IF(Besatzung!$B$22="","",IFERROR(IF(I119="Zeitanteilig",(Besatzung!$G$22*(G119-IFERROR(H119,0))+((Besatzung!$B$22&lt;&gt;"")*IF(B119="",1,(IF(Besatzung!$C$22="",Besatzung!$B$5,Besatzung!$C$22)&lt;=B119)*(IF(Besatzung!$D$22="",Besatzung!$B$6,Besatzung!$D$22)&gt;=B119)))*(Besatzung!$F$22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$22&lt;&gt;"")*IF(B119="",1,(IF(Besatzung!$C$22="",Besatzung!$B$5,Besatzung!$C$22)&lt;=B119)*(IF(Besatzung!$D$22="",Besatzung!$B$6,Besatzung!$D$22)&gt;=B119)))*((G119-IFERROR(H119,0))/IFERROR(SUMPRODUCT((Besatzung!$B$11:$B$22&lt;&gt;"")*(IF(Besatzung!$C$11:$C$22="",Besatzung!$B$5,Besatzung!$C$11:$C$22)&lt;=B119)*(IF(Besatzung!$D$11:$D$22="",Besatzung!$B$6,Besatzung!$D$11:$D$22)&gt;=B119)),1)+(Besatzung!$F$22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U119="x")*((G119-IFERROR(H119,0))/IFERROR(COUNTIF(J119:U119,"x"),1)+(Besatzung!$F$22="x")*IFERROR(H119,0)/IFERROR(SUMPRODUCT((J119:U119="x")*(Besatzung!$F$11:$F$22="x")),1))),(IF(COUNTIF(J119:U119,"x")=0,IF(Besatzung!$B$22&lt;&gt;"",1,0),(U119="x"))*(G119-IFERROR(H119,0))/IFERROR(IF(COUNTIF(J119:U119,"x")=0,COUNTA(Besatzung!$B$11:$B$22),COUNTIF(J119:U119,"x")),1)+IF(COUNTIF(J119:U119,"x")=0,(Besatzung!$F$22="x"),(U119="x")*(Besatzung!$F$22="x"))*IFERROR(H119,0)/IFERROR(IF(COUNTIF(J119:U119,"x")=0,SUMPRODUCT((Besatzung!$B$11:$B$22&lt;&gt;"")*(Besatzung!$F$11:$F$22="x")),SUMPRODUCT((J119:U119="x")*(Besatzung!$F$11:$F$22="x"))),1))))),0))))</f>
        <v/>
      </c>
      <c r="AH119" s="107" t="n"/>
      <c r="AI119" s="107" t="n"/>
    </row>
    <row r="120" ht="21.75" customHeight="1" s="182">
      <c r="A120" s="97">
        <f>IF(AND(D120="",C120=""),"",117)</f>
        <v/>
      </c>
      <c r="B120" s="56" t="n"/>
      <c r="C120" s="98" t="n"/>
      <c r="D120" s="99" t="n"/>
      <c r="E120" s="100" t="n"/>
      <c r="F120" s="101" t="n"/>
      <c r="G120" s="102" t="n"/>
      <c r="H120" s="103" t="n"/>
      <c r="I120" s="104" t="n"/>
      <c r="J120" s="105" t="n"/>
      <c r="K120" s="105" t="n"/>
      <c r="L120" s="105" t="n"/>
      <c r="M120" s="105" t="n"/>
      <c r="N120" s="105" t="n"/>
      <c r="O120" s="105" t="n"/>
      <c r="P120" s="105" t="n"/>
      <c r="Q120" s="105" t="n"/>
      <c r="R120" s="105" t="n"/>
      <c r="S120" s="105" t="n"/>
      <c r="T120" s="105" t="n"/>
      <c r="U120" s="105" t="n"/>
      <c r="V120" s="106">
        <f>IF(C120="Gutschrift","",IF(G120="","",IF(Besatzung!$B$11="","",IFERROR(IF(I120="Zeitanteilig",(Besatzung!$G$11*(G120-IFERROR(H120,0))+((Besatzung!$B$11&lt;&gt;"")*IF(B120="",1,(IF(Besatzung!$C$11="",Besatzung!$B$5,Besatzung!$C$11)&lt;=B120)*(IF(Besatzung!$D$11="",Besatzung!$B$6,Besatzung!$D$11)&gt;=B120)))*(Besatzung!$F$11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$11&lt;&gt;"")*IF(B120="",1,(IF(Besatzung!$C$11="",Besatzung!$B$5,Besatzung!$C$11)&lt;=B120)*(IF(Besatzung!$D$11="",Besatzung!$B$6,Besatzung!$D$11)&gt;=B120)))*((G120-IFERROR(H120,0))/IFERROR(SUMPRODUCT((Besatzung!$B$11:$B$22&lt;&gt;"")*(IF(Besatzung!$C$11:$C$22="",Besatzung!$B$5,Besatzung!$C$11:$C$22)&lt;=B120)*(IF(Besatzung!$D$11:$D$22="",Besatzung!$B$6,Besatzung!$D$11:$D$22)&gt;=B120)),1)+(Besatzung!$F$11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J120="x")*((G120-IFERROR(H120,0))/IFERROR(COUNTIF(J120:U120,"x"),1)+(Besatzung!$F$11="x")*IFERROR(H120,0)/IFERROR(SUMPRODUCT((J120:U120="x")*(Besatzung!$F$11:$F$22="x")),1))),(IF(COUNTIF(J120:U120,"x")=0,IF(Besatzung!$B$11&lt;&gt;"",1,0),(J120="x"))*(G120-IFERROR(H120,0))/IFERROR(IF(COUNTIF(J120:U120,"x")=0,COUNTA(Besatzung!$B$11:$B$22),COUNTIF(J120:U120,"x")),1)+IF(COUNTIF(J120:U120,"x")=0,(Besatzung!$F$11="x"),(J120="x")*(Besatzung!$F$11="x"))*IFERROR(H120,0)/IFERROR(IF(COUNTIF(J120:U120,"x")=0,SUMPRODUCT((Besatzung!$B$11:$B$22&lt;&gt;"")*(Besatzung!$F$11:$F$22="x")),SUMPRODUCT((J120:U120="x")*(Besatzung!$F$11:$F$22="x"))),1))))),0))))</f>
        <v/>
      </c>
      <c r="W120" s="106">
        <f>IF(C120="Gutschrift","",IF(G120="","",IF(Besatzung!$B$12="","",IFERROR(IF(I120="Zeitanteilig",(Besatzung!$G$12*(G120-IFERROR(H120,0))+((Besatzung!$B$12&lt;&gt;"")*IF(B120="",1,(IF(Besatzung!$C$12="",Besatzung!$B$5,Besatzung!$C$12)&lt;=B120)*(IF(Besatzung!$D$12="",Besatzung!$B$6,Besatzung!$D$12)&gt;=B120)))*(Besatzung!$F$12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$12&lt;&gt;"")*IF(B120="",1,(IF(Besatzung!$C$12="",Besatzung!$B$5,Besatzung!$C$12)&lt;=B120)*(IF(Besatzung!$D$12="",Besatzung!$B$6,Besatzung!$D$12)&gt;=B120)))*((G120-IFERROR(H120,0))/IFERROR(SUMPRODUCT((Besatzung!$B$11:$B$22&lt;&gt;"")*(IF(Besatzung!$C$11:$C$22="",Besatzung!$B$5,Besatzung!$C$11:$C$22)&lt;=B120)*(IF(Besatzung!$D$11:$D$22="",Besatzung!$B$6,Besatzung!$D$11:$D$22)&gt;=B120)),1)+(Besatzung!$F$12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K120="x")*((G120-IFERROR(H120,0))/IFERROR(COUNTIF(J120:U120,"x"),1)+(Besatzung!$F$12="x")*IFERROR(H120,0)/IFERROR(SUMPRODUCT((J120:U120="x")*(Besatzung!$F$11:$F$22="x")),1))),(IF(COUNTIF(J120:U120,"x")=0,IF(Besatzung!$B$12&lt;&gt;"",1,0),(K120="x"))*(G120-IFERROR(H120,0))/IFERROR(IF(COUNTIF(J120:U120,"x")=0,COUNTA(Besatzung!$B$11:$B$22),COUNTIF(J120:U120,"x")),1)+IF(COUNTIF(J120:U120,"x")=0,(Besatzung!$F$12="x"),(K120="x")*(Besatzung!$F$12="x"))*IFERROR(H120,0)/IFERROR(IF(COUNTIF(J120:U120,"x")=0,SUMPRODUCT((Besatzung!$B$11:$B$22&lt;&gt;"")*(Besatzung!$F$11:$F$22="x")),SUMPRODUCT((J120:U120="x")*(Besatzung!$F$11:$F$22="x"))),1))))),0))))</f>
        <v/>
      </c>
      <c r="X120" s="106">
        <f>IF(C120="Gutschrift","",IF(G120="","",IF(Besatzung!$B$13="","",IFERROR(IF(I120="Zeitanteilig",(Besatzung!$G$13*(G120-IFERROR(H120,0))+((Besatzung!$B$13&lt;&gt;"")*IF(B120="",1,(IF(Besatzung!$C$13="",Besatzung!$B$5,Besatzung!$C$13)&lt;=B120)*(IF(Besatzung!$D$13="",Besatzung!$B$6,Besatzung!$D$13)&gt;=B120)))*(Besatzung!$F$13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$13&lt;&gt;"")*IF(B120="",1,(IF(Besatzung!$C$13="",Besatzung!$B$5,Besatzung!$C$13)&lt;=B120)*(IF(Besatzung!$D$13="",Besatzung!$B$6,Besatzung!$D$13)&gt;=B120)))*((G120-IFERROR(H120,0))/IFERROR(SUMPRODUCT((Besatzung!$B$11:$B$22&lt;&gt;"")*(IF(Besatzung!$C$11:$C$22="",Besatzung!$B$5,Besatzung!$C$11:$C$22)&lt;=B120)*(IF(Besatzung!$D$11:$D$22="",Besatzung!$B$6,Besatzung!$D$11:$D$22)&gt;=B120)),1)+(Besatzung!$F$13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K120="x")*((G120-IFERROR(H120,0))/IFERROR(COUNTIF(J120:U120,"x"),1)+(Besatzung!$F$13="x")*IFERROR(H120,0)/IFERROR(SUMPRODUCT((J120:U120="x")*(Besatzung!$F$11:$F$22="x")),1))),(IF(COUNTIF(J120:U120,"x")=0,IF(Besatzung!$B$13&lt;&gt;"",1,0),(K120="x"))*(G120-IFERROR(H120,0))/IFERROR(IF(COUNTIF(J120:U120,"x")=0,COUNTA(Besatzung!$B$11:$B$22),COUNTIF(J120:U120,"x")),1)+IF(COUNTIF(J120:U120,"x")=0,(Besatzung!$F$13="x"),(K120="x")*(Besatzung!$F$13="x"))*IFERROR(H120,0)/IFERROR(IF(COUNTIF(J120:U120,"x")=0,SUMPRODUCT((Besatzung!$B$11:$B$22&lt;&gt;"")*(Besatzung!$F$11:$F$22="x")),SUMPRODUCT((J120:U120="x")*(Besatzung!$F$11:$F$22="x"))),1))))),0))))</f>
        <v/>
      </c>
      <c r="Y120" s="106">
        <f>IF(C120="Gutschrift","",IF(G120="","",IF(Besatzung!$B$14="","",IFERROR(IF(I120="Zeitanteilig",(Besatzung!$G$14*(G120-IFERROR(H120,0))+((Besatzung!$B$14&lt;&gt;"")*IF(B120="",1,(IF(Besatzung!$C$14="",Besatzung!$B$5,Besatzung!$C$14)&lt;=B120)*(IF(Besatzung!$D$14="",Besatzung!$B$6,Besatzung!$D$14)&gt;=B120)))*(Besatzung!$F$14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$14&lt;&gt;"")*IF(B120="",1,(IF(Besatzung!$C$14="",Besatzung!$B$5,Besatzung!$C$14)&lt;=B120)*(IF(Besatzung!$D$14="",Besatzung!$B$6,Besatzung!$D$14)&gt;=B120)))*((G120-IFERROR(H120,0))/IFERROR(SUMPRODUCT((Besatzung!$B$11:$B$22&lt;&gt;"")*(IF(Besatzung!$C$11:$C$22="",Besatzung!$B$5,Besatzung!$C$11:$C$22)&lt;=B120)*(IF(Besatzung!$D$11:$D$22="",Besatzung!$B$6,Besatzung!$D$11:$D$22)&gt;=B120)),1)+(Besatzung!$F$14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M120="x")*((G120-IFERROR(H120,0))/IFERROR(COUNTIF(J120:U120,"x"),1)+(Besatzung!$F$14="x")*IFERROR(H120,0)/IFERROR(SUMPRODUCT((J120:U120="x")*(Besatzung!$F$11:$F$22="x")),1))),(IF(COUNTIF(J120:U120,"x")=0,IF(Besatzung!$B$14&lt;&gt;"",1,0),(M120="x"))*(G120-IFERROR(H120,0))/IFERROR(IF(COUNTIF(J120:U120,"x")=0,COUNTA(Besatzung!$B$11:$B$22),COUNTIF(J120:U120,"x")),1)+IF(COUNTIF(J120:U120,"x")=0,(Besatzung!$F$14="x"),(M120="x")*(Besatzung!$F$14="x"))*IFERROR(H120,0)/IFERROR(IF(COUNTIF(J120:U120,"x")=0,SUMPRODUCT((Besatzung!$B$11:$B$22&lt;&gt;"")*(Besatzung!$F$11:$F$22="x")),SUMPRODUCT((J120:U120="x")*(Besatzung!$F$11:$F$22="x"))),1))))),0))))</f>
        <v/>
      </c>
      <c r="Z120" s="106">
        <f>IF(C120="Gutschrift","",IF(G120="","",IF(Besatzung!$B$13="","",IFERROR(IF(I120="Zeitanteilig",(Besatzung!$G$15*(G120-IFERROR(H120,0))+((Besatzung!$B$13&lt;&gt;"")*IF(B120="",1,(IF(Besatzung!$C$15="",Besatzung!$B$5,Besatzung!$C$15)&lt;=B120)*(IF(Besatzung!$D$15="",Besatzung!$B$6,Besatzung!$D$15)&gt;=B120)))*(Besatzung!$F$15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$13&lt;&gt;"")*IF(B120="",1,(IF(Besatzung!$C$15="",Besatzung!$B$5,Besatzung!$C$15)&lt;=B120)*(IF(Besatzung!$D$15="",Besatzung!$B$6,Besatzung!$D$15)&gt;=B120)))*((G120-IFERROR(H120,0))/IFERROR(SUMPRODUCT((Besatzung!$B$11:$B$22&lt;&gt;"")*(IF(Besatzung!$C$11:$C$22="",Besatzung!$B$5,Besatzung!$C$11:$C$22)&lt;=B120)*(IF(Besatzung!$D$11:$D$22="",Besatzung!$B$6,Besatzung!$D$11:$D$22)&gt;=B120)),1)+(Besatzung!$F$15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N120="x")*((G120-IFERROR(H120,0))/IFERROR(COUNTIF(J120:U120,"x"),1)+(Besatzung!$F$15="x")*IFERROR(H120,0)/IFERROR(SUMPRODUCT((J120:U120="x")*(Besatzung!$F$11:$F$22="x")),1))),(IF(COUNTIF(J120:U120,"x")=0,IF(Besatzung!$B$13&lt;&gt;"",1,0),(N120="x"))*(G120-IFERROR(H120,0))/IFERROR(IF(COUNTIF(J120:U120,"x")=0,COUNTA(Besatzung!$B$11:$B$22),COUNTIF(J120:U120,"x")),1)+IF(COUNTIF(J120:U120,"x")=0,(Besatzung!$F$15="x"),(N120="x")*(Besatzung!$F$15="x"))*IFERROR(H120,0)/IFERROR(IF(COUNTIF(J120:U120,"x")=0,SUMPRODUCT((Besatzung!$B$11:$B$22&lt;&gt;"")*(Besatzung!$F$11:$F$22="x")),SUMPRODUCT((J120:U120="x")*(Besatzung!$F$11:$F$22="x"))),1))))),0))))</f>
        <v/>
      </c>
      <c r="AA120" s="106">
        <f>IF(C120="Gutschrift","",IF(G120="","",IF(Besatzung!$B$15="","",IFERROR(IF(I120="Zeitanteilig",(Besatzung!$G$16*(G120-IFERROR(H120,0))+((Besatzung!$B$15&lt;&gt;"")*IF(B120="",1,(IF(Besatzung!$C$16="",Besatzung!$B$5,Besatzung!$C$16)&lt;=B120)*(IF(Besatzung!$D$16="",Besatzung!$B$6,Besatzung!$D$16)&gt;=B120)))*(Besatzung!$F$16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$15&lt;&gt;"")*IF(B120="",1,(IF(Besatzung!$C$16="",Besatzung!$B$5,Besatzung!$C$16)&lt;=B120)*(IF(Besatzung!$D$16="",Besatzung!$B$6,Besatzung!$D$16)&gt;=B120)))*((G120-IFERROR(H120,0))/IFERROR(SUMPRODUCT((Besatzung!$B$11:$B$22&lt;&gt;"")*(IF(Besatzung!$C$11:$C$22="",Besatzung!$B$5,Besatzung!$C$11:$C$22)&lt;=B120)*(IF(Besatzung!$D$11:$D$22="",Besatzung!$B$6,Besatzung!$D$11:$D$22)&gt;=B120)),1)+(Besatzung!$F$16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O120="x")*((G120-IFERROR(H120,0))/IFERROR(COUNTIF(J120:U120,"x"),1)+(Besatzung!$F$16="x")*IFERROR(H120,0)/IFERROR(SUMPRODUCT((J120:U120="x")*(Besatzung!$F$11:$F$22="x")),1))),(IF(COUNTIF(J120:U120,"x")=0,IF(Besatzung!$B$15&lt;&gt;"",1,0),(O120="x"))*(G120-IFERROR(H120,0))/IFERROR(IF(COUNTIF(J120:U120,"x")=0,COUNTA(Besatzung!$B$11:$B$22),COUNTIF(J120:U120,"x")),1)+IF(COUNTIF(J120:U120,"x")=0,(Besatzung!$F$16="x"),(O120="x")*(Besatzung!$F$16="x"))*IFERROR(H120,0)/IFERROR(IF(COUNTIF(J120:U120,"x")=0,SUMPRODUCT((Besatzung!$B$11:$B$22&lt;&gt;"")*(Besatzung!$F$11:$F$22="x")),SUMPRODUCT((J120:U120="x")*(Besatzung!$F$11:$F$22="x"))),1))))),0))))</f>
        <v/>
      </c>
      <c r="AB120" s="106">
        <f>IF(C120="Gutschrift","",IF(G120="","",IF(Besatzung!$B$17="","",IFERROR(IF(I120="Zeitanteilig",(Besatzung!$G$17*(G120-IFERROR(H120,0))+((Besatzung!$B$17&lt;&gt;"")*IF(B120="",1,(IF(Besatzung!$C$17="",Besatzung!$B$5,Besatzung!$C$17)&lt;=B120)*(IF(Besatzung!$D$17="",Besatzung!$B$6,Besatzung!$D$17)&gt;=B120)))*(Besatzung!$F$17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$17&lt;&gt;"")*IF(B120="",1,(IF(Besatzung!$C$17="",Besatzung!$B$5,Besatzung!$C$17)&lt;=B120)*(IF(Besatzung!$D$17="",Besatzung!$B$6,Besatzung!$D$17)&gt;=B120)))*((G120-IFERROR(H120,0))/IFERROR(SUMPRODUCT((Besatzung!$B$11:$B$22&lt;&gt;"")*(IF(Besatzung!$C$11:$C$22="",Besatzung!$B$5,Besatzung!$C$11:$C$22)&lt;=B120)*(IF(Besatzung!$D$11:$D$22="",Besatzung!$B$6,Besatzung!$D$11:$D$22)&gt;=B120)),1)+(Besatzung!$F$17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P120="x")*((G120-IFERROR(H120,0))/IFERROR(COUNTIF(J120:U120,"x"),1)+(Besatzung!$F$17="x")*IFERROR(H120,0)/IFERROR(SUMPRODUCT((J120:U120="x")*(Besatzung!$F$11:$F$22="x")),1))),(IF(COUNTIF(J120:U120,"x")=0,IF(Besatzung!$B$17&lt;&gt;"",1,0),(P120="x"))*(G120-IFERROR(H120,0))/IFERROR(IF(COUNTIF(J120:U120,"x")=0,COUNTA(Besatzung!$B$11:$B$22),COUNTIF(J120:U120,"x")),1)+IF(COUNTIF(J120:U120,"x")=0,(Besatzung!$F$17="x"),(P120="x")*(Besatzung!$F$17="x"))*IFERROR(H120,0)/IFERROR(IF(COUNTIF(J120:U120,"x")=0,SUMPRODUCT((Besatzung!$B$11:$B$22&lt;&gt;"")*(Besatzung!$F$11:$F$22="x")),SUMPRODUCT((J120:U120="x")*(Besatzung!$F$11:$F$22="x"))),1))))),0))))</f>
        <v/>
      </c>
      <c r="AC120" s="106">
        <f>IF(C120="Gutschrift","",IF(G120="","",IF(Besatzung!$B$18="","",IFERROR(IF(I120="Zeitanteilig",(Besatzung!$G$18*(G120-IFERROR(H120,0))+((Besatzung!$B$18&lt;&gt;"")*IF(B120="",1,(IF(Besatzung!$C$18="",Besatzung!$B$5,Besatzung!$C$18)&lt;=B120)*(IF(Besatzung!$D$18="",Besatzung!$B$6,Besatzung!$D$18)&gt;=B120)))*(Besatzung!$F$18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$18&lt;&gt;"")*IF(B120="",1,(IF(Besatzung!$C$18="",Besatzung!$B$5,Besatzung!$C$18)&lt;=B120)*(IF(Besatzung!$D$18="",Besatzung!$B$6,Besatzung!$D$18)&gt;=B120)))*((G120-IFERROR(H120,0))/IFERROR(SUMPRODUCT((Besatzung!$B$11:$B$22&lt;&gt;"")*(IF(Besatzung!$C$11:$C$22="",Besatzung!$B$5,Besatzung!$C$11:$C$22)&lt;=B120)*(IF(Besatzung!$D$11:$D$22="",Besatzung!$B$6,Besatzung!$D$11:$D$22)&gt;=B120)),1)+(Besatzung!$F$18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Q120="x")*((G120-IFERROR(H120,0))/IFERROR(COUNTIF(J120:U120,"x"),1)+(Besatzung!$F$18="x")*IFERROR(H120,0)/IFERROR(SUMPRODUCT((J120:U120="x")*(Besatzung!$F$11:$F$22="x")),1))),(IF(COUNTIF(J120:U120,"x")=0,IF(Besatzung!$B$18&lt;&gt;"",1,0),(Q120="x"))*(G120-IFERROR(H120,0))/IFERROR(IF(COUNTIF(J120:U120,"x")=0,COUNTA(Besatzung!$B$11:$B$22),COUNTIF(J120:U120,"x")),1)+IF(COUNTIF(J120:U120,"x")=0,(Besatzung!$F$18="x"),(Q120="x")*(Besatzung!$F$18="x"))*IFERROR(H120,0)/IFERROR(IF(COUNTIF(J120:U120,"x")=0,SUMPRODUCT((Besatzung!$B$11:$B$22&lt;&gt;"")*(Besatzung!$F$11:$F$22="x")),SUMPRODUCT((J120:U120="x")*(Besatzung!$F$11:$F$22="x"))),1))))),0))))</f>
        <v/>
      </c>
      <c r="AD120" s="106">
        <f>IF(C120="Gutschrift","",IF(G120="","",IF(Besatzung!$B$19="","",IFERROR(IF(I120="Zeitanteilig",(Besatzung!$G$19*(G120-IFERROR(H120,0))+((Besatzung!$B$19&lt;&gt;"")*IF(B120="",1,(IF(Besatzung!$C$19="",Besatzung!$B$5,Besatzung!$C$19)&lt;=B120)*(IF(Besatzung!$D$19="",Besatzung!$B$6,Besatzung!$D$19)&gt;=B120)))*(Besatzung!$F$19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$19&lt;&gt;"")*IF(B120="",1,(IF(Besatzung!$C$19="",Besatzung!$B$5,Besatzung!$C$19)&lt;=B120)*(IF(Besatzung!$D$19="",Besatzung!$B$6,Besatzung!$D$19)&gt;=B120)))*((G120-IFERROR(H120,0))/IFERROR(SUMPRODUCT((Besatzung!$B$11:$B$22&lt;&gt;"")*(IF(Besatzung!$C$11:$C$22="",Besatzung!$B$5,Besatzung!$C$11:$C$22)&lt;=B120)*(IF(Besatzung!$D$11:$D$22="",Besatzung!$B$6,Besatzung!$D$11:$D$22)&gt;=B120)),1)+(Besatzung!$F$19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R120="x")*((G120-IFERROR(H120,0))/IFERROR(COUNTIF(J120:U120,"x"),1)+(Besatzung!$F$19="x")*IFERROR(H120,0)/IFERROR(SUMPRODUCT((J120:U120="x")*(Besatzung!$F$11:$F$22="x")),1))),(IF(COUNTIF(J120:U120,"x")=0,IF(Besatzung!$B$19&lt;&gt;"",1,0),(R120="x"))*(G120-IFERROR(H120,0))/IFERROR(IF(COUNTIF(J120:U120,"x")=0,COUNTA(Besatzung!$B$11:$B$22),COUNTIF(J120:U120,"x")),1)+IF(COUNTIF(J120:U120,"x")=0,(Besatzung!$F$19="x"),(R120="x")*(Besatzung!$F$19="x"))*IFERROR(H120,0)/IFERROR(IF(COUNTIF(J120:U120,"x")=0,SUMPRODUCT((Besatzung!$B$11:$B$22&lt;&gt;"")*(Besatzung!$F$11:$F$22="x")),SUMPRODUCT((J120:U120="x")*(Besatzung!$F$11:$F$22="x"))),1))))),0))))</f>
        <v/>
      </c>
      <c r="AE120" s="106">
        <f>IF(C120="Gutschrift","",IF(G120="","",IF(Besatzung!$B$20="","",IFERROR(IF(I120="Zeitanteilig",(Besatzung!$G$20*(G120-IFERROR(H120,0))+((Besatzung!$B$20&lt;&gt;"")*IF(B120="",1,(IF(Besatzung!$C$20="",Besatzung!$B$5,Besatzung!$C$20)&lt;=B120)*(IF(Besatzung!$D$20="",Besatzung!$B$6,Besatzung!$D$20)&gt;=B120)))*(Besatzung!$F$20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$20&lt;&gt;"")*IF(B120="",1,(IF(Besatzung!$C$20="",Besatzung!$B$5,Besatzung!$C$20)&lt;=B120)*(IF(Besatzung!$D$20="",Besatzung!$B$6,Besatzung!$D$20)&gt;=B120)))*((G120-IFERROR(H120,0))/IFERROR(SUMPRODUCT((Besatzung!$B$11:$B$22&lt;&gt;"")*(IF(Besatzung!$C$11:$C$22="",Besatzung!$B$5,Besatzung!$C$11:$C$22)&lt;=B120)*(IF(Besatzung!$D$11:$D$22="",Besatzung!$B$6,Besatzung!$D$11:$D$22)&gt;=B120)),1)+(Besatzung!$F$20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S120="x")*((G120-IFERROR(H120,0))/IFERROR(COUNTIF(J120:U120,"x"),1)+(Besatzung!$F$20="x")*IFERROR(H120,0)/IFERROR(SUMPRODUCT((J120:U120="x")*(Besatzung!$F$11:$F$22="x")),1))),(IF(COUNTIF(J120:U120,"x")=0,IF(Besatzung!$B$20&lt;&gt;"",1,0),(S120="x"))*(G120-IFERROR(H120,0))/IFERROR(IF(COUNTIF(J120:U120,"x")=0,COUNTA(Besatzung!$B$11:$B$22),COUNTIF(J120:U120,"x")),1)+IF(COUNTIF(J120:U120,"x")=0,(Besatzung!$F$20="x"),(S120="x")*(Besatzung!$F$20="x"))*IFERROR(H120,0)/IFERROR(IF(COUNTIF(J120:U120,"x")=0,SUMPRODUCT((Besatzung!$B$11:$B$22&lt;&gt;"")*(Besatzung!$F$11:$F$22="x")),SUMPRODUCT((J120:U120="x")*(Besatzung!$F$11:$F$22="x"))),1))))),0))))</f>
        <v/>
      </c>
      <c r="AF120" s="106">
        <f>IF(C120="Gutschrift","",IF(G120="","",IF(Besatzung!$B$21="","",IFERROR(IF(I120="Zeitanteilig",(Besatzung!$G$21*(G120-IFERROR(H120,0))+((Besatzung!$B$21&lt;&gt;"")*IF(B120="",1,(IF(Besatzung!$C$21="",Besatzung!$B$5,Besatzung!$C$21)&lt;=B120)*(IF(Besatzung!$D$21="",Besatzung!$B$6,Besatzung!$D$21)&gt;=B120)))*(Besatzung!$F$21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$21&lt;&gt;"")*IF(B120="",1,(IF(Besatzung!$C$21="",Besatzung!$B$5,Besatzung!$C$21)&lt;=B120)*(IF(Besatzung!$D$21="",Besatzung!$B$6,Besatzung!$D$21)&gt;=B120)))*((G120-IFERROR(H120,0))/IFERROR(SUMPRODUCT((Besatzung!$B$11:$B$22&lt;&gt;"")*(IF(Besatzung!$C$11:$C$22="",Besatzung!$B$5,Besatzung!$C$11:$C$22)&lt;=B120)*(IF(Besatzung!$D$11:$D$22="",Besatzung!$B$6,Besatzung!$D$11:$D$22)&gt;=B120)),1)+(Besatzung!$F$21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T120="x")*((G120-IFERROR(H120,0))/IFERROR(COUNTIF(J120:U120,"x"),1)+(Besatzung!$F$21="x")*IFERROR(H120,0)/IFERROR(SUMPRODUCT((J120:U120="x")*(Besatzung!$F$11:$F$22="x")),1))),(IF(COUNTIF(J120:U120,"x")=0,IF(Besatzung!$B$21&lt;&gt;"",1,0),(T120="x"))*(G120-IFERROR(H120,0))/IFERROR(IF(COUNTIF(J120:U120,"x")=0,COUNTA(Besatzung!$B$11:$B$22),COUNTIF(J120:U120,"x")),1)+IF(COUNTIF(J120:U120,"x")=0,(Besatzung!$F$21="x"),(T120="x")*(Besatzung!$F$21="x"))*IFERROR(H120,0)/IFERROR(IF(COUNTIF(J120:U120,"x")=0,SUMPRODUCT((Besatzung!$B$11:$B$22&lt;&gt;"")*(Besatzung!$F$11:$F$22="x")),SUMPRODUCT((J120:U120="x")*(Besatzung!$F$11:$F$22="x"))),1))))),0))))</f>
        <v/>
      </c>
      <c r="AG120" s="106">
        <f>IF(C120="Gutschrift","",IF(G120="","",IF(Besatzung!$B$22="","",IFERROR(IF(I120="Zeitanteilig",(Besatzung!$G$22*(G120-IFERROR(H120,0))+((Besatzung!$B$22&lt;&gt;"")*IF(B120="",1,(IF(Besatzung!$C$22="",Besatzung!$B$5,Besatzung!$C$22)&lt;=B120)*(IF(Besatzung!$D$22="",Besatzung!$B$6,Besatzung!$D$22)&gt;=B120)))*(Besatzung!$F$22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$22&lt;&gt;"")*IF(B120="",1,(IF(Besatzung!$C$22="",Besatzung!$B$5,Besatzung!$C$22)&lt;=B120)*(IF(Besatzung!$D$22="",Besatzung!$B$6,Besatzung!$D$22)&gt;=B120)))*((G120-IFERROR(H120,0))/IFERROR(SUMPRODUCT((Besatzung!$B$11:$B$22&lt;&gt;"")*(IF(Besatzung!$C$11:$C$22="",Besatzung!$B$5,Besatzung!$C$11:$C$22)&lt;=B120)*(IF(Besatzung!$D$11:$D$22="",Besatzung!$B$6,Besatzung!$D$11:$D$22)&gt;=B120)),1)+(Besatzung!$F$22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U120="x")*((G120-IFERROR(H120,0))/IFERROR(COUNTIF(J120:U120,"x"),1)+(Besatzung!$F$22="x")*IFERROR(H120,0)/IFERROR(SUMPRODUCT((J120:U120="x")*(Besatzung!$F$11:$F$22="x")),1))),(IF(COUNTIF(J120:U120,"x")=0,IF(Besatzung!$B$22&lt;&gt;"",1,0),(U120="x"))*(G120-IFERROR(H120,0))/IFERROR(IF(COUNTIF(J120:U120,"x")=0,COUNTA(Besatzung!$B$11:$B$22),COUNTIF(J120:U120,"x")),1)+IF(COUNTIF(J120:U120,"x")=0,(Besatzung!$F$22="x"),(U120="x")*(Besatzung!$F$22="x"))*IFERROR(H120,0)/IFERROR(IF(COUNTIF(J120:U120,"x")=0,SUMPRODUCT((Besatzung!$B$11:$B$22&lt;&gt;"")*(Besatzung!$F$11:$F$22="x")),SUMPRODUCT((J120:U120="x")*(Besatzung!$F$11:$F$22="x"))),1))))),0))))</f>
        <v/>
      </c>
      <c r="AH120" s="107" t="n"/>
      <c r="AI120" s="107" t="n"/>
    </row>
    <row r="121" ht="21.75" customHeight="1" s="182">
      <c r="A121" s="97">
        <f>IF(AND(D121="",C121=""),"",118)</f>
        <v/>
      </c>
      <c r="B121" s="63" t="n"/>
      <c r="C121" s="108" t="n"/>
      <c r="D121" s="109" t="n"/>
      <c r="E121" s="110" t="n"/>
      <c r="F121" s="111" t="n"/>
      <c r="G121" s="112" t="n"/>
      <c r="H121" s="113" t="n"/>
      <c r="I121" s="114" t="n"/>
      <c r="J121" s="115" t="n"/>
      <c r="K121" s="115" t="n"/>
      <c r="L121" s="115" t="n"/>
      <c r="M121" s="115" t="n"/>
      <c r="N121" s="115" t="n"/>
      <c r="O121" s="115" t="n"/>
      <c r="P121" s="115" t="n"/>
      <c r="Q121" s="115" t="n"/>
      <c r="R121" s="115" t="n"/>
      <c r="S121" s="115" t="n"/>
      <c r="T121" s="115" t="n"/>
      <c r="U121" s="115" t="n"/>
      <c r="V121" s="106">
        <f>IF(C121="Gutschrift","",IF(G121="","",IF(Besatzung!$B$11="","",IFERROR(IF(I121="Zeitanteilig",(Besatzung!$G$11*(G121-IFERROR(H121,0))+((Besatzung!$B$11&lt;&gt;"")*IF(B121="",1,(IF(Besatzung!$C$11="",Besatzung!$B$5,Besatzung!$C$11)&lt;=B121)*(IF(Besatzung!$D$11="",Besatzung!$B$6,Besatzung!$D$11)&gt;=B121)))*(Besatzung!$F$11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$11&lt;&gt;"")*IF(B121="",1,(IF(Besatzung!$C$11="",Besatzung!$B$5,Besatzung!$C$11)&lt;=B121)*(IF(Besatzung!$D$11="",Besatzung!$B$6,Besatzung!$D$11)&gt;=B121)))*((G121-IFERROR(H121,0))/IFERROR(SUMPRODUCT((Besatzung!$B$11:$B$22&lt;&gt;"")*(IF(Besatzung!$C$11:$C$22="",Besatzung!$B$5,Besatzung!$C$11:$C$22)&lt;=B121)*(IF(Besatzung!$D$11:$D$22="",Besatzung!$B$6,Besatzung!$D$11:$D$22)&gt;=B121)),1)+(Besatzung!$F$11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J121="x")*((G121-IFERROR(H121,0))/IFERROR(COUNTIF(J121:U121,"x"),1)+(Besatzung!$F$11="x")*IFERROR(H121,0)/IFERROR(SUMPRODUCT((J121:U121="x")*(Besatzung!$F$11:$F$22="x")),1))),(IF(COUNTIF(J121:U121,"x")=0,IF(Besatzung!$B$11&lt;&gt;"",1,0),(J121="x"))*(G121-IFERROR(H121,0))/IFERROR(IF(COUNTIF(J121:U121,"x")=0,COUNTA(Besatzung!$B$11:$B$22),COUNTIF(J121:U121,"x")),1)+IF(COUNTIF(J121:U121,"x")=0,(Besatzung!$F$11="x"),(J121="x")*(Besatzung!$F$11="x"))*IFERROR(H121,0)/IFERROR(IF(COUNTIF(J121:U121,"x")=0,SUMPRODUCT((Besatzung!$B$11:$B$22&lt;&gt;"")*(Besatzung!$F$11:$F$22="x")),SUMPRODUCT((J121:U121="x")*(Besatzung!$F$11:$F$22="x"))),1))))),0))))</f>
        <v/>
      </c>
      <c r="W121" s="106">
        <f>IF(C121="Gutschrift","",IF(G121="","",IF(Besatzung!$B$12="","",IFERROR(IF(I121="Zeitanteilig",(Besatzung!$G$12*(G121-IFERROR(H121,0))+((Besatzung!$B$12&lt;&gt;"")*IF(B121="",1,(IF(Besatzung!$C$12="",Besatzung!$B$5,Besatzung!$C$12)&lt;=B121)*(IF(Besatzung!$D$12="",Besatzung!$B$6,Besatzung!$D$12)&gt;=B121)))*(Besatzung!$F$12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$12&lt;&gt;"")*IF(B121="",1,(IF(Besatzung!$C$12="",Besatzung!$B$5,Besatzung!$C$12)&lt;=B121)*(IF(Besatzung!$D$12="",Besatzung!$B$6,Besatzung!$D$12)&gt;=B121)))*((G121-IFERROR(H121,0))/IFERROR(SUMPRODUCT((Besatzung!$B$11:$B$22&lt;&gt;"")*(IF(Besatzung!$C$11:$C$22="",Besatzung!$B$5,Besatzung!$C$11:$C$22)&lt;=B121)*(IF(Besatzung!$D$11:$D$22="",Besatzung!$B$6,Besatzung!$D$11:$D$22)&gt;=B121)),1)+(Besatzung!$F$12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K121="x")*((G121-IFERROR(H121,0))/IFERROR(COUNTIF(J121:U121,"x"),1)+(Besatzung!$F$12="x")*IFERROR(H121,0)/IFERROR(SUMPRODUCT((J121:U121="x")*(Besatzung!$F$11:$F$22="x")),1))),(IF(COUNTIF(J121:U121,"x")=0,IF(Besatzung!$B$12&lt;&gt;"",1,0),(K121="x"))*(G121-IFERROR(H121,0))/IFERROR(IF(COUNTIF(J121:U121,"x")=0,COUNTA(Besatzung!$B$11:$B$22),COUNTIF(J121:U121,"x")),1)+IF(COUNTIF(J121:U121,"x")=0,(Besatzung!$F$12="x"),(K121="x")*(Besatzung!$F$12="x"))*IFERROR(H121,0)/IFERROR(IF(COUNTIF(J121:U121,"x")=0,SUMPRODUCT((Besatzung!$B$11:$B$22&lt;&gt;"")*(Besatzung!$F$11:$F$22="x")),SUMPRODUCT((J121:U121="x")*(Besatzung!$F$11:$F$22="x"))),1))))),0))))</f>
        <v/>
      </c>
      <c r="X121" s="106">
        <f>IF(C121="Gutschrift","",IF(G121="","",IF(Besatzung!$B$13="","",IFERROR(IF(I121="Zeitanteilig",(Besatzung!$G$13*(G121-IFERROR(H121,0))+((Besatzung!$B$13&lt;&gt;"")*IF(B121="",1,(IF(Besatzung!$C$13="",Besatzung!$B$5,Besatzung!$C$13)&lt;=B121)*(IF(Besatzung!$D$13="",Besatzung!$B$6,Besatzung!$D$13)&gt;=B121)))*(Besatzung!$F$13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$13&lt;&gt;"")*IF(B121="",1,(IF(Besatzung!$C$13="",Besatzung!$B$5,Besatzung!$C$13)&lt;=B121)*(IF(Besatzung!$D$13="",Besatzung!$B$6,Besatzung!$D$13)&gt;=B121)))*((G121-IFERROR(H121,0))/IFERROR(SUMPRODUCT((Besatzung!$B$11:$B$22&lt;&gt;"")*(IF(Besatzung!$C$11:$C$22="",Besatzung!$B$5,Besatzung!$C$11:$C$22)&lt;=B121)*(IF(Besatzung!$D$11:$D$22="",Besatzung!$B$6,Besatzung!$D$11:$D$22)&gt;=B121)),1)+(Besatzung!$F$13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K121="x")*((G121-IFERROR(H121,0))/IFERROR(COUNTIF(J121:U121,"x"),1)+(Besatzung!$F$13="x")*IFERROR(H121,0)/IFERROR(SUMPRODUCT((J121:U121="x")*(Besatzung!$F$11:$F$22="x")),1))),(IF(COUNTIF(J121:U121,"x")=0,IF(Besatzung!$B$13&lt;&gt;"",1,0),(K121="x"))*(G121-IFERROR(H121,0))/IFERROR(IF(COUNTIF(J121:U121,"x")=0,COUNTA(Besatzung!$B$11:$B$22),COUNTIF(J121:U121,"x")),1)+IF(COUNTIF(J121:U121,"x")=0,(Besatzung!$F$13="x"),(K121="x")*(Besatzung!$F$13="x"))*IFERROR(H121,0)/IFERROR(IF(COUNTIF(J121:U121,"x")=0,SUMPRODUCT((Besatzung!$B$11:$B$22&lt;&gt;"")*(Besatzung!$F$11:$F$22="x")),SUMPRODUCT((J121:U121="x")*(Besatzung!$F$11:$F$22="x"))),1))))),0))))</f>
        <v/>
      </c>
      <c r="Y121" s="106">
        <f>IF(C121="Gutschrift","",IF(G121="","",IF(Besatzung!$B$14="","",IFERROR(IF(I121="Zeitanteilig",(Besatzung!$G$14*(G121-IFERROR(H121,0))+((Besatzung!$B$14&lt;&gt;"")*IF(B121="",1,(IF(Besatzung!$C$14="",Besatzung!$B$5,Besatzung!$C$14)&lt;=B121)*(IF(Besatzung!$D$14="",Besatzung!$B$6,Besatzung!$D$14)&gt;=B121)))*(Besatzung!$F$14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$14&lt;&gt;"")*IF(B121="",1,(IF(Besatzung!$C$14="",Besatzung!$B$5,Besatzung!$C$14)&lt;=B121)*(IF(Besatzung!$D$14="",Besatzung!$B$6,Besatzung!$D$14)&gt;=B121)))*((G121-IFERROR(H121,0))/IFERROR(SUMPRODUCT((Besatzung!$B$11:$B$22&lt;&gt;"")*(IF(Besatzung!$C$11:$C$22="",Besatzung!$B$5,Besatzung!$C$11:$C$22)&lt;=B121)*(IF(Besatzung!$D$11:$D$22="",Besatzung!$B$6,Besatzung!$D$11:$D$22)&gt;=B121)),1)+(Besatzung!$F$14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M121="x")*((G121-IFERROR(H121,0))/IFERROR(COUNTIF(J121:U121,"x"),1)+(Besatzung!$F$14="x")*IFERROR(H121,0)/IFERROR(SUMPRODUCT((J121:U121="x")*(Besatzung!$F$11:$F$22="x")),1))),(IF(COUNTIF(J121:U121,"x")=0,IF(Besatzung!$B$14&lt;&gt;"",1,0),(M121="x"))*(G121-IFERROR(H121,0))/IFERROR(IF(COUNTIF(J121:U121,"x")=0,COUNTA(Besatzung!$B$11:$B$22),COUNTIF(J121:U121,"x")),1)+IF(COUNTIF(J121:U121,"x")=0,(Besatzung!$F$14="x"),(M121="x")*(Besatzung!$F$14="x"))*IFERROR(H121,0)/IFERROR(IF(COUNTIF(J121:U121,"x")=0,SUMPRODUCT((Besatzung!$B$11:$B$22&lt;&gt;"")*(Besatzung!$F$11:$F$22="x")),SUMPRODUCT((J121:U121="x")*(Besatzung!$F$11:$F$22="x"))),1))))),0))))</f>
        <v/>
      </c>
      <c r="Z121" s="106">
        <f>IF(C121="Gutschrift","",IF(G121="","",IF(Besatzung!$B$13="","",IFERROR(IF(I121="Zeitanteilig",(Besatzung!$G$15*(G121-IFERROR(H121,0))+((Besatzung!$B$13&lt;&gt;"")*IF(B121="",1,(IF(Besatzung!$C$15="",Besatzung!$B$5,Besatzung!$C$15)&lt;=B121)*(IF(Besatzung!$D$15="",Besatzung!$B$6,Besatzung!$D$15)&gt;=B121)))*(Besatzung!$F$15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$13&lt;&gt;"")*IF(B121="",1,(IF(Besatzung!$C$15="",Besatzung!$B$5,Besatzung!$C$15)&lt;=B121)*(IF(Besatzung!$D$15="",Besatzung!$B$6,Besatzung!$D$15)&gt;=B121)))*((G121-IFERROR(H121,0))/IFERROR(SUMPRODUCT((Besatzung!$B$11:$B$22&lt;&gt;"")*(IF(Besatzung!$C$11:$C$22="",Besatzung!$B$5,Besatzung!$C$11:$C$22)&lt;=B121)*(IF(Besatzung!$D$11:$D$22="",Besatzung!$B$6,Besatzung!$D$11:$D$22)&gt;=B121)),1)+(Besatzung!$F$15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N121="x")*((G121-IFERROR(H121,0))/IFERROR(COUNTIF(J121:U121,"x"),1)+(Besatzung!$F$15="x")*IFERROR(H121,0)/IFERROR(SUMPRODUCT((J121:U121="x")*(Besatzung!$F$11:$F$22="x")),1))),(IF(COUNTIF(J121:U121,"x")=0,IF(Besatzung!$B$13&lt;&gt;"",1,0),(N121="x"))*(G121-IFERROR(H121,0))/IFERROR(IF(COUNTIF(J121:U121,"x")=0,COUNTA(Besatzung!$B$11:$B$22),COUNTIF(J121:U121,"x")),1)+IF(COUNTIF(J121:U121,"x")=0,(Besatzung!$F$15="x"),(N121="x")*(Besatzung!$F$15="x"))*IFERROR(H121,0)/IFERROR(IF(COUNTIF(J121:U121,"x")=0,SUMPRODUCT((Besatzung!$B$11:$B$22&lt;&gt;"")*(Besatzung!$F$11:$F$22="x")),SUMPRODUCT((J121:U121="x")*(Besatzung!$F$11:$F$22="x"))),1))))),0))))</f>
        <v/>
      </c>
      <c r="AA121" s="106">
        <f>IF(C121="Gutschrift","",IF(G121="","",IF(Besatzung!$B$15="","",IFERROR(IF(I121="Zeitanteilig",(Besatzung!$G$16*(G121-IFERROR(H121,0))+((Besatzung!$B$15&lt;&gt;"")*IF(B121="",1,(IF(Besatzung!$C$16="",Besatzung!$B$5,Besatzung!$C$16)&lt;=B121)*(IF(Besatzung!$D$16="",Besatzung!$B$6,Besatzung!$D$16)&gt;=B121)))*(Besatzung!$F$16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$15&lt;&gt;"")*IF(B121="",1,(IF(Besatzung!$C$16="",Besatzung!$B$5,Besatzung!$C$16)&lt;=B121)*(IF(Besatzung!$D$16="",Besatzung!$B$6,Besatzung!$D$16)&gt;=B121)))*((G121-IFERROR(H121,0))/IFERROR(SUMPRODUCT((Besatzung!$B$11:$B$22&lt;&gt;"")*(IF(Besatzung!$C$11:$C$22="",Besatzung!$B$5,Besatzung!$C$11:$C$22)&lt;=B121)*(IF(Besatzung!$D$11:$D$22="",Besatzung!$B$6,Besatzung!$D$11:$D$22)&gt;=B121)),1)+(Besatzung!$F$16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O121="x")*((G121-IFERROR(H121,0))/IFERROR(COUNTIF(J121:U121,"x"),1)+(Besatzung!$F$16="x")*IFERROR(H121,0)/IFERROR(SUMPRODUCT((J121:U121="x")*(Besatzung!$F$11:$F$22="x")),1))),(IF(COUNTIF(J121:U121,"x")=0,IF(Besatzung!$B$15&lt;&gt;"",1,0),(O121="x"))*(G121-IFERROR(H121,0))/IFERROR(IF(COUNTIF(J121:U121,"x")=0,COUNTA(Besatzung!$B$11:$B$22),COUNTIF(J121:U121,"x")),1)+IF(COUNTIF(J121:U121,"x")=0,(Besatzung!$F$16="x"),(O121="x")*(Besatzung!$F$16="x"))*IFERROR(H121,0)/IFERROR(IF(COUNTIF(J121:U121,"x")=0,SUMPRODUCT((Besatzung!$B$11:$B$22&lt;&gt;"")*(Besatzung!$F$11:$F$22="x")),SUMPRODUCT((J121:U121="x")*(Besatzung!$F$11:$F$22="x"))),1))))),0))))</f>
        <v/>
      </c>
      <c r="AB121" s="106">
        <f>IF(C121="Gutschrift","",IF(G121="","",IF(Besatzung!$B$17="","",IFERROR(IF(I121="Zeitanteilig",(Besatzung!$G$17*(G121-IFERROR(H121,0))+((Besatzung!$B$17&lt;&gt;"")*IF(B121="",1,(IF(Besatzung!$C$17="",Besatzung!$B$5,Besatzung!$C$17)&lt;=B121)*(IF(Besatzung!$D$17="",Besatzung!$B$6,Besatzung!$D$17)&gt;=B121)))*(Besatzung!$F$17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$17&lt;&gt;"")*IF(B121="",1,(IF(Besatzung!$C$17="",Besatzung!$B$5,Besatzung!$C$17)&lt;=B121)*(IF(Besatzung!$D$17="",Besatzung!$B$6,Besatzung!$D$17)&gt;=B121)))*((G121-IFERROR(H121,0))/IFERROR(SUMPRODUCT((Besatzung!$B$11:$B$22&lt;&gt;"")*(IF(Besatzung!$C$11:$C$22="",Besatzung!$B$5,Besatzung!$C$11:$C$22)&lt;=B121)*(IF(Besatzung!$D$11:$D$22="",Besatzung!$B$6,Besatzung!$D$11:$D$22)&gt;=B121)),1)+(Besatzung!$F$17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P121="x")*((G121-IFERROR(H121,0))/IFERROR(COUNTIF(J121:U121,"x"),1)+(Besatzung!$F$17="x")*IFERROR(H121,0)/IFERROR(SUMPRODUCT((J121:U121="x")*(Besatzung!$F$11:$F$22="x")),1))),(IF(COUNTIF(J121:U121,"x")=0,IF(Besatzung!$B$17&lt;&gt;"",1,0),(P121="x"))*(G121-IFERROR(H121,0))/IFERROR(IF(COUNTIF(J121:U121,"x")=0,COUNTA(Besatzung!$B$11:$B$22),COUNTIF(J121:U121,"x")),1)+IF(COUNTIF(J121:U121,"x")=0,(Besatzung!$F$17="x"),(P121="x")*(Besatzung!$F$17="x"))*IFERROR(H121,0)/IFERROR(IF(COUNTIF(J121:U121,"x")=0,SUMPRODUCT((Besatzung!$B$11:$B$22&lt;&gt;"")*(Besatzung!$F$11:$F$22="x")),SUMPRODUCT((J121:U121="x")*(Besatzung!$F$11:$F$22="x"))),1))))),0))))</f>
        <v/>
      </c>
      <c r="AC121" s="106">
        <f>IF(C121="Gutschrift","",IF(G121="","",IF(Besatzung!$B$18="","",IFERROR(IF(I121="Zeitanteilig",(Besatzung!$G$18*(G121-IFERROR(H121,0))+((Besatzung!$B$18&lt;&gt;"")*IF(B121="",1,(IF(Besatzung!$C$18="",Besatzung!$B$5,Besatzung!$C$18)&lt;=B121)*(IF(Besatzung!$D$18="",Besatzung!$B$6,Besatzung!$D$18)&gt;=B121)))*(Besatzung!$F$18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$18&lt;&gt;"")*IF(B121="",1,(IF(Besatzung!$C$18="",Besatzung!$B$5,Besatzung!$C$18)&lt;=B121)*(IF(Besatzung!$D$18="",Besatzung!$B$6,Besatzung!$D$18)&gt;=B121)))*((G121-IFERROR(H121,0))/IFERROR(SUMPRODUCT((Besatzung!$B$11:$B$22&lt;&gt;"")*(IF(Besatzung!$C$11:$C$22="",Besatzung!$B$5,Besatzung!$C$11:$C$22)&lt;=B121)*(IF(Besatzung!$D$11:$D$22="",Besatzung!$B$6,Besatzung!$D$11:$D$22)&gt;=B121)),1)+(Besatzung!$F$18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Q121="x")*((G121-IFERROR(H121,0))/IFERROR(COUNTIF(J121:U121,"x"),1)+(Besatzung!$F$18="x")*IFERROR(H121,0)/IFERROR(SUMPRODUCT((J121:U121="x")*(Besatzung!$F$11:$F$22="x")),1))),(IF(COUNTIF(J121:U121,"x")=0,IF(Besatzung!$B$18&lt;&gt;"",1,0),(Q121="x"))*(G121-IFERROR(H121,0))/IFERROR(IF(COUNTIF(J121:U121,"x")=0,COUNTA(Besatzung!$B$11:$B$22),COUNTIF(J121:U121,"x")),1)+IF(COUNTIF(J121:U121,"x")=0,(Besatzung!$F$18="x"),(Q121="x")*(Besatzung!$F$18="x"))*IFERROR(H121,0)/IFERROR(IF(COUNTIF(J121:U121,"x")=0,SUMPRODUCT((Besatzung!$B$11:$B$22&lt;&gt;"")*(Besatzung!$F$11:$F$22="x")),SUMPRODUCT((J121:U121="x")*(Besatzung!$F$11:$F$22="x"))),1))))),0))))</f>
        <v/>
      </c>
      <c r="AD121" s="106">
        <f>IF(C121="Gutschrift","",IF(G121="","",IF(Besatzung!$B$19="","",IFERROR(IF(I121="Zeitanteilig",(Besatzung!$G$19*(G121-IFERROR(H121,0))+((Besatzung!$B$19&lt;&gt;"")*IF(B121="",1,(IF(Besatzung!$C$19="",Besatzung!$B$5,Besatzung!$C$19)&lt;=B121)*(IF(Besatzung!$D$19="",Besatzung!$B$6,Besatzung!$D$19)&gt;=B121)))*(Besatzung!$F$19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$19&lt;&gt;"")*IF(B121="",1,(IF(Besatzung!$C$19="",Besatzung!$B$5,Besatzung!$C$19)&lt;=B121)*(IF(Besatzung!$D$19="",Besatzung!$B$6,Besatzung!$D$19)&gt;=B121)))*((G121-IFERROR(H121,0))/IFERROR(SUMPRODUCT((Besatzung!$B$11:$B$22&lt;&gt;"")*(IF(Besatzung!$C$11:$C$22="",Besatzung!$B$5,Besatzung!$C$11:$C$22)&lt;=B121)*(IF(Besatzung!$D$11:$D$22="",Besatzung!$B$6,Besatzung!$D$11:$D$22)&gt;=B121)),1)+(Besatzung!$F$19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R121="x")*((G121-IFERROR(H121,0))/IFERROR(COUNTIF(J121:U121,"x"),1)+(Besatzung!$F$19="x")*IFERROR(H121,0)/IFERROR(SUMPRODUCT((J121:U121="x")*(Besatzung!$F$11:$F$22="x")),1))),(IF(COUNTIF(J121:U121,"x")=0,IF(Besatzung!$B$19&lt;&gt;"",1,0),(R121="x"))*(G121-IFERROR(H121,0))/IFERROR(IF(COUNTIF(J121:U121,"x")=0,COUNTA(Besatzung!$B$11:$B$22),COUNTIF(J121:U121,"x")),1)+IF(COUNTIF(J121:U121,"x")=0,(Besatzung!$F$19="x"),(R121="x")*(Besatzung!$F$19="x"))*IFERROR(H121,0)/IFERROR(IF(COUNTIF(J121:U121,"x")=0,SUMPRODUCT((Besatzung!$B$11:$B$22&lt;&gt;"")*(Besatzung!$F$11:$F$22="x")),SUMPRODUCT((J121:U121="x")*(Besatzung!$F$11:$F$22="x"))),1))))),0))))</f>
        <v/>
      </c>
      <c r="AE121" s="106">
        <f>IF(C121="Gutschrift","",IF(G121="","",IF(Besatzung!$B$20="","",IFERROR(IF(I121="Zeitanteilig",(Besatzung!$G$20*(G121-IFERROR(H121,0))+((Besatzung!$B$20&lt;&gt;"")*IF(B121="",1,(IF(Besatzung!$C$20="",Besatzung!$B$5,Besatzung!$C$20)&lt;=B121)*(IF(Besatzung!$D$20="",Besatzung!$B$6,Besatzung!$D$20)&gt;=B121)))*(Besatzung!$F$20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$20&lt;&gt;"")*IF(B121="",1,(IF(Besatzung!$C$20="",Besatzung!$B$5,Besatzung!$C$20)&lt;=B121)*(IF(Besatzung!$D$20="",Besatzung!$B$6,Besatzung!$D$20)&gt;=B121)))*((G121-IFERROR(H121,0))/IFERROR(SUMPRODUCT((Besatzung!$B$11:$B$22&lt;&gt;"")*(IF(Besatzung!$C$11:$C$22="",Besatzung!$B$5,Besatzung!$C$11:$C$22)&lt;=B121)*(IF(Besatzung!$D$11:$D$22="",Besatzung!$B$6,Besatzung!$D$11:$D$22)&gt;=B121)),1)+(Besatzung!$F$20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S121="x")*((G121-IFERROR(H121,0))/IFERROR(COUNTIF(J121:U121,"x"),1)+(Besatzung!$F$20="x")*IFERROR(H121,0)/IFERROR(SUMPRODUCT((J121:U121="x")*(Besatzung!$F$11:$F$22="x")),1))),(IF(COUNTIF(J121:U121,"x")=0,IF(Besatzung!$B$20&lt;&gt;"",1,0),(S121="x"))*(G121-IFERROR(H121,0))/IFERROR(IF(COUNTIF(J121:U121,"x")=0,COUNTA(Besatzung!$B$11:$B$22),COUNTIF(J121:U121,"x")),1)+IF(COUNTIF(J121:U121,"x")=0,(Besatzung!$F$20="x"),(S121="x")*(Besatzung!$F$20="x"))*IFERROR(H121,0)/IFERROR(IF(COUNTIF(J121:U121,"x")=0,SUMPRODUCT((Besatzung!$B$11:$B$22&lt;&gt;"")*(Besatzung!$F$11:$F$22="x")),SUMPRODUCT((J121:U121="x")*(Besatzung!$F$11:$F$22="x"))),1))))),0))))</f>
        <v/>
      </c>
      <c r="AF121" s="106">
        <f>IF(C121="Gutschrift","",IF(G121="","",IF(Besatzung!$B$21="","",IFERROR(IF(I121="Zeitanteilig",(Besatzung!$G$21*(G121-IFERROR(H121,0))+((Besatzung!$B$21&lt;&gt;"")*IF(B121="",1,(IF(Besatzung!$C$21="",Besatzung!$B$5,Besatzung!$C$21)&lt;=B121)*(IF(Besatzung!$D$21="",Besatzung!$B$6,Besatzung!$D$21)&gt;=B121)))*(Besatzung!$F$21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$21&lt;&gt;"")*IF(B121="",1,(IF(Besatzung!$C$21="",Besatzung!$B$5,Besatzung!$C$21)&lt;=B121)*(IF(Besatzung!$D$21="",Besatzung!$B$6,Besatzung!$D$21)&gt;=B121)))*((G121-IFERROR(H121,0))/IFERROR(SUMPRODUCT((Besatzung!$B$11:$B$22&lt;&gt;"")*(IF(Besatzung!$C$11:$C$22="",Besatzung!$B$5,Besatzung!$C$11:$C$22)&lt;=B121)*(IF(Besatzung!$D$11:$D$22="",Besatzung!$B$6,Besatzung!$D$11:$D$22)&gt;=B121)),1)+(Besatzung!$F$21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T121="x")*((G121-IFERROR(H121,0))/IFERROR(COUNTIF(J121:U121,"x"),1)+(Besatzung!$F$21="x")*IFERROR(H121,0)/IFERROR(SUMPRODUCT((J121:U121="x")*(Besatzung!$F$11:$F$22="x")),1))),(IF(COUNTIF(J121:U121,"x")=0,IF(Besatzung!$B$21&lt;&gt;"",1,0),(T121="x"))*(G121-IFERROR(H121,0))/IFERROR(IF(COUNTIF(J121:U121,"x")=0,COUNTA(Besatzung!$B$11:$B$22),COUNTIF(J121:U121,"x")),1)+IF(COUNTIF(J121:U121,"x")=0,(Besatzung!$F$21="x"),(T121="x")*(Besatzung!$F$21="x"))*IFERROR(H121,0)/IFERROR(IF(COUNTIF(J121:U121,"x")=0,SUMPRODUCT((Besatzung!$B$11:$B$22&lt;&gt;"")*(Besatzung!$F$11:$F$22="x")),SUMPRODUCT((J121:U121="x")*(Besatzung!$F$11:$F$22="x"))),1))))),0))))</f>
        <v/>
      </c>
      <c r="AG121" s="106">
        <f>IF(C121="Gutschrift","",IF(G121="","",IF(Besatzung!$B$22="","",IFERROR(IF(I121="Zeitanteilig",(Besatzung!$G$22*(G121-IFERROR(H121,0))+((Besatzung!$B$22&lt;&gt;"")*IF(B121="",1,(IF(Besatzung!$C$22="",Besatzung!$B$5,Besatzung!$C$22)&lt;=B121)*(IF(Besatzung!$D$22="",Besatzung!$B$6,Besatzung!$D$22)&gt;=B121)))*(Besatzung!$F$22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$22&lt;&gt;"")*IF(B121="",1,(IF(Besatzung!$C$22="",Besatzung!$B$5,Besatzung!$C$22)&lt;=B121)*(IF(Besatzung!$D$22="",Besatzung!$B$6,Besatzung!$D$22)&gt;=B121)))*((G121-IFERROR(H121,0))/IFERROR(SUMPRODUCT((Besatzung!$B$11:$B$22&lt;&gt;"")*(IF(Besatzung!$C$11:$C$22="",Besatzung!$B$5,Besatzung!$C$11:$C$22)&lt;=B121)*(IF(Besatzung!$D$11:$D$22="",Besatzung!$B$6,Besatzung!$D$11:$D$22)&gt;=B121)),1)+(Besatzung!$F$22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U121="x")*((G121-IFERROR(H121,0))/IFERROR(COUNTIF(J121:U121,"x"),1)+(Besatzung!$F$22="x")*IFERROR(H121,0)/IFERROR(SUMPRODUCT((J121:U121="x")*(Besatzung!$F$11:$F$22="x")),1))),(IF(COUNTIF(J121:U121,"x")=0,IF(Besatzung!$B$22&lt;&gt;"",1,0),(U121="x"))*(G121-IFERROR(H121,0))/IFERROR(IF(COUNTIF(J121:U121,"x")=0,COUNTA(Besatzung!$B$11:$B$22),COUNTIF(J121:U121,"x")),1)+IF(COUNTIF(J121:U121,"x")=0,(Besatzung!$F$22="x"),(U121="x")*(Besatzung!$F$22="x"))*IFERROR(H121,0)/IFERROR(IF(COUNTIF(J121:U121,"x")=0,SUMPRODUCT((Besatzung!$B$11:$B$22&lt;&gt;"")*(Besatzung!$F$11:$F$22="x")),SUMPRODUCT((J121:U121="x")*(Besatzung!$F$11:$F$22="x"))),1))))),0))))</f>
        <v/>
      </c>
      <c r="AH121" s="107" t="n"/>
      <c r="AI121" s="107" t="n"/>
    </row>
    <row r="122" ht="21.75" customHeight="1" s="182">
      <c r="A122" s="97">
        <f>IF(AND(D122="",C122=""),"",119)</f>
        <v/>
      </c>
      <c r="B122" s="56" t="n"/>
      <c r="C122" s="98" t="n"/>
      <c r="D122" s="99" t="n"/>
      <c r="E122" s="100" t="n"/>
      <c r="F122" s="101" t="n"/>
      <c r="G122" s="102" t="n"/>
      <c r="H122" s="103" t="n"/>
      <c r="I122" s="104" t="n"/>
      <c r="J122" s="105" t="n"/>
      <c r="K122" s="105" t="n"/>
      <c r="L122" s="105" t="n"/>
      <c r="M122" s="105" t="n"/>
      <c r="N122" s="105" t="n"/>
      <c r="O122" s="105" t="n"/>
      <c r="P122" s="105" t="n"/>
      <c r="Q122" s="105" t="n"/>
      <c r="R122" s="105" t="n"/>
      <c r="S122" s="105" t="n"/>
      <c r="T122" s="105" t="n"/>
      <c r="U122" s="105" t="n"/>
      <c r="V122" s="106">
        <f>IF(C122="Gutschrift","",IF(G122="","",IF(Besatzung!$B$11="","",IFERROR(IF(I122="Zeitanteilig",(Besatzung!$G$11*(G122-IFERROR(H122,0))+((Besatzung!$B$11&lt;&gt;"")*IF(B122="",1,(IF(Besatzung!$C$11="",Besatzung!$B$5,Besatzung!$C$11)&lt;=B122)*(IF(Besatzung!$D$11="",Besatzung!$B$6,Besatzung!$D$11)&gt;=B122)))*(Besatzung!$F$11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$11&lt;&gt;"")*IF(B122="",1,(IF(Besatzung!$C$11="",Besatzung!$B$5,Besatzung!$C$11)&lt;=B122)*(IF(Besatzung!$D$11="",Besatzung!$B$6,Besatzung!$D$11)&gt;=B122)))*((G122-IFERROR(H122,0))/IFERROR(SUMPRODUCT((Besatzung!$B$11:$B$22&lt;&gt;"")*(IF(Besatzung!$C$11:$C$22="",Besatzung!$B$5,Besatzung!$C$11:$C$22)&lt;=B122)*(IF(Besatzung!$D$11:$D$22="",Besatzung!$B$6,Besatzung!$D$11:$D$22)&gt;=B122)),1)+(Besatzung!$F$11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J122="x")*((G122-IFERROR(H122,0))/IFERROR(COUNTIF(J122:U122,"x"),1)+(Besatzung!$F$11="x")*IFERROR(H122,0)/IFERROR(SUMPRODUCT((J122:U122="x")*(Besatzung!$F$11:$F$22="x")),1))),(IF(COUNTIF(J122:U122,"x")=0,IF(Besatzung!$B$11&lt;&gt;"",1,0),(J122="x"))*(G122-IFERROR(H122,0))/IFERROR(IF(COUNTIF(J122:U122,"x")=0,COUNTA(Besatzung!$B$11:$B$22),COUNTIF(J122:U122,"x")),1)+IF(COUNTIF(J122:U122,"x")=0,(Besatzung!$F$11="x"),(J122="x")*(Besatzung!$F$11="x"))*IFERROR(H122,0)/IFERROR(IF(COUNTIF(J122:U122,"x")=0,SUMPRODUCT((Besatzung!$B$11:$B$22&lt;&gt;"")*(Besatzung!$F$11:$F$22="x")),SUMPRODUCT((J122:U122="x")*(Besatzung!$F$11:$F$22="x"))),1))))),0))))</f>
        <v/>
      </c>
      <c r="W122" s="106">
        <f>IF(C122="Gutschrift","",IF(G122="","",IF(Besatzung!$B$12="","",IFERROR(IF(I122="Zeitanteilig",(Besatzung!$G$12*(G122-IFERROR(H122,0))+((Besatzung!$B$12&lt;&gt;"")*IF(B122="",1,(IF(Besatzung!$C$12="",Besatzung!$B$5,Besatzung!$C$12)&lt;=B122)*(IF(Besatzung!$D$12="",Besatzung!$B$6,Besatzung!$D$12)&gt;=B122)))*(Besatzung!$F$12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$12&lt;&gt;"")*IF(B122="",1,(IF(Besatzung!$C$12="",Besatzung!$B$5,Besatzung!$C$12)&lt;=B122)*(IF(Besatzung!$D$12="",Besatzung!$B$6,Besatzung!$D$12)&gt;=B122)))*((G122-IFERROR(H122,0))/IFERROR(SUMPRODUCT((Besatzung!$B$11:$B$22&lt;&gt;"")*(IF(Besatzung!$C$11:$C$22="",Besatzung!$B$5,Besatzung!$C$11:$C$22)&lt;=B122)*(IF(Besatzung!$D$11:$D$22="",Besatzung!$B$6,Besatzung!$D$11:$D$22)&gt;=B122)),1)+(Besatzung!$F$12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K122="x")*((G122-IFERROR(H122,0))/IFERROR(COUNTIF(J122:U122,"x"),1)+(Besatzung!$F$12="x")*IFERROR(H122,0)/IFERROR(SUMPRODUCT((J122:U122="x")*(Besatzung!$F$11:$F$22="x")),1))),(IF(COUNTIF(J122:U122,"x")=0,IF(Besatzung!$B$12&lt;&gt;"",1,0),(K122="x"))*(G122-IFERROR(H122,0))/IFERROR(IF(COUNTIF(J122:U122,"x")=0,COUNTA(Besatzung!$B$11:$B$22),COUNTIF(J122:U122,"x")),1)+IF(COUNTIF(J122:U122,"x")=0,(Besatzung!$F$12="x"),(K122="x")*(Besatzung!$F$12="x"))*IFERROR(H122,0)/IFERROR(IF(COUNTIF(J122:U122,"x")=0,SUMPRODUCT((Besatzung!$B$11:$B$22&lt;&gt;"")*(Besatzung!$F$11:$F$22="x")),SUMPRODUCT((J122:U122="x")*(Besatzung!$F$11:$F$22="x"))),1))))),0))))</f>
        <v/>
      </c>
      <c r="X122" s="106">
        <f>IF(C122="Gutschrift","",IF(G122="","",IF(Besatzung!$B$13="","",IFERROR(IF(I122="Zeitanteilig",(Besatzung!$G$13*(G122-IFERROR(H122,0))+((Besatzung!$B$13&lt;&gt;"")*IF(B122="",1,(IF(Besatzung!$C$13="",Besatzung!$B$5,Besatzung!$C$13)&lt;=B122)*(IF(Besatzung!$D$13="",Besatzung!$B$6,Besatzung!$D$13)&gt;=B122)))*(Besatzung!$F$13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$13&lt;&gt;"")*IF(B122="",1,(IF(Besatzung!$C$13="",Besatzung!$B$5,Besatzung!$C$13)&lt;=B122)*(IF(Besatzung!$D$13="",Besatzung!$B$6,Besatzung!$D$13)&gt;=B122)))*((G122-IFERROR(H122,0))/IFERROR(SUMPRODUCT((Besatzung!$B$11:$B$22&lt;&gt;"")*(IF(Besatzung!$C$11:$C$22="",Besatzung!$B$5,Besatzung!$C$11:$C$22)&lt;=B122)*(IF(Besatzung!$D$11:$D$22="",Besatzung!$B$6,Besatzung!$D$11:$D$22)&gt;=B122)),1)+(Besatzung!$F$13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K122="x")*((G122-IFERROR(H122,0))/IFERROR(COUNTIF(J122:U122,"x"),1)+(Besatzung!$F$13="x")*IFERROR(H122,0)/IFERROR(SUMPRODUCT((J122:U122="x")*(Besatzung!$F$11:$F$22="x")),1))),(IF(COUNTIF(J122:U122,"x")=0,IF(Besatzung!$B$13&lt;&gt;"",1,0),(K122="x"))*(G122-IFERROR(H122,0))/IFERROR(IF(COUNTIF(J122:U122,"x")=0,COUNTA(Besatzung!$B$11:$B$22),COUNTIF(J122:U122,"x")),1)+IF(COUNTIF(J122:U122,"x")=0,(Besatzung!$F$13="x"),(K122="x")*(Besatzung!$F$13="x"))*IFERROR(H122,0)/IFERROR(IF(COUNTIF(J122:U122,"x")=0,SUMPRODUCT((Besatzung!$B$11:$B$22&lt;&gt;"")*(Besatzung!$F$11:$F$22="x")),SUMPRODUCT((J122:U122="x")*(Besatzung!$F$11:$F$22="x"))),1))))),0))))</f>
        <v/>
      </c>
      <c r="Y122" s="106">
        <f>IF(C122="Gutschrift","",IF(G122="","",IF(Besatzung!$B$14="","",IFERROR(IF(I122="Zeitanteilig",(Besatzung!$G$14*(G122-IFERROR(H122,0))+((Besatzung!$B$14&lt;&gt;"")*IF(B122="",1,(IF(Besatzung!$C$14="",Besatzung!$B$5,Besatzung!$C$14)&lt;=B122)*(IF(Besatzung!$D$14="",Besatzung!$B$6,Besatzung!$D$14)&gt;=B122)))*(Besatzung!$F$14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$14&lt;&gt;"")*IF(B122="",1,(IF(Besatzung!$C$14="",Besatzung!$B$5,Besatzung!$C$14)&lt;=B122)*(IF(Besatzung!$D$14="",Besatzung!$B$6,Besatzung!$D$14)&gt;=B122)))*((G122-IFERROR(H122,0))/IFERROR(SUMPRODUCT((Besatzung!$B$11:$B$22&lt;&gt;"")*(IF(Besatzung!$C$11:$C$22="",Besatzung!$B$5,Besatzung!$C$11:$C$22)&lt;=B122)*(IF(Besatzung!$D$11:$D$22="",Besatzung!$B$6,Besatzung!$D$11:$D$22)&gt;=B122)),1)+(Besatzung!$F$14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M122="x")*((G122-IFERROR(H122,0))/IFERROR(COUNTIF(J122:U122,"x"),1)+(Besatzung!$F$14="x")*IFERROR(H122,0)/IFERROR(SUMPRODUCT((J122:U122="x")*(Besatzung!$F$11:$F$22="x")),1))),(IF(COUNTIF(J122:U122,"x")=0,IF(Besatzung!$B$14&lt;&gt;"",1,0),(M122="x"))*(G122-IFERROR(H122,0))/IFERROR(IF(COUNTIF(J122:U122,"x")=0,COUNTA(Besatzung!$B$11:$B$22),COUNTIF(J122:U122,"x")),1)+IF(COUNTIF(J122:U122,"x")=0,(Besatzung!$F$14="x"),(M122="x")*(Besatzung!$F$14="x"))*IFERROR(H122,0)/IFERROR(IF(COUNTIF(J122:U122,"x")=0,SUMPRODUCT((Besatzung!$B$11:$B$22&lt;&gt;"")*(Besatzung!$F$11:$F$22="x")),SUMPRODUCT((J122:U122="x")*(Besatzung!$F$11:$F$22="x"))),1))))),0))))</f>
        <v/>
      </c>
      <c r="Z122" s="106">
        <f>IF(C122="Gutschrift","",IF(G122="","",IF(Besatzung!$B$13="","",IFERROR(IF(I122="Zeitanteilig",(Besatzung!$G$15*(G122-IFERROR(H122,0))+((Besatzung!$B$13&lt;&gt;"")*IF(B122="",1,(IF(Besatzung!$C$15="",Besatzung!$B$5,Besatzung!$C$15)&lt;=B122)*(IF(Besatzung!$D$15="",Besatzung!$B$6,Besatzung!$D$15)&gt;=B122)))*(Besatzung!$F$15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$13&lt;&gt;"")*IF(B122="",1,(IF(Besatzung!$C$15="",Besatzung!$B$5,Besatzung!$C$15)&lt;=B122)*(IF(Besatzung!$D$15="",Besatzung!$B$6,Besatzung!$D$15)&gt;=B122)))*((G122-IFERROR(H122,0))/IFERROR(SUMPRODUCT((Besatzung!$B$11:$B$22&lt;&gt;"")*(IF(Besatzung!$C$11:$C$22="",Besatzung!$B$5,Besatzung!$C$11:$C$22)&lt;=B122)*(IF(Besatzung!$D$11:$D$22="",Besatzung!$B$6,Besatzung!$D$11:$D$22)&gt;=B122)),1)+(Besatzung!$F$15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N122="x")*((G122-IFERROR(H122,0))/IFERROR(COUNTIF(J122:U122,"x"),1)+(Besatzung!$F$15="x")*IFERROR(H122,0)/IFERROR(SUMPRODUCT((J122:U122="x")*(Besatzung!$F$11:$F$22="x")),1))),(IF(COUNTIF(J122:U122,"x")=0,IF(Besatzung!$B$13&lt;&gt;"",1,0),(N122="x"))*(G122-IFERROR(H122,0))/IFERROR(IF(COUNTIF(J122:U122,"x")=0,COUNTA(Besatzung!$B$11:$B$22),COUNTIF(J122:U122,"x")),1)+IF(COUNTIF(J122:U122,"x")=0,(Besatzung!$F$15="x"),(N122="x")*(Besatzung!$F$15="x"))*IFERROR(H122,0)/IFERROR(IF(COUNTIF(J122:U122,"x")=0,SUMPRODUCT((Besatzung!$B$11:$B$22&lt;&gt;"")*(Besatzung!$F$11:$F$22="x")),SUMPRODUCT((J122:U122="x")*(Besatzung!$F$11:$F$22="x"))),1))))),0))))</f>
        <v/>
      </c>
      <c r="AA122" s="106">
        <f>IF(C122="Gutschrift","",IF(G122="","",IF(Besatzung!$B$15="","",IFERROR(IF(I122="Zeitanteilig",(Besatzung!$G$16*(G122-IFERROR(H122,0))+((Besatzung!$B$15&lt;&gt;"")*IF(B122="",1,(IF(Besatzung!$C$16="",Besatzung!$B$5,Besatzung!$C$16)&lt;=B122)*(IF(Besatzung!$D$16="",Besatzung!$B$6,Besatzung!$D$16)&gt;=B122)))*(Besatzung!$F$16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$15&lt;&gt;"")*IF(B122="",1,(IF(Besatzung!$C$16="",Besatzung!$B$5,Besatzung!$C$16)&lt;=B122)*(IF(Besatzung!$D$16="",Besatzung!$B$6,Besatzung!$D$16)&gt;=B122)))*((G122-IFERROR(H122,0))/IFERROR(SUMPRODUCT((Besatzung!$B$11:$B$22&lt;&gt;"")*(IF(Besatzung!$C$11:$C$22="",Besatzung!$B$5,Besatzung!$C$11:$C$22)&lt;=B122)*(IF(Besatzung!$D$11:$D$22="",Besatzung!$B$6,Besatzung!$D$11:$D$22)&gt;=B122)),1)+(Besatzung!$F$16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O122="x")*((G122-IFERROR(H122,0))/IFERROR(COUNTIF(J122:U122,"x"),1)+(Besatzung!$F$16="x")*IFERROR(H122,0)/IFERROR(SUMPRODUCT((J122:U122="x")*(Besatzung!$F$11:$F$22="x")),1))),(IF(COUNTIF(J122:U122,"x")=0,IF(Besatzung!$B$15&lt;&gt;"",1,0),(O122="x"))*(G122-IFERROR(H122,0))/IFERROR(IF(COUNTIF(J122:U122,"x")=0,COUNTA(Besatzung!$B$11:$B$22),COUNTIF(J122:U122,"x")),1)+IF(COUNTIF(J122:U122,"x")=0,(Besatzung!$F$16="x"),(O122="x")*(Besatzung!$F$16="x"))*IFERROR(H122,0)/IFERROR(IF(COUNTIF(J122:U122,"x")=0,SUMPRODUCT((Besatzung!$B$11:$B$22&lt;&gt;"")*(Besatzung!$F$11:$F$22="x")),SUMPRODUCT((J122:U122="x")*(Besatzung!$F$11:$F$22="x"))),1))))),0))))</f>
        <v/>
      </c>
      <c r="AB122" s="106">
        <f>IF(C122="Gutschrift","",IF(G122="","",IF(Besatzung!$B$17="","",IFERROR(IF(I122="Zeitanteilig",(Besatzung!$G$17*(G122-IFERROR(H122,0))+((Besatzung!$B$17&lt;&gt;"")*IF(B122="",1,(IF(Besatzung!$C$17="",Besatzung!$B$5,Besatzung!$C$17)&lt;=B122)*(IF(Besatzung!$D$17="",Besatzung!$B$6,Besatzung!$D$17)&gt;=B122)))*(Besatzung!$F$17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$17&lt;&gt;"")*IF(B122="",1,(IF(Besatzung!$C$17="",Besatzung!$B$5,Besatzung!$C$17)&lt;=B122)*(IF(Besatzung!$D$17="",Besatzung!$B$6,Besatzung!$D$17)&gt;=B122)))*((G122-IFERROR(H122,0))/IFERROR(SUMPRODUCT((Besatzung!$B$11:$B$22&lt;&gt;"")*(IF(Besatzung!$C$11:$C$22="",Besatzung!$B$5,Besatzung!$C$11:$C$22)&lt;=B122)*(IF(Besatzung!$D$11:$D$22="",Besatzung!$B$6,Besatzung!$D$11:$D$22)&gt;=B122)),1)+(Besatzung!$F$17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P122="x")*((G122-IFERROR(H122,0))/IFERROR(COUNTIF(J122:U122,"x"),1)+(Besatzung!$F$17="x")*IFERROR(H122,0)/IFERROR(SUMPRODUCT((J122:U122="x")*(Besatzung!$F$11:$F$22="x")),1))),(IF(COUNTIF(J122:U122,"x")=0,IF(Besatzung!$B$17&lt;&gt;"",1,0),(P122="x"))*(G122-IFERROR(H122,0))/IFERROR(IF(COUNTIF(J122:U122,"x")=0,COUNTA(Besatzung!$B$11:$B$22),COUNTIF(J122:U122,"x")),1)+IF(COUNTIF(J122:U122,"x")=0,(Besatzung!$F$17="x"),(P122="x")*(Besatzung!$F$17="x"))*IFERROR(H122,0)/IFERROR(IF(COUNTIF(J122:U122,"x")=0,SUMPRODUCT((Besatzung!$B$11:$B$22&lt;&gt;"")*(Besatzung!$F$11:$F$22="x")),SUMPRODUCT((J122:U122="x")*(Besatzung!$F$11:$F$22="x"))),1))))),0))))</f>
        <v/>
      </c>
      <c r="AC122" s="106">
        <f>IF(C122="Gutschrift","",IF(G122="","",IF(Besatzung!$B$18="","",IFERROR(IF(I122="Zeitanteilig",(Besatzung!$G$18*(G122-IFERROR(H122,0))+((Besatzung!$B$18&lt;&gt;"")*IF(B122="",1,(IF(Besatzung!$C$18="",Besatzung!$B$5,Besatzung!$C$18)&lt;=B122)*(IF(Besatzung!$D$18="",Besatzung!$B$6,Besatzung!$D$18)&gt;=B122)))*(Besatzung!$F$18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$18&lt;&gt;"")*IF(B122="",1,(IF(Besatzung!$C$18="",Besatzung!$B$5,Besatzung!$C$18)&lt;=B122)*(IF(Besatzung!$D$18="",Besatzung!$B$6,Besatzung!$D$18)&gt;=B122)))*((G122-IFERROR(H122,0))/IFERROR(SUMPRODUCT((Besatzung!$B$11:$B$22&lt;&gt;"")*(IF(Besatzung!$C$11:$C$22="",Besatzung!$B$5,Besatzung!$C$11:$C$22)&lt;=B122)*(IF(Besatzung!$D$11:$D$22="",Besatzung!$B$6,Besatzung!$D$11:$D$22)&gt;=B122)),1)+(Besatzung!$F$18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Q122="x")*((G122-IFERROR(H122,0))/IFERROR(COUNTIF(J122:U122,"x"),1)+(Besatzung!$F$18="x")*IFERROR(H122,0)/IFERROR(SUMPRODUCT((J122:U122="x")*(Besatzung!$F$11:$F$22="x")),1))),(IF(COUNTIF(J122:U122,"x")=0,IF(Besatzung!$B$18&lt;&gt;"",1,0),(Q122="x"))*(G122-IFERROR(H122,0))/IFERROR(IF(COUNTIF(J122:U122,"x")=0,COUNTA(Besatzung!$B$11:$B$22),COUNTIF(J122:U122,"x")),1)+IF(COUNTIF(J122:U122,"x")=0,(Besatzung!$F$18="x"),(Q122="x")*(Besatzung!$F$18="x"))*IFERROR(H122,0)/IFERROR(IF(COUNTIF(J122:U122,"x")=0,SUMPRODUCT((Besatzung!$B$11:$B$22&lt;&gt;"")*(Besatzung!$F$11:$F$22="x")),SUMPRODUCT((J122:U122="x")*(Besatzung!$F$11:$F$22="x"))),1))))),0))))</f>
        <v/>
      </c>
      <c r="AD122" s="106">
        <f>IF(C122="Gutschrift","",IF(G122="","",IF(Besatzung!$B$19="","",IFERROR(IF(I122="Zeitanteilig",(Besatzung!$G$19*(G122-IFERROR(H122,0))+((Besatzung!$B$19&lt;&gt;"")*IF(B122="",1,(IF(Besatzung!$C$19="",Besatzung!$B$5,Besatzung!$C$19)&lt;=B122)*(IF(Besatzung!$D$19="",Besatzung!$B$6,Besatzung!$D$19)&gt;=B122)))*(Besatzung!$F$19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$19&lt;&gt;"")*IF(B122="",1,(IF(Besatzung!$C$19="",Besatzung!$B$5,Besatzung!$C$19)&lt;=B122)*(IF(Besatzung!$D$19="",Besatzung!$B$6,Besatzung!$D$19)&gt;=B122)))*((G122-IFERROR(H122,0))/IFERROR(SUMPRODUCT((Besatzung!$B$11:$B$22&lt;&gt;"")*(IF(Besatzung!$C$11:$C$22="",Besatzung!$B$5,Besatzung!$C$11:$C$22)&lt;=B122)*(IF(Besatzung!$D$11:$D$22="",Besatzung!$B$6,Besatzung!$D$11:$D$22)&gt;=B122)),1)+(Besatzung!$F$19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R122="x")*((G122-IFERROR(H122,0))/IFERROR(COUNTIF(J122:U122,"x"),1)+(Besatzung!$F$19="x")*IFERROR(H122,0)/IFERROR(SUMPRODUCT((J122:U122="x")*(Besatzung!$F$11:$F$22="x")),1))),(IF(COUNTIF(J122:U122,"x")=0,IF(Besatzung!$B$19&lt;&gt;"",1,0),(R122="x"))*(G122-IFERROR(H122,0))/IFERROR(IF(COUNTIF(J122:U122,"x")=0,COUNTA(Besatzung!$B$11:$B$22),COUNTIF(J122:U122,"x")),1)+IF(COUNTIF(J122:U122,"x")=0,(Besatzung!$F$19="x"),(R122="x")*(Besatzung!$F$19="x"))*IFERROR(H122,0)/IFERROR(IF(COUNTIF(J122:U122,"x")=0,SUMPRODUCT((Besatzung!$B$11:$B$22&lt;&gt;"")*(Besatzung!$F$11:$F$22="x")),SUMPRODUCT((J122:U122="x")*(Besatzung!$F$11:$F$22="x"))),1))))),0))))</f>
        <v/>
      </c>
      <c r="AE122" s="106">
        <f>IF(C122="Gutschrift","",IF(G122="","",IF(Besatzung!$B$20="","",IFERROR(IF(I122="Zeitanteilig",(Besatzung!$G$20*(G122-IFERROR(H122,0))+((Besatzung!$B$20&lt;&gt;"")*IF(B122="",1,(IF(Besatzung!$C$20="",Besatzung!$B$5,Besatzung!$C$20)&lt;=B122)*(IF(Besatzung!$D$20="",Besatzung!$B$6,Besatzung!$D$20)&gt;=B122)))*(Besatzung!$F$20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$20&lt;&gt;"")*IF(B122="",1,(IF(Besatzung!$C$20="",Besatzung!$B$5,Besatzung!$C$20)&lt;=B122)*(IF(Besatzung!$D$20="",Besatzung!$B$6,Besatzung!$D$20)&gt;=B122)))*((G122-IFERROR(H122,0))/IFERROR(SUMPRODUCT((Besatzung!$B$11:$B$22&lt;&gt;"")*(IF(Besatzung!$C$11:$C$22="",Besatzung!$B$5,Besatzung!$C$11:$C$22)&lt;=B122)*(IF(Besatzung!$D$11:$D$22="",Besatzung!$B$6,Besatzung!$D$11:$D$22)&gt;=B122)),1)+(Besatzung!$F$20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S122="x")*((G122-IFERROR(H122,0))/IFERROR(COUNTIF(J122:U122,"x"),1)+(Besatzung!$F$20="x")*IFERROR(H122,0)/IFERROR(SUMPRODUCT((J122:U122="x")*(Besatzung!$F$11:$F$22="x")),1))),(IF(COUNTIF(J122:U122,"x")=0,IF(Besatzung!$B$20&lt;&gt;"",1,0),(S122="x"))*(G122-IFERROR(H122,0))/IFERROR(IF(COUNTIF(J122:U122,"x")=0,COUNTA(Besatzung!$B$11:$B$22),COUNTIF(J122:U122,"x")),1)+IF(COUNTIF(J122:U122,"x")=0,(Besatzung!$F$20="x"),(S122="x")*(Besatzung!$F$20="x"))*IFERROR(H122,0)/IFERROR(IF(COUNTIF(J122:U122,"x")=0,SUMPRODUCT((Besatzung!$B$11:$B$22&lt;&gt;"")*(Besatzung!$F$11:$F$22="x")),SUMPRODUCT((J122:U122="x")*(Besatzung!$F$11:$F$22="x"))),1))))),0))))</f>
        <v/>
      </c>
      <c r="AF122" s="106">
        <f>IF(C122="Gutschrift","",IF(G122="","",IF(Besatzung!$B$21="","",IFERROR(IF(I122="Zeitanteilig",(Besatzung!$G$21*(G122-IFERROR(H122,0))+((Besatzung!$B$21&lt;&gt;"")*IF(B122="",1,(IF(Besatzung!$C$21="",Besatzung!$B$5,Besatzung!$C$21)&lt;=B122)*(IF(Besatzung!$D$21="",Besatzung!$B$6,Besatzung!$D$21)&gt;=B122)))*(Besatzung!$F$21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$21&lt;&gt;"")*IF(B122="",1,(IF(Besatzung!$C$21="",Besatzung!$B$5,Besatzung!$C$21)&lt;=B122)*(IF(Besatzung!$D$21="",Besatzung!$B$6,Besatzung!$D$21)&gt;=B122)))*((G122-IFERROR(H122,0))/IFERROR(SUMPRODUCT((Besatzung!$B$11:$B$22&lt;&gt;"")*(IF(Besatzung!$C$11:$C$22="",Besatzung!$B$5,Besatzung!$C$11:$C$22)&lt;=B122)*(IF(Besatzung!$D$11:$D$22="",Besatzung!$B$6,Besatzung!$D$11:$D$22)&gt;=B122)),1)+(Besatzung!$F$21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T122="x")*((G122-IFERROR(H122,0))/IFERROR(COUNTIF(J122:U122,"x"),1)+(Besatzung!$F$21="x")*IFERROR(H122,0)/IFERROR(SUMPRODUCT((J122:U122="x")*(Besatzung!$F$11:$F$22="x")),1))),(IF(COUNTIF(J122:U122,"x")=0,IF(Besatzung!$B$21&lt;&gt;"",1,0),(T122="x"))*(G122-IFERROR(H122,0))/IFERROR(IF(COUNTIF(J122:U122,"x")=0,COUNTA(Besatzung!$B$11:$B$22),COUNTIF(J122:U122,"x")),1)+IF(COUNTIF(J122:U122,"x")=0,(Besatzung!$F$21="x"),(T122="x")*(Besatzung!$F$21="x"))*IFERROR(H122,0)/IFERROR(IF(COUNTIF(J122:U122,"x")=0,SUMPRODUCT((Besatzung!$B$11:$B$22&lt;&gt;"")*(Besatzung!$F$11:$F$22="x")),SUMPRODUCT((J122:U122="x")*(Besatzung!$F$11:$F$22="x"))),1))))),0))))</f>
        <v/>
      </c>
      <c r="AG122" s="106">
        <f>IF(C122="Gutschrift","",IF(G122="","",IF(Besatzung!$B$22="","",IFERROR(IF(I122="Zeitanteilig",(Besatzung!$G$22*(G122-IFERROR(H122,0))+((Besatzung!$B$22&lt;&gt;"")*IF(B122="",1,(IF(Besatzung!$C$22="",Besatzung!$B$5,Besatzung!$C$22)&lt;=B122)*(IF(Besatzung!$D$22="",Besatzung!$B$6,Besatzung!$D$22)&gt;=B122)))*(Besatzung!$F$22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$22&lt;&gt;"")*IF(B122="",1,(IF(Besatzung!$C$22="",Besatzung!$B$5,Besatzung!$C$22)&lt;=B122)*(IF(Besatzung!$D$22="",Besatzung!$B$6,Besatzung!$D$22)&gt;=B122)))*((G122-IFERROR(H122,0))/IFERROR(SUMPRODUCT((Besatzung!$B$11:$B$22&lt;&gt;"")*(IF(Besatzung!$C$11:$C$22="",Besatzung!$B$5,Besatzung!$C$11:$C$22)&lt;=B122)*(IF(Besatzung!$D$11:$D$22="",Besatzung!$B$6,Besatzung!$D$11:$D$22)&gt;=B122)),1)+(Besatzung!$F$22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U122="x")*((G122-IFERROR(H122,0))/IFERROR(COUNTIF(J122:U122,"x"),1)+(Besatzung!$F$22="x")*IFERROR(H122,0)/IFERROR(SUMPRODUCT((J122:U122="x")*(Besatzung!$F$11:$F$22="x")),1))),(IF(COUNTIF(J122:U122,"x")=0,IF(Besatzung!$B$22&lt;&gt;"",1,0),(U122="x"))*(G122-IFERROR(H122,0))/IFERROR(IF(COUNTIF(J122:U122,"x")=0,COUNTA(Besatzung!$B$11:$B$22),COUNTIF(J122:U122,"x")),1)+IF(COUNTIF(J122:U122,"x")=0,(Besatzung!$F$22="x"),(U122="x")*(Besatzung!$F$22="x"))*IFERROR(H122,0)/IFERROR(IF(COUNTIF(J122:U122,"x")=0,SUMPRODUCT((Besatzung!$B$11:$B$22&lt;&gt;"")*(Besatzung!$F$11:$F$22="x")),SUMPRODUCT((J122:U122="x")*(Besatzung!$F$11:$F$22="x"))),1))))),0))))</f>
        <v/>
      </c>
      <c r="AH122" s="107" t="n"/>
      <c r="AI122" s="107" t="n"/>
    </row>
    <row r="123" ht="21.75" customHeight="1" s="182">
      <c r="A123" s="97">
        <f>IF(AND(D123="",C123=""),"",120)</f>
        <v/>
      </c>
      <c r="B123" s="63" t="n"/>
      <c r="C123" s="108" t="n"/>
      <c r="D123" s="109" t="n"/>
      <c r="E123" s="110" t="n"/>
      <c r="F123" s="111" t="n"/>
      <c r="G123" s="112" t="n"/>
      <c r="H123" s="113" t="n"/>
      <c r="I123" s="114" t="n"/>
      <c r="J123" s="115" t="n"/>
      <c r="K123" s="115" t="n"/>
      <c r="L123" s="115" t="n"/>
      <c r="M123" s="115" t="n"/>
      <c r="N123" s="115" t="n"/>
      <c r="O123" s="115" t="n"/>
      <c r="P123" s="115" t="n"/>
      <c r="Q123" s="115" t="n"/>
      <c r="R123" s="115" t="n"/>
      <c r="S123" s="115" t="n"/>
      <c r="T123" s="115" t="n"/>
      <c r="U123" s="115" t="n"/>
      <c r="V123" s="106">
        <f>IF(C123="Gutschrift","",IF(G123="","",IF(Besatzung!$B$11="","",IFERROR(IF(I123="Zeitanteilig",(Besatzung!$G$11*(G123-IFERROR(H123,0))+((Besatzung!$B$11&lt;&gt;"")*IF(B123="",1,(IF(Besatzung!$C$11="",Besatzung!$B$5,Besatzung!$C$11)&lt;=B123)*(IF(Besatzung!$D$11="",Besatzung!$B$6,Besatzung!$D$11)&gt;=B123)))*(Besatzung!$F$11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$11&lt;&gt;"")*IF(B123="",1,(IF(Besatzung!$C$11="",Besatzung!$B$5,Besatzung!$C$11)&lt;=B123)*(IF(Besatzung!$D$11="",Besatzung!$B$6,Besatzung!$D$11)&gt;=B123)))*((G123-IFERROR(H123,0))/IFERROR(SUMPRODUCT((Besatzung!$B$11:$B$22&lt;&gt;"")*(IF(Besatzung!$C$11:$C$22="",Besatzung!$B$5,Besatzung!$C$11:$C$22)&lt;=B123)*(IF(Besatzung!$D$11:$D$22="",Besatzung!$B$6,Besatzung!$D$11:$D$22)&gt;=B123)),1)+(Besatzung!$F$11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J123="x")*((G123-IFERROR(H123,0))/IFERROR(COUNTIF(J123:U123,"x"),1)+(Besatzung!$F$11="x")*IFERROR(H123,0)/IFERROR(SUMPRODUCT((J123:U123="x")*(Besatzung!$F$11:$F$22="x")),1))),(IF(COUNTIF(J123:U123,"x")=0,IF(Besatzung!$B$11&lt;&gt;"",1,0),(J123="x"))*(G123-IFERROR(H123,0))/IFERROR(IF(COUNTIF(J123:U123,"x")=0,COUNTA(Besatzung!$B$11:$B$22),COUNTIF(J123:U123,"x")),1)+IF(COUNTIF(J123:U123,"x")=0,(Besatzung!$F$11="x"),(J123="x")*(Besatzung!$F$11="x"))*IFERROR(H123,0)/IFERROR(IF(COUNTIF(J123:U123,"x")=0,SUMPRODUCT((Besatzung!$B$11:$B$22&lt;&gt;"")*(Besatzung!$F$11:$F$22="x")),SUMPRODUCT((J123:U123="x")*(Besatzung!$F$11:$F$22="x"))),1))))),0))))</f>
        <v/>
      </c>
      <c r="W123" s="106">
        <f>IF(C123="Gutschrift","",IF(G123="","",IF(Besatzung!$B$12="","",IFERROR(IF(I123="Zeitanteilig",(Besatzung!$G$12*(G123-IFERROR(H123,0))+((Besatzung!$B$12&lt;&gt;"")*IF(B123="",1,(IF(Besatzung!$C$12="",Besatzung!$B$5,Besatzung!$C$12)&lt;=B123)*(IF(Besatzung!$D$12="",Besatzung!$B$6,Besatzung!$D$12)&gt;=B123)))*(Besatzung!$F$12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$12&lt;&gt;"")*IF(B123="",1,(IF(Besatzung!$C$12="",Besatzung!$B$5,Besatzung!$C$12)&lt;=B123)*(IF(Besatzung!$D$12="",Besatzung!$B$6,Besatzung!$D$12)&gt;=B123)))*((G123-IFERROR(H123,0))/IFERROR(SUMPRODUCT((Besatzung!$B$11:$B$22&lt;&gt;"")*(IF(Besatzung!$C$11:$C$22="",Besatzung!$B$5,Besatzung!$C$11:$C$22)&lt;=B123)*(IF(Besatzung!$D$11:$D$22="",Besatzung!$B$6,Besatzung!$D$11:$D$22)&gt;=B123)),1)+(Besatzung!$F$12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K123="x")*((G123-IFERROR(H123,0))/IFERROR(COUNTIF(J123:U123,"x"),1)+(Besatzung!$F$12="x")*IFERROR(H123,0)/IFERROR(SUMPRODUCT((J123:U123="x")*(Besatzung!$F$11:$F$22="x")),1))),(IF(COUNTIF(J123:U123,"x")=0,IF(Besatzung!$B$12&lt;&gt;"",1,0),(K123="x"))*(G123-IFERROR(H123,0))/IFERROR(IF(COUNTIF(J123:U123,"x")=0,COUNTA(Besatzung!$B$11:$B$22),COUNTIF(J123:U123,"x")),1)+IF(COUNTIF(J123:U123,"x")=0,(Besatzung!$F$12="x"),(K123="x")*(Besatzung!$F$12="x"))*IFERROR(H123,0)/IFERROR(IF(COUNTIF(J123:U123,"x")=0,SUMPRODUCT((Besatzung!$B$11:$B$22&lt;&gt;"")*(Besatzung!$F$11:$F$22="x")),SUMPRODUCT((J123:U123="x")*(Besatzung!$F$11:$F$22="x"))),1))))),0))))</f>
        <v/>
      </c>
      <c r="X123" s="106">
        <f>IF(C123="Gutschrift","",IF(G123="","",IF(Besatzung!$B$13="","",IFERROR(IF(I123="Zeitanteilig",(Besatzung!$G$13*(G123-IFERROR(H123,0))+((Besatzung!$B$13&lt;&gt;"")*IF(B123="",1,(IF(Besatzung!$C$13="",Besatzung!$B$5,Besatzung!$C$13)&lt;=B123)*(IF(Besatzung!$D$13="",Besatzung!$B$6,Besatzung!$D$13)&gt;=B123)))*(Besatzung!$F$13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$13&lt;&gt;"")*IF(B123="",1,(IF(Besatzung!$C$13="",Besatzung!$B$5,Besatzung!$C$13)&lt;=B123)*(IF(Besatzung!$D$13="",Besatzung!$B$6,Besatzung!$D$13)&gt;=B123)))*((G123-IFERROR(H123,0))/IFERROR(SUMPRODUCT((Besatzung!$B$11:$B$22&lt;&gt;"")*(IF(Besatzung!$C$11:$C$22="",Besatzung!$B$5,Besatzung!$C$11:$C$22)&lt;=B123)*(IF(Besatzung!$D$11:$D$22="",Besatzung!$B$6,Besatzung!$D$11:$D$22)&gt;=B123)),1)+(Besatzung!$F$13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K123="x")*((G123-IFERROR(H123,0))/IFERROR(COUNTIF(J123:U123,"x"),1)+(Besatzung!$F$13="x")*IFERROR(H123,0)/IFERROR(SUMPRODUCT((J123:U123="x")*(Besatzung!$F$11:$F$22="x")),1))),(IF(COUNTIF(J123:U123,"x")=0,IF(Besatzung!$B$13&lt;&gt;"",1,0),(K123="x"))*(G123-IFERROR(H123,0))/IFERROR(IF(COUNTIF(J123:U123,"x")=0,COUNTA(Besatzung!$B$11:$B$22),COUNTIF(J123:U123,"x")),1)+IF(COUNTIF(J123:U123,"x")=0,(Besatzung!$F$13="x"),(K123="x")*(Besatzung!$F$13="x"))*IFERROR(H123,0)/IFERROR(IF(COUNTIF(J123:U123,"x")=0,SUMPRODUCT((Besatzung!$B$11:$B$22&lt;&gt;"")*(Besatzung!$F$11:$F$22="x")),SUMPRODUCT((J123:U123="x")*(Besatzung!$F$11:$F$22="x"))),1))))),0))))</f>
        <v/>
      </c>
      <c r="Y123" s="106">
        <f>IF(C123="Gutschrift","",IF(G123="","",IF(Besatzung!$B$14="","",IFERROR(IF(I123="Zeitanteilig",(Besatzung!$G$14*(G123-IFERROR(H123,0))+((Besatzung!$B$14&lt;&gt;"")*IF(B123="",1,(IF(Besatzung!$C$14="",Besatzung!$B$5,Besatzung!$C$14)&lt;=B123)*(IF(Besatzung!$D$14="",Besatzung!$B$6,Besatzung!$D$14)&gt;=B123)))*(Besatzung!$F$14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$14&lt;&gt;"")*IF(B123="",1,(IF(Besatzung!$C$14="",Besatzung!$B$5,Besatzung!$C$14)&lt;=B123)*(IF(Besatzung!$D$14="",Besatzung!$B$6,Besatzung!$D$14)&gt;=B123)))*((G123-IFERROR(H123,0))/IFERROR(SUMPRODUCT((Besatzung!$B$11:$B$22&lt;&gt;"")*(IF(Besatzung!$C$11:$C$22="",Besatzung!$B$5,Besatzung!$C$11:$C$22)&lt;=B123)*(IF(Besatzung!$D$11:$D$22="",Besatzung!$B$6,Besatzung!$D$11:$D$22)&gt;=B123)),1)+(Besatzung!$F$14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M123="x")*((G123-IFERROR(H123,0))/IFERROR(COUNTIF(J123:U123,"x"),1)+(Besatzung!$F$14="x")*IFERROR(H123,0)/IFERROR(SUMPRODUCT((J123:U123="x")*(Besatzung!$F$11:$F$22="x")),1))),(IF(COUNTIF(J123:U123,"x")=0,IF(Besatzung!$B$14&lt;&gt;"",1,0),(M123="x"))*(G123-IFERROR(H123,0))/IFERROR(IF(COUNTIF(J123:U123,"x")=0,COUNTA(Besatzung!$B$11:$B$22),COUNTIF(J123:U123,"x")),1)+IF(COUNTIF(J123:U123,"x")=0,(Besatzung!$F$14="x"),(M123="x")*(Besatzung!$F$14="x"))*IFERROR(H123,0)/IFERROR(IF(COUNTIF(J123:U123,"x")=0,SUMPRODUCT((Besatzung!$B$11:$B$22&lt;&gt;"")*(Besatzung!$F$11:$F$22="x")),SUMPRODUCT((J123:U123="x")*(Besatzung!$F$11:$F$22="x"))),1))))),0))))</f>
        <v/>
      </c>
      <c r="Z123" s="106">
        <f>IF(C123="Gutschrift","",IF(G123="","",IF(Besatzung!$B$13="","",IFERROR(IF(I123="Zeitanteilig",(Besatzung!$G$15*(G123-IFERROR(H123,0))+((Besatzung!$B$13&lt;&gt;"")*IF(B123="",1,(IF(Besatzung!$C$15="",Besatzung!$B$5,Besatzung!$C$15)&lt;=B123)*(IF(Besatzung!$D$15="",Besatzung!$B$6,Besatzung!$D$15)&gt;=B123)))*(Besatzung!$F$15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$13&lt;&gt;"")*IF(B123="",1,(IF(Besatzung!$C$15="",Besatzung!$B$5,Besatzung!$C$15)&lt;=B123)*(IF(Besatzung!$D$15="",Besatzung!$B$6,Besatzung!$D$15)&gt;=B123)))*((G123-IFERROR(H123,0))/IFERROR(SUMPRODUCT((Besatzung!$B$11:$B$22&lt;&gt;"")*(IF(Besatzung!$C$11:$C$22="",Besatzung!$B$5,Besatzung!$C$11:$C$22)&lt;=B123)*(IF(Besatzung!$D$11:$D$22="",Besatzung!$B$6,Besatzung!$D$11:$D$22)&gt;=B123)),1)+(Besatzung!$F$15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N123="x")*((G123-IFERROR(H123,0))/IFERROR(COUNTIF(J123:U123,"x"),1)+(Besatzung!$F$15="x")*IFERROR(H123,0)/IFERROR(SUMPRODUCT((J123:U123="x")*(Besatzung!$F$11:$F$22="x")),1))),(IF(COUNTIF(J123:U123,"x")=0,IF(Besatzung!$B$13&lt;&gt;"",1,0),(N123="x"))*(G123-IFERROR(H123,0))/IFERROR(IF(COUNTIF(J123:U123,"x")=0,COUNTA(Besatzung!$B$11:$B$22),COUNTIF(J123:U123,"x")),1)+IF(COUNTIF(J123:U123,"x")=0,(Besatzung!$F$15="x"),(N123="x")*(Besatzung!$F$15="x"))*IFERROR(H123,0)/IFERROR(IF(COUNTIF(J123:U123,"x")=0,SUMPRODUCT((Besatzung!$B$11:$B$22&lt;&gt;"")*(Besatzung!$F$11:$F$22="x")),SUMPRODUCT((J123:U123="x")*(Besatzung!$F$11:$F$22="x"))),1))))),0))))</f>
        <v/>
      </c>
      <c r="AA123" s="106">
        <f>IF(C123="Gutschrift","",IF(G123="","",IF(Besatzung!$B$15="","",IFERROR(IF(I123="Zeitanteilig",(Besatzung!$G$16*(G123-IFERROR(H123,0))+((Besatzung!$B$15&lt;&gt;"")*IF(B123="",1,(IF(Besatzung!$C$16="",Besatzung!$B$5,Besatzung!$C$16)&lt;=B123)*(IF(Besatzung!$D$16="",Besatzung!$B$6,Besatzung!$D$16)&gt;=B123)))*(Besatzung!$F$16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$15&lt;&gt;"")*IF(B123="",1,(IF(Besatzung!$C$16="",Besatzung!$B$5,Besatzung!$C$16)&lt;=B123)*(IF(Besatzung!$D$16="",Besatzung!$B$6,Besatzung!$D$16)&gt;=B123)))*((G123-IFERROR(H123,0))/IFERROR(SUMPRODUCT((Besatzung!$B$11:$B$22&lt;&gt;"")*(IF(Besatzung!$C$11:$C$22="",Besatzung!$B$5,Besatzung!$C$11:$C$22)&lt;=B123)*(IF(Besatzung!$D$11:$D$22="",Besatzung!$B$6,Besatzung!$D$11:$D$22)&gt;=B123)),1)+(Besatzung!$F$16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O123="x")*((G123-IFERROR(H123,0))/IFERROR(COUNTIF(J123:U123,"x"),1)+(Besatzung!$F$16="x")*IFERROR(H123,0)/IFERROR(SUMPRODUCT((J123:U123="x")*(Besatzung!$F$11:$F$22="x")),1))),(IF(COUNTIF(J123:U123,"x")=0,IF(Besatzung!$B$15&lt;&gt;"",1,0),(O123="x"))*(G123-IFERROR(H123,0))/IFERROR(IF(COUNTIF(J123:U123,"x")=0,COUNTA(Besatzung!$B$11:$B$22),COUNTIF(J123:U123,"x")),1)+IF(COUNTIF(J123:U123,"x")=0,(Besatzung!$F$16="x"),(O123="x")*(Besatzung!$F$16="x"))*IFERROR(H123,0)/IFERROR(IF(COUNTIF(J123:U123,"x")=0,SUMPRODUCT((Besatzung!$B$11:$B$22&lt;&gt;"")*(Besatzung!$F$11:$F$22="x")),SUMPRODUCT((J123:U123="x")*(Besatzung!$F$11:$F$22="x"))),1))))),0))))</f>
        <v/>
      </c>
      <c r="AB123" s="106">
        <f>IF(C123="Gutschrift","",IF(G123="","",IF(Besatzung!$B$17="","",IFERROR(IF(I123="Zeitanteilig",(Besatzung!$G$17*(G123-IFERROR(H123,0))+((Besatzung!$B$17&lt;&gt;"")*IF(B123="",1,(IF(Besatzung!$C$17="",Besatzung!$B$5,Besatzung!$C$17)&lt;=B123)*(IF(Besatzung!$D$17="",Besatzung!$B$6,Besatzung!$D$17)&gt;=B123)))*(Besatzung!$F$17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$17&lt;&gt;"")*IF(B123="",1,(IF(Besatzung!$C$17="",Besatzung!$B$5,Besatzung!$C$17)&lt;=B123)*(IF(Besatzung!$D$17="",Besatzung!$B$6,Besatzung!$D$17)&gt;=B123)))*((G123-IFERROR(H123,0))/IFERROR(SUMPRODUCT((Besatzung!$B$11:$B$22&lt;&gt;"")*(IF(Besatzung!$C$11:$C$22="",Besatzung!$B$5,Besatzung!$C$11:$C$22)&lt;=B123)*(IF(Besatzung!$D$11:$D$22="",Besatzung!$B$6,Besatzung!$D$11:$D$22)&gt;=B123)),1)+(Besatzung!$F$17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P123="x")*((G123-IFERROR(H123,0))/IFERROR(COUNTIF(J123:U123,"x"),1)+(Besatzung!$F$17="x")*IFERROR(H123,0)/IFERROR(SUMPRODUCT((J123:U123="x")*(Besatzung!$F$11:$F$22="x")),1))),(IF(COUNTIF(J123:U123,"x")=0,IF(Besatzung!$B$17&lt;&gt;"",1,0),(P123="x"))*(G123-IFERROR(H123,0))/IFERROR(IF(COUNTIF(J123:U123,"x")=0,COUNTA(Besatzung!$B$11:$B$22),COUNTIF(J123:U123,"x")),1)+IF(COUNTIF(J123:U123,"x")=0,(Besatzung!$F$17="x"),(P123="x")*(Besatzung!$F$17="x"))*IFERROR(H123,0)/IFERROR(IF(COUNTIF(J123:U123,"x")=0,SUMPRODUCT((Besatzung!$B$11:$B$22&lt;&gt;"")*(Besatzung!$F$11:$F$22="x")),SUMPRODUCT((J123:U123="x")*(Besatzung!$F$11:$F$22="x"))),1))))),0))))</f>
        <v/>
      </c>
      <c r="AC123" s="106">
        <f>IF(C123="Gutschrift","",IF(G123="","",IF(Besatzung!$B$18="","",IFERROR(IF(I123="Zeitanteilig",(Besatzung!$G$18*(G123-IFERROR(H123,0))+((Besatzung!$B$18&lt;&gt;"")*IF(B123="",1,(IF(Besatzung!$C$18="",Besatzung!$B$5,Besatzung!$C$18)&lt;=B123)*(IF(Besatzung!$D$18="",Besatzung!$B$6,Besatzung!$D$18)&gt;=B123)))*(Besatzung!$F$18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$18&lt;&gt;"")*IF(B123="",1,(IF(Besatzung!$C$18="",Besatzung!$B$5,Besatzung!$C$18)&lt;=B123)*(IF(Besatzung!$D$18="",Besatzung!$B$6,Besatzung!$D$18)&gt;=B123)))*((G123-IFERROR(H123,0))/IFERROR(SUMPRODUCT((Besatzung!$B$11:$B$22&lt;&gt;"")*(IF(Besatzung!$C$11:$C$22="",Besatzung!$B$5,Besatzung!$C$11:$C$22)&lt;=B123)*(IF(Besatzung!$D$11:$D$22="",Besatzung!$B$6,Besatzung!$D$11:$D$22)&gt;=B123)),1)+(Besatzung!$F$18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Q123="x")*((G123-IFERROR(H123,0))/IFERROR(COUNTIF(J123:U123,"x"),1)+(Besatzung!$F$18="x")*IFERROR(H123,0)/IFERROR(SUMPRODUCT((J123:U123="x")*(Besatzung!$F$11:$F$22="x")),1))),(IF(COUNTIF(J123:U123,"x")=0,IF(Besatzung!$B$18&lt;&gt;"",1,0),(Q123="x"))*(G123-IFERROR(H123,0))/IFERROR(IF(COUNTIF(J123:U123,"x")=0,COUNTA(Besatzung!$B$11:$B$22),COUNTIF(J123:U123,"x")),1)+IF(COUNTIF(J123:U123,"x")=0,(Besatzung!$F$18="x"),(Q123="x")*(Besatzung!$F$18="x"))*IFERROR(H123,0)/IFERROR(IF(COUNTIF(J123:U123,"x")=0,SUMPRODUCT((Besatzung!$B$11:$B$22&lt;&gt;"")*(Besatzung!$F$11:$F$22="x")),SUMPRODUCT((J123:U123="x")*(Besatzung!$F$11:$F$22="x"))),1))))),0))))</f>
        <v/>
      </c>
      <c r="AD123" s="106">
        <f>IF(C123="Gutschrift","",IF(G123="","",IF(Besatzung!$B$19="","",IFERROR(IF(I123="Zeitanteilig",(Besatzung!$G$19*(G123-IFERROR(H123,0))+((Besatzung!$B$19&lt;&gt;"")*IF(B123="",1,(IF(Besatzung!$C$19="",Besatzung!$B$5,Besatzung!$C$19)&lt;=B123)*(IF(Besatzung!$D$19="",Besatzung!$B$6,Besatzung!$D$19)&gt;=B123)))*(Besatzung!$F$19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$19&lt;&gt;"")*IF(B123="",1,(IF(Besatzung!$C$19="",Besatzung!$B$5,Besatzung!$C$19)&lt;=B123)*(IF(Besatzung!$D$19="",Besatzung!$B$6,Besatzung!$D$19)&gt;=B123)))*((G123-IFERROR(H123,0))/IFERROR(SUMPRODUCT((Besatzung!$B$11:$B$22&lt;&gt;"")*(IF(Besatzung!$C$11:$C$22="",Besatzung!$B$5,Besatzung!$C$11:$C$22)&lt;=B123)*(IF(Besatzung!$D$11:$D$22="",Besatzung!$B$6,Besatzung!$D$11:$D$22)&gt;=B123)),1)+(Besatzung!$F$19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R123="x")*((G123-IFERROR(H123,0))/IFERROR(COUNTIF(J123:U123,"x"),1)+(Besatzung!$F$19="x")*IFERROR(H123,0)/IFERROR(SUMPRODUCT((J123:U123="x")*(Besatzung!$F$11:$F$22="x")),1))),(IF(COUNTIF(J123:U123,"x")=0,IF(Besatzung!$B$19&lt;&gt;"",1,0),(R123="x"))*(G123-IFERROR(H123,0))/IFERROR(IF(COUNTIF(J123:U123,"x")=0,COUNTA(Besatzung!$B$11:$B$22),COUNTIF(J123:U123,"x")),1)+IF(COUNTIF(J123:U123,"x")=0,(Besatzung!$F$19="x"),(R123="x")*(Besatzung!$F$19="x"))*IFERROR(H123,0)/IFERROR(IF(COUNTIF(J123:U123,"x")=0,SUMPRODUCT((Besatzung!$B$11:$B$22&lt;&gt;"")*(Besatzung!$F$11:$F$22="x")),SUMPRODUCT((J123:U123="x")*(Besatzung!$F$11:$F$22="x"))),1))))),0))))</f>
        <v/>
      </c>
      <c r="AE123" s="106">
        <f>IF(C123="Gutschrift","",IF(G123="","",IF(Besatzung!$B$20="","",IFERROR(IF(I123="Zeitanteilig",(Besatzung!$G$20*(G123-IFERROR(H123,0))+((Besatzung!$B$20&lt;&gt;"")*IF(B123="",1,(IF(Besatzung!$C$20="",Besatzung!$B$5,Besatzung!$C$20)&lt;=B123)*(IF(Besatzung!$D$20="",Besatzung!$B$6,Besatzung!$D$20)&gt;=B123)))*(Besatzung!$F$20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$20&lt;&gt;"")*IF(B123="",1,(IF(Besatzung!$C$20="",Besatzung!$B$5,Besatzung!$C$20)&lt;=B123)*(IF(Besatzung!$D$20="",Besatzung!$B$6,Besatzung!$D$20)&gt;=B123)))*((G123-IFERROR(H123,0))/IFERROR(SUMPRODUCT((Besatzung!$B$11:$B$22&lt;&gt;"")*(IF(Besatzung!$C$11:$C$22="",Besatzung!$B$5,Besatzung!$C$11:$C$22)&lt;=B123)*(IF(Besatzung!$D$11:$D$22="",Besatzung!$B$6,Besatzung!$D$11:$D$22)&gt;=B123)),1)+(Besatzung!$F$20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S123="x")*((G123-IFERROR(H123,0))/IFERROR(COUNTIF(J123:U123,"x"),1)+(Besatzung!$F$20="x")*IFERROR(H123,0)/IFERROR(SUMPRODUCT((J123:U123="x")*(Besatzung!$F$11:$F$22="x")),1))),(IF(COUNTIF(J123:U123,"x")=0,IF(Besatzung!$B$20&lt;&gt;"",1,0),(S123="x"))*(G123-IFERROR(H123,0))/IFERROR(IF(COUNTIF(J123:U123,"x")=0,COUNTA(Besatzung!$B$11:$B$22),COUNTIF(J123:U123,"x")),1)+IF(COUNTIF(J123:U123,"x")=0,(Besatzung!$F$20="x"),(S123="x")*(Besatzung!$F$20="x"))*IFERROR(H123,0)/IFERROR(IF(COUNTIF(J123:U123,"x")=0,SUMPRODUCT((Besatzung!$B$11:$B$22&lt;&gt;"")*(Besatzung!$F$11:$F$22="x")),SUMPRODUCT((J123:U123="x")*(Besatzung!$F$11:$F$22="x"))),1))))),0))))</f>
        <v/>
      </c>
      <c r="AF123" s="106">
        <f>IF(C123="Gutschrift","",IF(G123="","",IF(Besatzung!$B$21="","",IFERROR(IF(I123="Zeitanteilig",(Besatzung!$G$21*(G123-IFERROR(H123,0))+((Besatzung!$B$21&lt;&gt;"")*IF(B123="",1,(IF(Besatzung!$C$21="",Besatzung!$B$5,Besatzung!$C$21)&lt;=B123)*(IF(Besatzung!$D$21="",Besatzung!$B$6,Besatzung!$D$21)&gt;=B123)))*(Besatzung!$F$21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$21&lt;&gt;"")*IF(B123="",1,(IF(Besatzung!$C$21="",Besatzung!$B$5,Besatzung!$C$21)&lt;=B123)*(IF(Besatzung!$D$21="",Besatzung!$B$6,Besatzung!$D$21)&gt;=B123)))*((G123-IFERROR(H123,0))/IFERROR(SUMPRODUCT((Besatzung!$B$11:$B$22&lt;&gt;"")*(IF(Besatzung!$C$11:$C$22="",Besatzung!$B$5,Besatzung!$C$11:$C$22)&lt;=B123)*(IF(Besatzung!$D$11:$D$22="",Besatzung!$B$6,Besatzung!$D$11:$D$22)&gt;=B123)),1)+(Besatzung!$F$21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T123="x")*((G123-IFERROR(H123,0))/IFERROR(COUNTIF(J123:U123,"x"),1)+(Besatzung!$F$21="x")*IFERROR(H123,0)/IFERROR(SUMPRODUCT((J123:U123="x")*(Besatzung!$F$11:$F$22="x")),1))),(IF(COUNTIF(J123:U123,"x")=0,IF(Besatzung!$B$21&lt;&gt;"",1,0),(T123="x"))*(G123-IFERROR(H123,0))/IFERROR(IF(COUNTIF(J123:U123,"x")=0,COUNTA(Besatzung!$B$11:$B$22),COUNTIF(J123:U123,"x")),1)+IF(COUNTIF(J123:U123,"x")=0,(Besatzung!$F$21="x"),(T123="x")*(Besatzung!$F$21="x"))*IFERROR(H123,0)/IFERROR(IF(COUNTIF(J123:U123,"x")=0,SUMPRODUCT((Besatzung!$B$11:$B$22&lt;&gt;"")*(Besatzung!$F$11:$F$22="x")),SUMPRODUCT((J123:U123="x")*(Besatzung!$F$11:$F$22="x"))),1))))),0))))</f>
        <v/>
      </c>
      <c r="AG123" s="106">
        <f>IF(C123="Gutschrift","",IF(G123="","",IF(Besatzung!$B$22="","",IFERROR(IF(I123="Zeitanteilig",(Besatzung!$G$22*(G123-IFERROR(H123,0))+((Besatzung!$B$22&lt;&gt;"")*IF(B123="",1,(IF(Besatzung!$C$22="",Besatzung!$B$5,Besatzung!$C$22)&lt;=B123)*(IF(Besatzung!$D$22="",Besatzung!$B$6,Besatzung!$D$22)&gt;=B123)))*(Besatzung!$F$22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$22&lt;&gt;"")*IF(B123="",1,(IF(Besatzung!$C$22="",Besatzung!$B$5,Besatzung!$C$22)&lt;=B123)*(IF(Besatzung!$D$22="",Besatzung!$B$6,Besatzung!$D$22)&gt;=B123)))*((G123-IFERROR(H123,0))/IFERROR(SUMPRODUCT((Besatzung!$B$11:$B$22&lt;&gt;"")*(IF(Besatzung!$C$11:$C$22="",Besatzung!$B$5,Besatzung!$C$11:$C$22)&lt;=B123)*(IF(Besatzung!$D$11:$D$22="",Besatzung!$B$6,Besatzung!$D$11:$D$22)&gt;=B123)),1)+(Besatzung!$F$22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U123="x")*((G123-IFERROR(H123,0))/IFERROR(COUNTIF(J123:U123,"x"),1)+(Besatzung!$F$22="x")*IFERROR(H123,0)/IFERROR(SUMPRODUCT((J123:U123="x")*(Besatzung!$F$11:$F$22="x")),1))),(IF(COUNTIF(J123:U123,"x")=0,IF(Besatzung!$B$22&lt;&gt;"",1,0),(U123="x"))*(G123-IFERROR(H123,0))/IFERROR(IF(COUNTIF(J123:U123,"x")=0,COUNTA(Besatzung!$B$11:$B$22),COUNTIF(J123:U123,"x")),1)+IF(COUNTIF(J123:U123,"x")=0,(Besatzung!$F$22="x"),(U123="x")*(Besatzung!$F$22="x"))*IFERROR(H123,0)/IFERROR(IF(COUNTIF(J123:U123,"x")=0,SUMPRODUCT((Besatzung!$B$11:$B$22&lt;&gt;"")*(Besatzung!$F$11:$F$22="x")),SUMPRODUCT((J123:U123="x")*(Besatzung!$F$11:$F$22="x"))),1))))),0))))</f>
        <v/>
      </c>
      <c r="AH123" s="107" t="n"/>
      <c r="AI123" s="107" t="n"/>
    </row>
    <row r="124" ht="21.75" customHeight="1" s="182">
      <c r="A124" s="97">
        <f>IF(AND(D124="",C124=""),"",121)</f>
        <v/>
      </c>
      <c r="B124" s="56" t="n"/>
      <c r="C124" s="98" t="n"/>
      <c r="D124" s="99" t="n"/>
      <c r="E124" s="100" t="n"/>
      <c r="F124" s="101" t="n"/>
      <c r="G124" s="102" t="n"/>
      <c r="H124" s="103" t="n"/>
      <c r="I124" s="104" t="n"/>
      <c r="J124" s="105" t="n"/>
      <c r="K124" s="105" t="n"/>
      <c r="L124" s="105" t="n"/>
      <c r="M124" s="105" t="n"/>
      <c r="N124" s="105" t="n"/>
      <c r="O124" s="105" t="n"/>
      <c r="P124" s="105" t="n"/>
      <c r="Q124" s="105" t="n"/>
      <c r="R124" s="105" t="n"/>
      <c r="S124" s="105" t="n"/>
      <c r="T124" s="105" t="n"/>
      <c r="U124" s="105" t="n"/>
      <c r="V124" s="106">
        <f>IF(C124="Gutschrift","",IF(G124="","",IF(Besatzung!$B$11="","",IFERROR(IF(I124="Zeitanteilig",(Besatzung!$G$11*(G124-IFERROR(H124,0))+((Besatzung!$B$11&lt;&gt;"")*IF(B124="",1,(IF(Besatzung!$C$11="",Besatzung!$B$5,Besatzung!$C$11)&lt;=B124)*(IF(Besatzung!$D$11="",Besatzung!$B$6,Besatzung!$D$11)&gt;=B124)))*(Besatzung!$F$11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$11&lt;&gt;"")*IF(B124="",1,(IF(Besatzung!$C$11="",Besatzung!$B$5,Besatzung!$C$11)&lt;=B124)*(IF(Besatzung!$D$11="",Besatzung!$B$6,Besatzung!$D$11)&gt;=B124)))*((G124-IFERROR(H124,0))/IFERROR(SUMPRODUCT((Besatzung!$B$11:$B$22&lt;&gt;"")*(IF(Besatzung!$C$11:$C$22="",Besatzung!$B$5,Besatzung!$C$11:$C$22)&lt;=B124)*(IF(Besatzung!$D$11:$D$22="",Besatzung!$B$6,Besatzung!$D$11:$D$22)&gt;=B124)),1)+(Besatzung!$F$11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J124="x")*((G124-IFERROR(H124,0))/IFERROR(COUNTIF(J124:U124,"x"),1)+(Besatzung!$F$11="x")*IFERROR(H124,0)/IFERROR(SUMPRODUCT((J124:U124="x")*(Besatzung!$F$11:$F$22="x")),1))),(IF(COUNTIF(J124:U124,"x")=0,IF(Besatzung!$B$11&lt;&gt;"",1,0),(J124="x"))*(G124-IFERROR(H124,0))/IFERROR(IF(COUNTIF(J124:U124,"x")=0,COUNTA(Besatzung!$B$11:$B$22),COUNTIF(J124:U124,"x")),1)+IF(COUNTIF(J124:U124,"x")=0,(Besatzung!$F$11="x"),(J124="x")*(Besatzung!$F$11="x"))*IFERROR(H124,0)/IFERROR(IF(COUNTIF(J124:U124,"x")=0,SUMPRODUCT((Besatzung!$B$11:$B$22&lt;&gt;"")*(Besatzung!$F$11:$F$22="x")),SUMPRODUCT((J124:U124="x")*(Besatzung!$F$11:$F$22="x"))),1))))),0))))</f>
        <v/>
      </c>
      <c r="W124" s="106">
        <f>IF(C124="Gutschrift","",IF(G124="","",IF(Besatzung!$B$12="","",IFERROR(IF(I124="Zeitanteilig",(Besatzung!$G$12*(G124-IFERROR(H124,0))+((Besatzung!$B$12&lt;&gt;"")*IF(B124="",1,(IF(Besatzung!$C$12="",Besatzung!$B$5,Besatzung!$C$12)&lt;=B124)*(IF(Besatzung!$D$12="",Besatzung!$B$6,Besatzung!$D$12)&gt;=B124)))*(Besatzung!$F$12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$12&lt;&gt;"")*IF(B124="",1,(IF(Besatzung!$C$12="",Besatzung!$B$5,Besatzung!$C$12)&lt;=B124)*(IF(Besatzung!$D$12="",Besatzung!$B$6,Besatzung!$D$12)&gt;=B124)))*((G124-IFERROR(H124,0))/IFERROR(SUMPRODUCT((Besatzung!$B$11:$B$22&lt;&gt;"")*(IF(Besatzung!$C$11:$C$22="",Besatzung!$B$5,Besatzung!$C$11:$C$22)&lt;=B124)*(IF(Besatzung!$D$11:$D$22="",Besatzung!$B$6,Besatzung!$D$11:$D$22)&gt;=B124)),1)+(Besatzung!$F$12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K124="x")*((G124-IFERROR(H124,0))/IFERROR(COUNTIF(J124:U124,"x"),1)+(Besatzung!$F$12="x")*IFERROR(H124,0)/IFERROR(SUMPRODUCT((J124:U124="x")*(Besatzung!$F$11:$F$22="x")),1))),(IF(COUNTIF(J124:U124,"x")=0,IF(Besatzung!$B$12&lt;&gt;"",1,0),(K124="x"))*(G124-IFERROR(H124,0))/IFERROR(IF(COUNTIF(J124:U124,"x")=0,COUNTA(Besatzung!$B$11:$B$22),COUNTIF(J124:U124,"x")),1)+IF(COUNTIF(J124:U124,"x")=0,(Besatzung!$F$12="x"),(K124="x")*(Besatzung!$F$12="x"))*IFERROR(H124,0)/IFERROR(IF(COUNTIF(J124:U124,"x")=0,SUMPRODUCT((Besatzung!$B$11:$B$22&lt;&gt;"")*(Besatzung!$F$11:$F$22="x")),SUMPRODUCT((J124:U124="x")*(Besatzung!$F$11:$F$22="x"))),1))))),0))))</f>
        <v/>
      </c>
      <c r="X124" s="106">
        <f>IF(C124="Gutschrift","",IF(G124="","",IF(Besatzung!$B$13="","",IFERROR(IF(I124="Zeitanteilig",(Besatzung!$G$13*(G124-IFERROR(H124,0))+((Besatzung!$B$13&lt;&gt;"")*IF(B124="",1,(IF(Besatzung!$C$13="",Besatzung!$B$5,Besatzung!$C$13)&lt;=B124)*(IF(Besatzung!$D$13="",Besatzung!$B$6,Besatzung!$D$13)&gt;=B124)))*(Besatzung!$F$13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$13&lt;&gt;"")*IF(B124="",1,(IF(Besatzung!$C$13="",Besatzung!$B$5,Besatzung!$C$13)&lt;=B124)*(IF(Besatzung!$D$13="",Besatzung!$B$6,Besatzung!$D$13)&gt;=B124)))*((G124-IFERROR(H124,0))/IFERROR(SUMPRODUCT((Besatzung!$B$11:$B$22&lt;&gt;"")*(IF(Besatzung!$C$11:$C$22="",Besatzung!$B$5,Besatzung!$C$11:$C$22)&lt;=B124)*(IF(Besatzung!$D$11:$D$22="",Besatzung!$B$6,Besatzung!$D$11:$D$22)&gt;=B124)),1)+(Besatzung!$F$13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K124="x")*((G124-IFERROR(H124,0))/IFERROR(COUNTIF(J124:U124,"x"),1)+(Besatzung!$F$13="x")*IFERROR(H124,0)/IFERROR(SUMPRODUCT((J124:U124="x")*(Besatzung!$F$11:$F$22="x")),1))),(IF(COUNTIF(J124:U124,"x")=0,IF(Besatzung!$B$13&lt;&gt;"",1,0),(K124="x"))*(G124-IFERROR(H124,0))/IFERROR(IF(COUNTIF(J124:U124,"x")=0,COUNTA(Besatzung!$B$11:$B$22),COUNTIF(J124:U124,"x")),1)+IF(COUNTIF(J124:U124,"x")=0,(Besatzung!$F$13="x"),(K124="x")*(Besatzung!$F$13="x"))*IFERROR(H124,0)/IFERROR(IF(COUNTIF(J124:U124,"x")=0,SUMPRODUCT((Besatzung!$B$11:$B$22&lt;&gt;"")*(Besatzung!$F$11:$F$22="x")),SUMPRODUCT((J124:U124="x")*(Besatzung!$F$11:$F$22="x"))),1))))),0))))</f>
        <v/>
      </c>
      <c r="Y124" s="106">
        <f>IF(C124="Gutschrift","",IF(G124="","",IF(Besatzung!$B$14="","",IFERROR(IF(I124="Zeitanteilig",(Besatzung!$G$14*(G124-IFERROR(H124,0))+((Besatzung!$B$14&lt;&gt;"")*IF(B124="",1,(IF(Besatzung!$C$14="",Besatzung!$B$5,Besatzung!$C$14)&lt;=B124)*(IF(Besatzung!$D$14="",Besatzung!$B$6,Besatzung!$D$14)&gt;=B124)))*(Besatzung!$F$14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$14&lt;&gt;"")*IF(B124="",1,(IF(Besatzung!$C$14="",Besatzung!$B$5,Besatzung!$C$14)&lt;=B124)*(IF(Besatzung!$D$14="",Besatzung!$B$6,Besatzung!$D$14)&gt;=B124)))*((G124-IFERROR(H124,0))/IFERROR(SUMPRODUCT((Besatzung!$B$11:$B$22&lt;&gt;"")*(IF(Besatzung!$C$11:$C$22="",Besatzung!$B$5,Besatzung!$C$11:$C$22)&lt;=B124)*(IF(Besatzung!$D$11:$D$22="",Besatzung!$B$6,Besatzung!$D$11:$D$22)&gt;=B124)),1)+(Besatzung!$F$14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M124="x")*((G124-IFERROR(H124,0))/IFERROR(COUNTIF(J124:U124,"x"),1)+(Besatzung!$F$14="x")*IFERROR(H124,0)/IFERROR(SUMPRODUCT((J124:U124="x")*(Besatzung!$F$11:$F$22="x")),1))),(IF(COUNTIF(J124:U124,"x")=0,IF(Besatzung!$B$14&lt;&gt;"",1,0),(M124="x"))*(G124-IFERROR(H124,0))/IFERROR(IF(COUNTIF(J124:U124,"x")=0,COUNTA(Besatzung!$B$11:$B$22),COUNTIF(J124:U124,"x")),1)+IF(COUNTIF(J124:U124,"x")=0,(Besatzung!$F$14="x"),(M124="x")*(Besatzung!$F$14="x"))*IFERROR(H124,0)/IFERROR(IF(COUNTIF(J124:U124,"x")=0,SUMPRODUCT((Besatzung!$B$11:$B$22&lt;&gt;"")*(Besatzung!$F$11:$F$22="x")),SUMPRODUCT((J124:U124="x")*(Besatzung!$F$11:$F$22="x"))),1))))),0))))</f>
        <v/>
      </c>
      <c r="Z124" s="106">
        <f>IF(C124="Gutschrift","",IF(G124="","",IF(Besatzung!$B$13="","",IFERROR(IF(I124="Zeitanteilig",(Besatzung!$G$15*(G124-IFERROR(H124,0))+((Besatzung!$B$13&lt;&gt;"")*IF(B124="",1,(IF(Besatzung!$C$15="",Besatzung!$B$5,Besatzung!$C$15)&lt;=B124)*(IF(Besatzung!$D$15="",Besatzung!$B$6,Besatzung!$D$15)&gt;=B124)))*(Besatzung!$F$15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$13&lt;&gt;"")*IF(B124="",1,(IF(Besatzung!$C$15="",Besatzung!$B$5,Besatzung!$C$15)&lt;=B124)*(IF(Besatzung!$D$15="",Besatzung!$B$6,Besatzung!$D$15)&gt;=B124)))*((G124-IFERROR(H124,0))/IFERROR(SUMPRODUCT((Besatzung!$B$11:$B$22&lt;&gt;"")*(IF(Besatzung!$C$11:$C$22="",Besatzung!$B$5,Besatzung!$C$11:$C$22)&lt;=B124)*(IF(Besatzung!$D$11:$D$22="",Besatzung!$B$6,Besatzung!$D$11:$D$22)&gt;=B124)),1)+(Besatzung!$F$15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N124="x")*((G124-IFERROR(H124,0))/IFERROR(COUNTIF(J124:U124,"x"),1)+(Besatzung!$F$15="x")*IFERROR(H124,0)/IFERROR(SUMPRODUCT((J124:U124="x")*(Besatzung!$F$11:$F$22="x")),1))),(IF(COUNTIF(J124:U124,"x")=0,IF(Besatzung!$B$13&lt;&gt;"",1,0),(N124="x"))*(G124-IFERROR(H124,0))/IFERROR(IF(COUNTIF(J124:U124,"x")=0,COUNTA(Besatzung!$B$11:$B$22),COUNTIF(J124:U124,"x")),1)+IF(COUNTIF(J124:U124,"x")=0,(Besatzung!$F$15="x"),(N124="x")*(Besatzung!$F$15="x"))*IFERROR(H124,0)/IFERROR(IF(COUNTIF(J124:U124,"x")=0,SUMPRODUCT((Besatzung!$B$11:$B$22&lt;&gt;"")*(Besatzung!$F$11:$F$22="x")),SUMPRODUCT((J124:U124="x")*(Besatzung!$F$11:$F$22="x"))),1))))),0))))</f>
        <v/>
      </c>
      <c r="AA124" s="106">
        <f>IF(C124="Gutschrift","",IF(G124="","",IF(Besatzung!$B$15="","",IFERROR(IF(I124="Zeitanteilig",(Besatzung!$G$16*(G124-IFERROR(H124,0))+((Besatzung!$B$15&lt;&gt;"")*IF(B124="",1,(IF(Besatzung!$C$16="",Besatzung!$B$5,Besatzung!$C$16)&lt;=B124)*(IF(Besatzung!$D$16="",Besatzung!$B$6,Besatzung!$D$16)&gt;=B124)))*(Besatzung!$F$16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$15&lt;&gt;"")*IF(B124="",1,(IF(Besatzung!$C$16="",Besatzung!$B$5,Besatzung!$C$16)&lt;=B124)*(IF(Besatzung!$D$16="",Besatzung!$B$6,Besatzung!$D$16)&gt;=B124)))*((G124-IFERROR(H124,0))/IFERROR(SUMPRODUCT((Besatzung!$B$11:$B$22&lt;&gt;"")*(IF(Besatzung!$C$11:$C$22="",Besatzung!$B$5,Besatzung!$C$11:$C$22)&lt;=B124)*(IF(Besatzung!$D$11:$D$22="",Besatzung!$B$6,Besatzung!$D$11:$D$22)&gt;=B124)),1)+(Besatzung!$F$16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O124="x")*((G124-IFERROR(H124,0))/IFERROR(COUNTIF(J124:U124,"x"),1)+(Besatzung!$F$16="x")*IFERROR(H124,0)/IFERROR(SUMPRODUCT((J124:U124="x")*(Besatzung!$F$11:$F$22="x")),1))),(IF(COUNTIF(J124:U124,"x")=0,IF(Besatzung!$B$15&lt;&gt;"",1,0),(O124="x"))*(G124-IFERROR(H124,0))/IFERROR(IF(COUNTIF(J124:U124,"x")=0,COUNTA(Besatzung!$B$11:$B$22),COUNTIF(J124:U124,"x")),1)+IF(COUNTIF(J124:U124,"x")=0,(Besatzung!$F$16="x"),(O124="x")*(Besatzung!$F$16="x"))*IFERROR(H124,0)/IFERROR(IF(COUNTIF(J124:U124,"x")=0,SUMPRODUCT((Besatzung!$B$11:$B$22&lt;&gt;"")*(Besatzung!$F$11:$F$22="x")),SUMPRODUCT((J124:U124="x")*(Besatzung!$F$11:$F$22="x"))),1))))),0))))</f>
        <v/>
      </c>
      <c r="AB124" s="106">
        <f>IF(C124="Gutschrift","",IF(G124="","",IF(Besatzung!$B$17="","",IFERROR(IF(I124="Zeitanteilig",(Besatzung!$G$17*(G124-IFERROR(H124,0))+((Besatzung!$B$17&lt;&gt;"")*IF(B124="",1,(IF(Besatzung!$C$17="",Besatzung!$B$5,Besatzung!$C$17)&lt;=B124)*(IF(Besatzung!$D$17="",Besatzung!$B$6,Besatzung!$D$17)&gt;=B124)))*(Besatzung!$F$17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$17&lt;&gt;"")*IF(B124="",1,(IF(Besatzung!$C$17="",Besatzung!$B$5,Besatzung!$C$17)&lt;=B124)*(IF(Besatzung!$D$17="",Besatzung!$B$6,Besatzung!$D$17)&gt;=B124)))*((G124-IFERROR(H124,0))/IFERROR(SUMPRODUCT((Besatzung!$B$11:$B$22&lt;&gt;"")*(IF(Besatzung!$C$11:$C$22="",Besatzung!$B$5,Besatzung!$C$11:$C$22)&lt;=B124)*(IF(Besatzung!$D$11:$D$22="",Besatzung!$B$6,Besatzung!$D$11:$D$22)&gt;=B124)),1)+(Besatzung!$F$17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P124="x")*((G124-IFERROR(H124,0))/IFERROR(COUNTIF(J124:U124,"x"),1)+(Besatzung!$F$17="x")*IFERROR(H124,0)/IFERROR(SUMPRODUCT((J124:U124="x")*(Besatzung!$F$11:$F$22="x")),1))),(IF(COUNTIF(J124:U124,"x")=0,IF(Besatzung!$B$17&lt;&gt;"",1,0),(P124="x"))*(G124-IFERROR(H124,0))/IFERROR(IF(COUNTIF(J124:U124,"x")=0,COUNTA(Besatzung!$B$11:$B$22),COUNTIF(J124:U124,"x")),1)+IF(COUNTIF(J124:U124,"x")=0,(Besatzung!$F$17="x"),(P124="x")*(Besatzung!$F$17="x"))*IFERROR(H124,0)/IFERROR(IF(COUNTIF(J124:U124,"x")=0,SUMPRODUCT((Besatzung!$B$11:$B$22&lt;&gt;"")*(Besatzung!$F$11:$F$22="x")),SUMPRODUCT((J124:U124="x")*(Besatzung!$F$11:$F$22="x"))),1))))),0))))</f>
        <v/>
      </c>
      <c r="AC124" s="106">
        <f>IF(C124="Gutschrift","",IF(G124="","",IF(Besatzung!$B$18="","",IFERROR(IF(I124="Zeitanteilig",(Besatzung!$G$18*(G124-IFERROR(H124,0))+((Besatzung!$B$18&lt;&gt;"")*IF(B124="",1,(IF(Besatzung!$C$18="",Besatzung!$B$5,Besatzung!$C$18)&lt;=B124)*(IF(Besatzung!$D$18="",Besatzung!$B$6,Besatzung!$D$18)&gt;=B124)))*(Besatzung!$F$18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$18&lt;&gt;"")*IF(B124="",1,(IF(Besatzung!$C$18="",Besatzung!$B$5,Besatzung!$C$18)&lt;=B124)*(IF(Besatzung!$D$18="",Besatzung!$B$6,Besatzung!$D$18)&gt;=B124)))*((G124-IFERROR(H124,0))/IFERROR(SUMPRODUCT((Besatzung!$B$11:$B$22&lt;&gt;"")*(IF(Besatzung!$C$11:$C$22="",Besatzung!$B$5,Besatzung!$C$11:$C$22)&lt;=B124)*(IF(Besatzung!$D$11:$D$22="",Besatzung!$B$6,Besatzung!$D$11:$D$22)&gt;=B124)),1)+(Besatzung!$F$18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Q124="x")*((G124-IFERROR(H124,0))/IFERROR(COUNTIF(J124:U124,"x"),1)+(Besatzung!$F$18="x")*IFERROR(H124,0)/IFERROR(SUMPRODUCT((J124:U124="x")*(Besatzung!$F$11:$F$22="x")),1))),(IF(COUNTIF(J124:U124,"x")=0,IF(Besatzung!$B$18&lt;&gt;"",1,0),(Q124="x"))*(G124-IFERROR(H124,0))/IFERROR(IF(COUNTIF(J124:U124,"x")=0,COUNTA(Besatzung!$B$11:$B$22),COUNTIF(J124:U124,"x")),1)+IF(COUNTIF(J124:U124,"x")=0,(Besatzung!$F$18="x"),(Q124="x")*(Besatzung!$F$18="x"))*IFERROR(H124,0)/IFERROR(IF(COUNTIF(J124:U124,"x")=0,SUMPRODUCT((Besatzung!$B$11:$B$22&lt;&gt;"")*(Besatzung!$F$11:$F$22="x")),SUMPRODUCT((J124:U124="x")*(Besatzung!$F$11:$F$22="x"))),1))))),0))))</f>
        <v/>
      </c>
      <c r="AD124" s="106">
        <f>IF(C124="Gutschrift","",IF(G124="","",IF(Besatzung!$B$19="","",IFERROR(IF(I124="Zeitanteilig",(Besatzung!$G$19*(G124-IFERROR(H124,0))+((Besatzung!$B$19&lt;&gt;"")*IF(B124="",1,(IF(Besatzung!$C$19="",Besatzung!$B$5,Besatzung!$C$19)&lt;=B124)*(IF(Besatzung!$D$19="",Besatzung!$B$6,Besatzung!$D$19)&gt;=B124)))*(Besatzung!$F$19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$19&lt;&gt;"")*IF(B124="",1,(IF(Besatzung!$C$19="",Besatzung!$B$5,Besatzung!$C$19)&lt;=B124)*(IF(Besatzung!$D$19="",Besatzung!$B$6,Besatzung!$D$19)&gt;=B124)))*((G124-IFERROR(H124,0))/IFERROR(SUMPRODUCT((Besatzung!$B$11:$B$22&lt;&gt;"")*(IF(Besatzung!$C$11:$C$22="",Besatzung!$B$5,Besatzung!$C$11:$C$22)&lt;=B124)*(IF(Besatzung!$D$11:$D$22="",Besatzung!$B$6,Besatzung!$D$11:$D$22)&gt;=B124)),1)+(Besatzung!$F$19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R124="x")*((G124-IFERROR(H124,0))/IFERROR(COUNTIF(J124:U124,"x"),1)+(Besatzung!$F$19="x")*IFERROR(H124,0)/IFERROR(SUMPRODUCT((J124:U124="x")*(Besatzung!$F$11:$F$22="x")),1))),(IF(COUNTIF(J124:U124,"x")=0,IF(Besatzung!$B$19&lt;&gt;"",1,0),(R124="x"))*(G124-IFERROR(H124,0))/IFERROR(IF(COUNTIF(J124:U124,"x")=0,COUNTA(Besatzung!$B$11:$B$22),COUNTIF(J124:U124,"x")),1)+IF(COUNTIF(J124:U124,"x")=0,(Besatzung!$F$19="x"),(R124="x")*(Besatzung!$F$19="x"))*IFERROR(H124,0)/IFERROR(IF(COUNTIF(J124:U124,"x")=0,SUMPRODUCT((Besatzung!$B$11:$B$22&lt;&gt;"")*(Besatzung!$F$11:$F$22="x")),SUMPRODUCT((J124:U124="x")*(Besatzung!$F$11:$F$22="x"))),1))))),0))))</f>
        <v/>
      </c>
      <c r="AE124" s="106">
        <f>IF(C124="Gutschrift","",IF(G124="","",IF(Besatzung!$B$20="","",IFERROR(IF(I124="Zeitanteilig",(Besatzung!$G$20*(G124-IFERROR(H124,0))+((Besatzung!$B$20&lt;&gt;"")*IF(B124="",1,(IF(Besatzung!$C$20="",Besatzung!$B$5,Besatzung!$C$20)&lt;=B124)*(IF(Besatzung!$D$20="",Besatzung!$B$6,Besatzung!$D$20)&gt;=B124)))*(Besatzung!$F$20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$20&lt;&gt;"")*IF(B124="",1,(IF(Besatzung!$C$20="",Besatzung!$B$5,Besatzung!$C$20)&lt;=B124)*(IF(Besatzung!$D$20="",Besatzung!$B$6,Besatzung!$D$20)&gt;=B124)))*((G124-IFERROR(H124,0))/IFERROR(SUMPRODUCT((Besatzung!$B$11:$B$22&lt;&gt;"")*(IF(Besatzung!$C$11:$C$22="",Besatzung!$B$5,Besatzung!$C$11:$C$22)&lt;=B124)*(IF(Besatzung!$D$11:$D$22="",Besatzung!$B$6,Besatzung!$D$11:$D$22)&gt;=B124)),1)+(Besatzung!$F$20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S124="x")*((G124-IFERROR(H124,0))/IFERROR(COUNTIF(J124:U124,"x"),1)+(Besatzung!$F$20="x")*IFERROR(H124,0)/IFERROR(SUMPRODUCT((J124:U124="x")*(Besatzung!$F$11:$F$22="x")),1))),(IF(COUNTIF(J124:U124,"x")=0,IF(Besatzung!$B$20&lt;&gt;"",1,0),(S124="x"))*(G124-IFERROR(H124,0))/IFERROR(IF(COUNTIF(J124:U124,"x")=0,COUNTA(Besatzung!$B$11:$B$22),COUNTIF(J124:U124,"x")),1)+IF(COUNTIF(J124:U124,"x")=0,(Besatzung!$F$20="x"),(S124="x")*(Besatzung!$F$20="x"))*IFERROR(H124,0)/IFERROR(IF(COUNTIF(J124:U124,"x")=0,SUMPRODUCT((Besatzung!$B$11:$B$22&lt;&gt;"")*(Besatzung!$F$11:$F$22="x")),SUMPRODUCT((J124:U124="x")*(Besatzung!$F$11:$F$22="x"))),1))))),0))))</f>
        <v/>
      </c>
      <c r="AF124" s="106">
        <f>IF(C124="Gutschrift","",IF(G124="","",IF(Besatzung!$B$21="","",IFERROR(IF(I124="Zeitanteilig",(Besatzung!$G$21*(G124-IFERROR(H124,0))+((Besatzung!$B$21&lt;&gt;"")*IF(B124="",1,(IF(Besatzung!$C$21="",Besatzung!$B$5,Besatzung!$C$21)&lt;=B124)*(IF(Besatzung!$D$21="",Besatzung!$B$6,Besatzung!$D$21)&gt;=B124)))*(Besatzung!$F$21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$21&lt;&gt;"")*IF(B124="",1,(IF(Besatzung!$C$21="",Besatzung!$B$5,Besatzung!$C$21)&lt;=B124)*(IF(Besatzung!$D$21="",Besatzung!$B$6,Besatzung!$D$21)&gt;=B124)))*((G124-IFERROR(H124,0))/IFERROR(SUMPRODUCT((Besatzung!$B$11:$B$22&lt;&gt;"")*(IF(Besatzung!$C$11:$C$22="",Besatzung!$B$5,Besatzung!$C$11:$C$22)&lt;=B124)*(IF(Besatzung!$D$11:$D$22="",Besatzung!$B$6,Besatzung!$D$11:$D$22)&gt;=B124)),1)+(Besatzung!$F$21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T124="x")*((G124-IFERROR(H124,0))/IFERROR(COUNTIF(J124:U124,"x"),1)+(Besatzung!$F$21="x")*IFERROR(H124,0)/IFERROR(SUMPRODUCT((J124:U124="x")*(Besatzung!$F$11:$F$22="x")),1))),(IF(COUNTIF(J124:U124,"x")=0,IF(Besatzung!$B$21&lt;&gt;"",1,0),(T124="x"))*(G124-IFERROR(H124,0))/IFERROR(IF(COUNTIF(J124:U124,"x")=0,COUNTA(Besatzung!$B$11:$B$22),COUNTIF(J124:U124,"x")),1)+IF(COUNTIF(J124:U124,"x")=0,(Besatzung!$F$21="x"),(T124="x")*(Besatzung!$F$21="x"))*IFERROR(H124,0)/IFERROR(IF(COUNTIF(J124:U124,"x")=0,SUMPRODUCT((Besatzung!$B$11:$B$22&lt;&gt;"")*(Besatzung!$F$11:$F$22="x")),SUMPRODUCT((J124:U124="x")*(Besatzung!$F$11:$F$22="x"))),1))))),0))))</f>
        <v/>
      </c>
      <c r="AG124" s="106">
        <f>IF(C124="Gutschrift","",IF(G124="","",IF(Besatzung!$B$22="","",IFERROR(IF(I124="Zeitanteilig",(Besatzung!$G$22*(G124-IFERROR(H124,0))+((Besatzung!$B$22&lt;&gt;"")*IF(B124="",1,(IF(Besatzung!$C$22="",Besatzung!$B$5,Besatzung!$C$22)&lt;=B124)*(IF(Besatzung!$D$22="",Besatzung!$B$6,Besatzung!$D$22)&gt;=B124)))*(Besatzung!$F$22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$22&lt;&gt;"")*IF(B124="",1,(IF(Besatzung!$C$22="",Besatzung!$B$5,Besatzung!$C$22)&lt;=B124)*(IF(Besatzung!$D$22="",Besatzung!$B$6,Besatzung!$D$22)&gt;=B124)))*((G124-IFERROR(H124,0))/IFERROR(SUMPRODUCT((Besatzung!$B$11:$B$22&lt;&gt;"")*(IF(Besatzung!$C$11:$C$22="",Besatzung!$B$5,Besatzung!$C$11:$C$22)&lt;=B124)*(IF(Besatzung!$D$11:$D$22="",Besatzung!$B$6,Besatzung!$D$11:$D$22)&gt;=B124)),1)+(Besatzung!$F$22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U124="x")*((G124-IFERROR(H124,0))/IFERROR(COUNTIF(J124:U124,"x"),1)+(Besatzung!$F$22="x")*IFERROR(H124,0)/IFERROR(SUMPRODUCT((J124:U124="x")*(Besatzung!$F$11:$F$22="x")),1))),(IF(COUNTIF(J124:U124,"x")=0,IF(Besatzung!$B$22&lt;&gt;"",1,0),(U124="x"))*(G124-IFERROR(H124,0))/IFERROR(IF(COUNTIF(J124:U124,"x")=0,COUNTA(Besatzung!$B$11:$B$22),COUNTIF(J124:U124,"x")),1)+IF(COUNTIF(J124:U124,"x")=0,(Besatzung!$F$22="x"),(U124="x")*(Besatzung!$F$22="x"))*IFERROR(H124,0)/IFERROR(IF(COUNTIF(J124:U124,"x")=0,SUMPRODUCT((Besatzung!$B$11:$B$22&lt;&gt;"")*(Besatzung!$F$11:$F$22="x")),SUMPRODUCT((J124:U124="x")*(Besatzung!$F$11:$F$22="x"))),1))))),0))))</f>
        <v/>
      </c>
      <c r="AH124" s="107" t="n"/>
      <c r="AI124" s="107" t="n"/>
    </row>
    <row r="125" ht="21.75" customHeight="1" s="182">
      <c r="A125" s="97">
        <f>IF(AND(D125="",C125=""),"",122)</f>
        <v/>
      </c>
      <c r="B125" s="63" t="n"/>
      <c r="C125" s="108" t="n"/>
      <c r="D125" s="109" t="n"/>
      <c r="E125" s="110" t="n"/>
      <c r="F125" s="111" t="n"/>
      <c r="G125" s="112" t="n"/>
      <c r="H125" s="113" t="n"/>
      <c r="I125" s="114" t="n"/>
      <c r="J125" s="115" t="n"/>
      <c r="K125" s="115" t="n"/>
      <c r="L125" s="115" t="n"/>
      <c r="M125" s="115" t="n"/>
      <c r="N125" s="115" t="n"/>
      <c r="O125" s="115" t="n"/>
      <c r="P125" s="115" t="n"/>
      <c r="Q125" s="115" t="n"/>
      <c r="R125" s="115" t="n"/>
      <c r="S125" s="115" t="n"/>
      <c r="T125" s="115" t="n"/>
      <c r="U125" s="115" t="n"/>
      <c r="V125" s="106">
        <f>IF(C125="Gutschrift","",IF(G125="","",IF(Besatzung!$B$11="","",IFERROR(IF(I125="Zeitanteilig",(Besatzung!$G$11*(G125-IFERROR(H125,0))+((Besatzung!$B$11&lt;&gt;"")*IF(B125="",1,(IF(Besatzung!$C$11="",Besatzung!$B$5,Besatzung!$C$11)&lt;=B125)*(IF(Besatzung!$D$11="",Besatzung!$B$6,Besatzung!$D$11)&gt;=B125)))*(Besatzung!$F$11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$11&lt;&gt;"")*IF(B125="",1,(IF(Besatzung!$C$11="",Besatzung!$B$5,Besatzung!$C$11)&lt;=B125)*(IF(Besatzung!$D$11="",Besatzung!$B$6,Besatzung!$D$11)&gt;=B125)))*((G125-IFERROR(H125,0))/IFERROR(SUMPRODUCT((Besatzung!$B$11:$B$22&lt;&gt;"")*(IF(Besatzung!$C$11:$C$22="",Besatzung!$B$5,Besatzung!$C$11:$C$22)&lt;=B125)*(IF(Besatzung!$D$11:$D$22="",Besatzung!$B$6,Besatzung!$D$11:$D$22)&gt;=B125)),1)+(Besatzung!$F$11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J125="x")*((G125-IFERROR(H125,0))/IFERROR(COUNTIF(J125:U125,"x"),1)+(Besatzung!$F$11="x")*IFERROR(H125,0)/IFERROR(SUMPRODUCT((J125:U125="x")*(Besatzung!$F$11:$F$22="x")),1))),(IF(COUNTIF(J125:U125,"x")=0,IF(Besatzung!$B$11&lt;&gt;"",1,0),(J125="x"))*(G125-IFERROR(H125,0))/IFERROR(IF(COUNTIF(J125:U125,"x")=0,COUNTA(Besatzung!$B$11:$B$22),COUNTIF(J125:U125,"x")),1)+IF(COUNTIF(J125:U125,"x")=0,(Besatzung!$F$11="x"),(J125="x")*(Besatzung!$F$11="x"))*IFERROR(H125,0)/IFERROR(IF(COUNTIF(J125:U125,"x")=0,SUMPRODUCT((Besatzung!$B$11:$B$22&lt;&gt;"")*(Besatzung!$F$11:$F$22="x")),SUMPRODUCT((J125:U125="x")*(Besatzung!$F$11:$F$22="x"))),1))))),0))))</f>
        <v/>
      </c>
      <c r="W125" s="106">
        <f>IF(C125="Gutschrift","",IF(G125="","",IF(Besatzung!$B$12="","",IFERROR(IF(I125="Zeitanteilig",(Besatzung!$G$12*(G125-IFERROR(H125,0))+((Besatzung!$B$12&lt;&gt;"")*IF(B125="",1,(IF(Besatzung!$C$12="",Besatzung!$B$5,Besatzung!$C$12)&lt;=B125)*(IF(Besatzung!$D$12="",Besatzung!$B$6,Besatzung!$D$12)&gt;=B125)))*(Besatzung!$F$12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$12&lt;&gt;"")*IF(B125="",1,(IF(Besatzung!$C$12="",Besatzung!$B$5,Besatzung!$C$12)&lt;=B125)*(IF(Besatzung!$D$12="",Besatzung!$B$6,Besatzung!$D$12)&gt;=B125)))*((G125-IFERROR(H125,0))/IFERROR(SUMPRODUCT((Besatzung!$B$11:$B$22&lt;&gt;"")*(IF(Besatzung!$C$11:$C$22="",Besatzung!$B$5,Besatzung!$C$11:$C$22)&lt;=B125)*(IF(Besatzung!$D$11:$D$22="",Besatzung!$B$6,Besatzung!$D$11:$D$22)&gt;=B125)),1)+(Besatzung!$F$12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K125="x")*((G125-IFERROR(H125,0))/IFERROR(COUNTIF(J125:U125,"x"),1)+(Besatzung!$F$12="x")*IFERROR(H125,0)/IFERROR(SUMPRODUCT((J125:U125="x")*(Besatzung!$F$11:$F$22="x")),1))),(IF(COUNTIF(J125:U125,"x")=0,IF(Besatzung!$B$12&lt;&gt;"",1,0),(K125="x"))*(G125-IFERROR(H125,0))/IFERROR(IF(COUNTIF(J125:U125,"x")=0,COUNTA(Besatzung!$B$11:$B$22),COUNTIF(J125:U125,"x")),1)+IF(COUNTIF(J125:U125,"x")=0,(Besatzung!$F$12="x"),(K125="x")*(Besatzung!$F$12="x"))*IFERROR(H125,0)/IFERROR(IF(COUNTIF(J125:U125,"x")=0,SUMPRODUCT((Besatzung!$B$11:$B$22&lt;&gt;"")*(Besatzung!$F$11:$F$22="x")),SUMPRODUCT((J125:U125="x")*(Besatzung!$F$11:$F$22="x"))),1))))),0))))</f>
        <v/>
      </c>
      <c r="X125" s="106">
        <f>IF(C125="Gutschrift","",IF(G125="","",IF(Besatzung!$B$13="","",IFERROR(IF(I125="Zeitanteilig",(Besatzung!$G$13*(G125-IFERROR(H125,0))+((Besatzung!$B$13&lt;&gt;"")*IF(B125="",1,(IF(Besatzung!$C$13="",Besatzung!$B$5,Besatzung!$C$13)&lt;=B125)*(IF(Besatzung!$D$13="",Besatzung!$B$6,Besatzung!$D$13)&gt;=B125)))*(Besatzung!$F$13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$13&lt;&gt;"")*IF(B125="",1,(IF(Besatzung!$C$13="",Besatzung!$B$5,Besatzung!$C$13)&lt;=B125)*(IF(Besatzung!$D$13="",Besatzung!$B$6,Besatzung!$D$13)&gt;=B125)))*((G125-IFERROR(H125,0))/IFERROR(SUMPRODUCT((Besatzung!$B$11:$B$22&lt;&gt;"")*(IF(Besatzung!$C$11:$C$22="",Besatzung!$B$5,Besatzung!$C$11:$C$22)&lt;=B125)*(IF(Besatzung!$D$11:$D$22="",Besatzung!$B$6,Besatzung!$D$11:$D$22)&gt;=B125)),1)+(Besatzung!$F$13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K125="x")*((G125-IFERROR(H125,0))/IFERROR(COUNTIF(J125:U125,"x"),1)+(Besatzung!$F$13="x")*IFERROR(H125,0)/IFERROR(SUMPRODUCT((J125:U125="x")*(Besatzung!$F$11:$F$22="x")),1))),(IF(COUNTIF(J125:U125,"x")=0,IF(Besatzung!$B$13&lt;&gt;"",1,0),(K125="x"))*(G125-IFERROR(H125,0))/IFERROR(IF(COUNTIF(J125:U125,"x")=0,COUNTA(Besatzung!$B$11:$B$22),COUNTIF(J125:U125,"x")),1)+IF(COUNTIF(J125:U125,"x")=0,(Besatzung!$F$13="x"),(K125="x")*(Besatzung!$F$13="x"))*IFERROR(H125,0)/IFERROR(IF(COUNTIF(J125:U125,"x")=0,SUMPRODUCT((Besatzung!$B$11:$B$22&lt;&gt;"")*(Besatzung!$F$11:$F$22="x")),SUMPRODUCT((J125:U125="x")*(Besatzung!$F$11:$F$22="x"))),1))))),0))))</f>
        <v/>
      </c>
      <c r="Y125" s="106">
        <f>IF(C125="Gutschrift","",IF(G125="","",IF(Besatzung!$B$14="","",IFERROR(IF(I125="Zeitanteilig",(Besatzung!$G$14*(G125-IFERROR(H125,0))+((Besatzung!$B$14&lt;&gt;"")*IF(B125="",1,(IF(Besatzung!$C$14="",Besatzung!$B$5,Besatzung!$C$14)&lt;=B125)*(IF(Besatzung!$D$14="",Besatzung!$B$6,Besatzung!$D$14)&gt;=B125)))*(Besatzung!$F$14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$14&lt;&gt;"")*IF(B125="",1,(IF(Besatzung!$C$14="",Besatzung!$B$5,Besatzung!$C$14)&lt;=B125)*(IF(Besatzung!$D$14="",Besatzung!$B$6,Besatzung!$D$14)&gt;=B125)))*((G125-IFERROR(H125,0))/IFERROR(SUMPRODUCT((Besatzung!$B$11:$B$22&lt;&gt;"")*(IF(Besatzung!$C$11:$C$22="",Besatzung!$B$5,Besatzung!$C$11:$C$22)&lt;=B125)*(IF(Besatzung!$D$11:$D$22="",Besatzung!$B$6,Besatzung!$D$11:$D$22)&gt;=B125)),1)+(Besatzung!$F$14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M125="x")*((G125-IFERROR(H125,0))/IFERROR(COUNTIF(J125:U125,"x"),1)+(Besatzung!$F$14="x")*IFERROR(H125,0)/IFERROR(SUMPRODUCT((J125:U125="x")*(Besatzung!$F$11:$F$22="x")),1))),(IF(COUNTIF(J125:U125,"x")=0,IF(Besatzung!$B$14&lt;&gt;"",1,0),(M125="x"))*(G125-IFERROR(H125,0))/IFERROR(IF(COUNTIF(J125:U125,"x")=0,COUNTA(Besatzung!$B$11:$B$22),COUNTIF(J125:U125,"x")),1)+IF(COUNTIF(J125:U125,"x")=0,(Besatzung!$F$14="x"),(M125="x")*(Besatzung!$F$14="x"))*IFERROR(H125,0)/IFERROR(IF(COUNTIF(J125:U125,"x")=0,SUMPRODUCT((Besatzung!$B$11:$B$22&lt;&gt;"")*(Besatzung!$F$11:$F$22="x")),SUMPRODUCT((J125:U125="x")*(Besatzung!$F$11:$F$22="x"))),1))))),0))))</f>
        <v/>
      </c>
      <c r="Z125" s="106">
        <f>IF(C125="Gutschrift","",IF(G125="","",IF(Besatzung!$B$13="","",IFERROR(IF(I125="Zeitanteilig",(Besatzung!$G$15*(G125-IFERROR(H125,0))+((Besatzung!$B$13&lt;&gt;"")*IF(B125="",1,(IF(Besatzung!$C$15="",Besatzung!$B$5,Besatzung!$C$15)&lt;=B125)*(IF(Besatzung!$D$15="",Besatzung!$B$6,Besatzung!$D$15)&gt;=B125)))*(Besatzung!$F$15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$13&lt;&gt;"")*IF(B125="",1,(IF(Besatzung!$C$15="",Besatzung!$B$5,Besatzung!$C$15)&lt;=B125)*(IF(Besatzung!$D$15="",Besatzung!$B$6,Besatzung!$D$15)&gt;=B125)))*((G125-IFERROR(H125,0))/IFERROR(SUMPRODUCT((Besatzung!$B$11:$B$22&lt;&gt;"")*(IF(Besatzung!$C$11:$C$22="",Besatzung!$B$5,Besatzung!$C$11:$C$22)&lt;=B125)*(IF(Besatzung!$D$11:$D$22="",Besatzung!$B$6,Besatzung!$D$11:$D$22)&gt;=B125)),1)+(Besatzung!$F$15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N125="x")*((G125-IFERROR(H125,0))/IFERROR(COUNTIF(J125:U125,"x"),1)+(Besatzung!$F$15="x")*IFERROR(H125,0)/IFERROR(SUMPRODUCT((J125:U125="x")*(Besatzung!$F$11:$F$22="x")),1))),(IF(COUNTIF(J125:U125,"x")=0,IF(Besatzung!$B$13&lt;&gt;"",1,0),(N125="x"))*(G125-IFERROR(H125,0))/IFERROR(IF(COUNTIF(J125:U125,"x")=0,COUNTA(Besatzung!$B$11:$B$22),COUNTIF(J125:U125,"x")),1)+IF(COUNTIF(J125:U125,"x")=0,(Besatzung!$F$15="x"),(N125="x")*(Besatzung!$F$15="x"))*IFERROR(H125,0)/IFERROR(IF(COUNTIF(J125:U125,"x")=0,SUMPRODUCT((Besatzung!$B$11:$B$22&lt;&gt;"")*(Besatzung!$F$11:$F$22="x")),SUMPRODUCT((J125:U125="x")*(Besatzung!$F$11:$F$22="x"))),1))))),0))))</f>
        <v/>
      </c>
      <c r="AA125" s="106">
        <f>IF(C125="Gutschrift","",IF(G125="","",IF(Besatzung!$B$15="","",IFERROR(IF(I125="Zeitanteilig",(Besatzung!$G$16*(G125-IFERROR(H125,0))+((Besatzung!$B$15&lt;&gt;"")*IF(B125="",1,(IF(Besatzung!$C$16="",Besatzung!$B$5,Besatzung!$C$16)&lt;=B125)*(IF(Besatzung!$D$16="",Besatzung!$B$6,Besatzung!$D$16)&gt;=B125)))*(Besatzung!$F$16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$15&lt;&gt;"")*IF(B125="",1,(IF(Besatzung!$C$16="",Besatzung!$B$5,Besatzung!$C$16)&lt;=B125)*(IF(Besatzung!$D$16="",Besatzung!$B$6,Besatzung!$D$16)&gt;=B125)))*((G125-IFERROR(H125,0))/IFERROR(SUMPRODUCT((Besatzung!$B$11:$B$22&lt;&gt;"")*(IF(Besatzung!$C$11:$C$22="",Besatzung!$B$5,Besatzung!$C$11:$C$22)&lt;=B125)*(IF(Besatzung!$D$11:$D$22="",Besatzung!$B$6,Besatzung!$D$11:$D$22)&gt;=B125)),1)+(Besatzung!$F$16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O125="x")*((G125-IFERROR(H125,0))/IFERROR(COUNTIF(J125:U125,"x"),1)+(Besatzung!$F$16="x")*IFERROR(H125,0)/IFERROR(SUMPRODUCT((J125:U125="x")*(Besatzung!$F$11:$F$22="x")),1))),(IF(COUNTIF(J125:U125,"x")=0,IF(Besatzung!$B$15&lt;&gt;"",1,0),(O125="x"))*(G125-IFERROR(H125,0))/IFERROR(IF(COUNTIF(J125:U125,"x")=0,COUNTA(Besatzung!$B$11:$B$22),COUNTIF(J125:U125,"x")),1)+IF(COUNTIF(J125:U125,"x")=0,(Besatzung!$F$16="x"),(O125="x")*(Besatzung!$F$16="x"))*IFERROR(H125,0)/IFERROR(IF(COUNTIF(J125:U125,"x")=0,SUMPRODUCT((Besatzung!$B$11:$B$22&lt;&gt;"")*(Besatzung!$F$11:$F$22="x")),SUMPRODUCT((J125:U125="x")*(Besatzung!$F$11:$F$22="x"))),1))))),0))))</f>
        <v/>
      </c>
      <c r="AB125" s="106">
        <f>IF(C125="Gutschrift","",IF(G125="","",IF(Besatzung!$B$17="","",IFERROR(IF(I125="Zeitanteilig",(Besatzung!$G$17*(G125-IFERROR(H125,0))+((Besatzung!$B$17&lt;&gt;"")*IF(B125="",1,(IF(Besatzung!$C$17="",Besatzung!$B$5,Besatzung!$C$17)&lt;=B125)*(IF(Besatzung!$D$17="",Besatzung!$B$6,Besatzung!$D$17)&gt;=B125)))*(Besatzung!$F$17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$17&lt;&gt;"")*IF(B125="",1,(IF(Besatzung!$C$17="",Besatzung!$B$5,Besatzung!$C$17)&lt;=B125)*(IF(Besatzung!$D$17="",Besatzung!$B$6,Besatzung!$D$17)&gt;=B125)))*((G125-IFERROR(H125,0))/IFERROR(SUMPRODUCT((Besatzung!$B$11:$B$22&lt;&gt;"")*(IF(Besatzung!$C$11:$C$22="",Besatzung!$B$5,Besatzung!$C$11:$C$22)&lt;=B125)*(IF(Besatzung!$D$11:$D$22="",Besatzung!$B$6,Besatzung!$D$11:$D$22)&gt;=B125)),1)+(Besatzung!$F$17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P125="x")*((G125-IFERROR(H125,0))/IFERROR(COUNTIF(J125:U125,"x"),1)+(Besatzung!$F$17="x")*IFERROR(H125,0)/IFERROR(SUMPRODUCT((J125:U125="x")*(Besatzung!$F$11:$F$22="x")),1))),(IF(COUNTIF(J125:U125,"x")=0,IF(Besatzung!$B$17&lt;&gt;"",1,0),(P125="x"))*(G125-IFERROR(H125,0))/IFERROR(IF(COUNTIF(J125:U125,"x")=0,COUNTA(Besatzung!$B$11:$B$22),COUNTIF(J125:U125,"x")),1)+IF(COUNTIF(J125:U125,"x")=0,(Besatzung!$F$17="x"),(P125="x")*(Besatzung!$F$17="x"))*IFERROR(H125,0)/IFERROR(IF(COUNTIF(J125:U125,"x")=0,SUMPRODUCT((Besatzung!$B$11:$B$22&lt;&gt;"")*(Besatzung!$F$11:$F$22="x")),SUMPRODUCT((J125:U125="x")*(Besatzung!$F$11:$F$22="x"))),1))))),0))))</f>
        <v/>
      </c>
      <c r="AC125" s="106">
        <f>IF(C125="Gutschrift","",IF(G125="","",IF(Besatzung!$B$18="","",IFERROR(IF(I125="Zeitanteilig",(Besatzung!$G$18*(G125-IFERROR(H125,0))+((Besatzung!$B$18&lt;&gt;"")*IF(B125="",1,(IF(Besatzung!$C$18="",Besatzung!$B$5,Besatzung!$C$18)&lt;=B125)*(IF(Besatzung!$D$18="",Besatzung!$B$6,Besatzung!$D$18)&gt;=B125)))*(Besatzung!$F$18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$18&lt;&gt;"")*IF(B125="",1,(IF(Besatzung!$C$18="",Besatzung!$B$5,Besatzung!$C$18)&lt;=B125)*(IF(Besatzung!$D$18="",Besatzung!$B$6,Besatzung!$D$18)&gt;=B125)))*((G125-IFERROR(H125,0))/IFERROR(SUMPRODUCT((Besatzung!$B$11:$B$22&lt;&gt;"")*(IF(Besatzung!$C$11:$C$22="",Besatzung!$B$5,Besatzung!$C$11:$C$22)&lt;=B125)*(IF(Besatzung!$D$11:$D$22="",Besatzung!$B$6,Besatzung!$D$11:$D$22)&gt;=B125)),1)+(Besatzung!$F$18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Q125="x")*((G125-IFERROR(H125,0))/IFERROR(COUNTIF(J125:U125,"x"),1)+(Besatzung!$F$18="x")*IFERROR(H125,0)/IFERROR(SUMPRODUCT((J125:U125="x")*(Besatzung!$F$11:$F$22="x")),1))),(IF(COUNTIF(J125:U125,"x")=0,IF(Besatzung!$B$18&lt;&gt;"",1,0),(Q125="x"))*(G125-IFERROR(H125,0))/IFERROR(IF(COUNTIF(J125:U125,"x")=0,COUNTA(Besatzung!$B$11:$B$22),COUNTIF(J125:U125,"x")),1)+IF(COUNTIF(J125:U125,"x")=0,(Besatzung!$F$18="x"),(Q125="x")*(Besatzung!$F$18="x"))*IFERROR(H125,0)/IFERROR(IF(COUNTIF(J125:U125,"x")=0,SUMPRODUCT((Besatzung!$B$11:$B$22&lt;&gt;"")*(Besatzung!$F$11:$F$22="x")),SUMPRODUCT((J125:U125="x")*(Besatzung!$F$11:$F$22="x"))),1))))),0))))</f>
        <v/>
      </c>
      <c r="AD125" s="106">
        <f>IF(C125="Gutschrift","",IF(G125="","",IF(Besatzung!$B$19="","",IFERROR(IF(I125="Zeitanteilig",(Besatzung!$G$19*(G125-IFERROR(H125,0))+((Besatzung!$B$19&lt;&gt;"")*IF(B125="",1,(IF(Besatzung!$C$19="",Besatzung!$B$5,Besatzung!$C$19)&lt;=B125)*(IF(Besatzung!$D$19="",Besatzung!$B$6,Besatzung!$D$19)&gt;=B125)))*(Besatzung!$F$19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$19&lt;&gt;"")*IF(B125="",1,(IF(Besatzung!$C$19="",Besatzung!$B$5,Besatzung!$C$19)&lt;=B125)*(IF(Besatzung!$D$19="",Besatzung!$B$6,Besatzung!$D$19)&gt;=B125)))*((G125-IFERROR(H125,0))/IFERROR(SUMPRODUCT((Besatzung!$B$11:$B$22&lt;&gt;"")*(IF(Besatzung!$C$11:$C$22="",Besatzung!$B$5,Besatzung!$C$11:$C$22)&lt;=B125)*(IF(Besatzung!$D$11:$D$22="",Besatzung!$B$6,Besatzung!$D$11:$D$22)&gt;=B125)),1)+(Besatzung!$F$19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R125="x")*((G125-IFERROR(H125,0))/IFERROR(COUNTIF(J125:U125,"x"),1)+(Besatzung!$F$19="x")*IFERROR(H125,0)/IFERROR(SUMPRODUCT((J125:U125="x")*(Besatzung!$F$11:$F$22="x")),1))),(IF(COUNTIF(J125:U125,"x")=0,IF(Besatzung!$B$19&lt;&gt;"",1,0),(R125="x"))*(G125-IFERROR(H125,0))/IFERROR(IF(COUNTIF(J125:U125,"x")=0,COUNTA(Besatzung!$B$11:$B$22),COUNTIF(J125:U125,"x")),1)+IF(COUNTIF(J125:U125,"x")=0,(Besatzung!$F$19="x"),(R125="x")*(Besatzung!$F$19="x"))*IFERROR(H125,0)/IFERROR(IF(COUNTIF(J125:U125,"x")=0,SUMPRODUCT((Besatzung!$B$11:$B$22&lt;&gt;"")*(Besatzung!$F$11:$F$22="x")),SUMPRODUCT((J125:U125="x")*(Besatzung!$F$11:$F$22="x"))),1))))),0))))</f>
        <v/>
      </c>
      <c r="AE125" s="106">
        <f>IF(C125="Gutschrift","",IF(G125="","",IF(Besatzung!$B$20="","",IFERROR(IF(I125="Zeitanteilig",(Besatzung!$G$20*(G125-IFERROR(H125,0))+((Besatzung!$B$20&lt;&gt;"")*IF(B125="",1,(IF(Besatzung!$C$20="",Besatzung!$B$5,Besatzung!$C$20)&lt;=B125)*(IF(Besatzung!$D$20="",Besatzung!$B$6,Besatzung!$D$20)&gt;=B125)))*(Besatzung!$F$20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$20&lt;&gt;"")*IF(B125="",1,(IF(Besatzung!$C$20="",Besatzung!$B$5,Besatzung!$C$20)&lt;=B125)*(IF(Besatzung!$D$20="",Besatzung!$B$6,Besatzung!$D$20)&gt;=B125)))*((G125-IFERROR(H125,0))/IFERROR(SUMPRODUCT((Besatzung!$B$11:$B$22&lt;&gt;"")*(IF(Besatzung!$C$11:$C$22="",Besatzung!$B$5,Besatzung!$C$11:$C$22)&lt;=B125)*(IF(Besatzung!$D$11:$D$22="",Besatzung!$B$6,Besatzung!$D$11:$D$22)&gt;=B125)),1)+(Besatzung!$F$20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S125="x")*((G125-IFERROR(H125,0))/IFERROR(COUNTIF(J125:U125,"x"),1)+(Besatzung!$F$20="x")*IFERROR(H125,0)/IFERROR(SUMPRODUCT((J125:U125="x")*(Besatzung!$F$11:$F$22="x")),1))),(IF(COUNTIF(J125:U125,"x")=0,IF(Besatzung!$B$20&lt;&gt;"",1,0),(S125="x"))*(G125-IFERROR(H125,0))/IFERROR(IF(COUNTIF(J125:U125,"x")=0,COUNTA(Besatzung!$B$11:$B$22),COUNTIF(J125:U125,"x")),1)+IF(COUNTIF(J125:U125,"x")=0,(Besatzung!$F$20="x"),(S125="x")*(Besatzung!$F$20="x"))*IFERROR(H125,0)/IFERROR(IF(COUNTIF(J125:U125,"x")=0,SUMPRODUCT((Besatzung!$B$11:$B$22&lt;&gt;"")*(Besatzung!$F$11:$F$22="x")),SUMPRODUCT((J125:U125="x")*(Besatzung!$F$11:$F$22="x"))),1))))),0))))</f>
        <v/>
      </c>
      <c r="AF125" s="106">
        <f>IF(C125="Gutschrift","",IF(G125="","",IF(Besatzung!$B$21="","",IFERROR(IF(I125="Zeitanteilig",(Besatzung!$G$21*(G125-IFERROR(H125,0))+((Besatzung!$B$21&lt;&gt;"")*IF(B125="",1,(IF(Besatzung!$C$21="",Besatzung!$B$5,Besatzung!$C$21)&lt;=B125)*(IF(Besatzung!$D$21="",Besatzung!$B$6,Besatzung!$D$21)&gt;=B125)))*(Besatzung!$F$21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$21&lt;&gt;"")*IF(B125="",1,(IF(Besatzung!$C$21="",Besatzung!$B$5,Besatzung!$C$21)&lt;=B125)*(IF(Besatzung!$D$21="",Besatzung!$B$6,Besatzung!$D$21)&gt;=B125)))*((G125-IFERROR(H125,0))/IFERROR(SUMPRODUCT((Besatzung!$B$11:$B$22&lt;&gt;"")*(IF(Besatzung!$C$11:$C$22="",Besatzung!$B$5,Besatzung!$C$11:$C$22)&lt;=B125)*(IF(Besatzung!$D$11:$D$22="",Besatzung!$B$6,Besatzung!$D$11:$D$22)&gt;=B125)),1)+(Besatzung!$F$21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T125="x")*((G125-IFERROR(H125,0))/IFERROR(COUNTIF(J125:U125,"x"),1)+(Besatzung!$F$21="x")*IFERROR(H125,0)/IFERROR(SUMPRODUCT((J125:U125="x")*(Besatzung!$F$11:$F$22="x")),1))),(IF(COUNTIF(J125:U125,"x")=0,IF(Besatzung!$B$21&lt;&gt;"",1,0),(T125="x"))*(G125-IFERROR(H125,0))/IFERROR(IF(COUNTIF(J125:U125,"x")=0,COUNTA(Besatzung!$B$11:$B$22),COUNTIF(J125:U125,"x")),1)+IF(COUNTIF(J125:U125,"x")=0,(Besatzung!$F$21="x"),(T125="x")*(Besatzung!$F$21="x"))*IFERROR(H125,0)/IFERROR(IF(COUNTIF(J125:U125,"x")=0,SUMPRODUCT((Besatzung!$B$11:$B$22&lt;&gt;"")*(Besatzung!$F$11:$F$22="x")),SUMPRODUCT((J125:U125="x")*(Besatzung!$F$11:$F$22="x"))),1))))),0))))</f>
        <v/>
      </c>
      <c r="AG125" s="106">
        <f>IF(C125="Gutschrift","",IF(G125="","",IF(Besatzung!$B$22="","",IFERROR(IF(I125="Zeitanteilig",(Besatzung!$G$22*(G125-IFERROR(H125,0))+((Besatzung!$B$22&lt;&gt;"")*IF(B125="",1,(IF(Besatzung!$C$22="",Besatzung!$B$5,Besatzung!$C$22)&lt;=B125)*(IF(Besatzung!$D$22="",Besatzung!$B$6,Besatzung!$D$22)&gt;=B125)))*(Besatzung!$F$22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$22&lt;&gt;"")*IF(B125="",1,(IF(Besatzung!$C$22="",Besatzung!$B$5,Besatzung!$C$22)&lt;=B125)*(IF(Besatzung!$D$22="",Besatzung!$B$6,Besatzung!$D$22)&gt;=B125)))*((G125-IFERROR(H125,0))/IFERROR(SUMPRODUCT((Besatzung!$B$11:$B$22&lt;&gt;"")*(IF(Besatzung!$C$11:$C$22="",Besatzung!$B$5,Besatzung!$C$11:$C$22)&lt;=B125)*(IF(Besatzung!$D$11:$D$22="",Besatzung!$B$6,Besatzung!$D$11:$D$22)&gt;=B125)),1)+(Besatzung!$F$22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U125="x")*((G125-IFERROR(H125,0))/IFERROR(COUNTIF(J125:U125,"x"),1)+(Besatzung!$F$22="x")*IFERROR(H125,0)/IFERROR(SUMPRODUCT((J125:U125="x")*(Besatzung!$F$11:$F$22="x")),1))),(IF(COUNTIF(J125:U125,"x")=0,IF(Besatzung!$B$22&lt;&gt;"",1,0),(U125="x"))*(G125-IFERROR(H125,0))/IFERROR(IF(COUNTIF(J125:U125,"x")=0,COUNTA(Besatzung!$B$11:$B$22),COUNTIF(J125:U125,"x")),1)+IF(COUNTIF(J125:U125,"x")=0,(Besatzung!$F$22="x"),(U125="x")*(Besatzung!$F$22="x"))*IFERROR(H125,0)/IFERROR(IF(COUNTIF(J125:U125,"x")=0,SUMPRODUCT((Besatzung!$B$11:$B$22&lt;&gt;"")*(Besatzung!$F$11:$F$22="x")),SUMPRODUCT((J125:U125="x")*(Besatzung!$F$11:$F$22="x"))),1))))),0))))</f>
        <v/>
      </c>
      <c r="AH125" s="107" t="n"/>
      <c r="AI125" s="107" t="n"/>
    </row>
    <row r="126" ht="21.75" customHeight="1" s="182">
      <c r="A126" s="97">
        <f>IF(AND(D126="",C126=""),"",123)</f>
        <v/>
      </c>
      <c r="B126" s="56" t="n"/>
      <c r="C126" s="98" t="n"/>
      <c r="D126" s="99" t="n"/>
      <c r="E126" s="100" t="n"/>
      <c r="F126" s="101" t="n"/>
      <c r="G126" s="102" t="n"/>
      <c r="H126" s="103" t="n"/>
      <c r="I126" s="104" t="n"/>
      <c r="J126" s="105" t="n"/>
      <c r="K126" s="105" t="n"/>
      <c r="L126" s="105" t="n"/>
      <c r="M126" s="105" t="n"/>
      <c r="N126" s="105" t="n"/>
      <c r="O126" s="105" t="n"/>
      <c r="P126" s="105" t="n"/>
      <c r="Q126" s="105" t="n"/>
      <c r="R126" s="105" t="n"/>
      <c r="S126" s="105" t="n"/>
      <c r="T126" s="105" t="n"/>
      <c r="U126" s="105" t="n"/>
      <c r="V126" s="106">
        <f>IF(C126="Gutschrift","",IF(G126="","",IF(Besatzung!$B$11="","",IFERROR(IF(I126="Zeitanteilig",(Besatzung!$G$11*(G126-IFERROR(H126,0))+((Besatzung!$B$11&lt;&gt;"")*IF(B126="",1,(IF(Besatzung!$C$11="",Besatzung!$B$5,Besatzung!$C$11)&lt;=B126)*(IF(Besatzung!$D$11="",Besatzung!$B$6,Besatzung!$D$11)&gt;=B126)))*(Besatzung!$F$11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$11&lt;&gt;"")*IF(B126="",1,(IF(Besatzung!$C$11="",Besatzung!$B$5,Besatzung!$C$11)&lt;=B126)*(IF(Besatzung!$D$11="",Besatzung!$B$6,Besatzung!$D$11)&gt;=B126)))*((G126-IFERROR(H126,0))/IFERROR(SUMPRODUCT((Besatzung!$B$11:$B$22&lt;&gt;"")*(IF(Besatzung!$C$11:$C$22="",Besatzung!$B$5,Besatzung!$C$11:$C$22)&lt;=B126)*(IF(Besatzung!$D$11:$D$22="",Besatzung!$B$6,Besatzung!$D$11:$D$22)&gt;=B126)),1)+(Besatzung!$F$11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J126="x")*((G126-IFERROR(H126,0))/IFERROR(COUNTIF(J126:U126,"x"),1)+(Besatzung!$F$11="x")*IFERROR(H126,0)/IFERROR(SUMPRODUCT((J126:U126="x")*(Besatzung!$F$11:$F$22="x")),1))),(IF(COUNTIF(J126:U126,"x")=0,IF(Besatzung!$B$11&lt;&gt;"",1,0),(J126="x"))*(G126-IFERROR(H126,0))/IFERROR(IF(COUNTIF(J126:U126,"x")=0,COUNTA(Besatzung!$B$11:$B$22),COUNTIF(J126:U126,"x")),1)+IF(COUNTIF(J126:U126,"x")=0,(Besatzung!$F$11="x"),(J126="x")*(Besatzung!$F$11="x"))*IFERROR(H126,0)/IFERROR(IF(COUNTIF(J126:U126,"x")=0,SUMPRODUCT((Besatzung!$B$11:$B$22&lt;&gt;"")*(Besatzung!$F$11:$F$22="x")),SUMPRODUCT((J126:U126="x")*(Besatzung!$F$11:$F$22="x"))),1))))),0))))</f>
        <v/>
      </c>
      <c r="W126" s="106">
        <f>IF(C126="Gutschrift","",IF(G126="","",IF(Besatzung!$B$12="","",IFERROR(IF(I126="Zeitanteilig",(Besatzung!$G$12*(G126-IFERROR(H126,0))+((Besatzung!$B$12&lt;&gt;"")*IF(B126="",1,(IF(Besatzung!$C$12="",Besatzung!$B$5,Besatzung!$C$12)&lt;=B126)*(IF(Besatzung!$D$12="",Besatzung!$B$6,Besatzung!$D$12)&gt;=B126)))*(Besatzung!$F$12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$12&lt;&gt;"")*IF(B126="",1,(IF(Besatzung!$C$12="",Besatzung!$B$5,Besatzung!$C$12)&lt;=B126)*(IF(Besatzung!$D$12="",Besatzung!$B$6,Besatzung!$D$12)&gt;=B126)))*((G126-IFERROR(H126,0))/IFERROR(SUMPRODUCT((Besatzung!$B$11:$B$22&lt;&gt;"")*(IF(Besatzung!$C$11:$C$22="",Besatzung!$B$5,Besatzung!$C$11:$C$22)&lt;=B126)*(IF(Besatzung!$D$11:$D$22="",Besatzung!$B$6,Besatzung!$D$11:$D$22)&gt;=B126)),1)+(Besatzung!$F$12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K126="x")*((G126-IFERROR(H126,0))/IFERROR(COUNTIF(J126:U126,"x"),1)+(Besatzung!$F$12="x")*IFERROR(H126,0)/IFERROR(SUMPRODUCT((J126:U126="x")*(Besatzung!$F$11:$F$22="x")),1))),(IF(COUNTIF(J126:U126,"x")=0,IF(Besatzung!$B$12&lt;&gt;"",1,0),(K126="x"))*(G126-IFERROR(H126,0))/IFERROR(IF(COUNTIF(J126:U126,"x")=0,COUNTA(Besatzung!$B$11:$B$22),COUNTIF(J126:U126,"x")),1)+IF(COUNTIF(J126:U126,"x")=0,(Besatzung!$F$12="x"),(K126="x")*(Besatzung!$F$12="x"))*IFERROR(H126,0)/IFERROR(IF(COUNTIF(J126:U126,"x")=0,SUMPRODUCT((Besatzung!$B$11:$B$22&lt;&gt;"")*(Besatzung!$F$11:$F$22="x")),SUMPRODUCT((J126:U126="x")*(Besatzung!$F$11:$F$22="x"))),1))))),0))))</f>
        <v/>
      </c>
      <c r="X126" s="106">
        <f>IF(C126="Gutschrift","",IF(G126="","",IF(Besatzung!$B$13="","",IFERROR(IF(I126="Zeitanteilig",(Besatzung!$G$13*(G126-IFERROR(H126,0))+((Besatzung!$B$13&lt;&gt;"")*IF(B126="",1,(IF(Besatzung!$C$13="",Besatzung!$B$5,Besatzung!$C$13)&lt;=B126)*(IF(Besatzung!$D$13="",Besatzung!$B$6,Besatzung!$D$13)&gt;=B126)))*(Besatzung!$F$13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$13&lt;&gt;"")*IF(B126="",1,(IF(Besatzung!$C$13="",Besatzung!$B$5,Besatzung!$C$13)&lt;=B126)*(IF(Besatzung!$D$13="",Besatzung!$B$6,Besatzung!$D$13)&gt;=B126)))*((G126-IFERROR(H126,0))/IFERROR(SUMPRODUCT((Besatzung!$B$11:$B$22&lt;&gt;"")*(IF(Besatzung!$C$11:$C$22="",Besatzung!$B$5,Besatzung!$C$11:$C$22)&lt;=B126)*(IF(Besatzung!$D$11:$D$22="",Besatzung!$B$6,Besatzung!$D$11:$D$22)&gt;=B126)),1)+(Besatzung!$F$13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K126="x")*((G126-IFERROR(H126,0))/IFERROR(COUNTIF(J126:U126,"x"),1)+(Besatzung!$F$13="x")*IFERROR(H126,0)/IFERROR(SUMPRODUCT((J126:U126="x")*(Besatzung!$F$11:$F$22="x")),1))),(IF(COUNTIF(J126:U126,"x")=0,IF(Besatzung!$B$13&lt;&gt;"",1,0),(K126="x"))*(G126-IFERROR(H126,0))/IFERROR(IF(COUNTIF(J126:U126,"x")=0,COUNTA(Besatzung!$B$11:$B$22),COUNTIF(J126:U126,"x")),1)+IF(COUNTIF(J126:U126,"x")=0,(Besatzung!$F$13="x"),(K126="x")*(Besatzung!$F$13="x"))*IFERROR(H126,0)/IFERROR(IF(COUNTIF(J126:U126,"x")=0,SUMPRODUCT((Besatzung!$B$11:$B$22&lt;&gt;"")*(Besatzung!$F$11:$F$22="x")),SUMPRODUCT((J126:U126="x")*(Besatzung!$F$11:$F$22="x"))),1))))),0))))</f>
        <v/>
      </c>
      <c r="Y126" s="106">
        <f>IF(C126="Gutschrift","",IF(G126="","",IF(Besatzung!$B$14="","",IFERROR(IF(I126="Zeitanteilig",(Besatzung!$G$14*(G126-IFERROR(H126,0))+((Besatzung!$B$14&lt;&gt;"")*IF(B126="",1,(IF(Besatzung!$C$14="",Besatzung!$B$5,Besatzung!$C$14)&lt;=B126)*(IF(Besatzung!$D$14="",Besatzung!$B$6,Besatzung!$D$14)&gt;=B126)))*(Besatzung!$F$14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$14&lt;&gt;"")*IF(B126="",1,(IF(Besatzung!$C$14="",Besatzung!$B$5,Besatzung!$C$14)&lt;=B126)*(IF(Besatzung!$D$14="",Besatzung!$B$6,Besatzung!$D$14)&gt;=B126)))*((G126-IFERROR(H126,0))/IFERROR(SUMPRODUCT((Besatzung!$B$11:$B$22&lt;&gt;"")*(IF(Besatzung!$C$11:$C$22="",Besatzung!$B$5,Besatzung!$C$11:$C$22)&lt;=B126)*(IF(Besatzung!$D$11:$D$22="",Besatzung!$B$6,Besatzung!$D$11:$D$22)&gt;=B126)),1)+(Besatzung!$F$14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M126="x")*((G126-IFERROR(H126,0))/IFERROR(COUNTIF(J126:U126,"x"),1)+(Besatzung!$F$14="x")*IFERROR(H126,0)/IFERROR(SUMPRODUCT((J126:U126="x")*(Besatzung!$F$11:$F$22="x")),1))),(IF(COUNTIF(J126:U126,"x")=0,IF(Besatzung!$B$14&lt;&gt;"",1,0),(M126="x"))*(G126-IFERROR(H126,0))/IFERROR(IF(COUNTIF(J126:U126,"x")=0,COUNTA(Besatzung!$B$11:$B$22),COUNTIF(J126:U126,"x")),1)+IF(COUNTIF(J126:U126,"x")=0,(Besatzung!$F$14="x"),(M126="x")*(Besatzung!$F$14="x"))*IFERROR(H126,0)/IFERROR(IF(COUNTIF(J126:U126,"x")=0,SUMPRODUCT((Besatzung!$B$11:$B$22&lt;&gt;"")*(Besatzung!$F$11:$F$22="x")),SUMPRODUCT((J126:U126="x")*(Besatzung!$F$11:$F$22="x"))),1))))),0))))</f>
        <v/>
      </c>
      <c r="Z126" s="106">
        <f>IF(C126="Gutschrift","",IF(G126="","",IF(Besatzung!$B$13="","",IFERROR(IF(I126="Zeitanteilig",(Besatzung!$G$15*(G126-IFERROR(H126,0))+((Besatzung!$B$13&lt;&gt;"")*IF(B126="",1,(IF(Besatzung!$C$15="",Besatzung!$B$5,Besatzung!$C$15)&lt;=B126)*(IF(Besatzung!$D$15="",Besatzung!$B$6,Besatzung!$D$15)&gt;=B126)))*(Besatzung!$F$15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$13&lt;&gt;"")*IF(B126="",1,(IF(Besatzung!$C$15="",Besatzung!$B$5,Besatzung!$C$15)&lt;=B126)*(IF(Besatzung!$D$15="",Besatzung!$B$6,Besatzung!$D$15)&gt;=B126)))*((G126-IFERROR(H126,0))/IFERROR(SUMPRODUCT((Besatzung!$B$11:$B$22&lt;&gt;"")*(IF(Besatzung!$C$11:$C$22="",Besatzung!$B$5,Besatzung!$C$11:$C$22)&lt;=B126)*(IF(Besatzung!$D$11:$D$22="",Besatzung!$B$6,Besatzung!$D$11:$D$22)&gt;=B126)),1)+(Besatzung!$F$15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N126="x")*((G126-IFERROR(H126,0))/IFERROR(COUNTIF(J126:U126,"x"),1)+(Besatzung!$F$15="x")*IFERROR(H126,0)/IFERROR(SUMPRODUCT((J126:U126="x")*(Besatzung!$F$11:$F$22="x")),1))),(IF(COUNTIF(J126:U126,"x")=0,IF(Besatzung!$B$13&lt;&gt;"",1,0),(N126="x"))*(G126-IFERROR(H126,0))/IFERROR(IF(COUNTIF(J126:U126,"x")=0,COUNTA(Besatzung!$B$11:$B$22),COUNTIF(J126:U126,"x")),1)+IF(COUNTIF(J126:U126,"x")=0,(Besatzung!$F$15="x"),(N126="x")*(Besatzung!$F$15="x"))*IFERROR(H126,0)/IFERROR(IF(COUNTIF(J126:U126,"x")=0,SUMPRODUCT((Besatzung!$B$11:$B$22&lt;&gt;"")*(Besatzung!$F$11:$F$22="x")),SUMPRODUCT((J126:U126="x")*(Besatzung!$F$11:$F$22="x"))),1))))),0))))</f>
        <v/>
      </c>
      <c r="AA126" s="106">
        <f>IF(C126="Gutschrift","",IF(G126="","",IF(Besatzung!$B$15="","",IFERROR(IF(I126="Zeitanteilig",(Besatzung!$G$16*(G126-IFERROR(H126,0))+((Besatzung!$B$15&lt;&gt;"")*IF(B126="",1,(IF(Besatzung!$C$16="",Besatzung!$B$5,Besatzung!$C$16)&lt;=B126)*(IF(Besatzung!$D$16="",Besatzung!$B$6,Besatzung!$D$16)&gt;=B126)))*(Besatzung!$F$16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$15&lt;&gt;"")*IF(B126="",1,(IF(Besatzung!$C$16="",Besatzung!$B$5,Besatzung!$C$16)&lt;=B126)*(IF(Besatzung!$D$16="",Besatzung!$B$6,Besatzung!$D$16)&gt;=B126)))*((G126-IFERROR(H126,0))/IFERROR(SUMPRODUCT((Besatzung!$B$11:$B$22&lt;&gt;"")*(IF(Besatzung!$C$11:$C$22="",Besatzung!$B$5,Besatzung!$C$11:$C$22)&lt;=B126)*(IF(Besatzung!$D$11:$D$22="",Besatzung!$B$6,Besatzung!$D$11:$D$22)&gt;=B126)),1)+(Besatzung!$F$16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O126="x")*((G126-IFERROR(H126,0))/IFERROR(COUNTIF(J126:U126,"x"),1)+(Besatzung!$F$16="x")*IFERROR(H126,0)/IFERROR(SUMPRODUCT((J126:U126="x")*(Besatzung!$F$11:$F$22="x")),1))),(IF(COUNTIF(J126:U126,"x")=0,IF(Besatzung!$B$15&lt;&gt;"",1,0),(O126="x"))*(G126-IFERROR(H126,0))/IFERROR(IF(COUNTIF(J126:U126,"x")=0,COUNTA(Besatzung!$B$11:$B$22),COUNTIF(J126:U126,"x")),1)+IF(COUNTIF(J126:U126,"x")=0,(Besatzung!$F$16="x"),(O126="x")*(Besatzung!$F$16="x"))*IFERROR(H126,0)/IFERROR(IF(COUNTIF(J126:U126,"x")=0,SUMPRODUCT((Besatzung!$B$11:$B$22&lt;&gt;"")*(Besatzung!$F$11:$F$22="x")),SUMPRODUCT((J126:U126="x")*(Besatzung!$F$11:$F$22="x"))),1))))),0))))</f>
        <v/>
      </c>
      <c r="AB126" s="106">
        <f>IF(C126="Gutschrift","",IF(G126="","",IF(Besatzung!$B$17="","",IFERROR(IF(I126="Zeitanteilig",(Besatzung!$G$17*(G126-IFERROR(H126,0))+((Besatzung!$B$17&lt;&gt;"")*IF(B126="",1,(IF(Besatzung!$C$17="",Besatzung!$B$5,Besatzung!$C$17)&lt;=B126)*(IF(Besatzung!$D$17="",Besatzung!$B$6,Besatzung!$D$17)&gt;=B126)))*(Besatzung!$F$17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$17&lt;&gt;"")*IF(B126="",1,(IF(Besatzung!$C$17="",Besatzung!$B$5,Besatzung!$C$17)&lt;=B126)*(IF(Besatzung!$D$17="",Besatzung!$B$6,Besatzung!$D$17)&gt;=B126)))*((G126-IFERROR(H126,0))/IFERROR(SUMPRODUCT((Besatzung!$B$11:$B$22&lt;&gt;"")*(IF(Besatzung!$C$11:$C$22="",Besatzung!$B$5,Besatzung!$C$11:$C$22)&lt;=B126)*(IF(Besatzung!$D$11:$D$22="",Besatzung!$B$6,Besatzung!$D$11:$D$22)&gt;=B126)),1)+(Besatzung!$F$17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P126="x")*((G126-IFERROR(H126,0))/IFERROR(COUNTIF(J126:U126,"x"),1)+(Besatzung!$F$17="x")*IFERROR(H126,0)/IFERROR(SUMPRODUCT((J126:U126="x")*(Besatzung!$F$11:$F$22="x")),1))),(IF(COUNTIF(J126:U126,"x")=0,IF(Besatzung!$B$17&lt;&gt;"",1,0),(P126="x"))*(G126-IFERROR(H126,0))/IFERROR(IF(COUNTIF(J126:U126,"x")=0,COUNTA(Besatzung!$B$11:$B$22),COUNTIF(J126:U126,"x")),1)+IF(COUNTIF(J126:U126,"x")=0,(Besatzung!$F$17="x"),(P126="x")*(Besatzung!$F$17="x"))*IFERROR(H126,0)/IFERROR(IF(COUNTIF(J126:U126,"x")=0,SUMPRODUCT((Besatzung!$B$11:$B$22&lt;&gt;"")*(Besatzung!$F$11:$F$22="x")),SUMPRODUCT((J126:U126="x")*(Besatzung!$F$11:$F$22="x"))),1))))),0))))</f>
        <v/>
      </c>
      <c r="AC126" s="106">
        <f>IF(C126="Gutschrift","",IF(G126="","",IF(Besatzung!$B$18="","",IFERROR(IF(I126="Zeitanteilig",(Besatzung!$G$18*(G126-IFERROR(H126,0))+((Besatzung!$B$18&lt;&gt;"")*IF(B126="",1,(IF(Besatzung!$C$18="",Besatzung!$B$5,Besatzung!$C$18)&lt;=B126)*(IF(Besatzung!$D$18="",Besatzung!$B$6,Besatzung!$D$18)&gt;=B126)))*(Besatzung!$F$18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$18&lt;&gt;"")*IF(B126="",1,(IF(Besatzung!$C$18="",Besatzung!$B$5,Besatzung!$C$18)&lt;=B126)*(IF(Besatzung!$D$18="",Besatzung!$B$6,Besatzung!$D$18)&gt;=B126)))*((G126-IFERROR(H126,0))/IFERROR(SUMPRODUCT((Besatzung!$B$11:$B$22&lt;&gt;"")*(IF(Besatzung!$C$11:$C$22="",Besatzung!$B$5,Besatzung!$C$11:$C$22)&lt;=B126)*(IF(Besatzung!$D$11:$D$22="",Besatzung!$B$6,Besatzung!$D$11:$D$22)&gt;=B126)),1)+(Besatzung!$F$18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Q126="x")*((G126-IFERROR(H126,0))/IFERROR(COUNTIF(J126:U126,"x"),1)+(Besatzung!$F$18="x")*IFERROR(H126,0)/IFERROR(SUMPRODUCT((J126:U126="x")*(Besatzung!$F$11:$F$22="x")),1))),(IF(COUNTIF(J126:U126,"x")=0,IF(Besatzung!$B$18&lt;&gt;"",1,0),(Q126="x"))*(G126-IFERROR(H126,0))/IFERROR(IF(COUNTIF(J126:U126,"x")=0,COUNTA(Besatzung!$B$11:$B$22),COUNTIF(J126:U126,"x")),1)+IF(COUNTIF(J126:U126,"x")=0,(Besatzung!$F$18="x"),(Q126="x")*(Besatzung!$F$18="x"))*IFERROR(H126,0)/IFERROR(IF(COUNTIF(J126:U126,"x")=0,SUMPRODUCT((Besatzung!$B$11:$B$22&lt;&gt;"")*(Besatzung!$F$11:$F$22="x")),SUMPRODUCT((J126:U126="x")*(Besatzung!$F$11:$F$22="x"))),1))))),0))))</f>
        <v/>
      </c>
      <c r="AD126" s="106">
        <f>IF(C126="Gutschrift","",IF(G126="","",IF(Besatzung!$B$19="","",IFERROR(IF(I126="Zeitanteilig",(Besatzung!$G$19*(G126-IFERROR(H126,0))+((Besatzung!$B$19&lt;&gt;"")*IF(B126="",1,(IF(Besatzung!$C$19="",Besatzung!$B$5,Besatzung!$C$19)&lt;=B126)*(IF(Besatzung!$D$19="",Besatzung!$B$6,Besatzung!$D$19)&gt;=B126)))*(Besatzung!$F$19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$19&lt;&gt;"")*IF(B126="",1,(IF(Besatzung!$C$19="",Besatzung!$B$5,Besatzung!$C$19)&lt;=B126)*(IF(Besatzung!$D$19="",Besatzung!$B$6,Besatzung!$D$19)&gt;=B126)))*((G126-IFERROR(H126,0))/IFERROR(SUMPRODUCT((Besatzung!$B$11:$B$22&lt;&gt;"")*(IF(Besatzung!$C$11:$C$22="",Besatzung!$B$5,Besatzung!$C$11:$C$22)&lt;=B126)*(IF(Besatzung!$D$11:$D$22="",Besatzung!$B$6,Besatzung!$D$11:$D$22)&gt;=B126)),1)+(Besatzung!$F$19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R126="x")*((G126-IFERROR(H126,0))/IFERROR(COUNTIF(J126:U126,"x"),1)+(Besatzung!$F$19="x")*IFERROR(H126,0)/IFERROR(SUMPRODUCT((J126:U126="x")*(Besatzung!$F$11:$F$22="x")),1))),(IF(COUNTIF(J126:U126,"x")=0,IF(Besatzung!$B$19&lt;&gt;"",1,0),(R126="x"))*(G126-IFERROR(H126,0))/IFERROR(IF(COUNTIF(J126:U126,"x")=0,COUNTA(Besatzung!$B$11:$B$22),COUNTIF(J126:U126,"x")),1)+IF(COUNTIF(J126:U126,"x")=0,(Besatzung!$F$19="x"),(R126="x")*(Besatzung!$F$19="x"))*IFERROR(H126,0)/IFERROR(IF(COUNTIF(J126:U126,"x")=0,SUMPRODUCT((Besatzung!$B$11:$B$22&lt;&gt;"")*(Besatzung!$F$11:$F$22="x")),SUMPRODUCT((J126:U126="x")*(Besatzung!$F$11:$F$22="x"))),1))))),0))))</f>
        <v/>
      </c>
      <c r="AE126" s="106">
        <f>IF(C126="Gutschrift","",IF(G126="","",IF(Besatzung!$B$20="","",IFERROR(IF(I126="Zeitanteilig",(Besatzung!$G$20*(G126-IFERROR(H126,0))+((Besatzung!$B$20&lt;&gt;"")*IF(B126="",1,(IF(Besatzung!$C$20="",Besatzung!$B$5,Besatzung!$C$20)&lt;=B126)*(IF(Besatzung!$D$20="",Besatzung!$B$6,Besatzung!$D$20)&gt;=B126)))*(Besatzung!$F$20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$20&lt;&gt;"")*IF(B126="",1,(IF(Besatzung!$C$20="",Besatzung!$B$5,Besatzung!$C$20)&lt;=B126)*(IF(Besatzung!$D$20="",Besatzung!$B$6,Besatzung!$D$20)&gt;=B126)))*((G126-IFERROR(H126,0))/IFERROR(SUMPRODUCT((Besatzung!$B$11:$B$22&lt;&gt;"")*(IF(Besatzung!$C$11:$C$22="",Besatzung!$B$5,Besatzung!$C$11:$C$22)&lt;=B126)*(IF(Besatzung!$D$11:$D$22="",Besatzung!$B$6,Besatzung!$D$11:$D$22)&gt;=B126)),1)+(Besatzung!$F$20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S126="x")*((G126-IFERROR(H126,0))/IFERROR(COUNTIF(J126:U126,"x"),1)+(Besatzung!$F$20="x")*IFERROR(H126,0)/IFERROR(SUMPRODUCT((J126:U126="x")*(Besatzung!$F$11:$F$22="x")),1))),(IF(COUNTIF(J126:U126,"x")=0,IF(Besatzung!$B$20&lt;&gt;"",1,0),(S126="x"))*(G126-IFERROR(H126,0))/IFERROR(IF(COUNTIF(J126:U126,"x")=0,COUNTA(Besatzung!$B$11:$B$22),COUNTIF(J126:U126,"x")),1)+IF(COUNTIF(J126:U126,"x")=0,(Besatzung!$F$20="x"),(S126="x")*(Besatzung!$F$20="x"))*IFERROR(H126,0)/IFERROR(IF(COUNTIF(J126:U126,"x")=0,SUMPRODUCT((Besatzung!$B$11:$B$22&lt;&gt;"")*(Besatzung!$F$11:$F$22="x")),SUMPRODUCT((J126:U126="x")*(Besatzung!$F$11:$F$22="x"))),1))))),0))))</f>
        <v/>
      </c>
      <c r="AF126" s="106">
        <f>IF(C126="Gutschrift","",IF(G126="","",IF(Besatzung!$B$21="","",IFERROR(IF(I126="Zeitanteilig",(Besatzung!$G$21*(G126-IFERROR(H126,0))+((Besatzung!$B$21&lt;&gt;"")*IF(B126="",1,(IF(Besatzung!$C$21="",Besatzung!$B$5,Besatzung!$C$21)&lt;=B126)*(IF(Besatzung!$D$21="",Besatzung!$B$6,Besatzung!$D$21)&gt;=B126)))*(Besatzung!$F$21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$21&lt;&gt;"")*IF(B126="",1,(IF(Besatzung!$C$21="",Besatzung!$B$5,Besatzung!$C$21)&lt;=B126)*(IF(Besatzung!$D$21="",Besatzung!$B$6,Besatzung!$D$21)&gt;=B126)))*((G126-IFERROR(H126,0))/IFERROR(SUMPRODUCT((Besatzung!$B$11:$B$22&lt;&gt;"")*(IF(Besatzung!$C$11:$C$22="",Besatzung!$B$5,Besatzung!$C$11:$C$22)&lt;=B126)*(IF(Besatzung!$D$11:$D$22="",Besatzung!$B$6,Besatzung!$D$11:$D$22)&gt;=B126)),1)+(Besatzung!$F$21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T126="x")*((G126-IFERROR(H126,0))/IFERROR(COUNTIF(J126:U126,"x"),1)+(Besatzung!$F$21="x")*IFERROR(H126,0)/IFERROR(SUMPRODUCT((J126:U126="x")*(Besatzung!$F$11:$F$22="x")),1))),(IF(COUNTIF(J126:U126,"x")=0,IF(Besatzung!$B$21&lt;&gt;"",1,0),(T126="x"))*(G126-IFERROR(H126,0))/IFERROR(IF(COUNTIF(J126:U126,"x")=0,COUNTA(Besatzung!$B$11:$B$22),COUNTIF(J126:U126,"x")),1)+IF(COUNTIF(J126:U126,"x")=0,(Besatzung!$F$21="x"),(T126="x")*(Besatzung!$F$21="x"))*IFERROR(H126,0)/IFERROR(IF(COUNTIF(J126:U126,"x")=0,SUMPRODUCT((Besatzung!$B$11:$B$22&lt;&gt;"")*(Besatzung!$F$11:$F$22="x")),SUMPRODUCT((J126:U126="x")*(Besatzung!$F$11:$F$22="x"))),1))))),0))))</f>
        <v/>
      </c>
      <c r="AG126" s="106">
        <f>IF(C126="Gutschrift","",IF(G126="","",IF(Besatzung!$B$22="","",IFERROR(IF(I126="Zeitanteilig",(Besatzung!$G$22*(G126-IFERROR(H126,0))+((Besatzung!$B$22&lt;&gt;"")*IF(B126="",1,(IF(Besatzung!$C$22="",Besatzung!$B$5,Besatzung!$C$22)&lt;=B126)*(IF(Besatzung!$D$22="",Besatzung!$B$6,Besatzung!$D$22)&gt;=B126)))*(Besatzung!$F$22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$22&lt;&gt;"")*IF(B126="",1,(IF(Besatzung!$C$22="",Besatzung!$B$5,Besatzung!$C$22)&lt;=B126)*(IF(Besatzung!$D$22="",Besatzung!$B$6,Besatzung!$D$22)&gt;=B126)))*((G126-IFERROR(H126,0))/IFERROR(SUMPRODUCT((Besatzung!$B$11:$B$22&lt;&gt;"")*(IF(Besatzung!$C$11:$C$22="",Besatzung!$B$5,Besatzung!$C$11:$C$22)&lt;=B126)*(IF(Besatzung!$D$11:$D$22="",Besatzung!$B$6,Besatzung!$D$11:$D$22)&gt;=B126)),1)+(Besatzung!$F$22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U126="x")*((G126-IFERROR(H126,0))/IFERROR(COUNTIF(J126:U126,"x"),1)+(Besatzung!$F$22="x")*IFERROR(H126,0)/IFERROR(SUMPRODUCT((J126:U126="x")*(Besatzung!$F$11:$F$22="x")),1))),(IF(COUNTIF(J126:U126,"x")=0,IF(Besatzung!$B$22&lt;&gt;"",1,0),(U126="x"))*(G126-IFERROR(H126,0))/IFERROR(IF(COUNTIF(J126:U126,"x")=0,COUNTA(Besatzung!$B$11:$B$22),COUNTIF(J126:U126,"x")),1)+IF(COUNTIF(J126:U126,"x")=0,(Besatzung!$F$22="x"),(U126="x")*(Besatzung!$F$22="x"))*IFERROR(H126,0)/IFERROR(IF(COUNTIF(J126:U126,"x")=0,SUMPRODUCT((Besatzung!$B$11:$B$22&lt;&gt;"")*(Besatzung!$F$11:$F$22="x")),SUMPRODUCT((J126:U126="x")*(Besatzung!$F$11:$F$22="x"))),1))))),0))))</f>
        <v/>
      </c>
      <c r="AH126" s="107" t="n"/>
      <c r="AI126" s="107" t="n"/>
    </row>
    <row r="127" ht="21.75" customHeight="1" s="182">
      <c r="A127" s="97">
        <f>IF(AND(D127="",C127=""),"",124)</f>
        <v/>
      </c>
      <c r="B127" s="63" t="n"/>
      <c r="C127" s="108" t="n"/>
      <c r="D127" s="109" t="n"/>
      <c r="E127" s="110" t="n"/>
      <c r="F127" s="111" t="n"/>
      <c r="G127" s="112" t="n"/>
      <c r="H127" s="113" t="n"/>
      <c r="I127" s="114" t="n"/>
      <c r="J127" s="115" t="n"/>
      <c r="K127" s="115" t="n"/>
      <c r="L127" s="115" t="n"/>
      <c r="M127" s="115" t="n"/>
      <c r="N127" s="115" t="n"/>
      <c r="O127" s="115" t="n"/>
      <c r="P127" s="115" t="n"/>
      <c r="Q127" s="115" t="n"/>
      <c r="R127" s="115" t="n"/>
      <c r="S127" s="115" t="n"/>
      <c r="T127" s="115" t="n"/>
      <c r="U127" s="115" t="n"/>
      <c r="V127" s="106">
        <f>IF(C127="Gutschrift","",IF(G127="","",IF(Besatzung!$B$11="","",IFERROR(IF(I127="Zeitanteilig",(Besatzung!$G$11*(G127-IFERROR(H127,0))+((Besatzung!$B$11&lt;&gt;"")*IF(B127="",1,(IF(Besatzung!$C$11="",Besatzung!$B$5,Besatzung!$C$11)&lt;=B127)*(IF(Besatzung!$D$11="",Besatzung!$B$6,Besatzung!$D$11)&gt;=B127)))*(Besatzung!$F$11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$11&lt;&gt;"")*IF(B127="",1,(IF(Besatzung!$C$11="",Besatzung!$B$5,Besatzung!$C$11)&lt;=B127)*(IF(Besatzung!$D$11="",Besatzung!$B$6,Besatzung!$D$11)&gt;=B127)))*((G127-IFERROR(H127,0))/IFERROR(SUMPRODUCT((Besatzung!$B$11:$B$22&lt;&gt;"")*(IF(Besatzung!$C$11:$C$22="",Besatzung!$B$5,Besatzung!$C$11:$C$22)&lt;=B127)*(IF(Besatzung!$D$11:$D$22="",Besatzung!$B$6,Besatzung!$D$11:$D$22)&gt;=B127)),1)+(Besatzung!$F$11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J127="x")*((G127-IFERROR(H127,0))/IFERROR(COUNTIF(J127:U127,"x"),1)+(Besatzung!$F$11="x")*IFERROR(H127,0)/IFERROR(SUMPRODUCT((J127:U127="x")*(Besatzung!$F$11:$F$22="x")),1))),(IF(COUNTIF(J127:U127,"x")=0,IF(Besatzung!$B$11&lt;&gt;"",1,0),(J127="x"))*(G127-IFERROR(H127,0))/IFERROR(IF(COUNTIF(J127:U127,"x")=0,COUNTA(Besatzung!$B$11:$B$22),COUNTIF(J127:U127,"x")),1)+IF(COUNTIF(J127:U127,"x")=0,(Besatzung!$F$11="x"),(J127="x")*(Besatzung!$F$11="x"))*IFERROR(H127,0)/IFERROR(IF(COUNTIF(J127:U127,"x")=0,SUMPRODUCT((Besatzung!$B$11:$B$22&lt;&gt;"")*(Besatzung!$F$11:$F$22="x")),SUMPRODUCT((J127:U127="x")*(Besatzung!$F$11:$F$22="x"))),1))))),0))))</f>
        <v/>
      </c>
      <c r="W127" s="106">
        <f>IF(C127="Gutschrift","",IF(G127="","",IF(Besatzung!$B$12="","",IFERROR(IF(I127="Zeitanteilig",(Besatzung!$G$12*(G127-IFERROR(H127,0))+((Besatzung!$B$12&lt;&gt;"")*IF(B127="",1,(IF(Besatzung!$C$12="",Besatzung!$B$5,Besatzung!$C$12)&lt;=B127)*(IF(Besatzung!$D$12="",Besatzung!$B$6,Besatzung!$D$12)&gt;=B127)))*(Besatzung!$F$12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$12&lt;&gt;"")*IF(B127="",1,(IF(Besatzung!$C$12="",Besatzung!$B$5,Besatzung!$C$12)&lt;=B127)*(IF(Besatzung!$D$12="",Besatzung!$B$6,Besatzung!$D$12)&gt;=B127)))*((G127-IFERROR(H127,0))/IFERROR(SUMPRODUCT((Besatzung!$B$11:$B$22&lt;&gt;"")*(IF(Besatzung!$C$11:$C$22="",Besatzung!$B$5,Besatzung!$C$11:$C$22)&lt;=B127)*(IF(Besatzung!$D$11:$D$22="",Besatzung!$B$6,Besatzung!$D$11:$D$22)&gt;=B127)),1)+(Besatzung!$F$12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K127="x")*((G127-IFERROR(H127,0))/IFERROR(COUNTIF(J127:U127,"x"),1)+(Besatzung!$F$12="x")*IFERROR(H127,0)/IFERROR(SUMPRODUCT((J127:U127="x")*(Besatzung!$F$11:$F$22="x")),1))),(IF(COUNTIF(J127:U127,"x")=0,IF(Besatzung!$B$12&lt;&gt;"",1,0),(K127="x"))*(G127-IFERROR(H127,0))/IFERROR(IF(COUNTIF(J127:U127,"x")=0,COUNTA(Besatzung!$B$11:$B$22),COUNTIF(J127:U127,"x")),1)+IF(COUNTIF(J127:U127,"x")=0,(Besatzung!$F$12="x"),(K127="x")*(Besatzung!$F$12="x"))*IFERROR(H127,0)/IFERROR(IF(COUNTIF(J127:U127,"x")=0,SUMPRODUCT((Besatzung!$B$11:$B$22&lt;&gt;"")*(Besatzung!$F$11:$F$22="x")),SUMPRODUCT((J127:U127="x")*(Besatzung!$F$11:$F$22="x"))),1))))),0))))</f>
        <v/>
      </c>
      <c r="X127" s="106">
        <f>IF(C127="Gutschrift","",IF(G127="","",IF(Besatzung!$B$13="","",IFERROR(IF(I127="Zeitanteilig",(Besatzung!$G$13*(G127-IFERROR(H127,0))+((Besatzung!$B$13&lt;&gt;"")*IF(B127="",1,(IF(Besatzung!$C$13="",Besatzung!$B$5,Besatzung!$C$13)&lt;=B127)*(IF(Besatzung!$D$13="",Besatzung!$B$6,Besatzung!$D$13)&gt;=B127)))*(Besatzung!$F$13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$13&lt;&gt;"")*IF(B127="",1,(IF(Besatzung!$C$13="",Besatzung!$B$5,Besatzung!$C$13)&lt;=B127)*(IF(Besatzung!$D$13="",Besatzung!$B$6,Besatzung!$D$13)&gt;=B127)))*((G127-IFERROR(H127,0))/IFERROR(SUMPRODUCT((Besatzung!$B$11:$B$22&lt;&gt;"")*(IF(Besatzung!$C$11:$C$22="",Besatzung!$B$5,Besatzung!$C$11:$C$22)&lt;=B127)*(IF(Besatzung!$D$11:$D$22="",Besatzung!$B$6,Besatzung!$D$11:$D$22)&gt;=B127)),1)+(Besatzung!$F$13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K127="x")*((G127-IFERROR(H127,0))/IFERROR(COUNTIF(J127:U127,"x"),1)+(Besatzung!$F$13="x")*IFERROR(H127,0)/IFERROR(SUMPRODUCT((J127:U127="x")*(Besatzung!$F$11:$F$22="x")),1))),(IF(COUNTIF(J127:U127,"x")=0,IF(Besatzung!$B$13&lt;&gt;"",1,0),(K127="x"))*(G127-IFERROR(H127,0))/IFERROR(IF(COUNTIF(J127:U127,"x")=0,COUNTA(Besatzung!$B$11:$B$22),COUNTIF(J127:U127,"x")),1)+IF(COUNTIF(J127:U127,"x")=0,(Besatzung!$F$13="x"),(K127="x")*(Besatzung!$F$13="x"))*IFERROR(H127,0)/IFERROR(IF(COUNTIF(J127:U127,"x")=0,SUMPRODUCT((Besatzung!$B$11:$B$22&lt;&gt;"")*(Besatzung!$F$11:$F$22="x")),SUMPRODUCT((J127:U127="x")*(Besatzung!$F$11:$F$22="x"))),1))))),0))))</f>
        <v/>
      </c>
      <c r="Y127" s="106">
        <f>IF(C127="Gutschrift","",IF(G127="","",IF(Besatzung!$B$14="","",IFERROR(IF(I127="Zeitanteilig",(Besatzung!$G$14*(G127-IFERROR(H127,0))+((Besatzung!$B$14&lt;&gt;"")*IF(B127="",1,(IF(Besatzung!$C$14="",Besatzung!$B$5,Besatzung!$C$14)&lt;=B127)*(IF(Besatzung!$D$14="",Besatzung!$B$6,Besatzung!$D$14)&gt;=B127)))*(Besatzung!$F$14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$14&lt;&gt;"")*IF(B127="",1,(IF(Besatzung!$C$14="",Besatzung!$B$5,Besatzung!$C$14)&lt;=B127)*(IF(Besatzung!$D$14="",Besatzung!$B$6,Besatzung!$D$14)&gt;=B127)))*((G127-IFERROR(H127,0))/IFERROR(SUMPRODUCT((Besatzung!$B$11:$B$22&lt;&gt;"")*(IF(Besatzung!$C$11:$C$22="",Besatzung!$B$5,Besatzung!$C$11:$C$22)&lt;=B127)*(IF(Besatzung!$D$11:$D$22="",Besatzung!$B$6,Besatzung!$D$11:$D$22)&gt;=B127)),1)+(Besatzung!$F$14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M127="x")*((G127-IFERROR(H127,0))/IFERROR(COUNTIF(J127:U127,"x"),1)+(Besatzung!$F$14="x")*IFERROR(H127,0)/IFERROR(SUMPRODUCT((J127:U127="x")*(Besatzung!$F$11:$F$22="x")),1))),(IF(COUNTIF(J127:U127,"x")=0,IF(Besatzung!$B$14&lt;&gt;"",1,0),(M127="x"))*(G127-IFERROR(H127,0))/IFERROR(IF(COUNTIF(J127:U127,"x")=0,COUNTA(Besatzung!$B$11:$B$22),COUNTIF(J127:U127,"x")),1)+IF(COUNTIF(J127:U127,"x")=0,(Besatzung!$F$14="x"),(M127="x")*(Besatzung!$F$14="x"))*IFERROR(H127,0)/IFERROR(IF(COUNTIF(J127:U127,"x")=0,SUMPRODUCT((Besatzung!$B$11:$B$22&lt;&gt;"")*(Besatzung!$F$11:$F$22="x")),SUMPRODUCT((J127:U127="x")*(Besatzung!$F$11:$F$22="x"))),1))))),0))))</f>
        <v/>
      </c>
      <c r="Z127" s="106">
        <f>IF(C127="Gutschrift","",IF(G127="","",IF(Besatzung!$B$13="","",IFERROR(IF(I127="Zeitanteilig",(Besatzung!$G$15*(G127-IFERROR(H127,0))+((Besatzung!$B$13&lt;&gt;"")*IF(B127="",1,(IF(Besatzung!$C$15="",Besatzung!$B$5,Besatzung!$C$15)&lt;=B127)*(IF(Besatzung!$D$15="",Besatzung!$B$6,Besatzung!$D$15)&gt;=B127)))*(Besatzung!$F$15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$13&lt;&gt;"")*IF(B127="",1,(IF(Besatzung!$C$15="",Besatzung!$B$5,Besatzung!$C$15)&lt;=B127)*(IF(Besatzung!$D$15="",Besatzung!$B$6,Besatzung!$D$15)&gt;=B127)))*((G127-IFERROR(H127,0))/IFERROR(SUMPRODUCT((Besatzung!$B$11:$B$22&lt;&gt;"")*(IF(Besatzung!$C$11:$C$22="",Besatzung!$B$5,Besatzung!$C$11:$C$22)&lt;=B127)*(IF(Besatzung!$D$11:$D$22="",Besatzung!$B$6,Besatzung!$D$11:$D$22)&gt;=B127)),1)+(Besatzung!$F$15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N127="x")*((G127-IFERROR(H127,0))/IFERROR(COUNTIF(J127:U127,"x"),1)+(Besatzung!$F$15="x")*IFERROR(H127,0)/IFERROR(SUMPRODUCT((J127:U127="x")*(Besatzung!$F$11:$F$22="x")),1))),(IF(COUNTIF(J127:U127,"x")=0,IF(Besatzung!$B$13&lt;&gt;"",1,0),(N127="x"))*(G127-IFERROR(H127,0))/IFERROR(IF(COUNTIF(J127:U127,"x")=0,COUNTA(Besatzung!$B$11:$B$22),COUNTIF(J127:U127,"x")),1)+IF(COUNTIF(J127:U127,"x")=0,(Besatzung!$F$15="x"),(N127="x")*(Besatzung!$F$15="x"))*IFERROR(H127,0)/IFERROR(IF(COUNTIF(J127:U127,"x")=0,SUMPRODUCT((Besatzung!$B$11:$B$22&lt;&gt;"")*(Besatzung!$F$11:$F$22="x")),SUMPRODUCT((J127:U127="x")*(Besatzung!$F$11:$F$22="x"))),1))))),0))))</f>
        <v/>
      </c>
      <c r="AA127" s="106">
        <f>IF(C127="Gutschrift","",IF(G127="","",IF(Besatzung!$B$15="","",IFERROR(IF(I127="Zeitanteilig",(Besatzung!$G$16*(G127-IFERROR(H127,0))+((Besatzung!$B$15&lt;&gt;"")*IF(B127="",1,(IF(Besatzung!$C$16="",Besatzung!$B$5,Besatzung!$C$16)&lt;=B127)*(IF(Besatzung!$D$16="",Besatzung!$B$6,Besatzung!$D$16)&gt;=B127)))*(Besatzung!$F$16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$15&lt;&gt;"")*IF(B127="",1,(IF(Besatzung!$C$16="",Besatzung!$B$5,Besatzung!$C$16)&lt;=B127)*(IF(Besatzung!$D$16="",Besatzung!$B$6,Besatzung!$D$16)&gt;=B127)))*((G127-IFERROR(H127,0))/IFERROR(SUMPRODUCT((Besatzung!$B$11:$B$22&lt;&gt;"")*(IF(Besatzung!$C$11:$C$22="",Besatzung!$B$5,Besatzung!$C$11:$C$22)&lt;=B127)*(IF(Besatzung!$D$11:$D$22="",Besatzung!$B$6,Besatzung!$D$11:$D$22)&gt;=B127)),1)+(Besatzung!$F$16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O127="x")*((G127-IFERROR(H127,0))/IFERROR(COUNTIF(J127:U127,"x"),1)+(Besatzung!$F$16="x")*IFERROR(H127,0)/IFERROR(SUMPRODUCT((J127:U127="x")*(Besatzung!$F$11:$F$22="x")),1))),(IF(COUNTIF(J127:U127,"x")=0,IF(Besatzung!$B$15&lt;&gt;"",1,0),(O127="x"))*(G127-IFERROR(H127,0))/IFERROR(IF(COUNTIF(J127:U127,"x")=0,COUNTA(Besatzung!$B$11:$B$22),COUNTIF(J127:U127,"x")),1)+IF(COUNTIF(J127:U127,"x")=0,(Besatzung!$F$16="x"),(O127="x")*(Besatzung!$F$16="x"))*IFERROR(H127,0)/IFERROR(IF(COUNTIF(J127:U127,"x")=0,SUMPRODUCT((Besatzung!$B$11:$B$22&lt;&gt;"")*(Besatzung!$F$11:$F$22="x")),SUMPRODUCT((J127:U127="x")*(Besatzung!$F$11:$F$22="x"))),1))))),0))))</f>
        <v/>
      </c>
      <c r="AB127" s="106">
        <f>IF(C127="Gutschrift","",IF(G127="","",IF(Besatzung!$B$17="","",IFERROR(IF(I127="Zeitanteilig",(Besatzung!$G$17*(G127-IFERROR(H127,0))+((Besatzung!$B$17&lt;&gt;"")*IF(B127="",1,(IF(Besatzung!$C$17="",Besatzung!$B$5,Besatzung!$C$17)&lt;=B127)*(IF(Besatzung!$D$17="",Besatzung!$B$6,Besatzung!$D$17)&gt;=B127)))*(Besatzung!$F$17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$17&lt;&gt;"")*IF(B127="",1,(IF(Besatzung!$C$17="",Besatzung!$B$5,Besatzung!$C$17)&lt;=B127)*(IF(Besatzung!$D$17="",Besatzung!$B$6,Besatzung!$D$17)&gt;=B127)))*((G127-IFERROR(H127,0))/IFERROR(SUMPRODUCT((Besatzung!$B$11:$B$22&lt;&gt;"")*(IF(Besatzung!$C$11:$C$22="",Besatzung!$B$5,Besatzung!$C$11:$C$22)&lt;=B127)*(IF(Besatzung!$D$11:$D$22="",Besatzung!$B$6,Besatzung!$D$11:$D$22)&gt;=B127)),1)+(Besatzung!$F$17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P127="x")*((G127-IFERROR(H127,0))/IFERROR(COUNTIF(J127:U127,"x"),1)+(Besatzung!$F$17="x")*IFERROR(H127,0)/IFERROR(SUMPRODUCT((J127:U127="x")*(Besatzung!$F$11:$F$22="x")),1))),(IF(COUNTIF(J127:U127,"x")=0,IF(Besatzung!$B$17&lt;&gt;"",1,0),(P127="x"))*(G127-IFERROR(H127,0))/IFERROR(IF(COUNTIF(J127:U127,"x")=0,COUNTA(Besatzung!$B$11:$B$22),COUNTIF(J127:U127,"x")),1)+IF(COUNTIF(J127:U127,"x")=0,(Besatzung!$F$17="x"),(P127="x")*(Besatzung!$F$17="x"))*IFERROR(H127,0)/IFERROR(IF(COUNTIF(J127:U127,"x")=0,SUMPRODUCT((Besatzung!$B$11:$B$22&lt;&gt;"")*(Besatzung!$F$11:$F$22="x")),SUMPRODUCT((J127:U127="x")*(Besatzung!$F$11:$F$22="x"))),1))))),0))))</f>
        <v/>
      </c>
      <c r="AC127" s="106">
        <f>IF(C127="Gutschrift","",IF(G127="","",IF(Besatzung!$B$18="","",IFERROR(IF(I127="Zeitanteilig",(Besatzung!$G$18*(G127-IFERROR(H127,0))+((Besatzung!$B$18&lt;&gt;"")*IF(B127="",1,(IF(Besatzung!$C$18="",Besatzung!$B$5,Besatzung!$C$18)&lt;=B127)*(IF(Besatzung!$D$18="",Besatzung!$B$6,Besatzung!$D$18)&gt;=B127)))*(Besatzung!$F$18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$18&lt;&gt;"")*IF(B127="",1,(IF(Besatzung!$C$18="",Besatzung!$B$5,Besatzung!$C$18)&lt;=B127)*(IF(Besatzung!$D$18="",Besatzung!$B$6,Besatzung!$D$18)&gt;=B127)))*((G127-IFERROR(H127,0))/IFERROR(SUMPRODUCT((Besatzung!$B$11:$B$22&lt;&gt;"")*(IF(Besatzung!$C$11:$C$22="",Besatzung!$B$5,Besatzung!$C$11:$C$22)&lt;=B127)*(IF(Besatzung!$D$11:$D$22="",Besatzung!$B$6,Besatzung!$D$11:$D$22)&gt;=B127)),1)+(Besatzung!$F$18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Q127="x")*((G127-IFERROR(H127,0))/IFERROR(COUNTIF(J127:U127,"x"),1)+(Besatzung!$F$18="x")*IFERROR(H127,0)/IFERROR(SUMPRODUCT((J127:U127="x")*(Besatzung!$F$11:$F$22="x")),1))),(IF(COUNTIF(J127:U127,"x")=0,IF(Besatzung!$B$18&lt;&gt;"",1,0),(Q127="x"))*(G127-IFERROR(H127,0))/IFERROR(IF(COUNTIF(J127:U127,"x")=0,COUNTA(Besatzung!$B$11:$B$22),COUNTIF(J127:U127,"x")),1)+IF(COUNTIF(J127:U127,"x")=0,(Besatzung!$F$18="x"),(Q127="x")*(Besatzung!$F$18="x"))*IFERROR(H127,0)/IFERROR(IF(COUNTIF(J127:U127,"x")=0,SUMPRODUCT((Besatzung!$B$11:$B$22&lt;&gt;"")*(Besatzung!$F$11:$F$22="x")),SUMPRODUCT((J127:U127="x")*(Besatzung!$F$11:$F$22="x"))),1))))),0))))</f>
        <v/>
      </c>
      <c r="AD127" s="106">
        <f>IF(C127="Gutschrift","",IF(G127="","",IF(Besatzung!$B$19="","",IFERROR(IF(I127="Zeitanteilig",(Besatzung!$G$19*(G127-IFERROR(H127,0))+((Besatzung!$B$19&lt;&gt;"")*IF(B127="",1,(IF(Besatzung!$C$19="",Besatzung!$B$5,Besatzung!$C$19)&lt;=B127)*(IF(Besatzung!$D$19="",Besatzung!$B$6,Besatzung!$D$19)&gt;=B127)))*(Besatzung!$F$19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$19&lt;&gt;"")*IF(B127="",1,(IF(Besatzung!$C$19="",Besatzung!$B$5,Besatzung!$C$19)&lt;=B127)*(IF(Besatzung!$D$19="",Besatzung!$B$6,Besatzung!$D$19)&gt;=B127)))*((G127-IFERROR(H127,0))/IFERROR(SUMPRODUCT((Besatzung!$B$11:$B$22&lt;&gt;"")*(IF(Besatzung!$C$11:$C$22="",Besatzung!$B$5,Besatzung!$C$11:$C$22)&lt;=B127)*(IF(Besatzung!$D$11:$D$22="",Besatzung!$B$6,Besatzung!$D$11:$D$22)&gt;=B127)),1)+(Besatzung!$F$19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R127="x")*((G127-IFERROR(H127,0))/IFERROR(COUNTIF(J127:U127,"x"),1)+(Besatzung!$F$19="x")*IFERROR(H127,0)/IFERROR(SUMPRODUCT((J127:U127="x")*(Besatzung!$F$11:$F$22="x")),1))),(IF(COUNTIF(J127:U127,"x")=0,IF(Besatzung!$B$19&lt;&gt;"",1,0),(R127="x"))*(G127-IFERROR(H127,0))/IFERROR(IF(COUNTIF(J127:U127,"x")=0,COUNTA(Besatzung!$B$11:$B$22),COUNTIF(J127:U127,"x")),1)+IF(COUNTIF(J127:U127,"x")=0,(Besatzung!$F$19="x"),(R127="x")*(Besatzung!$F$19="x"))*IFERROR(H127,0)/IFERROR(IF(COUNTIF(J127:U127,"x")=0,SUMPRODUCT((Besatzung!$B$11:$B$22&lt;&gt;"")*(Besatzung!$F$11:$F$22="x")),SUMPRODUCT((J127:U127="x")*(Besatzung!$F$11:$F$22="x"))),1))))),0))))</f>
        <v/>
      </c>
      <c r="AE127" s="106">
        <f>IF(C127="Gutschrift","",IF(G127="","",IF(Besatzung!$B$20="","",IFERROR(IF(I127="Zeitanteilig",(Besatzung!$G$20*(G127-IFERROR(H127,0))+((Besatzung!$B$20&lt;&gt;"")*IF(B127="",1,(IF(Besatzung!$C$20="",Besatzung!$B$5,Besatzung!$C$20)&lt;=B127)*(IF(Besatzung!$D$20="",Besatzung!$B$6,Besatzung!$D$20)&gt;=B127)))*(Besatzung!$F$20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$20&lt;&gt;"")*IF(B127="",1,(IF(Besatzung!$C$20="",Besatzung!$B$5,Besatzung!$C$20)&lt;=B127)*(IF(Besatzung!$D$20="",Besatzung!$B$6,Besatzung!$D$20)&gt;=B127)))*((G127-IFERROR(H127,0))/IFERROR(SUMPRODUCT((Besatzung!$B$11:$B$22&lt;&gt;"")*(IF(Besatzung!$C$11:$C$22="",Besatzung!$B$5,Besatzung!$C$11:$C$22)&lt;=B127)*(IF(Besatzung!$D$11:$D$22="",Besatzung!$B$6,Besatzung!$D$11:$D$22)&gt;=B127)),1)+(Besatzung!$F$20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S127="x")*((G127-IFERROR(H127,0))/IFERROR(COUNTIF(J127:U127,"x"),1)+(Besatzung!$F$20="x")*IFERROR(H127,0)/IFERROR(SUMPRODUCT((J127:U127="x")*(Besatzung!$F$11:$F$22="x")),1))),(IF(COUNTIF(J127:U127,"x")=0,IF(Besatzung!$B$20&lt;&gt;"",1,0),(S127="x"))*(G127-IFERROR(H127,0))/IFERROR(IF(COUNTIF(J127:U127,"x")=0,COUNTA(Besatzung!$B$11:$B$22),COUNTIF(J127:U127,"x")),1)+IF(COUNTIF(J127:U127,"x")=0,(Besatzung!$F$20="x"),(S127="x")*(Besatzung!$F$20="x"))*IFERROR(H127,0)/IFERROR(IF(COUNTIF(J127:U127,"x")=0,SUMPRODUCT((Besatzung!$B$11:$B$22&lt;&gt;"")*(Besatzung!$F$11:$F$22="x")),SUMPRODUCT((J127:U127="x")*(Besatzung!$F$11:$F$22="x"))),1))))),0))))</f>
        <v/>
      </c>
      <c r="AF127" s="106">
        <f>IF(C127="Gutschrift","",IF(G127="","",IF(Besatzung!$B$21="","",IFERROR(IF(I127="Zeitanteilig",(Besatzung!$G$21*(G127-IFERROR(H127,0))+((Besatzung!$B$21&lt;&gt;"")*IF(B127="",1,(IF(Besatzung!$C$21="",Besatzung!$B$5,Besatzung!$C$21)&lt;=B127)*(IF(Besatzung!$D$21="",Besatzung!$B$6,Besatzung!$D$21)&gt;=B127)))*(Besatzung!$F$21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$21&lt;&gt;"")*IF(B127="",1,(IF(Besatzung!$C$21="",Besatzung!$B$5,Besatzung!$C$21)&lt;=B127)*(IF(Besatzung!$D$21="",Besatzung!$B$6,Besatzung!$D$21)&gt;=B127)))*((G127-IFERROR(H127,0))/IFERROR(SUMPRODUCT((Besatzung!$B$11:$B$22&lt;&gt;"")*(IF(Besatzung!$C$11:$C$22="",Besatzung!$B$5,Besatzung!$C$11:$C$22)&lt;=B127)*(IF(Besatzung!$D$11:$D$22="",Besatzung!$B$6,Besatzung!$D$11:$D$22)&gt;=B127)),1)+(Besatzung!$F$21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T127="x")*((G127-IFERROR(H127,0))/IFERROR(COUNTIF(J127:U127,"x"),1)+(Besatzung!$F$21="x")*IFERROR(H127,0)/IFERROR(SUMPRODUCT((J127:U127="x")*(Besatzung!$F$11:$F$22="x")),1))),(IF(COUNTIF(J127:U127,"x")=0,IF(Besatzung!$B$21&lt;&gt;"",1,0),(T127="x"))*(G127-IFERROR(H127,0))/IFERROR(IF(COUNTIF(J127:U127,"x")=0,COUNTA(Besatzung!$B$11:$B$22),COUNTIF(J127:U127,"x")),1)+IF(COUNTIF(J127:U127,"x")=0,(Besatzung!$F$21="x"),(T127="x")*(Besatzung!$F$21="x"))*IFERROR(H127,0)/IFERROR(IF(COUNTIF(J127:U127,"x")=0,SUMPRODUCT((Besatzung!$B$11:$B$22&lt;&gt;"")*(Besatzung!$F$11:$F$22="x")),SUMPRODUCT((J127:U127="x")*(Besatzung!$F$11:$F$22="x"))),1))))),0))))</f>
        <v/>
      </c>
      <c r="AG127" s="106">
        <f>IF(C127="Gutschrift","",IF(G127="","",IF(Besatzung!$B$22="","",IFERROR(IF(I127="Zeitanteilig",(Besatzung!$G$22*(G127-IFERROR(H127,0))+((Besatzung!$B$22&lt;&gt;"")*IF(B127="",1,(IF(Besatzung!$C$22="",Besatzung!$B$5,Besatzung!$C$22)&lt;=B127)*(IF(Besatzung!$D$22="",Besatzung!$B$6,Besatzung!$D$22)&gt;=B127)))*(Besatzung!$F$22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$22&lt;&gt;"")*IF(B127="",1,(IF(Besatzung!$C$22="",Besatzung!$B$5,Besatzung!$C$22)&lt;=B127)*(IF(Besatzung!$D$22="",Besatzung!$B$6,Besatzung!$D$22)&gt;=B127)))*((G127-IFERROR(H127,0))/IFERROR(SUMPRODUCT((Besatzung!$B$11:$B$22&lt;&gt;"")*(IF(Besatzung!$C$11:$C$22="",Besatzung!$B$5,Besatzung!$C$11:$C$22)&lt;=B127)*(IF(Besatzung!$D$11:$D$22="",Besatzung!$B$6,Besatzung!$D$11:$D$22)&gt;=B127)),1)+(Besatzung!$F$22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U127="x")*((G127-IFERROR(H127,0))/IFERROR(COUNTIF(J127:U127,"x"),1)+(Besatzung!$F$22="x")*IFERROR(H127,0)/IFERROR(SUMPRODUCT((J127:U127="x")*(Besatzung!$F$11:$F$22="x")),1))),(IF(COUNTIF(J127:U127,"x")=0,IF(Besatzung!$B$22&lt;&gt;"",1,0),(U127="x"))*(G127-IFERROR(H127,0))/IFERROR(IF(COUNTIF(J127:U127,"x")=0,COUNTA(Besatzung!$B$11:$B$22),COUNTIF(J127:U127,"x")),1)+IF(COUNTIF(J127:U127,"x")=0,(Besatzung!$F$22="x"),(U127="x")*(Besatzung!$F$22="x"))*IFERROR(H127,0)/IFERROR(IF(COUNTIF(J127:U127,"x")=0,SUMPRODUCT((Besatzung!$B$11:$B$22&lt;&gt;"")*(Besatzung!$F$11:$F$22="x")),SUMPRODUCT((J127:U127="x")*(Besatzung!$F$11:$F$22="x"))),1))))),0))))</f>
        <v/>
      </c>
      <c r="AH127" s="107" t="n"/>
      <c r="AI127" s="107" t="n"/>
    </row>
    <row r="128" ht="21.75" customHeight="1" s="182">
      <c r="A128" s="97">
        <f>IF(AND(D128="",C128=""),"",125)</f>
        <v/>
      </c>
      <c r="B128" s="56" t="n"/>
      <c r="C128" s="98" t="n"/>
      <c r="D128" s="99" t="n"/>
      <c r="E128" s="100" t="n"/>
      <c r="F128" s="101" t="n"/>
      <c r="G128" s="102" t="n"/>
      <c r="H128" s="103" t="n"/>
      <c r="I128" s="104" t="n"/>
      <c r="J128" s="105" t="n"/>
      <c r="K128" s="105" t="n"/>
      <c r="L128" s="105" t="n"/>
      <c r="M128" s="105" t="n"/>
      <c r="N128" s="105" t="n"/>
      <c r="O128" s="105" t="n"/>
      <c r="P128" s="105" t="n"/>
      <c r="Q128" s="105" t="n"/>
      <c r="R128" s="105" t="n"/>
      <c r="S128" s="105" t="n"/>
      <c r="T128" s="105" t="n"/>
      <c r="U128" s="105" t="n"/>
      <c r="V128" s="106">
        <f>IF(C128="Gutschrift","",IF(G128="","",IF(Besatzung!$B$11="","",IFERROR(IF(I128="Zeitanteilig",(Besatzung!$G$11*(G128-IFERROR(H128,0))+((Besatzung!$B$11&lt;&gt;"")*IF(B128="",1,(IF(Besatzung!$C$11="",Besatzung!$B$5,Besatzung!$C$11)&lt;=B128)*(IF(Besatzung!$D$11="",Besatzung!$B$6,Besatzung!$D$11)&gt;=B128)))*(Besatzung!$F$11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$11&lt;&gt;"")*IF(B128="",1,(IF(Besatzung!$C$11="",Besatzung!$B$5,Besatzung!$C$11)&lt;=B128)*(IF(Besatzung!$D$11="",Besatzung!$B$6,Besatzung!$D$11)&gt;=B128)))*((G128-IFERROR(H128,0))/IFERROR(SUMPRODUCT((Besatzung!$B$11:$B$22&lt;&gt;"")*(IF(Besatzung!$C$11:$C$22="",Besatzung!$B$5,Besatzung!$C$11:$C$22)&lt;=B128)*(IF(Besatzung!$D$11:$D$22="",Besatzung!$B$6,Besatzung!$D$11:$D$22)&gt;=B128)),1)+(Besatzung!$F$11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J128="x")*((G128-IFERROR(H128,0))/IFERROR(COUNTIF(J128:U128,"x"),1)+(Besatzung!$F$11="x")*IFERROR(H128,0)/IFERROR(SUMPRODUCT((J128:U128="x")*(Besatzung!$F$11:$F$22="x")),1))),(IF(COUNTIF(J128:U128,"x")=0,IF(Besatzung!$B$11&lt;&gt;"",1,0),(J128="x"))*(G128-IFERROR(H128,0))/IFERROR(IF(COUNTIF(J128:U128,"x")=0,COUNTA(Besatzung!$B$11:$B$22),COUNTIF(J128:U128,"x")),1)+IF(COUNTIF(J128:U128,"x")=0,(Besatzung!$F$11="x"),(J128="x")*(Besatzung!$F$11="x"))*IFERROR(H128,0)/IFERROR(IF(COUNTIF(J128:U128,"x")=0,SUMPRODUCT((Besatzung!$B$11:$B$22&lt;&gt;"")*(Besatzung!$F$11:$F$22="x")),SUMPRODUCT((J128:U128="x")*(Besatzung!$F$11:$F$22="x"))),1))))),0))))</f>
        <v/>
      </c>
      <c r="W128" s="106">
        <f>IF(C128="Gutschrift","",IF(G128="","",IF(Besatzung!$B$12="","",IFERROR(IF(I128="Zeitanteilig",(Besatzung!$G$12*(G128-IFERROR(H128,0))+((Besatzung!$B$12&lt;&gt;"")*IF(B128="",1,(IF(Besatzung!$C$12="",Besatzung!$B$5,Besatzung!$C$12)&lt;=B128)*(IF(Besatzung!$D$12="",Besatzung!$B$6,Besatzung!$D$12)&gt;=B128)))*(Besatzung!$F$12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$12&lt;&gt;"")*IF(B128="",1,(IF(Besatzung!$C$12="",Besatzung!$B$5,Besatzung!$C$12)&lt;=B128)*(IF(Besatzung!$D$12="",Besatzung!$B$6,Besatzung!$D$12)&gt;=B128)))*((G128-IFERROR(H128,0))/IFERROR(SUMPRODUCT((Besatzung!$B$11:$B$22&lt;&gt;"")*(IF(Besatzung!$C$11:$C$22="",Besatzung!$B$5,Besatzung!$C$11:$C$22)&lt;=B128)*(IF(Besatzung!$D$11:$D$22="",Besatzung!$B$6,Besatzung!$D$11:$D$22)&gt;=B128)),1)+(Besatzung!$F$12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K128="x")*((G128-IFERROR(H128,0))/IFERROR(COUNTIF(J128:U128,"x"),1)+(Besatzung!$F$12="x")*IFERROR(H128,0)/IFERROR(SUMPRODUCT((J128:U128="x")*(Besatzung!$F$11:$F$22="x")),1))),(IF(COUNTIF(J128:U128,"x")=0,IF(Besatzung!$B$12&lt;&gt;"",1,0),(K128="x"))*(G128-IFERROR(H128,0))/IFERROR(IF(COUNTIF(J128:U128,"x")=0,COUNTA(Besatzung!$B$11:$B$22),COUNTIF(J128:U128,"x")),1)+IF(COUNTIF(J128:U128,"x")=0,(Besatzung!$F$12="x"),(K128="x")*(Besatzung!$F$12="x"))*IFERROR(H128,0)/IFERROR(IF(COUNTIF(J128:U128,"x")=0,SUMPRODUCT((Besatzung!$B$11:$B$22&lt;&gt;"")*(Besatzung!$F$11:$F$22="x")),SUMPRODUCT((J128:U128="x")*(Besatzung!$F$11:$F$22="x"))),1))))),0))))</f>
        <v/>
      </c>
      <c r="X128" s="106">
        <f>IF(C128="Gutschrift","",IF(G128="","",IF(Besatzung!$B$13="","",IFERROR(IF(I128="Zeitanteilig",(Besatzung!$G$13*(G128-IFERROR(H128,0))+((Besatzung!$B$13&lt;&gt;"")*IF(B128="",1,(IF(Besatzung!$C$13="",Besatzung!$B$5,Besatzung!$C$13)&lt;=B128)*(IF(Besatzung!$D$13="",Besatzung!$B$6,Besatzung!$D$13)&gt;=B128)))*(Besatzung!$F$13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$13&lt;&gt;"")*IF(B128="",1,(IF(Besatzung!$C$13="",Besatzung!$B$5,Besatzung!$C$13)&lt;=B128)*(IF(Besatzung!$D$13="",Besatzung!$B$6,Besatzung!$D$13)&gt;=B128)))*((G128-IFERROR(H128,0))/IFERROR(SUMPRODUCT((Besatzung!$B$11:$B$22&lt;&gt;"")*(IF(Besatzung!$C$11:$C$22="",Besatzung!$B$5,Besatzung!$C$11:$C$22)&lt;=B128)*(IF(Besatzung!$D$11:$D$22="",Besatzung!$B$6,Besatzung!$D$11:$D$22)&gt;=B128)),1)+(Besatzung!$F$13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K128="x")*((G128-IFERROR(H128,0))/IFERROR(COUNTIF(J128:U128,"x"),1)+(Besatzung!$F$13="x")*IFERROR(H128,0)/IFERROR(SUMPRODUCT((J128:U128="x")*(Besatzung!$F$11:$F$22="x")),1))),(IF(COUNTIF(J128:U128,"x")=0,IF(Besatzung!$B$13&lt;&gt;"",1,0),(K128="x"))*(G128-IFERROR(H128,0))/IFERROR(IF(COUNTIF(J128:U128,"x")=0,COUNTA(Besatzung!$B$11:$B$22),COUNTIF(J128:U128,"x")),1)+IF(COUNTIF(J128:U128,"x")=0,(Besatzung!$F$13="x"),(K128="x")*(Besatzung!$F$13="x"))*IFERROR(H128,0)/IFERROR(IF(COUNTIF(J128:U128,"x")=0,SUMPRODUCT((Besatzung!$B$11:$B$22&lt;&gt;"")*(Besatzung!$F$11:$F$22="x")),SUMPRODUCT((J128:U128="x")*(Besatzung!$F$11:$F$22="x"))),1))))),0))))</f>
        <v/>
      </c>
      <c r="Y128" s="106">
        <f>IF(C128="Gutschrift","",IF(G128="","",IF(Besatzung!$B$14="","",IFERROR(IF(I128="Zeitanteilig",(Besatzung!$G$14*(G128-IFERROR(H128,0))+((Besatzung!$B$14&lt;&gt;"")*IF(B128="",1,(IF(Besatzung!$C$14="",Besatzung!$B$5,Besatzung!$C$14)&lt;=B128)*(IF(Besatzung!$D$14="",Besatzung!$B$6,Besatzung!$D$14)&gt;=B128)))*(Besatzung!$F$14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$14&lt;&gt;"")*IF(B128="",1,(IF(Besatzung!$C$14="",Besatzung!$B$5,Besatzung!$C$14)&lt;=B128)*(IF(Besatzung!$D$14="",Besatzung!$B$6,Besatzung!$D$14)&gt;=B128)))*((G128-IFERROR(H128,0))/IFERROR(SUMPRODUCT((Besatzung!$B$11:$B$22&lt;&gt;"")*(IF(Besatzung!$C$11:$C$22="",Besatzung!$B$5,Besatzung!$C$11:$C$22)&lt;=B128)*(IF(Besatzung!$D$11:$D$22="",Besatzung!$B$6,Besatzung!$D$11:$D$22)&gt;=B128)),1)+(Besatzung!$F$14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M128="x")*((G128-IFERROR(H128,0))/IFERROR(COUNTIF(J128:U128,"x"),1)+(Besatzung!$F$14="x")*IFERROR(H128,0)/IFERROR(SUMPRODUCT((J128:U128="x")*(Besatzung!$F$11:$F$22="x")),1))),(IF(COUNTIF(J128:U128,"x")=0,IF(Besatzung!$B$14&lt;&gt;"",1,0),(M128="x"))*(G128-IFERROR(H128,0))/IFERROR(IF(COUNTIF(J128:U128,"x")=0,COUNTA(Besatzung!$B$11:$B$22),COUNTIF(J128:U128,"x")),1)+IF(COUNTIF(J128:U128,"x")=0,(Besatzung!$F$14="x"),(M128="x")*(Besatzung!$F$14="x"))*IFERROR(H128,0)/IFERROR(IF(COUNTIF(J128:U128,"x")=0,SUMPRODUCT((Besatzung!$B$11:$B$22&lt;&gt;"")*(Besatzung!$F$11:$F$22="x")),SUMPRODUCT((J128:U128="x")*(Besatzung!$F$11:$F$22="x"))),1))))),0))))</f>
        <v/>
      </c>
      <c r="Z128" s="106">
        <f>IF(C128="Gutschrift","",IF(G128="","",IF(Besatzung!$B$13="","",IFERROR(IF(I128="Zeitanteilig",(Besatzung!$G$15*(G128-IFERROR(H128,0))+((Besatzung!$B$13&lt;&gt;"")*IF(B128="",1,(IF(Besatzung!$C$15="",Besatzung!$B$5,Besatzung!$C$15)&lt;=B128)*(IF(Besatzung!$D$15="",Besatzung!$B$6,Besatzung!$D$15)&gt;=B128)))*(Besatzung!$F$15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$13&lt;&gt;"")*IF(B128="",1,(IF(Besatzung!$C$15="",Besatzung!$B$5,Besatzung!$C$15)&lt;=B128)*(IF(Besatzung!$D$15="",Besatzung!$B$6,Besatzung!$D$15)&gt;=B128)))*((G128-IFERROR(H128,0))/IFERROR(SUMPRODUCT((Besatzung!$B$11:$B$22&lt;&gt;"")*(IF(Besatzung!$C$11:$C$22="",Besatzung!$B$5,Besatzung!$C$11:$C$22)&lt;=B128)*(IF(Besatzung!$D$11:$D$22="",Besatzung!$B$6,Besatzung!$D$11:$D$22)&gt;=B128)),1)+(Besatzung!$F$15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N128="x")*((G128-IFERROR(H128,0))/IFERROR(COUNTIF(J128:U128,"x"),1)+(Besatzung!$F$15="x")*IFERROR(H128,0)/IFERROR(SUMPRODUCT((J128:U128="x")*(Besatzung!$F$11:$F$22="x")),1))),(IF(COUNTIF(J128:U128,"x")=0,IF(Besatzung!$B$13&lt;&gt;"",1,0),(N128="x"))*(G128-IFERROR(H128,0))/IFERROR(IF(COUNTIF(J128:U128,"x")=0,COUNTA(Besatzung!$B$11:$B$22),COUNTIF(J128:U128,"x")),1)+IF(COUNTIF(J128:U128,"x")=0,(Besatzung!$F$15="x"),(N128="x")*(Besatzung!$F$15="x"))*IFERROR(H128,0)/IFERROR(IF(COUNTIF(J128:U128,"x")=0,SUMPRODUCT((Besatzung!$B$11:$B$22&lt;&gt;"")*(Besatzung!$F$11:$F$22="x")),SUMPRODUCT((J128:U128="x")*(Besatzung!$F$11:$F$22="x"))),1))))),0))))</f>
        <v/>
      </c>
      <c r="AA128" s="106">
        <f>IF(C128="Gutschrift","",IF(G128="","",IF(Besatzung!$B$15="","",IFERROR(IF(I128="Zeitanteilig",(Besatzung!$G$16*(G128-IFERROR(H128,0))+((Besatzung!$B$15&lt;&gt;"")*IF(B128="",1,(IF(Besatzung!$C$16="",Besatzung!$B$5,Besatzung!$C$16)&lt;=B128)*(IF(Besatzung!$D$16="",Besatzung!$B$6,Besatzung!$D$16)&gt;=B128)))*(Besatzung!$F$16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$15&lt;&gt;"")*IF(B128="",1,(IF(Besatzung!$C$16="",Besatzung!$B$5,Besatzung!$C$16)&lt;=B128)*(IF(Besatzung!$D$16="",Besatzung!$B$6,Besatzung!$D$16)&gt;=B128)))*((G128-IFERROR(H128,0))/IFERROR(SUMPRODUCT((Besatzung!$B$11:$B$22&lt;&gt;"")*(IF(Besatzung!$C$11:$C$22="",Besatzung!$B$5,Besatzung!$C$11:$C$22)&lt;=B128)*(IF(Besatzung!$D$11:$D$22="",Besatzung!$B$6,Besatzung!$D$11:$D$22)&gt;=B128)),1)+(Besatzung!$F$16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O128="x")*((G128-IFERROR(H128,0))/IFERROR(COUNTIF(J128:U128,"x"),1)+(Besatzung!$F$16="x")*IFERROR(H128,0)/IFERROR(SUMPRODUCT((J128:U128="x")*(Besatzung!$F$11:$F$22="x")),1))),(IF(COUNTIF(J128:U128,"x")=0,IF(Besatzung!$B$15&lt;&gt;"",1,0),(O128="x"))*(G128-IFERROR(H128,0))/IFERROR(IF(COUNTIF(J128:U128,"x")=0,COUNTA(Besatzung!$B$11:$B$22),COUNTIF(J128:U128,"x")),1)+IF(COUNTIF(J128:U128,"x")=0,(Besatzung!$F$16="x"),(O128="x")*(Besatzung!$F$16="x"))*IFERROR(H128,0)/IFERROR(IF(COUNTIF(J128:U128,"x")=0,SUMPRODUCT((Besatzung!$B$11:$B$22&lt;&gt;"")*(Besatzung!$F$11:$F$22="x")),SUMPRODUCT((J128:U128="x")*(Besatzung!$F$11:$F$22="x"))),1))))),0))))</f>
        <v/>
      </c>
      <c r="AB128" s="106">
        <f>IF(C128="Gutschrift","",IF(G128="","",IF(Besatzung!$B$17="","",IFERROR(IF(I128="Zeitanteilig",(Besatzung!$G$17*(G128-IFERROR(H128,0))+((Besatzung!$B$17&lt;&gt;"")*IF(B128="",1,(IF(Besatzung!$C$17="",Besatzung!$B$5,Besatzung!$C$17)&lt;=B128)*(IF(Besatzung!$D$17="",Besatzung!$B$6,Besatzung!$D$17)&gt;=B128)))*(Besatzung!$F$17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$17&lt;&gt;"")*IF(B128="",1,(IF(Besatzung!$C$17="",Besatzung!$B$5,Besatzung!$C$17)&lt;=B128)*(IF(Besatzung!$D$17="",Besatzung!$B$6,Besatzung!$D$17)&gt;=B128)))*((G128-IFERROR(H128,0))/IFERROR(SUMPRODUCT((Besatzung!$B$11:$B$22&lt;&gt;"")*(IF(Besatzung!$C$11:$C$22="",Besatzung!$B$5,Besatzung!$C$11:$C$22)&lt;=B128)*(IF(Besatzung!$D$11:$D$22="",Besatzung!$B$6,Besatzung!$D$11:$D$22)&gt;=B128)),1)+(Besatzung!$F$17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P128="x")*((G128-IFERROR(H128,0))/IFERROR(COUNTIF(J128:U128,"x"),1)+(Besatzung!$F$17="x")*IFERROR(H128,0)/IFERROR(SUMPRODUCT((J128:U128="x")*(Besatzung!$F$11:$F$22="x")),1))),(IF(COUNTIF(J128:U128,"x")=0,IF(Besatzung!$B$17&lt;&gt;"",1,0),(P128="x"))*(G128-IFERROR(H128,0))/IFERROR(IF(COUNTIF(J128:U128,"x")=0,COUNTA(Besatzung!$B$11:$B$22),COUNTIF(J128:U128,"x")),1)+IF(COUNTIF(J128:U128,"x")=0,(Besatzung!$F$17="x"),(P128="x")*(Besatzung!$F$17="x"))*IFERROR(H128,0)/IFERROR(IF(COUNTIF(J128:U128,"x")=0,SUMPRODUCT((Besatzung!$B$11:$B$22&lt;&gt;"")*(Besatzung!$F$11:$F$22="x")),SUMPRODUCT((J128:U128="x")*(Besatzung!$F$11:$F$22="x"))),1))))),0))))</f>
        <v/>
      </c>
      <c r="AC128" s="106">
        <f>IF(C128="Gutschrift","",IF(G128="","",IF(Besatzung!$B$18="","",IFERROR(IF(I128="Zeitanteilig",(Besatzung!$G$18*(G128-IFERROR(H128,0))+((Besatzung!$B$18&lt;&gt;"")*IF(B128="",1,(IF(Besatzung!$C$18="",Besatzung!$B$5,Besatzung!$C$18)&lt;=B128)*(IF(Besatzung!$D$18="",Besatzung!$B$6,Besatzung!$D$18)&gt;=B128)))*(Besatzung!$F$18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$18&lt;&gt;"")*IF(B128="",1,(IF(Besatzung!$C$18="",Besatzung!$B$5,Besatzung!$C$18)&lt;=B128)*(IF(Besatzung!$D$18="",Besatzung!$B$6,Besatzung!$D$18)&gt;=B128)))*((G128-IFERROR(H128,0))/IFERROR(SUMPRODUCT((Besatzung!$B$11:$B$22&lt;&gt;"")*(IF(Besatzung!$C$11:$C$22="",Besatzung!$B$5,Besatzung!$C$11:$C$22)&lt;=B128)*(IF(Besatzung!$D$11:$D$22="",Besatzung!$B$6,Besatzung!$D$11:$D$22)&gt;=B128)),1)+(Besatzung!$F$18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Q128="x")*((G128-IFERROR(H128,0))/IFERROR(COUNTIF(J128:U128,"x"),1)+(Besatzung!$F$18="x")*IFERROR(H128,0)/IFERROR(SUMPRODUCT((J128:U128="x")*(Besatzung!$F$11:$F$22="x")),1))),(IF(COUNTIF(J128:U128,"x")=0,IF(Besatzung!$B$18&lt;&gt;"",1,0),(Q128="x"))*(G128-IFERROR(H128,0))/IFERROR(IF(COUNTIF(J128:U128,"x")=0,COUNTA(Besatzung!$B$11:$B$22),COUNTIF(J128:U128,"x")),1)+IF(COUNTIF(J128:U128,"x")=0,(Besatzung!$F$18="x"),(Q128="x")*(Besatzung!$F$18="x"))*IFERROR(H128,0)/IFERROR(IF(COUNTIF(J128:U128,"x")=0,SUMPRODUCT((Besatzung!$B$11:$B$22&lt;&gt;"")*(Besatzung!$F$11:$F$22="x")),SUMPRODUCT((J128:U128="x")*(Besatzung!$F$11:$F$22="x"))),1))))),0))))</f>
        <v/>
      </c>
      <c r="AD128" s="106">
        <f>IF(C128="Gutschrift","",IF(G128="","",IF(Besatzung!$B$19="","",IFERROR(IF(I128="Zeitanteilig",(Besatzung!$G$19*(G128-IFERROR(H128,0))+((Besatzung!$B$19&lt;&gt;"")*IF(B128="",1,(IF(Besatzung!$C$19="",Besatzung!$B$5,Besatzung!$C$19)&lt;=B128)*(IF(Besatzung!$D$19="",Besatzung!$B$6,Besatzung!$D$19)&gt;=B128)))*(Besatzung!$F$19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$19&lt;&gt;"")*IF(B128="",1,(IF(Besatzung!$C$19="",Besatzung!$B$5,Besatzung!$C$19)&lt;=B128)*(IF(Besatzung!$D$19="",Besatzung!$B$6,Besatzung!$D$19)&gt;=B128)))*((G128-IFERROR(H128,0))/IFERROR(SUMPRODUCT((Besatzung!$B$11:$B$22&lt;&gt;"")*(IF(Besatzung!$C$11:$C$22="",Besatzung!$B$5,Besatzung!$C$11:$C$22)&lt;=B128)*(IF(Besatzung!$D$11:$D$22="",Besatzung!$B$6,Besatzung!$D$11:$D$22)&gt;=B128)),1)+(Besatzung!$F$19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R128="x")*((G128-IFERROR(H128,0))/IFERROR(COUNTIF(J128:U128,"x"),1)+(Besatzung!$F$19="x")*IFERROR(H128,0)/IFERROR(SUMPRODUCT((J128:U128="x")*(Besatzung!$F$11:$F$22="x")),1))),(IF(COUNTIF(J128:U128,"x")=0,IF(Besatzung!$B$19&lt;&gt;"",1,0),(R128="x"))*(G128-IFERROR(H128,0))/IFERROR(IF(COUNTIF(J128:U128,"x")=0,COUNTA(Besatzung!$B$11:$B$22),COUNTIF(J128:U128,"x")),1)+IF(COUNTIF(J128:U128,"x")=0,(Besatzung!$F$19="x"),(R128="x")*(Besatzung!$F$19="x"))*IFERROR(H128,0)/IFERROR(IF(COUNTIF(J128:U128,"x")=0,SUMPRODUCT((Besatzung!$B$11:$B$22&lt;&gt;"")*(Besatzung!$F$11:$F$22="x")),SUMPRODUCT((J128:U128="x")*(Besatzung!$F$11:$F$22="x"))),1))))),0))))</f>
        <v/>
      </c>
      <c r="AE128" s="106">
        <f>IF(C128="Gutschrift","",IF(G128="","",IF(Besatzung!$B$20="","",IFERROR(IF(I128="Zeitanteilig",(Besatzung!$G$20*(G128-IFERROR(H128,0))+((Besatzung!$B$20&lt;&gt;"")*IF(B128="",1,(IF(Besatzung!$C$20="",Besatzung!$B$5,Besatzung!$C$20)&lt;=B128)*(IF(Besatzung!$D$20="",Besatzung!$B$6,Besatzung!$D$20)&gt;=B128)))*(Besatzung!$F$20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$20&lt;&gt;"")*IF(B128="",1,(IF(Besatzung!$C$20="",Besatzung!$B$5,Besatzung!$C$20)&lt;=B128)*(IF(Besatzung!$D$20="",Besatzung!$B$6,Besatzung!$D$20)&gt;=B128)))*((G128-IFERROR(H128,0))/IFERROR(SUMPRODUCT((Besatzung!$B$11:$B$22&lt;&gt;"")*(IF(Besatzung!$C$11:$C$22="",Besatzung!$B$5,Besatzung!$C$11:$C$22)&lt;=B128)*(IF(Besatzung!$D$11:$D$22="",Besatzung!$B$6,Besatzung!$D$11:$D$22)&gt;=B128)),1)+(Besatzung!$F$20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S128="x")*((G128-IFERROR(H128,0))/IFERROR(COUNTIF(J128:U128,"x"),1)+(Besatzung!$F$20="x")*IFERROR(H128,0)/IFERROR(SUMPRODUCT((J128:U128="x")*(Besatzung!$F$11:$F$22="x")),1))),(IF(COUNTIF(J128:U128,"x")=0,IF(Besatzung!$B$20&lt;&gt;"",1,0),(S128="x"))*(G128-IFERROR(H128,0))/IFERROR(IF(COUNTIF(J128:U128,"x")=0,COUNTA(Besatzung!$B$11:$B$22),COUNTIF(J128:U128,"x")),1)+IF(COUNTIF(J128:U128,"x")=0,(Besatzung!$F$20="x"),(S128="x")*(Besatzung!$F$20="x"))*IFERROR(H128,0)/IFERROR(IF(COUNTIF(J128:U128,"x")=0,SUMPRODUCT((Besatzung!$B$11:$B$22&lt;&gt;"")*(Besatzung!$F$11:$F$22="x")),SUMPRODUCT((J128:U128="x")*(Besatzung!$F$11:$F$22="x"))),1))))),0))))</f>
        <v/>
      </c>
      <c r="AF128" s="106">
        <f>IF(C128="Gutschrift","",IF(G128="","",IF(Besatzung!$B$21="","",IFERROR(IF(I128="Zeitanteilig",(Besatzung!$G$21*(G128-IFERROR(H128,0))+((Besatzung!$B$21&lt;&gt;"")*IF(B128="",1,(IF(Besatzung!$C$21="",Besatzung!$B$5,Besatzung!$C$21)&lt;=B128)*(IF(Besatzung!$D$21="",Besatzung!$B$6,Besatzung!$D$21)&gt;=B128)))*(Besatzung!$F$21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$21&lt;&gt;"")*IF(B128="",1,(IF(Besatzung!$C$21="",Besatzung!$B$5,Besatzung!$C$21)&lt;=B128)*(IF(Besatzung!$D$21="",Besatzung!$B$6,Besatzung!$D$21)&gt;=B128)))*((G128-IFERROR(H128,0))/IFERROR(SUMPRODUCT((Besatzung!$B$11:$B$22&lt;&gt;"")*(IF(Besatzung!$C$11:$C$22="",Besatzung!$B$5,Besatzung!$C$11:$C$22)&lt;=B128)*(IF(Besatzung!$D$11:$D$22="",Besatzung!$B$6,Besatzung!$D$11:$D$22)&gt;=B128)),1)+(Besatzung!$F$21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T128="x")*((G128-IFERROR(H128,0))/IFERROR(COUNTIF(J128:U128,"x"),1)+(Besatzung!$F$21="x")*IFERROR(H128,0)/IFERROR(SUMPRODUCT((J128:U128="x")*(Besatzung!$F$11:$F$22="x")),1))),(IF(COUNTIF(J128:U128,"x")=0,IF(Besatzung!$B$21&lt;&gt;"",1,0),(T128="x"))*(G128-IFERROR(H128,0))/IFERROR(IF(COUNTIF(J128:U128,"x")=0,COUNTA(Besatzung!$B$11:$B$22),COUNTIF(J128:U128,"x")),1)+IF(COUNTIF(J128:U128,"x")=0,(Besatzung!$F$21="x"),(T128="x")*(Besatzung!$F$21="x"))*IFERROR(H128,0)/IFERROR(IF(COUNTIF(J128:U128,"x")=0,SUMPRODUCT((Besatzung!$B$11:$B$22&lt;&gt;"")*(Besatzung!$F$11:$F$22="x")),SUMPRODUCT((J128:U128="x")*(Besatzung!$F$11:$F$22="x"))),1))))),0))))</f>
        <v/>
      </c>
      <c r="AG128" s="106">
        <f>IF(C128="Gutschrift","",IF(G128="","",IF(Besatzung!$B$22="","",IFERROR(IF(I128="Zeitanteilig",(Besatzung!$G$22*(G128-IFERROR(H128,0))+((Besatzung!$B$22&lt;&gt;"")*IF(B128="",1,(IF(Besatzung!$C$22="",Besatzung!$B$5,Besatzung!$C$22)&lt;=B128)*(IF(Besatzung!$D$22="",Besatzung!$B$6,Besatzung!$D$22)&gt;=B128)))*(Besatzung!$F$22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$22&lt;&gt;"")*IF(B128="",1,(IF(Besatzung!$C$22="",Besatzung!$B$5,Besatzung!$C$22)&lt;=B128)*(IF(Besatzung!$D$22="",Besatzung!$B$6,Besatzung!$D$22)&gt;=B128)))*((G128-IFERROR(H128,0))/IFERROR(SUMPRODUCT((Besatzung!$B$11:$B$22&lt;&gt;"")*(IF(Besatzung!$C$11:$C$22="",Besatzung!$B$5,Besatzung!$C$11:$C$22)&lt;=B128)*(IF(Besatzung!$D$11:$D$22="",Besatzung!$B$6,Besatzung!$D$11:$D$22)&gt;=B128)),1)+(Besatzung!$F$22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U128="x")*((G128-IFERROR(H128,0))/IFERROR(COUNTIF(J128:U128,"x"),1)+(Besatzung!$F$22="x")*IFERROR(H128,0)/IFERROR(SUMPRODUCT((J128:U128="x")*(Besatzung!$F$11:$F$22="x")),1))),(IF(COUNTIF(J128:U128,"x")=0,IF(Besatzung!$B$22&lt;&gt;"",1,0),(U128="x"))*(G128-IFERROR(H128,0))/IFERROR(IF(COUNTIF(J128:U128,"x")=0,COUNTA(Besatzung!$B$11:$B$22),COUNTIF(J128:U128,"x")),1)+IF(COUNTIF(J128:U128,"x")=0,(Besatzung!$F$22="x"),(U128="x")*(Besatzung!$F$22="x"))*IFERROR(H128,0)/IFERROR(IF(COUNTIF(J128:U128,"x")=0,SUMPRODUCT((Besatzung!$B$11:$B$22&lt;&gt;"")*(Besatzung!$F$11:$F$22="x")),SUMPRODUCT((J128:U128="x")*(Besatzung!$F$11:$F$22="x"))),1))))),0))))</f>
        <v/>
      </c>
      <c r="AH128" s="107" t="n"/>
      <c r="AI128" s="107" t="n"/>
    </row>
    <row r="129" ht="21.75" customHeight="1" s="182">
      <c r="A129" s="97">
        <f>IF(AND(D129="",C129=""),"",126)</f>
        <v/>
      </c>
      <c r="B129" s="63" t="n"/>
      <c r="C129" s="108" t="n"/>
      <c r="D129" s="109" t="n"/>
      <c r="E129" s="110" t="n"/>
      <c r="F129" s="111" t="n"/>
      <c r="G129" s="112" t="n"/>
      <c r="H129" s="113" t="n"/>
      <c r="I129" s="114" t="n"/>
      <c r="J129" s="115" t="n"/>
      <c r="K129" s="115" t="n"/>
      <c r="L129" s="115" t="n"/>
      <c r="M129" s="115" t="n"/>
      <c r="N129" s="115" t="n"/>
      <c r="O129" s="115" t="n"/>
      <c r="P129" s="115" t="n"/>
      <c r="Q129" s="115" t="n"/>
      <c r="R129" s="115" t="n"/>
      <c r="S129" s="115" t="n"/>
      <c r="T129" s="115" t="n"/>
      <c r="U129" s="115" t="n"/>
      <c r="V129" s="106">
        <f>IF(C129="Gutschrift","",IF(G129="","",IF(Besatzung!$B$11="","",IFERROR(IF(I129="Zeitanteilig",(Besatzung!$G$11*(G129-IFERROR(H129,0))+((Besatzung!$B$11&lt;&gt;"")*IF(B129="",1,(IF(Besatzung!$C$11="",Besatzung!$B$5,Besatzung!$C$11)&lt;=B129)*(IF(Besatzung!$D$11="",Besatzung!$B$6,Besatzung!$D$11)&gt;=B129)))*(Besatzung!$F$11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$11&lt;&gt;"")*IF(B129="",1,(IF(Besatzung!$C$11="",Besatzung!$B$5,Besatzung!$C$11)&lt;=B129)*(IF(Besatzung!$D$11="",Besatzung!$B$6,Besatzung!$D$11)&gt;=B129)))*((G129-IFERROR(H129,0))/IFERROR(SUMPRODUCT((Besatzung!$B$11:$B$22&lt;&gt;"")*(IF(Besatzung!$C$11:$C$22="",Besatzung!$B$5,Besatzung!$C$11:$C$22)&lt;=B129)*(IF(Besatzung!$D$11:$D$22="",Besatzung!$B$6,Besatzung!$D$11:$D$22)&gt;=B129)),1)+(Besatzung!$F$11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J129="x")*((G129-IFERROR(H129,0))/IFERROR(COUNTIF(J129:U129,"x"),1)+(Besatzung!$F$11="x")*IFERROR(H129,0)/IFERROR(SUMPRODUCT((J129:U129="x")*(Besatzung!$F$11:$F$22="x")),1))),(IF(COUNTIF(J129:U129,"x")=0,IF(Besatzung!$B$11&lt;&gt;"",1,0),(J129="x"))*(G129-IFERROR(H129,0))/IFERROR(IF(COUNTIF(J129:U129,"x")=0,COUNTA(Besatzung!$B$11:$B$22),COUNTIF(J129:U129,"x")),1)+IF(COUNTIF(J129:U129,"x")=0,(Besatzung!$F$11="x"),(J129="x")*(Besatzung!$F$11="x"))*IFERROR(H129,0)/IFERROR(IF(COUNTIF(J129:U129,"x")=0,SUMPRODUCT((Besatzung!$B$11:$B$22&lt;&gt;"")*(Besatzung!$F$11:$F$22="x")),SUMPRODUCT((J129:U129="x")*(Besatzung!$F$11:$F$22="x"))),1))))),0))))</f>
        <v/>
      </c>
      <c r="W129" s="106">
        <f>IF(C129="Gutschrift","",IF(G129="","",IF(Besatzung!$B$12="","",IFERROR(IF(I129="Zeitanteilig",(Besatzung!$G$12*(G129-IFERROR(H129,0))+((Besatzung!$B$12&lt;&gt;"")*IF(B129="",1,(IF(Besatzung!$C$12="",Besatzung!$B$5,Besatzung!$C$12)&lt;=B129)*(IF(Besatzung!$D$12="",Besatzung!$B$6,Besatzung!$D$12)&gt;=B129)))*(Besatzung!$F$12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$12&lt;&gt;"")*IF(B129="",1,(IF(Besatzung!$C$12="",Besatzung!$B$5,Besatzung!$C$12)&lt;=B129)*(IF(Besatzung!$D$12="",Besatzung!$B$6,Besatzung!$D$12)&gt;=B129)))*((G129-IFERROR(H129,0))/IFERROR(SUMPRODUCT((Besatzung!$B$11:$B$22&lt;&gt;"")*(IF(Besatzung!$C$11:$C$22="",Besatzung!$B$5,Besatzung!$C$11:$C$22)&lt;=B129)*(IF(Besatzung!$D$11:$D$22="",Besatzung!$B$6,Besatzung!$D$11:$D$22)&gt;=B129)),1)+(Besatzung!$F$12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K129="x")*((G129-IFERROR(H129,0))/IFERROR(COUNTIF(J129:U129,"x"),1)+(Besatzung!$F$12="x")*IFERROR(H129,0)/IFERROR(SUMPRODUCT((J129:U129="x")*(Besatzung!$F$11:$F$22="x")),1))),(IF(COUNTIF(J129:U129,"x")=0,IF(Besatzung!$B$12&lt;&gt;"",1,0),(K129="x"))*(G129-IFERROR(H129,0))/IFERROR(IF(COUNTIF(J129:U129,"x")=0,COUNTA(Besatzung!$B$11:$B$22),COUNTIF(J129:U129,"x")),1)+IF(COUNTIF(J129:U129,"x")=0,(Besatzung!$F$12="x"),(K129="x")*(Besatzung!$F$12="x"))*IFERROR(H129,0)/IFERROR(IF(COUNTIF(J129:U129,"x")=0,SUMPRODUCT((Besatzung!$B$11:$B$22&lt;&gt;"")*(Besatzung!$F$11:$F$22="x")),SUMPRODUCT((J129:U129="x")*(Besatzung!$F$11:$F$22="x"))),1))))),0))))</f>
        <v/>
      </c>
      <c r="X129" s="106">
        <f>IF(C129="Gutschrift","",IF(G129="","",IF(Besatzung!$B$13="","",IFERROR(IF(I129="Zeitanteilig",(Besatzung!$G$13*(G129-IFERROR(H129,0))+((Besatzung!$B$13&lt;&gt;"")*IF(B129="",1,(IF(Besatzung!$C$13="",Besatzung!$B$5,Besatzung!$C$13)&lt;=B129)*(IF(Besatzung!$D$13="",Besatzung!$B$6,Besatzung!$D$13)&gt;=B129)))*(Besatzung!$F$13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$13&lt;&gt;"")*IF(B129="",1,(IF(Besatzung!$C$13="",Besatzung!$B$5,Besatzung!$C$13)&lt;=B129)*(IF(Besatzung!$D$13="",Besatzung!$B$6,Besatzung!$D$13)&gt;=B129)))*((G129-IFERROR(H129,0))/IFERROR(SUMPRODUCT((Besatzung!$B$11:$B$22&lt;&gt;"")*(IF(Besatzung!$C$11:$C$22="",Besatzung!$B$5,Besatzung!$C$11:$C$22)&lt;=B129)*(IF(Besatzung!$D$11:$D$22="",Besatzung!$B$6,Besatzung!$D$11:$D$22)&gt;=B129)),1)+(Besatzung!$F$13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K129="x")*((G129-IFERROR(H129,0))/IFERROR(COUNTIF(J129:U129,"x"),1)+(Besatzung!$F$13="x")*IFERROR(H129,0)/IFERROR(SUMPRODUCT((J129:U129="x")*(Besatzung!$F$11:$F$22="x")),1))),(IF(COUNTIF(J129:U129,"x")=0,IF(Besatzung!$B$13&lt;&gt;"",1,0),(K129="x"))*(G129-IFERROR(H129,0))/IFERROR(IF(COUNTIF(J129:U129,"x")=0,COUNTA(Besatzung!$B$11:$B$22),COUNTIF(J129:U129,"x")),1)+IF(COUNTIF(J129:U129,"x")=0,(Besatzung!$F$13="x"),(K129="x")*(Besatzung!$F$13="x"))*IFERROR(H129,0)/IFERROR(IF(COUNTIF(J129:U129,"x")=0,SUMPRODUCT((Besatzung!$B$11:$B$22&lt;&gt;"")*(Besatzung!$F$11:$F$22="x")),SUMPRODUCT((J129:U129="x")*(Besatzung!$F$11:$F$22="x"))),1))))),0))))</f>
        <v/>
      </c>
      <c r="Y129" s="106">
        <f>IF(C129="Gutschrift","",IF(G129="","",IF(Besatzung!$B$14="","",IFERROR(IF(I129="Zeitanteilig",(Besatzung!$G$14*(G129-IFERROR(H129,0))+((Besatzung!$B$14&lt;&gt;"")*IF(B129="",1,(IF(Besatzung!$C$14="",Besatzung!$B$5,Besatzung!$C$14)&lt;=B129)*(IF(Besatzung!$D$14="",Besatzung!$B$6,Besatzung!$D$14)&gt;=B129)))*(Besatzung!$F$14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$14&lt;&gt;"")*IF(B129="",1,(IF(Besatzung!$C$14="",Besatzung!$B$5,Besatzung!$C$14)&lt;=B129)*(IF(Besatzung!$D$14="",Besatzung!$B$6,Besatzung!$D$14)&gt;=B129)))*((G129-IFERROR(H129,0))/IFERROR(SUMPRODUCT((Besatzung!$B$11:$B$22&lt;&gt;"")*(IF(Besatzung!$C$11:$C$22="",Besatzung!$B$5,Besatzung!$C$11:$C$22)&lt;=B129)*(IF(Besatzung!$D$11:$D$22="",Besatzung!$B$6,Besatzung!$D$11:$D$22)&gt;=B129)),1)+(Besatzung!$F$14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M129="x")*((G129-IFERROR(H129,0))/IFERROR(COUNTIF(J129:U129,"x"),1)+(Besatzung!$F$14="x")*IFERROR(H129,0)/IFERROR(SUMPRODUCT((J129:U129="x")*(Besatzung!$F$11:$F$22="x")),1))),(IF(COUNTIF(J129:U129,"x")=0,IF(Besatzung!$B$14&lt;&gt;"",1,0),(M129="x"))*(G129-IFERROR(H129,0))/IFERROR(IF(COUNTIF(J129:U129,"x")=0,COUNTA(Besatzung!$B$11:$B$22),COUNTIF(J129:U129,"x")),1)+IF(COUNTIF(J129:U129,"x")=0,(Besatzung!$F$14="x"),(M129="x")*(Besatzung!$F$14="x"))*IFERROR(H129,0)/IFERROR(IF(COUNTIF(J129:U129,"x")=0,SUMPRODUCT((Besatzung!$B$11:$B$22&lt;&gt;"")*(Besatzung!$F$11:$F$22="x")),SUMPRODUCT((J129:U129="x")*(Besatzung!$F$11:$F$22="x"))),1))))),0))))</f>
        <v/>
      </c>
      <c r="Z129" s="106">
        <f>IF(C129="Gutschrift","",IF(G129="","",IF(Besatzung!$B$13="","",IFERROR(IF(I129="Zeitanteilig",(Besatzung!$G$15*(G129-IFERROR(H129,0))+((Besatzung!$B$13&lt;&gt;"")*IF(B129="",1,(IF(Besatzung!$C$15="",Besatzung!$B$5,Besatzung!$C$15)&lt;=B129)*(IF(Besatzung!$D$15="",Besatzung!$B$6,Besatzung!$D$15)&gt;=B129)))*(Besatzung!$F$15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$13&lt;&gt;"")*IF(B129="",1,(IF(Besatzung!$C$15="",Besatzung!$B$5,Besatzung!$C$15)&lt;=B129)*(IF(Besatzung!$D$15="",Besatzung!$B$6,Besatzung!$D$15)&gt;=B129)))*((G129-IFERROR(H129,0))/IFERROR(SUMPRODUCT((Besatzung!$B$11:$B$22&lt;&gt;"")*(IF(Besatzung!$C$11:$C$22="",Besatzung!$B$5,Besatzung!$C$11:$C$22)&lt;=B129)*(IF(Besatzung!$D$11:$D$22="",Besatzung!$B$6,Besatzung!$D$11:$D$22)&gt;=B129)),1)+(Besatzung!$F$15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N129="x")*((G129-IFERROR(H129,0))/IFERROR(COUNTIF(J129:U129,"x"),1)+(Besatzung!$F$15="x")*IFERROR(H129,0)/IFERROR(SUMPRODUCT((J129:U129="x")*(Besatzung!$F$11:$F$22="x")),1))),(IF(COUNTIF(J129:U129,"x")=0,IF(Besatzung!$B$13&lt;&gt;"",1,0),(N129="x"))*(G129-IFERROR(H129,0))/IFERROR(IF(COUNTIF(J129:U129,"x")=0,COUNTA(Besatzung!$B$11:$B$22),COUNTIF(J129:U129,"x")),1)+IF(COUNTIF(J129:U129,"x")=0,(Besatzung!$F$15="x"),(N129="x")*(Besatzung!$F$15="x"))*IFERROR(H129,0)/IFERROR(IF(COUNTIF(J129:U129,"x")=0,SUMPRODUCT((Besatzung!$B$11:$B$22&lt;&gt;"")*(Besatzung!$F$11:$F$22="x")),SUMPRODUCT((J129:U129="x")*(Besatzung!$F$11:$F$22="x"))),1))))),0))))</f>
        <v/>
      </c>
      <c r="AA129" s="106">
        <f>IF(C129="Gutschrift","",IF(G129="","",IF(Besatzung!$B$15="","",IFERROR(IF(I129="Zeitanteilig",(Besatzung!$G$16*(G129-IFERROR(H129,0))+((Besatzung!$B$15&lt;&gt;"")*IF(B129="",1,(IF(Besatzung!$C$16="",Besatzung!$B$5,Besatzung!$C$16)&lt;=B129)*(IF(Besatzung!$D$16="",Besatzung!$B$6,Besatzung!$D$16)&gt;=B129)))*(Besatzung!$F$16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$15&lt;&gt;"")*IF(B129="",1,(IF(Besatzung!$C$16="",Besatzung!$B$5,Besatzung!$C$16)&lt;=B129)*(IF(Besatzung!$D$16="",Besatzung!$B$6,Besatzung!$D$16)&gt;=B129)))*((G129-IFERROR(H129,0))/IFERROR(SUMPRODUCT((Besatzung!$B$11:$B$22&lt;&gt;"")*(IF(Besatzung!$C$11:$C$22="",Besatzung!$B$5,Besatzung!$C$11:$C$22)&lt;=B129)*(IF(Besatzung!$D$11:$D$22="",Besatzung!$B$6,Besatzung!$D$11:$D$22)&gt;=B129)),1)+(Besatzung!$F$16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O129="x")*((G129-IFERROR(H129,0))/IFERROR(COUNTIF(J129:U129,"x"),1)+(Besatzung!$F$16="x")*IFERROR(H129,0)/IFERROR(SUMPRODUCT((J129:U129="x")*(Besatzung!$F$11:$F$22="x")),1))),(IF(COUNTIF(J129:U129,"x")=0,IF(Besatzung!$B$15&lt;&gt;"",1,0),(O129="x"))*(G129-IFERROR(H129,0))/IFERROR(IF(COUNTIF(J129:U129,"x")=0,COUNTA(Besatzung!$B$11:$B$22),COUNTIF(J129:U129,"x")),1)+IF(COUNTIF(J129:U129,"x")=0,(Besatzung!$F$16="x"),(O129="x")*(Besatzung!$F$16="x"))*IFERROR(H129,0)/IFERROR(IF(COUNTIF(J129:U129,"x")=0,SUMPRODUCT((Besatzung!$B$11:$B$22&lt;&gt;"")*(Besatzung!$F$11:$F$22="x")),SUMPRODUCT((J129:U129="x")*(Besatzung!$F$11:$F$22="x"))),1))))),0))))</f>
        <v/>
      </c>
      <c r="AB129" s="106">
        <f>IF(C129="Gutschrift","",IF(G129="","",IF(Besatzung!$B$17="","",IFERROR(IF(I129="Zeitanteilig",(Besatzung!$G$17*(G129-IFERROR(H129,0))+((Besatzung!$B$17&lt;&gt;"")*IF(B129="",1,(IF(Besatzung!$C$17="",Besatzung!$B$5,Besatzung!$C$17)&lt;=B129)*(IF(Besatzung!$D$17="",Besatzung!$B$6,Besatzung!$D$17)&gt;=B129)))*(Besatzung!$F$17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$17&lt;&gt;"")*IF(B129="",1,(IF(Besatzung!$C$17="",Besatzung!$B$5,Besatzung!$C$17)&lt;=B129)*(IF(Besatzung!$D$17="",Besatzung!$B$6,Besatzung!$D$17)&gt;=B129)))*((G129-IFERROR(H129,0))/IFERROR(SUMPRODUCT((Besatzung!$B$11:$B$22&lt;&gt;"")*(IF(Besatzung!$C$11:$C$22="",Besatzung!$B$5,Besatzung!$C$11:$C$22)&lt;=B129)*(IF(Besatzung!$D$11:$D$22="",Besatzung!$B$6,Besatzung!$D$11:$D$22)&gt;=B129)),1)+(Besatzung!$F$17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P129="x")*((G129-IFERROR(H129,0))/IFERROR(COUNTIF(J129:U129,"x"),1)+(Besatzung!$F$17="x")*IFERROR(H129,0)/IFERROR(SUMPRODUCT((J129:U129="x")*(Besatzung!$F$11:$F$22="x")),1))),(IF(COUNTIF(J129:U129,"x")=0,IF(Besatzung!$B$17&lt;&gt;"",1,0),(P129="x"))*(G129-IFERROR(H129,0))/IFERROR(IF(COUNTIF(J129:U129,"x")=0,COUNTA(Besatzung!$B$11:$B$22),COUNTIF(J129:U129,"x")),1)+IF(COUNTIF(J129:U129,"x")=0,(Besatzung!$F$17="x"),(P129="x")*(Besatzung!$F$17="x"))*IFERROR(H129,0)/IFERROR(IF(COUNTIF(J129:U129,"x")=0,SUMPRODUCT((Besatzung!$B$11:$B$22&lt;&gt;"")*(Besatzung!$F$11:$F$22="x")),SUMPRODUCT((J129:U129="x")*(Besatzung!$F$11:$F$22="x"))),1))))),0))))</f>
        <v/>
      </c>
      <c r="AC129" s="106">
        <f>IF(C129="Gutschrift","",IF(G129="","",IF(Besatzung!$B$18="","",IFERROR(IF(I129="Zeitanteilig",(Besatzung!$G$18*(G129-IFERROR(H129,0))+((Besatzung!$B$18&lt;&gt;"")*IF(B129="",1,(IF(Besatzung!$C$18="",Besatzung!$B$5,Besatzung!$C$18)&lt;=B129)*(IF(Besatzung!$D$18="",Besatzung!$B$6,Besatzung!$D$18)&gt;=B129)))*(Besatzung!$F$18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$18&lt;&gt;"")*IF(B129="",1,(IF(Besatzung!$C$18="",Besatzung!$B$5,Besatzung!$C$18)&lt;=B129)*(IF(Besatzung!$D$18="",Besatzung!$B$6,Besatzung!$D$18)&gt;=B129)))*((G129-IFERROR(H129,0))/IFERROR(SUMPRODUCT((Besatzung!$B$11:$B$22&lt;&gt;"")*(IF(Besatzung!$C$11:$C$22="",Besatzung!$B$5,Besatzung!$C$11:$C$22)&lt;=B129)*(IF(Besatzung!$D$11:$D$22="",Besatzung!$B$6,Besatzung!$D$11:$D$22)&gt;=B129)),1)+(Besatzung!$F$18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Q129="x")*((G129-IFERROR(H129,0))/IFERROR(COUNTIF(J129:U129,"x"),1)+(Besatzung!$F$18="x")*IFERROR(H129,0)/IFERROR(SUMPRODUCT((J129:U129="x")*(Besatzung!$F$11:$F$22="x")),1))),(IF(COUNTIF(J129:U129,"x")=0,IF(Besatzung!$B$18&lt;&gt;"",1,0),(Q129="x"))*(G129-IFERROR(H129,0))/IFERROR(IF(COUNTIF(J129:U129,"x")=0,COUNTA(Besatzung!$B$11:$B$22),COUNTIF(J129:U129,"x")),1)+IF(COUNTIF(J129:U129,"x")=0,(Besatzung!$F$18="x"),(Q129="x")*(Besatzung!$F$18="x"))*IFERROR(H129,0)/IFERROR(IF(COUNTIF(J129:U129,"x")=0,SUMPRODUCT((Besatzung!$B$11:$B$22&lt;&gt;"")*(Besatzung!$F$11:$F$22="x")),SUMPRODUCT((J129:U129="x")*(Besatzung!$F$11:$F$22="x"))),1))))),0))))</f>
        <v/>
      </c>
      <c r="AD129" s="106">
        <f>IF(C129="Gutschrift","",IF(G129="","",IF(Besatzung!$B$19="","",IFERROR(IF(I129="Zeitanteilig",(Besatzung!$G$19*(G129-IFERROR(H129,0))+((Besatzung!$B$19&lt;&gt;"")*IF(B129="",1,(IF(Besatzung!$C$19="",Besatzung!$B$5,Besatzung!$C$19)&lt;=B129)*(IF(Besatzung!$D$19="",Besatzung!$B$6,Besatzung!$D$19)&gt;=B129)))*(Besatzung!$F$19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$19&lt;&gt;"")*IF(B129="",1,(IF(Besatzung!$C$19="",Besatzung!$B$5,Besatzung!$C$19)&lt;=B129)*(IF(Besatzung!$D$19="",Besatzung!$B$6,Besatzung!$D$19)&gt;=B129)))*((G129-IFERROR(H129,0))/IFERROR(SUMPRODUCT((Besatzung!$B$11:$B$22&lt;&gt;"")*(IF(Besatzung!$C$11:$C$22="",Besatzung!$B$5,Besatzung!$C$11:$C$22)&lt;=B129)*(IF(Besatzung!$D$11:$D$22="",Besatzung!$B$6,Besatzung!$D$11:$D$22)&gt;=B129)),1)+(Besatzung!$F$19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R129="x")*((G129-IFERROR(H129,0))/IFERROR(COUNTIF(J129:U129,"x"),1)+(Besatzung!$F$19="x")*IFERROR(H129,0)/IFERROR(SUMPRODUCT((J129:U129="x")*(Besatzung!$F$11:$F$22="x")),1))),(IF(COUNTIF(J129:U129,"x")=0,IF(Besatzung!$B$19&lt;&gt;"",1,0),(R129="x"))*(G129-IFERROR(H129,0))/IFERROR(IF(COUNTIF(J129:U129,"x")=0,COUNTA(Besatzung!$B$11:$B$22),COUNTIF(J129:U129,"x")),1)+IF(COUNTIF(J129:U129,"x")=0,(Besatzung!$F$19="x"),(R129="x")*(Besatzung!$F$19="x"))*IFERROR(H129,0)/IFERROR(IF(COUNTIF(J129:U129,"x")=0,SUMPRODUCT((Besatzung!$B$11:$B$22&lt;&gt;"")*(Besatzung!$F$11:$F$22="x")),SUMPRODUCT((J129:U129="x")*(Besatzung!$F$11:$F$22="x"))),1))))),0))))</f>
        <v/>
      </c>
      <c r="AE129" s="106">
        <f>IF(C129="Gutschrift","",IF(G129="","",IF(Besatzung!$B$20="","",IFERROR(IF(I129="Zeitanteilig",(Besatzung!$G$20*(G129-IFERROR(H129,0))+((Besatzung!$B$20&lt;&gt;"")*IF(B129="",1,(IF(Besatzung!$C$20="",Besatzung!$B$5,Besatzung!$C$20)&lt;=B129)*(IF(Besatzung!$D$20="",Besatzung!$B$6,Besatzung!$D$20)&gt;=B129)))*(Besatzung!$F$20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$20&lt;&gt;"")*IF(B129="",1,(IF(Besatzung!$C$20="",Besatzung!$B$5,Besatzung!$C$20)&lt;=B129)*(IF(Besatzung!$D$20="",Besatzung!$B$6,Besatzung!$D$20)&gt;=B129)))*((G129-IFERROR(H129,0))/IFERROR(SUMPRODUCT((Besatzung!$B$11:$B$22&lt;&gt;"")*(IF(Besatzung!$C$11:$C$22="",Besatzung!$B$5,Besatzung!$C$11:$C$22)&lt;=B129)*(IF(Besatzung!$D$11:$D$22="",Besatzung!$B$6,Besatzung!$D$11:$D$22)&gt;=B129)),1)+(Besatzung!$F$20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S129="x")*((G129-IFERROR(H129,0))/IFERROR(COUNTIF(J129:U129,"x"),1)+(Besatzung!$F$20="x")*IFERROR(H129,0)/IFERROR(SUMPRODUCT((J129:U129="x")*(Besatzung!$F$11:$F$22="x")),1))),(IF(COUNTIF(J129:U129,"x")=0,IF(Besatzung!$B$20&lt;&gt;"",1,0),(S129="x"))*(G129-IFERROR(H129,0))/IFERROR(IF(COUNTIF(J129:U129,"x")=0,COUNTA(Besatzung!$B$11:$B$22),COUNTIF(J129:U129,"x")),1)+IF(COUNTIF(J129:U129,"x")=0,(Besatzung!$F$20="x"),(S129="x")*(Besatzung!$F$20="x"))*IFERROR(H129,0)/IFERROR(IF(COUNTIF(J129:U129,"x")=0,SUMPRODUCT((Besatzung!$B$11:$B$22&lt;&gt;"")*(Besatzung!$F$11:$F$22="x")),SUMPRODUCT((J129:U129="x")*(Besatzung!$F$11:$F$22="x"))),1))))),0))))</f>
        <v/>
      </c>
      <c r="AF129" s="106">
        <f>IF(C129="Gutschrift","",IF(G129="","",IF(Besatzung!$B$21="","",IFERROR(IF(I129="Zeitanteilig",(Besatzung!$G$21*(G129-IFERROR(H129,0))+((Besatzung!$B$21&lt;&gt;"")*IF(B129="",1,(IF(Besatzung!$C$21="",Besatzung!$B$5,Besatzung!$C$21)&lt;=B129)*(IF(Besatzung!$D$21="",Besatzung!$B$6,Besatzung!$D$21)&gt;=B129)))*(Besatzung!$F$21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$21&lt;&gt;"")*IF(B129="",1,(IF(Besatzung!$C$21="",Besatzung!$B$5,Besatzung!$C$21)&lt;=B129)*(IF(Besatzung!$D$21="",Besatzung!$B$6,Besatzung!$D$21)&gt;=B129)))*((G129-IFERROR(H129,0))/IFERROR(SUMPRODUCT((Besatzung!$B$11:$B$22&lt;&gt;"")*(IF(Besatzung!$C$11:$C$22="",Besatzung!$B$5,Besatzung!$C$11:$C$22)&lt;=B129)*(IF(Besatzung!$D$11:$D$22="",Besatzung!$B$6,Besatzung!$D$11:$D$22)&gt;=B129)),1)+(Besatzung!$F$21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T129="x")*((G129-IFERROR(H129,0))/IFERROR(COUNTIF(J129:U129,"x"),1)+(Besatzung!$F$21="x")*IFERROR(H129,0)/IFERROR(SUMPRODUCT((J129:U129="x")*(Besatzung!$F$11:$F$22="x")),1))),(IF(COUNTIF(J129:U129,"x")=0,IF(Besatzung!$B$21&lt;&gt;"",1,0),(T129="x"))*(G129-IFERROR(H129,0))/IFERROR(IF(COUNTIF(J129:U129,"x")=0,COUNTA(Besatzung!$B$11:$B$22),COUNTIF(J129:U129,"x")),1)+IF(COUNTIF(J129:U129,"x")=0,(Besatzung!$F$21="x"),(T129="x")*(Besatzung!$F$21="x"))*IFERROR(H129,0)/IFERROR(IF(COUNTIF(J129:U129,"x")=0,SUMPRODUCT((Besatzung!$B$11:$B$22&lt;&gt;"")*(Besatzung!$F$11:$F$22="x")),SUMPRODUCT((J129:U129="x")*(Besatzung!$F$11:$F$22="x"))),1))))),0))))</f>
        <v/>
      </c>
      <c r="AG129" s="106">
        <f>IF(C129="Gutschrift","",IF(G129="","",IF(Besatzung!$B$22="","",IFERROR(IF(I129="Zeitanteilig",(Besatzung!$G$22*(G129-IFERROR(H129,0))+((Besatzung!$B$22&lt;&gt;"")*IF(B129="",1,(IF(Besatzung!$C$22="",Besatzung!$B$5,Besatzung!$C$22)&lt;=B129)*(IF(Besatzung!$D$22="",Besatzung!$B$6,Besatzung!$D$22)&gt;=B129)))*(Besatzung!$F$22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$22&lt;&gt;"")*IF(B129="",1,(IF(Besatzung!$C$22="",Besatzung!$B$5,Besatzung!$C$22)&lt;=B129)*(IF(Besatzung!$D$22="",Besatzung!$B$6,Besatzung!$D$22)&gt;=B129)))*((G129-IFERROR(H129,0))/IFERROR(SUMPRODUCT((Besatzung!$B$11:$B$22&lt;&gt;"")*(IF(Besatzung!$C$11:$C$22="",Besatzung!$B$5,Besatzung!$C$11:$C$22)&lt;=B129)*(IF(Besatzung!$D$11:$D$22="",Besatzung!$B$6,Besatzung!$D$11:$D$22)&gt;=B129)),1)+(Besatzung!$F$22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U129="x")*((G129-IFERROR(H129,0))/IFERROR(COUNTIF(J129:U129,"x"),1)+(Besatzung!$F$22="x")*IFERROR(H129,0)/IFERROR(SUMPRODUCT((J129:U129="x")*(Besatzung!$F$11:$F$22="x")),1))),(IF(COUNTIF(J129:U129,"x")=0,IF(Besatzung!$B$22&lt;&gt;"",1,0),(U129="x"))*(G129-IFERROR(H129,0))/IFERROR(IF(COUNTIF(J129:U129,"x")=0,COUNTA(Besatzung!$B$11:$B$22),COUNTIF(J129:U129,"x")),1)+IF(COUNTIF(J129:U129,"x")=0,(Besatzung!$F$22="x"),(U129="x")*(Besatzung!$F$22="x"))*IFERROR(H129,0)/IFERROR(IF(COUNTIF(J129:U129,"x")=0,SUMPRODUCT((Besatzung!$B$11:$B$22&lt;&gt;"")*(Besatzung!$F$11:$F$22="x")),SUMPRODUCT((J129:U129="x")*(Besatzung!$F$11:$F$22="x"))),1))))),0))))</f>
        <v/>
      </c>
      <c r="AH129" s="107" t="n"/>
      <c r="AI129" s="107" t="n"/>
    </row>
    <row r="130" ht="21.75" customHeight="1" s="182">
      <c r="A130" s="97">
        <f>IF(AND(D130="",C130=""),"",127)</f>
        <v/>
      </c>
      <c r="B130" s="56" t="n"/>
      <c r="C130" s="98" t="n"/>
      <c r="D130" s="99" t="n"/>
      <c r="E130" s="100" t="n"/>
      <c r="F130" s="101" t="n"/>
      <c r="G130" s="102" t="n"/>
      <c r="H130" s="103" t="n"/>
      <c r="I130" s="104" t="n"/>
      <c r="J130" s="105" t="n"/>
      <c r="K130" s="105" t="n"/>
      <c r="L130" s="105" t="n"/>
      <c r="M130" s="105" t="n"/>
      <c r="N130" s="105" t="n"/>
      <c r="O130" s="105" t="n"/>
      <c r="P130" s="105" t="n"/>
      <c r="Q130" s="105" t="n"/>
      <c r="R130" s="105" t="n"/>
      <c r="S130" s="105" t="n"/>
      <c r="T130" s="105" t="n"/>
      <c r="U130" s="105" t="n"/>
      <c r="V130" s="106">
        <f>IF(C130="Gutschrift","",IF(G130="","",IF(Besatzung!$B$11="","",IFERROR(IF(I130="Zeitanteilig",(Besatzung!$G$11*(G130-IFERROR(H130,0))+((Besatzung!$B$11&lt;&gt;"")*IF(B130="",1,(IF(Besatzung!$C$11="",Besatzung!$B$5,Besatzung!$C$11)&lt;=B130)*(IF(Besatzung!$D$11="",Besatzung!$B$6,Besatzung!$D$11)&gt;=B130)))*(Besatzung!$F$11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$11&lt;&gt;"")*IF(B130="",1,(IF(Besatzung!$C$11="",Besatzung!$B$5,Besatzung!$C$11)&lt;=B130)*(IF(Besatzung!$D$11="",Besatzung!$B$6,Besatzung!$D$11)&gt;=B130)))*((G130-IFERROR(H130,0))/IFERROR(SUMPRODUCT((Besatzung!$B$11:$B$22&lt;&gt;"")*(IF(Besatzung!$C$11:$C$22="",Besatzung!$B$5,Besatzung!$C$11:$C$22)&lt;=B130)*(IF(Besatzung!$D$11:$D$22="",Besatzung!$B$6,Besatzung!$D$11:$D$22)&gt;=B130)),1)+(Besatzung!$F$11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J130="x")*((G130-IFERROR(H130,0))/IFERROR(COUNTIF(J130:U130,"x"),1)+(Besatzung!$F$11="x")*IFERROR(H130,0)/IFERROR(SUMPRODUCT((J130:U130="x")*(Besatzung!$F$11:$F$22="x")),1))),(IF(COUNTIF(J130:U130,"x")=0,IF(Besatzung!$B$11&lt;&gt;"",1,0),(J130="x"))*(G130-IFERROR(H130,0))/IFERROR(IF(COUNTIF(J130:U130,"x")=0,COUNTA(Besatzung!$B$11:$B$22),COUNTIF(J130:U130,"x")),1)+IF(COUNTIF(J130:U130,"x")=0,(Besatzung!$F$11="x"),(J130="x")*(Besatzung!$F$11="x"))*IFERROR(H130,0)/IFERROR(IF(COUNTIF(J130:U130,"x")=0,SUMPRODUCT((Besatzung!$B$11:$B$22&lt;&gt;"")*(Besatzung!$F$11:$F$22="x")),SUMPRODUCT((J130:U130="x")*(Besatzung!$F$11:$F$22="x"))),1))))),0))))</f>
        <v/>
      </c>
      <c r="W130" s="106">
        <f>IF(C130="Gutschrift","",IF(G130="","",IF(Besatzung!$B$12="","",IFERROR(IF(I130="Zeitanteilig",(Besatzung!$G$12*(G130-IFERROR(H130,0))+((Besatzung!$B$12&lt;&gt;"")*IF(B130="",1,(IF(Besatzung!$C$12="",Besatzung!$B$5,Besatzung!$C$12)&lt;=B130)*(IF(Besatzung!$D$12="",Besatzung!$B$6,Besatzung!$D$12)&gt;=B130)))*(Besatzung!$F$12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$12&lt;&gt;"")*IF(B130="",1,(IF(Besatzung!$C$12="",Besatzung!$B$5,Besatzung!$C$12)&lt;=B130)*(IF(Besatzung!$D$12="",Besatzung!$B$6,Besatzung!$D$12)&gt;=B130)))*((G130-IFERROR(H130,0))/IFERROR(SUMPRODUCT((Besatzung!$B$11:$B$22&lt;&gt;"")*(IF(Besatzung!$C$11:$C$22="",Besatzung!$B$5,Besatzung!$C$11:$C$22)&lt;=B130)*(IF(Besatzung!$D$11:$D$22="",Besatzung!$B$6,Besatzung!$D$11:$D$22)&gt;=B130)),1)+(Besatzung!$F$12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K130="x")*((G130-IFERROR(H130,0))/IFERROR(COUNTIF(J130:U130,"x"),1)+(Besatzung!$F$12="x")*IFERROR(H130,0)/IFERROR(SUMPRODUCT((J130:U130="x")*(Besatzung!$F$11:$F$22="x")),1))),(IF(COUNTIF(J130:U130,"x")=0,IF(Besatzung!$B$12&lt;&gt;"",1,0),(K130="x"))*(G130-IFERROR(H130,0))/IFERROR(IF(COUNTIF(J130:U130,"x")=0,COUNTA(Besatzung!$B$11:$B$22),COUNTIF(J130:U130,"x")),1)+IF(COUNTIF(J130:U130,"x")=0,(Besatzung!$F$12="x"),(K130="x")*(Besatzung!$F$12="x"))*IFERROR(H130,0)/IFERROR(IF(COUNTIF(J130:U130,"x")=0,SUMPRODUCT((Besatzung!$B$11:$B$22&lt;&gt;"")*(Besatzung!$F$11:$F$22="x")),SUMPRODUCT((J130:U130="x")*(Besatzung!$F$11:$F$22="x"))),1))))),0))))</f>
        <v/>
      </c>
      <c r="X130" s="106">
        <f>IF(C130="Gutschrift","",IF(G130="","",IF(Besatzung!$B$13="","",IFERROR(IF(I130="Zeitanteilig",(Besatzung!$G$13*(G130-IFERROR(H130,0))+((Besatzung!$B$13&lt;&gt;"")*IF(B130="",1,(IF(Besatzung!$C$13="",Besatzung!$B$5,Besatzung!$C$13)&lt;=B130)*(IF(Besatzung!$D$13="",Besatzung!$B$6,Besatzung!$D$13)&gt;=B130)))*(Besatzung!$F$13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$13&lt;&gt;"")*IF(B130="",1,(IF(Besatzung!$C$13="",Besatzung!$B$5,Besatzung!$C$13)&lt;=B130)*(IF(Besatzung!$D$13="",Besatzung!$B$6,Besatzung!$D$13)&gt;=B130)))*((G130-IFERROR(H130,0))/IFERROR(SUMPRODUCT((Besatzung!$B$11:$B$22&lt;&gt;"")*(IF(Besatzung!$C$11:$C$22="",Besatzung!$B$5,Besatzung!$C$11:$C$22)&lt;=B130)*(IF(Besatzung!$D$11:$D$22="",Besatzung!$B$6,Besatzung!$D$11:$D$22)&gt;=B130)),1)+(Besatzung!$F$13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K130="x")*((G130-IFERROR(H130,0))/IFERROR(COUNTIF(J130:U130,"x"),1)+(Besatzung!$F$13="x")*IFERROR(H130,0)/IFERROR(SUMPRODUCT((J130:U130="x")*(Besatzung!$F$11:$F$22="x")),1))),(IF(COUNTIF(J130:U130,"x")=0,IF(Besatzung!$B$13&lt;&gt;"",1,0),(K130="x"))*(G130-IFERROR(H130,0))/IFERROR(IF(COUNTIF(J130:U130,"x")=0,COUNTA(Besatzung!$B$11:$B$22),COUNTIF(J130:U130,"x")),1)+IF(COUNTIF(J130:U130,"x")=0,(Besatzung!$F$13="x"),(K130="x")*(Besatzung!$F$13="x"))*IFERROR(H130,0)/IFERROR(IF(COUNTIF(J130:U130,"x")=0,SUMPRODUCT((Besatzung!$B$11:$B$22&lt;&gt;"")*(Besatzung!$F$11:$F$22="x")),SUMPRODUCT((J130:U130="x")*(Besatzung!$F$11:$F$22="x"))),1))))),0))))</f>
        <v/>
      </c>
      <c r="Y130" s="106">
        <f>IF(C130="Gutschrift","",IF(G130="","",IF(Besatzung!$B$14="","",IFERROR(IF(I130="Zeitanteilig",(Besatzung!$G$14*(G130-IFERROR(H130,0))+((Besatzung!$B$14&lt;&gt;"")*IF(B130="",1,(IF(Besatzung!$C$14="",Besatzung!$B$5,Besatzung!$C$14)&lt;=B130)*(IF(Besatzung!$D$14="",Besatzung!$B$6,Besatzung!$D$14)&gt;=B130)))*(Besatzung!$F$14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$14&lt;&gt;"")*IF(B130="",1,(IF(Besatzung!$C$14="",Besatzung!$B$5,Besatzung!$C$14)&lt;=B130)*(IF(Besatzung!$D$14="",Besatzung!$B$6,Besatzung!$D$14)&gt;=B130)))*((G130-IFERROR(H130,0))/IFERROR(SUMPRODUCT((Besatzung!$B$11:$B$22&lt;&gt;"")*(IF(Besatzung!$C$11:$C$22="",Besatzung!$B$5,Besatzung!$C$11:$C$22)&lt;=B130)*(IF(Besatzung!$D$11:$D$22="",Besatzung!$B$6,Besatzung!$D$11:$D$22)&gt;=B130)),1)+(Besatzung!$F$14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M130="x")*((G130-IFERROR(H130,0))/IFERROR(COUNTIF(J130:U130,"x"),1)+(Besatzung!$F$14="x")*IFERROR(H130,0)/IFERROR(SUMPRODUCT((J130:U130="x")*(Besatzung!$F$11:$F$22="x")),1))),(IF(COUNTIF(J130:U130,"x")=0,IF(Besatzung!$B$14&lt;&gt;"",1,0),(M130="x"))*(G130-IFERROR(H130,0))/IFERROR(IF(COUNTIF(J130:U130,"x")=0,COUNTA(Besatzung!$B$11:$B$22),COUNTIF(J130:U130,"x")),1)+IF(COUNTIF(J130:U130,"x")=0,(Besatzung!$F$14="x"),(M130="x")*(Besatzung!$F$14="x"))*IFERROR(H130,0)/IFERROR(IF(COUNTIF(J130:U130,"x")=0,SUMPRODUCT((Besatzung!$B$11:$B$22&lt;&gt;"")*(Besatzung!$F$11:$F$22="x")),SUMPRODUCT((J130:U130="x")*(Besatzung!$F$11:$F$22="x"))),1))))),0))))</f>
        <v/>
      </c>
      <c r="Z130" s="106">
        <f>IF(C130="Gutschrift","",IF(G130="","",IF(Besatzung!$B$13="","",IFERROR(IF(I130="Zeitanteilig",(Besatzung!$G$15*(G130-IFERROR(H130,0))+((Besatzung!$B$13&lt;&gt;"")*IF(B130="",1,(IF(Besatzung!$C$15="",Besatzung!$B$5,Besatzung!$C$15)&lt;=B130)*(IF(Besatzung!$D$15="",Besatzung!$B$6,Besatzung!$D$15)&gt;=B130)))*(Besatzung!$F$15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$13&lt;&gt;"")*IF(B130="",1,(IF(Besatzung!$C$15="",Besatzung!$B$5,Besatzung!$C$15)&lt;=B130)*(IF(Besatzung!$D$15="",Besatzung!$B$6,Besatzung!$D$15)&gt;=B130)))*((G130-IFERROR(H130,0))/IFERROR(SUMPRODUCT((Besatzung!$B$11:$B$22&lt;&gt;"")*(IF(Besatzung!$C$11:$C$22="",Besatzung!$B$5,Besatzung!$C$11:$C$22)&lt;=B130)*(IF(Besatzung!$D$11:$D$22="",Besatzung!$B$6,Besatzung!$D$11:$D$22)&gt;=B130)),1)+(Besatzung!$F$15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N130="x")*((G130-IFERROR(H130,0))/IFERROR(COUNTIF(J130:U130,"x"),1)+(Besatzung!$F$15="x")*IFERROR(H130,0)/IFERROR(SUMPRODUCT((J130:U130="x")*(Besatzung!$F$11:$F$22="x")),1))),(IF(COUNTIF(J130:U130,"x")=0,IF(Besatzung!$B$13&lt;&gt;"",1,0),(N130="x"))*(G130-IFERROR(H130,0))/IFERROR(IF(COUNTIF(J130:U130,"x")=0,COUNTA(Besatzung!$B$11:$B$22),COUNTIF(J130:U130,"x")),1)+IF(COUNTIF(J130:U130,"x")=0,(Besatzung!$F$15="x"),(N130="x")*(Besatzung!$F$15="x"))*IFERROR(H130,0)/IFERROR(IF(COUNTIF(J130:U130,"x")=0,SUMPRODUCT((Besatzung!$B$11:$B$22&lt;&gt;"")*(Besatzung!$F$11:$F$22="x")),SUMPRODUCT((J130:U130="x")*(Besatzung!$F$11:$F$22="x"))),1))))),0))))</f>
        <v/>
      </c>
      <c r="AA130" s="106">
        <f>IF(C130="Gutschrift","",IF(G130="","",IF(Besatzung!$B$15="","",IFERROR(IF(I130="Zeitanteilig",(Besatzung!$G$16*(G130-IFERROR(H130,0))+((Besatzung!$B$15&lt;&gt;"")*IF(B130="",1,(IF(Besatzung!$C$16="",Besatzung!$B$5,Besatzung!$C$16)&lt;=B130)*(IF(Besatzung!$D$16="",Besatzung!$B$6,Besatzung!$D$16)&gt;=B130)))*(Besatzung!$F$16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$15&lt;&gt;"")*IF(B130="",1,(IF(Besatzung!$C$16="",Besatzung!$B$5,Besatzung!$C$16)&lt;=B130)*(IF(Besatzung!$D$16="",Besatzung!$B$6,Besatzung!$D$16)&gt;=B130)))*((G130-IFERROR(H130,0))/IFERROR(SUMPRODUCT((Besatzung!$B$11:$B$22&lt;&gt;"")*(IF(Besatzung!$C$11:$C$22="",Besatzung!$B$5,Besatzung!$C$11:$C$22)&lt;=B130)*(IF(Besatzung!$D$11:$D$22="",Besatzung!$B$6,Besatzung!$D$11:$D$22)&gt;=B130)),1)+(Besatzung!$F$16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O130="x")*((G130-IFERROR(H130,0))/IFERROR(COUNTIF(J130:U130,"x"),1)+(Besatzung!$F$16="x")*IFERROR(H130,0)/IFERROR(SUMPRODUCT((J130:U130="x")*(Besatzung!$F$11:$F$22="x")),1))),(IF(COUNTIF(J130:U130,"x")=0,IF(Besatzung!$B$15&lt;&gt;"",1,0),(O130="x"))*(G130-IFERROR(H130,0))/IFERROR(IF(COUNTIF(J130:U130,"x")=0,COUNTA(Besatzung!$B$11:$B$22),COUNTIF(J130:U130,"x")),1)+IF(COUNTIF(J130:U130,"x")=0,(Besatzung!$F$16="x"),(O130="x")*(Besatzung!$F$16="x"))*IFERROR(H130,0)/IFERROR(IF(COUNTIF(J130:U130,"x")=0,SUMPRODUCT((Besatzung!$B$11:$B$22&lt;&gt;"")*(Besatzung!$F$11:$F$22="x")),SUMPRODUCT((J130:U130="x")*(Besatzung!$F$11:$F$22="x"))),1))))),0))))</f>
        <v/>
      </c>
      <c r="AB130" s="106">
        <f>IF(C130="Gutschrift","",IF(G130="","",IF(Besatzung!$B$17="","",IFERROR(IF(I130="Zeitanteilig",(Besatzung!$G$17*(G130-IFERROR(H130,0))+((Besatzung!$B$17&lt;&gt;"")*IF(B130="",1,(IF(Besatzung!$C$17="",Besatzung!$B$5,Besatzung!$C$17)&lt;=B130)*(IF(Besatzung!$D$17="",Besatzung!$B$6,Besatzung!$D$17)&gt;=B130)))*(Besatzung!$F$17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$17&lt;&gt;"")*IF(B130="",1,(IF(Besatzung!$C$17="",Besatzung!$B$5,Besatzung!$C$17)&lt;=B130)*(IF(Besatzung!$D$17="",Besatzung!$B$6,Besatzung!$D$17)&gt;=B130)))*((G130-IFERROR(H130,0))/IFERROR(SUMPRODUCT((Besatzung!$B$11:$B$22&lt;&gt;"")*(IF(Besatzung!$C$11:$C$22="",Besatzung!$B$5,Besatzung!$C$11:$C$22)&lt;=B130)*(IF(Besatzung!$D$11:$D$22="",Besatzung!$B$6,Besatzung!$D$11:$D$22)&gt;=B130)),1)+(Besatzung!$F$17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P130="x")*((G130-IFERROR(H130,0))/IFERROR(COUNTIF(J130:U130,"x"),1)+(Besatzung!$F$17="x")*IFERROR(H130,0)/IFERROR(SUMPRODUCT((J130:U130="x")*(Besatzung!$F$11:$F$22="x")),1))),(IF(COUNTIF(J130:U130,"x")=0,IF(Besatzung!$B$17&lt;&gt;"",1,0),(P130="x"))*(G130-IFERROR(H130,0))/IFERROR(IF(COUNTIF(J130:U130,"x")=0,COUNTA(Besatzung!$B$11:$B$22),COUNTIF(J130:U130,"x")),1)+IF(COUNTIF(J130:U130,"x")=0,(Besatzung!$F$17="x"),(P130="x")*(Besatzung!$F$17="x"))*IFERROR(H130,0)/IFERROR(IF(COUNTIF(J130:U130,"x")=0,SUMPRODUCT((Besatzung!$B$11:$B$22&lt;&gt;"")*(Besatzung!$F$11:$F$22="x")),SUMPRODUCT((J130:U130="x")*(Besatzung!$F$11:$F$22="x"))),1))))),0))))</f>
        <v/>
      </c>
      <c r="AC130" s="106">
        <f>IF(C130="Gutschrift","",IF(G130="","",IF(Besatzung!$B$18="","",IFERROR(IF(I130="Zeitanteilig",(Besatzung!$G$18*(G130-IFERROR(H130,0))+((Besatzung!$B$18&lt;&gt;"")*IF(B130="",1,(IF(Besatzung!$C$18="",Besatzung!$B$5,Besatzung!$C$18)&lt;=B130)*(IF(Besatzung!$D$18="",Besatzung!$B$6,Besatzung!$D$18)&gt;=B130)))*(Besatzung!$F$18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$18&lt;&gt;"")*IF(B130="",1,(IF(Besatzung!$C$18="",Besatzung!$B$5,Besatzung!$C$18)&lt;=B130)*(IF(Besatzung!$D$18="",Besatzung!$B$6,Besatzung!$D$18)&gt;=B130)))*((G130-IFERROR(H130,0))/IFERROR(SUMPRODUCT((Besatzung!$B$11:$B$22&lt;&gt;"")*(IF(Besatzung!$C$11:$C$22="",Besatzung!$B$5,Besatzung!$C$11:$C$22)&lt;=B130)*(IF(Besatzung!$D$11:$D$22="",Besatzung!$B$6,Besatzung!$D$11:$D$22)&gt;=B130)),1)+(Besatzung!$F$18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Q130="x")*((G130-IFERROR(H130,0))/IFERROR(COUNTIF(J130:U130,"x"),1)+(Besatzung!$F$18="x")*IFERROR(H130,0)/IFERROR(SUMPRODUCT((J130:U130="x")*(Besatzung!$F$11:$F$22="x")),1))),(IF(COUNTIF(J130:U130,"x")=0,IF(Besatzung!$B$18&lt;&gt;"",1,0),(Q130="x"))*(G130-IFERROR(H130,0))/IFERROR(IF(COUNTIF(J130:U130,"x")=0,COUNTA(Besatzung!$B$11:$B$22),COUNTIF(J130:U130,"x")),1)+IF(COUNTIF(J130:U130,"x")=0,(Besatzung!$F$18="x"),(Q130="x")*(Besatzung!$F$18="x"))*IFERROR(H130,0)/IFERROR(IF(COUNTIF(J130:U130,"x")=0,SUMPRODUCT((Besatzung!$B$11:$B$22&lt;&gt;"")*(Besatzung!$F$11:$F$22="x")),SUMPRODUCT((J130:U130="x")*(Besatzung!$F$11:$F$22="x"))),1))))),0))))</f>
        <v/>
      </c>
      <c r="AD130" s="106">
        <f>IF(C130="Gutschrift","",IF(G130="","",IF(Besatzung!$B$19="","",IFERROR(IF(I130="Zeitanteilig",(Besatzung!$G$19*(G130-IFERROR(H130,0))+((Besatzung!$B$19&lt;&gt;"")*IF(B130="",1,(IF(Besatzung!$C$19="",Besatzung!$B$5,Besatzung!$C$19)&lt;=B130)*(IF(Besatzung!$D$19="",Besatzung!$B$6,Besatzung!$D$19)&gt;=B130)))*(Besatzung!$F$19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$19&lt;&gt;"")*IF(B130="",1,(IF(Besatzung!$C$19="",Besatzung!$B$5,Besatzung!$C$19)&lt;=B130)*(IF(Besatzung!$D$19="",Besatzung!$B$6,Besatzung!$D$19)&gt;=B130)))*((G130-IFERROR(H130,0))/IFERROR(SUMPRODUCT((Besatzung!$B$11:$B$22&lt;&gt;"")*(IF(Besatzung!$C$11:$C$22="",Besatzung!$B$5,Besatzung!$C$11:$C$22)&lt;=B130)*(IF(Besatzung!$D$11:$D$22="",Besatzung!$B$6,Besatzung!$D$11:$D$22)&gt;=B130)),1)+(Besatzung!$F$19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R130="x")*((G130-IFERROR(H130,0))/IFERROR(COUNTIF(J130:U130,"x"),1)+(Besatzung!$F$19="x")*IFERROR(H130,0)/IFERROR(SUMPRODUCT((J130:U130="x")*(Besatzung!$F$11:$F$22="x")),1))),(IF(COUNTIF(J130:U130,"x")=0,IF(Besatzung!$B$19&lt;&gt;"",1,0),(R130="x"))*(G130-IFERROR(H130,0))/IFERROR(IF(COUNTIF(J130:U130,"x")=0,COUNTA(Besatzung!$B$11:$B$22),COUNTIF(J130:U130,"x")),1)+IF(COUNTIF(J130:U130,"x")=0,(Besatzung!$F$19="x"),(R130="x")*(Besatzung!$F$19="x"))*IFERROR(H130,0)/IFERROR(IF(COUNTIF(J130:U130,"x")=0,SUMPRODUCT((Besatzung!$B$11:$B$22&lt;&gt;"")*(Besatzung!$F$11:$F$22="x")),SUMPRODUCT((J130:U130="x")*(Besatzung!$F$11:$F$22="x"))),1))))),0))))</f>
        <v/>
      </c>
      <c r="AE130" s="106">
        <f>IF(C130="Gutschrift","",IF(G130="","",IF(Besatzung!$B$20="","",IFERROR(IF(I130="Zeitanteilig",(Besatzung!$G$20*(G130-IFERROR(H130,0))+((Besatzung!$B$20&lt;&gt;"")*IF(B130="",1,(IF(Besatzung!$C$20="",Besatzung!$B$5,Besatzung!$C$20)&lt;=B130)*(IF(Besatzung!$D$20="",Besatzung!$B$6,Besatzung!$D$20)&gt;=B130)))*(Besatzung!$F$20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$20&lt;&gt;"")*IF(B130="",1,(IF(Besatzung!$C$20="",Besatzung!$B$5,Besatzung!$C$20)&lt;=B130)*(IF(Besatzung!$D$20="",Besatzung!$B$6,Besatzung!$D$20)&gt;=B130)))*((G130-IFERROR(H130,0))/IFERROR(SUMPRODUCT((Besatzung!$B$11:$B$22&lt;&gt;"")*(IF(Besatzung!$C$11:$C$22="",Besatzung!$B$5,Besatzung!$C$11:$C$22)&lt;=B130)*(IF(Besatzung!$D$11:$D$22="",Besatzung!$B$6,Besatzung!$D$11:$D$22)&gt;=B130)),1)+(Besatzung!$F$20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S130="x")*((G130-IFERROR(H130,0))/IFERROR(COUNTIF(J130:U130,"x"),1)+(Besatzung!$F$20="x")*IFERROR(H130,0)/IFERROR(SUMPRODUCT((J130:U130="x")*(Besatzung!$F$11:$F$22="x")),1))),(IF(COUNTIF(J130:U130,"x")=0,IF(Besatzung!$B$20&lt;&gt;"",1,0),(S130="x"))*(G130-IFERROR(H130,0))/IFERROR(IF(COUNTIF(J130:U130,"x")=0,COUNTA(Besatzung!$B$11:$B$22),COUNTIF(J130:U130,"x")),1)+IF(COUNTIF(J130:U130,"x")=0,(Besatzung!$F$20="x"),(S130="x")*(Besatzung!$F$20="x"))*IFERROR(H130,0)/IFERROR(IF(COUNTIF(J130:U130,"x")=0,SUMPRODUCT((Besatzung!$B$11:$B$22&lt;&gt;"")*(Besatzung!$F$11:$F$22="x")),SUMPRODUCT((J130:U130="x")*(Besatzung!$F$11:$F$22="x"))),1))))),0))))</f>
        <v/>
      </c>
      <c r="AF130" s="106">
        <f>IF(C130="Gutschrift","",IF(G130="","",IF(Besatzung!$B$21="","",IFERROR(IF(I130="Zeitanteilig",(Besatzung!$G$21*(G130-IFERROR(H130,0))+((Besatzung!$B$21&lt;&gt;"")*IF(B130="",1,(IF(Besatzung!$C$21="",Besatzung!$B$5,Besatzung!$C$21)&lt;=B130)*(IF(Besatzung!$D$21="",Besatzung!$B$6,Besatzung!$D$21)&gt;=B130)))*(Besatzung!$F$21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$21&lt;&gt;"")*IF(B130="",1,(IF(Besatzung!$C$21="",Besatzung!$B$5,Besatzung!$C$21)&lt;=B130)*(IF(Besatzung!$D$21="",Besatzung!$B$6,Besatzung!$D$21)&gt;=B130)))*((G130-IFERROR(H130,0))/IFERROR(SUMPRODUCT((Besatzung!$B$11:$B$22&lt;&gt;"")*(IF(Besatzung!$C$11:$C$22="",Besatzung!$B$5,Besatzung!$C$11:$C$22)&lt;=B130)*(IF(Besatzung!$D$11:$D$22="",Besatzung!$B$6,Besatzung!$D$11:$D$22)&gt;=B130)),1)+(Besatzung!$F$21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T130="x")*((G130-IFERROR(H130,0))/IFERROR(COUNTIF(J130:U130,"x"),1)+(Besatzung!$F$21="x")*IFERROR(H130,0)/IFERROR(SUMPRODUCT((J130:U130="x")*(Besatzung!$F$11:$F$22="x")),1))),(IF(COUNTIF(J130:U130,"x")=0,IF(Besatzung!$B$21&lt;&gt;"",1,0),(T130="x"))*(G130-IFERROR(H130,0))/IFERROR(IF(COUNTIF(J130:U130,"x")=0,COUNTA(Besatzung!$B$11:$B$22),COUNTIF(J130:U130,"x")),1)+IF(COUNTIF(J130:U130,"x")=0,(Besatzung!$F$21="x"),(T130="x")*(Besatzung!$F$21="x"))*IFERROR(H130,0)/IFERROR(IF(COUNTIF(J130:U130,"x")=0,SUMPRODUCT((Besatzung!$B$11:$B$22&lt;&gt;"")*(Besatzung!$F$11:$F$22="x")),SUMPRODUCT((J130:U130="x")*(Besatzung!$F$11:$F$22="x"))),1))))),0))))</f>
        <v/>
      </c>
      <c r="AG130" s="106">
        <f>IF(C130="Gutschrift","",IF(G130="","",IF(Besatzung!$B$22="","",IFERROR(IF(I130="Zeitanteilig",(Besatzung!$G$22*(G130-IFERROR(H130,0))+((Besatzung!$B$22&lt;&gt;"")*IF(B130="",1,(IF(Besatzung!$C$22="",Besatzung!$B$5,Besatzung!$C$22)&lt;=B130)*(IF(Besatzung!$D$22="",Besatzung!$B$6,Besatzung!$D$22)&gt;=B130)))*(Besatzung!$F$22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$22&lt;&gt;"")*IF(B130="",1,(IF(Besatzung!$C$22="",Besatzung!$B$5,Besatzung!$C$22)&lt;=B130)*(IF(Besatzung!$D$22="",Besatzung!$B$6,Besatzung!$D$22)&gt;=B130)))*((G130-IFERROR(H130,0))/IFERROR(SUMPRODUCT((Besatzung!$B$11:$B$22&lt;&gt;"")*(IF(Besatzung!$C$11:$C$22="",Besatzung!$B$5,Besatzung!$C$11:$C$22)&lt;=B130)*(IF(Besatzung!$D$11:$D$22="",Besatzung!$B$6,Besatzung!$D$11:$D$22)&gt;=B130)),1)+(Besatzung!$F$22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U130="x")*((G130-IFERROR(H130,0))/IFERROR(COUNTIF(J130:U130,"x"),1)+(Besatzung!$F$22="x")*IFERROR(H130,0)/IFERROR(SUMPRODUCT((J130:U130="x")*(Besatzung!$F$11:$F$22="x")),1))),(IF(COUNTIF(J130:U130,"x")=0,IF(Besatzung!$B$22&lt;&gt;"",1,0),(U130="x"))*(G130-IFERROR(H130,0))/IFERROR(IF(COUNTIF(J130:U130,"x")=0,COUNTA(Besatzung!$B$11:$B$22),COUNTIF(J130:U130,"x")),1)+IF(COUNTIF(J130:U130,"x")=0,(Besatzung!$F$22="x"),(U130="x")*(Besatzung!$F$22="x"))*IFERROR(H130,0)/IFERROR(IF(COUNTIF(J130:U130,"x")=0,SUMPRODUCT((Besatzung!$B$11:$B$22&lt;&gt;"")*(Besatzung!$F$11:$F$22="x")),SUMPRODUCT((J130:U130="x")*(Besatzung!$F$11:$F$22="x"))),1))))),0))))</f>
        <v/>
      </c>
      <c r="AH130" s="107" t="n"/>
      <c r="AI130" s="107" t="n"/>
    </row>
    <row r="131" ht="21.75" customHeight="1" s="182">
      <c r="A131" s="97">
        <f>IF(AND(D131="",C131=""),"",128)</f>
        <v/>
      </c>
      <c r="B131" s="63" t="n"/>
      <c r="C131" s="108" t="n"/>
      <c r="D131" s="109" t="n"/>
      <c r="E131" s="110" t="n"/>
      <c r="F131" s="111" t="n"/>
      <c r="G131" s="112" t="n"/>
      <c r="H131" s="113" t="n"/>
      <c r="I131" s="114" t="n"/>
      <c r="J131" s="115" t="n"/>
      <c r="K131" s="115" t="n"/>
      <c r="L131" s="115" t="n"/>
      <c r="M131" s="115" t="n"/>
      <c r="N131" s="115" t="n"/>
      <c r="O131" s="115" t="n"/>
      <c r="P131" s="115" t="n"/>
      <c r="Q131" s="115" t="n"/>
      <c r="R131" s="115" t="n"/>
      <c r="S131" s="115" t="n"/>
      <c r="T131" s="115" t="n"/>
      <c r="U131" s="115" t="n"/>
      <c r="V131" s="106">
        <f>IF(C131="Gutschrift","",IF(G131="","",IF(Besatzung!$B$11="","",IFERROR(IF(I131="Zeitanteilig",(Besatzung!$G$11*(G131-IFERROR(H131,0))+((Besatzung!$B$11&lt;&gt;"")*IF(B131="",1,(IF(Besatzung!$C$11="",Besatzung!$B$5,Besatzung!$C$11)&lt;=B131)*(IF(Besatzung!$D$11="",Besatzung!$B$6,Besatzung!$D$11)&gt;=B131)))*(Besatzung!$F$11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$11&lt;&gt;"")*IF(B131="",1,(IF(Besatzung!$C$11="",Besatzung!$B$5,Besatzung!$C$11)&lt;=B131)*(IF(Besatzung!$D$11="",Besatzung!$B$6,Besatzung!$D$11)&gt;=B131)))*((G131-IFERROR(H131,0))/IFERROR(SUMPRODUCT((Besatzung!$B$11:$B$22&lt;&gt;"")*(IF(Besatzung!$C$11:$C$22="",Besatzung!$B$5,Besatzung!$C$11:$C$22)&lt;=B131)*(IF(Besatzung!$D$11:$D$22="",Besatzung!$B$6,Besatzung!$D$11:$D$22)&gt;=B131)),1)+(Besatzung!$F$11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J131="x")*((G131-IFERROR(H131,0))/IFERROR(COUNTIF(J131:U131,"x"),1)+(Besatzung!$F$11="x")*IFERROR(H131,0)/IFERROR(SUMPRODUCT((J131:U131="x")*(Besatzung!$F$11:$F$22="x")),1))),(IF(COUNTIF(J131:U131,"x")=0,IF(Besatzung!$B$11&lt;&gt;"",1,0),(J131="x"))*(G131-IFERROR(H131,0))/IFERROR(IF(COUNTIF(J131:U131,"x")=0,COUNTA(Besatzung!$B$11:$B$22),COUNTIF(J131:U131,"x")),1)+IF(COUNTIF(J131:U131,"x")=0,(Besatzung!$F$11="x"),(J131="x")*(Besatzung!$F$11="x"))*IFERROR(H131,0)/IFERROR(IF(COUNTIF(J131:U131,"x")=0,SUMPRODUCT((Besatzung!$B$11:$B$22&lt;&gt;"")*(Besatzung!$F$11:$F$22="x")),SUMPRODUCT((J131:U131="x")*(Besatzung!$F$11:$F$22="x"))),1))))),0))))</f>
        <v/>
      </c>
      <c r="W131" s="106">
        <f>IF(C131="Gutschrift","",IF(G131="","",IF(Besatzung!$B$12="","",IFERROR(IF(I131="Zeitanteilig",(Besatzung!$G$12*(G131-IFERROR(H131,0))+((Besatzung!$B$12&lt;&gt;"")*IF(B131="",1,(IF(Besatzung!$C$12="",Besatzung!$B$5,Besatzung!$C$12)&lt;=B131)*(IF(Besatzung!$D$12="",Besatzung!$B$6,Besatzung!$D$12)&gt;=B131)))*(Besatzung!$F$12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$12&lt;&gt;"")*IF(B131="",1,(IF(Besatzung!$C$12="",Besatzung!$B$5,Besatzung!$C$12)&lt;=B131)*(IF(Besatzung!$D$12="",Besatzung!$B$6,Besatzung!$D$12)&gt;=B131)))*((G131-IFERROR(H131,0))/IFERROR(SUMPRODUCT((Besatzung!$B$11:$B$22&lt;&gt;"")*(IF(Besatzung!$C$11:$C$22="",Besatzung!$B$5,Besatzung!$C$11:$C$22)&lt;=B131)*(IF(Besatzung!$D$11:$D$22="",Besatzung!$B$6,Besatzung!$D$11:$D$22)&gt;=B131)),1)+(Besatzung!$F$12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K131="x")*((G131-IFERROR(H131,0))/IFERROR(COUNTIF(J131:U131,"x"),1)+(Besatzung!$F$12="x")*IFERROR(H131,0)/IFERROR(SUMPRODUCT((J131:U131="x")*(Besatzung!$F$11:$F$22="x")),1))),(IF(COUNTIF(J131:U131,"x")=0,IF(Besatzung!$B$12&lt;&gt;"",1,0),(K131="x"))*(G131-IFERROR(H131,0))/IFERROR(IF(COUNTIF(J131:U131,"x")=0,COUNTA(Besatzung!$B$11:$B$22),COUNTIF(J131:U131,"x")),1)+IF(COUNTIF(J131:U131,"x")=0,(Besatzung!$F$12="x"),(K131="x")*(Besatzung!$F$12="x"))*IFERROR(H131,0)/IFERROR(IF(COUNTIF(J131:U131,"x")=0,SUMPRODUCT((Besatzung!$B$11:$B$22&lt;&gt;"")*(Besatzung!$F$11:$F$22="x")),SUMPRODUCT((J131:U131="x")*(Besatzung!$F$11:$F$22="x"))),1))))),0))))</f>
        <v/>
      </c>
      <c r="X131" s="106">
        <f>IF(C131="Gutschrift","",IF(G131="","",IF(Besatzung!$B$13="","",IFERROR(IF(I131="Zeitanteilig",(Besatzung!$G$13*(G131-IFERROR(H131,0))+((Besatzung!$B$13&lt;&gt;"")*IF(B131="",1,(IF(Besatzung!$C$13="",Besatzung!$B$5,Besatzung!$C$13)&lt;=B131)*(IF(Besatzung!$D$13="",Besatzung!$B$6,Besatzung!$D$13)&gt;=B131)))*(Besatzung!$F$13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$13&lt;&gt;"")*IF(B131="",1,(IF(Besatzung!$C$13="",Besatzung!$B$5,Besatzung!$C$13)&lt;=B131)*(IF(Besatzung!$D$13="",Besatzung!$B$6,Besatzung!$D$13)&gt;=B131)))*((G131-IFERROR(H131,0))/IFERROR(SUMPRODUCT((Besatzung!$B$11:$B$22&lt;&gt;"")*(IF(Besatzung!$C$11:$C$22="",Besatzung!$B$5,Besatzung!$C$11:$C$22)&lt;=B131)*(IF(Besatzung!$D$11:$D$22="",Besatzung!$B$6,Besatzung!$D$11:$D$22)&gt;=B131)),1)+(Besatzung!$F$13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K131="x")*((G131-IFERROR(H131,0))/IFERROR(COUNTIF(J131:U131,"x"),1)+(Besatzung!$F$13="x")*IFERROR(H131,0)/IFERROR(SUMPRODUCT((J131:U131="x")*(Besatzung!$F$11:$F$22="x")),1))),(IF(COUNTIF(J131:U131,"x")=0,IF(Besatzung!$B$13&lt;&gt;"",1,0),(K131="x"))*(G131-IFERROR(H131,0))/IFERROR(IF(COUNTIF(J131:U131,"x")=0,COUNTA(Besatzung!$B$11:$B$22),COUNTIF(J131:U131,"x")),1)+IF(COUNTIF(J131:U131,"x")=0,(Besatzung!$F$13="x"),(K131="x")*(Besatzung!$F$13="x"))*IFERROR(H131,0)/IFERROR(IF(COUNTIF(J131:U131,"x")=0,SUMPRODUCT((Besatzung!$B$11:$B$22&lt;&gt;"")*(Besatzung!$F$11:$F$22="x")),SUMPRODUCT((J131:U131="x")*(Besatzung!$F$11:$F$22="x"))),1))))),0))))</f>
        <v/>
      </c>
      <c r="Y131" s="106">
        <f>IF(C131="Gutschrift","",IF(G131="","",IF(Besatzung!$B$14="","",IFERROR(IF(I131="Zeitanteilig",(Besatzung!$G$14*(G131-IFERROR(H131,0))+((Besatzung!$B$14&lt;&gt;"")*IF(B131="",1,(IF(Besatzung!$C$14="",Besatzung!$B$5,Besatzung!$C$14)&lt;=B131)*(IF(Besatzung!$D$14="",Besatzung!$B$6,Besatzung!$D$14)&gt;=B131)))*(Besatzung!$F$14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$14&lt;&gt;"")*IF(B131="",1,(IF(Besatzung!$C$14="",Besatzung!$B$5,Besatzung!$C$14)&lt;=B131)*(IF(Besatzung!$D$14="",Besatzung!$B$6,Besatzung!$D$14)&gt;=B131)))*((G131-IFERROR(H131,0))/IFERROR(SUMPRODUCT((Besatzung!$B$11:$B$22&lt;&gt;"")*(IF(Besatzung!$C$11:$C$22="",Besatzung!$B$5,Besatzung!$C$11:$C$22)&lt;=B131)*(IF(Besatzung!$D$11:$D$22="",Besatzung!$B$6,Besatzung!$D$11:$D$22)&gt;=B131)),1)+(Besatzung!$F$14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M131="x")*((G131-IFERROR(H131,0))/IFERROR(COUNTIF(J131:U131,"x"),1)+(Besatzung!$F$14="x")*IFERROR(H131,0)/IFERROR(SUMPRODUCT((J131:U131="x")*(Besatzung!$F$11:$F$22="x")),1))),(IF(COUNTIF(J131:U131,"x")=0,IF(Besatzung!$B$14&lt;&gt;"",1,0),(M131="x"))*(G131-IFERROR(H131,0))/IFERROR(IF(COUNTIF(J131:U131,"x")=0,COUNTA(Besatzung!$B$11:$B$22),COUNTIF(J131:U131,"x")),1)+IF(COUNTIF(J131:U131,"x")=0,(Besatzung!$F$14="x"),(M131="x")*(Besatzung!$F$14="x"))*IFERROR(H131,0)/IFERROR(IF(COUNTIF(J131:U131,"x")=0,SUMPRODUCT((Besatzung!$B$11:$B$22&lt;&gt;"")*(Besatzung!$F$11:$F$22="x")),SUMPRODUCT((J131:U131="x")*(Besatzung!$F$11:$F$22="x"))),1))))),0))))</f>
        <v/>
      </c>
      <c r="Z131" s="106">
        <f>IF(C131="Gutschrift","",IF(G131="","",IF(Besatzung!$B$13="","",IFERROR(IF(I131="Zeitanteilig",(Besatzung!$G$15*(G131-IFERROR(H131,0))+((Besatzung!$B$13&lt;&gt;"")*IF(B131="",1,(IF(Besatzung!$C$15="",Besatzung!$B$5,Besatzung!$C$15)&lt;=B131)*(IF(Besatzung!$D$15="",Besatzung!$B$6,Besatzung!$D$15)&gt;=B131)))*(Besatzung!$F$15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$13&lt;&gt;"")*IF(B131="",1,(IF(Besatzung!$C$15="",Besatzung!$B$5,Besatzung!$C$15)&lt;=B131)*(IF(Besatzung!$D$15="",Besatzung!$B$6,Besatzung!$D$15)&gt;=B131)))*((G131-IFERROR(H131,0))/IFERROR(SUMPRODUCT((Besatzung!$B$11:$B$22&lt;&gt;"")*(IF(Besatzung!$C$11:$C$22="",Besatzung!$B$5,Besatzung!$C$11:$C$22)&lt;=B131)*(IF(Besatzung!$D$11:$D$22="",Besatzung!$B$6,Besatzung!$D$11:$D$22)&gt;=B131)),1)+(Besatzung!$F$15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N131="x")*((G131-IFERROR(H131,0))/IFERROR(COUNTIF(J131:U131,"x"),1)+(Besatzung!$F$15="x")*IFERROR(H131,0)/IFERROR(SUMPRODUCT((J131:U131="x")*(Besatzung!$F$11:$F$22="x")),1))),(IF(COUNTIF(J131:U131,"x")=0,IF(Besatzung!$B$13&lt;&gt;"",1,0),(N131="x"))*(G131-IFERROR(H131,0))/IFERROR(IF(COUNTIF(J131:U131,"x")=0,COUNTA(Besatzung!$B$11:$B$22),COUNTIF(J131:U131,"x")),1)+IF(COUNTIF(J131:U131,"x")=0,(Besatzung!$F$15="x"),(N131="x")*(Besatzung!$F$15="x"))*IFERROR(H131,0)/IFERROR(IF(COUNTIF(J131:U131,"x")=0,SUMPRODUCT((Besatzung!$B$11:$B$22&lt;&gt;"")*(Besatzung!$F$11:$F$22="x")),SUMPRODUCT((J131:U131="x")*(Besatzung!$F$11:$F$22="x"))),1))))),0))))</f>
        <v/>
      </c>
      <c r="AA131" s="106">
        <f>IF(C131="Gutschrift","",IF(G131="","",IF(Besatzung!$B$15="","",IFERROR(IF(I131="Zeitanteilig",(Besatzung!$G$16*(G131-IFERROR(H131,0))+((Besatzung!$B$15&lt;&gt;"")*IF(B131="",1,(IF(Besatzung!$C$16="",Besatzung!$B$5,Besatzung!$C$16)&lt;=B131)*(IF(Besatzung!$D$16="",Besatzung!$B$6,Besatzung!$D$16)&gt;=B131)))*(Besatzung!$F$16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$15&lt;&gt;"")*IF(B131="",1,(IF(Besatzung!$C$16="",Besatzung!$B$5,Besatzung!$C$16)&lt;=B131)*(IF(Besatzung!$D$16="",Besatzung!$B$6,Besatzung!$D$16)&gt;=B131)))*((G131-IFERROR(H131,0))/IFERROR(SUMPRODUCT((Besatzung!$B$11:$B$22&lt;&gt;"")*(IF(Besatzung!$C$11:$C$22="",Besatzung!$B$5,Besatzung!$C$11:$C$22)&lt;=B131)*(IF(Besatzung!$D$11:$D$22="",Besatzung!$B$6,Besatzung!$D$11:$D$22)&gt;=B131)),1)+(Besatzung!$F$16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O131="x")*((G131-IFERROR(H131,0))/IFERROR(COUNTIF(J131:U131,"x"),1)+(Besatzung!$F$16="x")*IFERROR(H131,0)/IFERROR(SUMPRODUCT((J131:U131="x")*(Besatzung!$F$11:$F$22="x")),1))),(IF(COUNTIF(J131:U131,"x")=0,IF(Besatzung!$B$15&lt;&gt;"",1,0),(O131="x"))*(G131-IFERROR(H131,0))/IFERROR(IF(COUNTIF(J131:U131,"x")=0,COUNTA(Besatzung!$B$11:$B$22),COUNTIF(J131:U131,"x")),1)+IF(COUNTIF(J131:U131,"x")=0,(Besatzung!$F$16="x"),(O131="x")*(Besatzung!$F$16="x"))*IFERROR(H131,0)/IFERROR(IF(COUNTIF(J131:U131,"x")=0,SUMPRODUCT((Besatzung!$B$11:$B$22&lt;&gt;"")*(Besatzung!$F$11:$F$22="x")),SUMPRODUCT((J131:U131="x")*(Besatzung!$F$11:$F$22="x"))),1))))),0))))</f>
        <v/>
      </c>
      <c r="AB131" s="106">
        <f>IF(C131="Gutschrift","",IF(G131="","",IF(Besatzung!$B$17="","",IFERROR(IF(I131="Zeitanteilig",(Besatzung!$G$17*(G131-IFERROR(H131,0))+((Besatzung!$B$17&lt;&gt;"")*IF(B131="",1,(IF(Besatzung!$C$17="",Besatzung!$B$5,Besatzung!$C$17)&lt;=B131)*(IF(Besatzung!$D$17="",Besatzung!$B$6,Besatzung!$D$17)&gt;=B131)))*(Besatzung!$F$17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$17&lt;&gt;"")*IF(B131="",1,(IF(Besatzung!$C$17="",Besatzung!$B$5,Besatzung!$C$17)&lt;=B131)*(IF(Besatzung!$D$17="",Besatzung!$B$6,Besatzung!$D$17)&gt;=B131)))*((G131-IFERROR(H131,0))/IFERROR(SUMPRODUCT((Besatzung!$B$11:$B$22&lt;&gt;"")*(IF(Besatzung!$C$11:$C$22="",Besatzung!$B$5,Besatzung!$C$11:$C$22)&lt;=B131)*(IF(Besatzung!$D$11:$D$22="",Besatzung!$B$6,Besatzung!$D$11:$D$22)&gt;=B131)),1)+(Besatzung!$F$17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P131="x")*((G131-IFERROR(H131,0))/IFERROR(COUNTIF(J131:U131,"x"),1)+(Besatzung!$F$17="x")*IFERROR(H131,0)/IFERROR(SUMPRODUCT((J131:U131="x")*(Besatzung!$F$11:$F$22="x")),1))),(IF(COUNTIF(J131:U131,"x")=0,IF(Besatzung!$B$17&lt;&gt;"",1,0),(P131="x"))*(G131-IFERROR(H131,0))/IFERROR(IF(COUNTIF(J131:U131,"x")=0,COUNTA(Besatzung!$B$11:$B$22),COUNTIF(J131:U131,"x")),1)+IF(COUNTIF(J131:U131,"x")=0,(Besatzung!$F$17="x"),(P131="x")*(Besatzung!$F$17="x"))*IFERROR(H131,0)/IFERROR(IF(COUNTIF(J131:U131,"x")=0,SUMPRODUCT((Besatzung!$B$11:$B$22&lt;&gt;"")*(Besatzung!$F$11:$F$22="x")),SUMPRODUCT((J131:U131="x")*(Besatzung!$F$11:$F$22="x"))),1))))),0))))</f>
        <v/>
      </c>
      <c r="AC131" s="106">
        <f>IF(C131="Gutschrift","",IF(G131="","",IF(Besatzung!$B$18="","",IFERROR(IF(I131="Zeitanteilig",(Besatzung!$G$18*(G131-IFERROR(H131,0))+((Besatzung!$B$18&lt;&gt;"")*IF(B131="",1,(IF(Besatzung!$C$18="",Besatzung!$B$5,Besatzung!$C$18)&lt;=B131)*(IF(Besatzung!$D$18="",Besatzung!$B$6,Besatzung!$D$18)&gt;=B131)))*(Besatzung!$F$18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$18&lt;&gt;"")*IF(B131="",1,(IF(Besatzung!$C$18="",Besatzung!$B$5,Besatzung!$C$18)&lt;=B131)*(IF(Besatzung!$D$18="",Besatzung!$B$6,Besatzung!$D$18)&gt;=B131)))*((G131-IFERROR(H131,0))/IFERROR(SUMPRODUCT((Besatzung!$B$11:$B$22&lt;&gt;"")*(IF(Besatzung!$C$11:$C$22="",Besatzung!$B$5,Besatzung!$C$11:$C$22)&lt;=B131)*(IF(Besatzung!$D$11:$D$22="",Besatzung!$B$6,Besatzung!$D$11:$D$22)&gt;=B131)),1)+(Besatzung!$F$18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Q131="x")*((G131-IFERROR(H131,0))/IFERROR(COUNTIF(J131:U131,"x"),1)+(Besatzung!$F$18="x")*IFERROR(H131,0)/IFERROR(SUMPRODUCT((J131:U131="x")*(Besatzung!$F$11:$F$22="x")),1))),(IF(COUNTIF(J131:U131,"x")=0,IF(Besatzung!$B$18&lt;&gt;"",1,0),(Q131="x"))*(G131-IFERROR(H131,0))/IFERROR(IF(COUNTIF(J131:U131,"x")=0,COUNTA(Besatzung!$B$11:$B$22),COUNTIF(J131:U131,"x")),1)+IF(COUNTIF(J131:U131,"x")=0,(Besatzung!$F$18="x"),(Q131="x")*(Besatzung!$F$18="x"))*IFERROR(H131,0)/IFERROR(IF(COUNTIF(J131:U131,"x")=0,SUMPRODUCT((Besatzung!$B$11:$B$22&lt;&gt;"")*(Besatzung!$F$11:$F$22="x")),SUMPRODUCT((J131:U131="x")*(Besatzung!$F$11:$F$22="x"))),1))))),0))))</f>
        <v/>
      </c>
      <c r="AD131" s="106">
        <f>IF(C131="Gutschrift","",IF(G131="","",IF(Besatzung!$B$19="","",IFERROR(IF(I131="Zeitanteilig",(Besatzung!$G$19*(G131-IFERROR(H131,0))+((Besatzung!$B$19&lt;&gt;"")*IF(B131="",1,(IF(Besatzung!$C$19="",Besatzung!$B$5,Besatzung!$C$19)&lt;=B131)*(IF(Besatzung!$D$19="",Besatzung!$B$6,Besatzung!$D$19)&gt;=B131)))*(Besatzung!$F$19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$19&lt;&gt;"")*IF(B131="",1,(IF(Besatzung!$C$19="",Besatzung!$B$5,Besatzung!$C$19)&lt;=B131)*(IF(Besatzung!$D$19="",Besatzung!$B$6,Besatzung!$D$19)&gt;=B131)))*((G131-IFERROR(H131,0))/IFERROR(SUMPRODUCT((Besatzung!$B$11:$B$22&lt;&gt;"")*(IF(Besatzung!$C$11:$C$22="",Besatzung!$B$5,Besatzung!$C$11:$C$22)&lt;=B131)*(IF(Besatzung!$D$11:$D$22="",Besatzung!$B$6,Besatzung!$D$11:$D$22)&gt;=B131)),1)+(Besatzung!$F$19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R131="x")*((G131-IFERROR(H131,0))/IFERROR(COUNTIF(J131:U131,"x"),1)+(Besatzung!$F$19="x")*IFERROR(H131,0)/IFERROR(SUMPRODUCT((J131:U131="x")*(Besatzung!$F$11:$F$22="x")),1))),(IF(COUNTIF(J131:U131,"x")=0,IF(Besatzung!$B$19&lt;&gt;"",1,0),(R131="x"))*(G131-IFERROR(H131,0))/IFERROR(IF(COUNTIF(J131:U131,"x")=0,COUNTA(Besatzung!$B$11:$B$22),COUNTIF(J131:U131,"x")),1)+IF(COUNTIF(J131:U131,"x")=0,(Besatzung!$F$19="x"),(R131="x")*(Besatzung!$F$19="x"))*IFERROR(H131,0)/IFERROR(IF(COUNTIF(J131:U131,"x")=0,SUMPRODUCT((Besatzung!$B$11:$B$22&lt;&gt;"")*(Besatzung!$F$11:$F$22="x")),SUMPRODUCT((J131:U131="x")*(Besatzung!$F$11:$F$22="x"))),1))))),0))))</f>
        <v/>
      </c>
      <c r="AE131" s="106">
        <f>IF(C131="Gutschrift","",IF(G131="","",IF(Besatzung!$B$20="","",IFERROR(IF(I131="Zeitanteilig",(Besatzung!$G$20*(G131-IFERROR(H131,0))+((Besatzung!$B$20&lt;&gt;"")*IF(B131="",1,(IF(Besatzung!$C$20="",Besatzung!$B$5,Besatzung!$C$20)&lt;=B131)*(IF(Besatzung!$D$20="",Besatzung!$B$6,Besatzung!$D$20)&gt;=B131)))*(Besatzung!$F$20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$20&lt;&gt;"")*IF(B131="",1,(IF(Besatzung!$C$20="",Besatzung!$B$5,Besatzung!$C$20)&lt;=B131)*(IF(Besatzung!$D$20="",Besatzung!$B$6,Besatzung!$D$20)&gt;=B131)))*((G131-IFERROR(H131,0))/IFERROR(SUMPRODUCT((Besatzung!$B$11:$B$22&lt;&gt;"")*(IF(Besatzung!$C$11:$C$22="",Besatzung!$B$5,Besatzung!$C$11:$C$22)&lt;=B131)*(IF(Besatzung!$D$11:$D$22="",Besatzung!$B$6,Besatzung!$D$11:$D$22)&gt;=B131)),1)+(Besatzung!$F$20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S131="x")*((G131-IFERROR(H131,0))/IFERROR(COUNTIF(J131:U131,"x"),1)+(Besatzung!$F$20="x")*IFERROR(H131,0)/IFERROR(SUMPRODUCT((J131:U131="x")*(Besatzung!$F$11:$F$22="x")),1))),(IF(COUNTIF(J131:U131,"x")=0,IF(Besatzung!$B$20&lt;&gt;"",1,0),(S131="x"))*(G131-IFERROR(H131,0))/IFERROR(IF(COUNTIF(J131:U131,"x")=0,COUNTA(Besatzung!$B$11:$B$22),COUNTIF(J131:U131,"x")),1)+IF(COUNTIF(J131:U131,"x")=0,(Besatzung!$F$20="x"),(S131="x")*(Besatzung!$F$20="x"))*IFERROR(H131,0)/IFERROR(IF(COUNTIF(J131:U131,"x")=0,SUMPRODUCT((Besatzung!$B$11:$B$22&lt;&gt;"")*(Besatzung!$F$11:$F$22="x")),SUMPRODUCT((J131:U131="x")*(Besatzung!$F$11:$F$22="x"))),1))))),0))))</f>
        <v/>
      </c>
      <c r="AF131" s="106">
        <f>IF(C131="Gutschrift","",IF(G131="","",IF(Besatzung!$B$21="","",IFERROR(IF(I131="Zeitanteilig",(Besatzung!$G$21*(G131-IFERROR(H131,0))+((Besatzung!$B$21&lt;&gt;"")*IF(B131="",1,(IF(Besatzung!$C$21="",Besatzung!$B$5,Besatzung!$C$21)&lt;=B131)*(IF(Besatzung!$D$21="",Besatzung!$B$6,Besatzung!$D$21)&gt;=B131)))*(Besatzung!$F$21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$21&lt;&gt;"")*IF(B131="",1,(IF(Besatzung!$C$21="",Besatzung!$B$5,Besatzung!$C$21)&lt;=B131)*(IF(Besatzung!$D$21="",Besatzung!$B$6,Besatzung!$D$21)&gt;=B131)))*((G131-IFERROR(H131,0))/IFERROR(SUMPRODUCT((Besatzung!$B$11:$B$22&lt;&gt;"")*(IF(Besatzung!$C$11:$C$22="",Besatzung!$B$5,Besatzung!$C$11:$C$22)&lt;=B131)*(IF(Besatzung!$D$11:$D$22="",Besatzung!$B$6,Besatzung!$D$11:$D$22)&gt;=B131)),1)+(Besatzung!$F$21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T131="x")*((G131-IFERROR(H131,0))/IFERROR(COUNTIF(J131:U131,"x"),1)+(Besatzung!$F$21="x")*IFERROR(H131,0)/IFERROR(SUMPRODUCT((J131:U131="x")*(Besatzung!$F$11:$F$22="x")),1))),(IF(COUNTIF(J131:U131,"x")=0,IF(Besatzung!$B$21&lt;&gt;"",1,0),(T131="x"))*(G131-IFERROR(H131,0))/IFERROR(IF(COUNTIF(J131:U131,"x")=0,COUNTA(Besatzung!$B$11:$B$22),COUNTIF(J131:U131,"x")),1)+IF(COUNTIF(J131:U131,"x")=0,(Besatzung!$F$21="x"),(T131="x")*(Besatzung!$F$21="x"))*IFERROR(H131,0)/IFERROR(IF(COUNTIF(J131:U131,"x")=0,SUMPRODUCT((Besatzung!$B$11:$B$22&lt;&gt;"")*(Besatzung!$F$11:$F$22="x")),SUMPRODUCT((J131:U131="x")*(Besatzung!$F$11:$F$22="x"))),1))))),0))))</f>
        <v/>
      </c>
      <c r="AG131" s="106">
        <f>IF(C131="Gutschrift","",IF(G131="","",IF(Besatzung!$B$22="","",IFERROR(IF(I131="Zeitanteilig",(Besatzung!$G$22*(G131-IFERROR(H131,0))+((Besatzung!$B$22&lt;&gt;"")*IF(B131="",1,(IF(Besatzung!$C$22="",Besatzung!$B$5,Besatzung!$C$22)&lt;=B131)*(IF(Besatzung!$D$22="",Besatzung!$B$6,Besatzung!$D$22)&gt;=B131)))*(Besatzung!$F$22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$22&lt;&gt;"")*IF(B131="",1,(IF(Besatzung!$C$22="",Besatzung!$B$5,Besatzung!$C$22)&lt;=B131)*(IF(Besatzung!$D$22="",Besatzung!$B$6,Besatzung!$D$22)&gt;=B131)))*((G131-IFERROR(H131,0))/IFERROR(SUMPRODUCT((Besatzung!$B$11:$B$22&lt;&gt;"")*(IF(Besatzung!$C$11:$C$22="",Besatzung!$B$5,Besatzung!$C$11:$C$22)&lt;=B131)*(IF(Besatzung!$D$11:$D$22="",Besatzung!$B$6,Besatzung!$D$11:$D$22)&gt;=B131)),1)+(Besatzung!$F$22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U131="x")*((G131-IFERROR(H131,0))/IFERROR(COUNTIF(J131:U131,"x"),1)+(Besatzung!$F$22="x")*IFERROR(H131,0)/IFERROR(SUMPRODUCT((J131:U131="x")*(Besatzung!$F$11:$F$22="x")),1))),(IF(COUNTIF(J131:U131,"x")=0,IF(Besatzung!$B$22&lt;&gt;"",1,0),(U131="x"))*(G131-IFERROR(H131,0))/IFERROR(IF(COUNTIF(J131:U131,"x")=0,COUNTA(Besatzung!$B$11:$B$22),COUNTIF(J131:U131,"x")),1)+IF(COUNTIF(J131:U131,"x")=0,(Besatzung!$F$22="x"),(U131="x")*(Besatzung!$F$22="x"))*IFERROR(H131,0)/IFERROR(IF(COUNTIF(J131:U131,"x")=0,SUMPRODUCT((Besatzung!$B$11:$B$22&lt;&gt;"")*(Besatzung!$F$11:$F$22="x")),SUMPRODUCT((J131:U131="x")*(Besatzung!$F$11:$F$22="x"))),1))))),0))))</f>
        <v/>
      </c>
      <c r="AH131" s="107" t="n"/>
      <c r="AI131" s="107" t="n"/>
    </row>
    <row r="132" ht="21.75" customHeight="1" s="182">
      <c r="A132" s="97">
        <f>IF(AND(D132="",C132=""),"",129)</f>
        <v/>
      </c>
      <c r="B132" s="56" t="n"/>
      <c r="C132" s="98" t="n"/>
      <c r="D132" s="99" t="n"/>
      <c r="E132" s="100" t="n"/>
      <c r="F132" s="101" t="n"/>
      <c r="G132" s="102" t="n"/>
      <c r="H132" s="103" t="n"/>
      <c r="I132" s="104" t="n"/>
      <c r="J132" s="105" t="n"/>
      <c r="K132" s="105" t="n"/>
      <c r="L132" s="105" t="n"/>
      <c r="M132" s="105" t="n"/>
      <c r="N132" s="105" t="n"/>
      <c r="O132" s="105" t="n"/>
      <c r="P132" s="105" t="n"/>
      <c r="Q132" s="105" t="n"/>
      <c r="R132" s="105" t="n"/>
      <c r="S132" s="105" t="n"/>
      <c r="T132" s="105" t="n"/>
      <c r="U132" s="105" t="n"/>
      <c r="V132" s="106">
        <f>IF(C132="Gutschrift","",IF(G132="","",IF(Besatzung!$B$11="","",IFERROR(IF(I132="Zeitanteilig",(Besatzung!$G$11*(G132-IFERROR(H132,0))+((Besatzung!$B$11&lt;&gt;"")*IF(B132="",1,(IF(Besatzung!$C$11="",Besatzung!$B$5,Besatzung!$C$11)&lt;=B132)*(IF(Besatzung!$D$11="",Besatzung!$B$6,Besatzung!$D$11)&gt;=B132)))*(Besatzung!$F$11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$11&lt;&gt;"")*IF(B132="",1,(IF(Besatzung!$C$11="",Besatzung!$B$5,Besatzung!$C$11)&lt;=B132)*(IF(Besatzung!$D$11="",Besatzung!$B$6,Besatzung!$D$11)&gt;=B132)))*((G132-IFERROR(H132,0))/IFERROR(SUMPRODUCT((Besatzung!$B$11:$B$22&lt;&gt;"")*(IF(Besatzung!$C$11:$C$22="",Besatzung!$B$5,Besatzung!$C$11:$C$22)&lt;=B132)*(IF(Besatzung!$D$11:$D$22="",Besatzung!$B$6,Besatzung!$D$11:$D$22)&gt;=B132)),1)+(Besatzung!$F$11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J132="x")*((G132-IFERROR(H132,0))/IFERROR(COUNTIF(J132:U132,"x"),1)+(Besatzung!$F$11="x")*IFERROR(H132,0)/IFERROR(SUMPRODUCT((J132:U132="x")*(Besatzung!$F$11:$F$22="x")),1))),(IF(COUNTIF(J132:U132,"x")=0,IF(Besatzung!$B$11&lt;&gt;"",1,0),(J132="x"))*(G132-IFERROR(H132,0))/IFERROR(IF(COUNTIF(J132:U132,"x")=0,COUNTA(Besatzung!$B$11:$B$22),COUNTIF(J132:U132,"x")),1)+IF(COUNTIF(J132:U132,"x")=0,(Besatzung!$F$11="x"),(J132="x")*(Besatzung!$F$11="x"))*IFERROR(H132,0)/IFERROR(IF(COUNTIF(J132:U132,"x")=0,SUMPRODUCT((Besatzung!$B$11:$B$22&lt;&gt;"")*(Besatzung!$F$11:$F$22="x")),SUMPRODUCT((J132:U132="x")*(Besatzung!$F$11:$F$22="x"))),1))))),0))))</f>
        <v/>
      </c>
      <c r="W132" s="106">
        <f>IF(C132="Gutschrift","",IF(G132="","",IF(Besatzung!$B$12="","",IFERROR(IF(I132="Zeitanteilig",(Besatzung!$G$12*(G132-IFERROR(H132,0))+((Besatzung!$B$12&lt;&gt;"")*IF(B132="",1,(IF(Besatzung!$C$12="",Besatzung!$B$5,Besatzung!$C$12)&lt;=B132)*(IF(Besatzung!$D$12="",Besatzung!$B$6,Besatzung!$D$12)&gt;=B132)))*(Besatzung!$F$12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$12&lt;&gt;"")*IF(B132="",1,(IF(Besatzung!$C$12="",Besatzung!$B$5,Besatzung!$C$12)&lt;=B132)*(IF(Besatzung!$D$12="",Besatzung!$B$6,Besatzung!$D$12)&gt;=B132)))*((G132-IFERROR(H132,0))/IFERROR(SUMPRODUCT((Besatzung!$B$11:$B$22&lt;&gt;"")*(IF(Besatzung!$C$11:$C$22="",Besatzung!$B$5,Besatzung!$C$11:$C$22)&lt;=B132)*(IF(Besatzung!$D$11:$D$22="",Besatzung!$B$6,Besatzung!$D$11:$D$22)&gt;=B132)),1)+(Besatzung!$F$12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K132="x")*((G132-IFERROR(H132,0))/IFERROR(COUNTIF(J132:U132,"x"),1)+(Besatzung!$F$12="x")*IFERROR(H132,0)/IFERROR(SUMPRODUCT((J132:U132="x")*(Besatzung!$F$11:$F$22="x")),1))),(IF(COUNTIF(J132:U132,"x")=0,IF(Besatzung!$B$12&lt;&gt;"",1,0),(K132="x"))*(G132-IFERROR(H132,0))/IFERROR(IF(COUNTIF(J132:U132,"x")=0,COUNTA(Besatzung!$B$11:$B$22),COUNTIF(J132:U132,"x")),1)+IF(COUNTIF(J132:U132,"x")=0,(Besatzung!$F$12="x"),(K132="x")*(Besatzung!$F$12="x"))*IFERROR(H132,0)/IFERROR(IF(COUNTIF(J132:U132,"x")=0,SUMPRODUCT((Besatzung!$B$11:$B$22&lt;&gt;"")*(Besatzung!$F$11:$F$22="x")),SUMPRODUCT((J132:U132="x")*(Besatzung!$F$11:$F$22="x"))),1))))),0))))</f>
        <v/>
      </c>
      <c r="X132" s="106">
        <f>IF(C132="Gutschrift","",IF(G132="","",IF(Besatzung!$B$13="","",IFERROR(IF(I132="Zeitanteilig",(Besatzung!$G$13*(G132-IFERROR(H132,0))+((Besatzung!$B$13&lt;&gt;"")*IF(B132="",1,(IF(Besatzung!$C$13="",Besatzung!$B$5,Besatzung!$C$13)&lt;=B132)*(IF(Besatzung!$D$13="",Besatzung!$B$6,Besatzung!$D$13)&gt;=B132)))*(Besatzung!$F$13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$13&lt;&gt;"")*IF(B132="",1,(IF(Besatzung!$C$13="",Besatzung!$B$5,Besatzung!$C$13)&lt;=B132)*(IF(Besatzung!$D$13="",Besatzung!$B$6,Besatzung!$D$13)&gt;=B132)))*((G132-IFERROR(H132,0))/IFERROR(SUMPRODUCT((Besatzung!$B$11:$B$22&lt;&gt;"")*(IF(Besatzung!$C$11:$C$22="",Besatzung!$B$5,Besatzung!$C$11:$C$22)&lt;=B132)*(IF(Besatzung!$D$11:$D$22="",Besatzung!$B$6,Besatzung!$D$11:$D$22)&gt;=B132)),1)+(Besatzung!$F$13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K132="x")*((G132-IFERROR(H132,0))/IFERROR(COUNTIF(J132:U132,"x"),1)+(Besatzung!$F$13="x")*IFERROR(H132,0)/IFERROR(SUMPRODUCT((J132:U132="x")*(Besatzung!$F$11:$F$22="x")),1))),(IF(COUNTIF(J132:U132,"x")=0,IF(Besatzung!$B$13&lt;&gt;"",1,0),(K132="x"))*(G132-IFERROR(H132,0))/IFERROR(IF(COUNTIF(J132:U132,"x")=0,COUNTA(Besatzung!$B$11:$B$22),COUNTIF(J132:U132,"x")),1)+IF(COUNTIF(J132:U132,"x")=0,(Besatzung!$F$13="x"),(K132="x")*(Besatzung!$F$13="x"))*IFERROR(H132,0)/IFERROR(IF(COUNTIF(J132:U132,"x")=0,SUMPRODUCT((Besatzung!$B$11:$B$22&lt;&gt;"")*(Besatzung!$F$11:$F$22="x")),SUMPRODUCT((J132:U132="x")*(Besatzung!$F$11:$F$22="x"))),1))))),0))))</f>
        <v/>
      </c>
      <c r="Y132" s="106">
        <f>IF(C132="Gutschrift","",IF(G132="","",IF(Besatzung!$B$14="","",IFERROR(IF(I132="Zeitanteilig",(Besatzung!$G$14*(G132-IFERROR(H132,0))+((Besatzung!$B$14&lt;&gt;"")*IF(B132="",1,(IF(Besatzung!$C$14="",Besatzung!$B$5,Besatzung!$C$14)&lt;=B132)*(IF(Besatzung!$D$14="",Besatzung!$B$6,Besatzung!$D$14)&gt;=B132)))*(Besatzung!$F$14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$14&lt;&gt;"")*IF(B132="",1,(IF(Besatzung!$C$14="",Besatzung!$B$5,Besatzung!$C$14)&lt;=B132)*(IF(Besatzung!$D$14="",Besatzung!$B$6,Besatzung!$D$14)&gt;=B132)))*((G132-IFERROR(H132,0))/IFERROR(SUMPRODUCT((Besatzung!$B$11:$B$22&lt;&gt;"")*(IF(Besatzung!$C$11:$C$22="",Besatzung!$B$5,Besatzung!$C$11:$C$22)&lt;=B132)*(IF(Besatzung!$D$11:$D$22="",Besatzung!$B$6,Besatzung!$D$11:$D$22)&gt;=B132)),1)+(Besatzung!$F$14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M132="x")*((G132-IFERROR(H132,0))/IFERROR(COUNTIF(J132:U132,"x"),1)+(Besatzung!$F$14="x")*IFERROR(H132,0)/IFERROR(SUMPRODUCT((J132:U132="x")*(Besatzung!$F$11:$F$22="x")),1))),(IF(COUNTIF(J132:U132,"x")=0,IF(Besatzung!$B$14&lt;&gt;"",1,0),(M132="x"))*(G132-IFERROR(H132,0))/IFERROR(IF(COUNTIF(J132:U132,"x")=0,COUNTA(Besatzung!$B$11:$B$22),COUNTIF(J132:U132,"x")),1)+IF(COUNTIF(J132:U132,"x")=0,(Besatzung!$F$14="x"),(M132="x")*(Besatzung!$F$14="x"))*IFERROR(H132,0)/IFERROR(IF(COUNTIF(J132:U132,"x")=0,SUMPRODUCT((Besatzung!$B$11:$B$22&lt;&gt;"")*(Besatzung!$F$11:$F$22="x")),SUMPRODUCT((J132:U132="x")*(Besatzung!$F$11:$F$22="x"))),1))))),0))))</f>
        <v/>
      </c>
      <c r="Z132" s="106">
        <f>IF(C132="Gutschrift","",IF(G132="","",IF(Besatzung!$B$13="","",IFERROR(IF(I132="Zeitanteilig",(Besatzung!$G$15*(G132-IFERROR(H132,0))+((Besatzung!$B$13&lt;&gt;"")*IF(B132="",1,(IF(Besatzung!$C$15="",Besatzung!$B$5,Besatzung!$C$15)&lt;=B132)*(IF(Besatzung!$D$15="",Besatzung!$B$6,Besatzung!$D$15)&gt;=B132)))*(Besatzung!$F$15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$13&lt;&gt;"")*IF(B132="",1,(IF(Besatzung!$C$15="",Besatzung!$B$5,Besatzung!$C$15)&lt;=B132)*(IF(Besatzung!$D$15="",Besatzung!$B$6,Besatzung!$D$15)&gt;=B132)))*((G132-IFERROR(H132,0))/IFERROR(SUMPRODUCT((Besatzung!$B$11:$B$22&lt;&gt;"")*(IF(Besatzung!$C$11:$C$22="",Besatzung!$B$5,Besatzung!$C$11:$C$22)&lt;=B132)*(IF(Besatzung!$D$11:$D$22="",Besatzung!$B$6,Besatzung!$D$11:$D$22)&gt;=B132)),1)+(Besatzung!$F$15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N132="x")*((G132-IFERROR(H132,0))/IFERROR(COUNTIF(J132:U132,"x"),1)+(Besatzung!$F$15="x")*IFERROR(H132,0)/IFERROR(SUMPRODUCT((J132:U132="x")*(Besatzung!$F$11:$F$22="x")),1))),(IF(COUNTIF(J132:U132,"x")=0,IF(Besatzung!$B$13&lt;&gt;"",1,0),(N132="x"))*(G132-IFERROR(H132,0))/IFERROR(IF(COUNTIF(J132:U132,"x")=0,COUNTA(Besatzung!$B$11:$B$22),COUNTIF(J132:U132,"x")),1)+IF(COUNTIF(J132:U132,"x")=0,(Besatzung!$F$15="x"),(N132="x")*(Besatzung!$F$15="x"))*IFERROR(H132,0)/IFERROR(IF(COUNTIF(J132:U132,"x")=0,SUMPRODUCT((Besatzung!$B$11:$B$22&lt;&gt;"")*(Besatzung!$F$11:$F$22="x")),SUMPRODUCT((J132:U132="x")*(Besatzung!$F$11:$F$22="x"))),1))))),0))))</f>
        <v/>
      </c>
      <c r="AA132" s="106">
        <f>IF(C132="Gutschrift","",IF(G132="","",IF(Besatzung!$B$15="","",IFERROR(IF(I132="Zeitanteilig",(Besatzung!$G$16*(G132-IFERROR(H132,0))+((Besatzung!$B$15&lt;&gt;"")*IF(B132="",1,(IF(Besatzung!$C$16="",Besatzung!$B$5,Besatzung!$C$16)&lt;=B132)*(IF(Besatzung!$D$16="",Besatzung!$B$6,Besatzung!$D$16)&gt;=B132)))*(Besatzung!$F$16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$15&lt;&gt;"")*IF(B132="",1,(IF(Besatzung!$C$16="",Besatzung!$B$5,Besatzung!$C$16)&lt;=B132)*(IF(Besatzung!$D$16="",Besatzung!$B$6,Besatzung!$D$16)&gt;=B132)))*((G132-IFERROR(H132,0))/IFERROR(SUMPRODUCT((Besatzung!$B$11:$B$22&lt;&gt;"")*(IF(Besatzung!$C$11:$C$22="",Besatzung!$B$5,Besatzung!$C$11:$C$22)&lt;=B132)*(IF(Besatzung!$D$11:$D$22="",Besatzung!$B$6,Besatzung!$D$11:$D$22)&gt;=B132)),1)+(Besatzung!$F$16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O132="x")*((G132-IFERROR(H132,0))/IFERROR(COUNTIF(J132:U132,"x"),1)+(Besatzung!$F$16="x")*IFERROR(H132,0)/IFERROR(SUMPRODUCT((J132:U132="x")*(Besatzung!$F$11:$F$22="x")),1))),(IF(COUNTIF(J132:U132,"x")=0,IF(Besatzung!$B$15&lt;&gt;"",1,0),(O132="x"))*(G132-IFERROR(H132,0))/IFERROR(IF(COUNTIF(J132:U132,"x")=0,COUNTA(Besatzung!$B$11:$B$22),COUNTIF(J132:U132,"x")),1)+IF(COUNTIF(J132:U132,"x")=0,(Besatzung!$F$16="x"),(O132="x")*(Besatzung!$F$16="x"))*IFERROR(H132,0)/IFERROR(IF(COUNTIF(J132:U132,"x")=0,SUMPRODUCT((Besatzung!$B$11:$B$22&lt;&gt;"")*(Besatzung!$F$11:$F$22="x")),SUMPRODUCT((J132:U132="x")*(Besatzung!$F$11:$F$22="x"))),1))))),0))))</f>
        <v/>
      </c>
      <c r="AB132" s="106">
        <f>IF(C132="Gutschrift","",IF(G132="","",IF(Besatzung!$B$17="","",IFERROR(IF(I132="Zeitanteilig",(Besatzung!$G$17*(G132-IFERROR(H132,0))+((Besatzung!$B$17&lt;&gt;"")*IF(B132="",1,(IF(Besatzung!$C$17="",Besatzung!$B$5,Besatzung!$C$17)&lt;=B132)*(IF(Besatzung!$D$17="",Besatzung!$B$6,Besatzung!$D$17)&gt;=B132)))*(Besatzung!$F$17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$17&lt;&gt;"")*IF(B132="",1,(IF(Besatzung!$C$17="",Besatzung!$B$5,Besatzung!$C$17)&lt;=B132)*(IF(Besatzung!$D$17="",Besatzung!$B$6,Besatzung!$D$17)&gt;=B132)))*((G132-IFERROR(H132,0))/IFERROR(SUMPRODUCT((Besatzung!$B$11:$B$22&lt;&gt;"")*(IF(Besatzung!$C$11:$C$22="",Besatzung!$B$5,Besatzung!$C$11:$C$22)&lt;=B132)*(IF(Besatzung!$D$11:$D$22="",Besatzung!$B$6,Besatzung!$D$11:$D$22)&gt;=B132)),1)+(Besatzung!$F$17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P132="x")*((G132-IFERROR(H132,0))/IFERROR(COUNTIF(J132:U132,"x"),1)+(Besatzung!$F$17="x")*IFERROR(H132,0)/IFERROR(SUMPRODUCT((J132:U132="x")*(Besatzung!$F$11:$F$22="x")),1))),(IF(COUNTIF(J132:U132,"x")=0,IF(Besatzung!$B$17&lt;&gt;"",1,0),(P132="x"))*(G132-IFERROR(H132,0))/IFERROR(IF(COUNTIF(J132:U132,"x")=0,COUNTA(Besatzung!$B$11:$B$22),COUNTIF(J132:U132,"x")),1)+IF(COUNTIF(J132:U132,"x")=0,(Besatzung!$F$17="x"),(P132="x")*(Besatzung!$F$17="x"))*IFERROR(H132,0)/IFERROR(IF(COUNTIF(J132:U132,"x")=0,SUMPRODUCT((Besatzung!$B$11:$B$22&lt;&gt;"")*(Besatzung!$F$11:$F$22="x")),SUMPRODUCT((J132:U132="x")*(Besatzung!$F$11:$F$22="x"))),1))))),0))))</f>
        <v/>
      </c>
      <c r="AC132" s="106">
        <f>IF(C132="Gutschrift","",IF(G132="","",IF(Besatzung!$B$18="","",IFERROR(IF(I132="Zeitanteilig",(Besatzung!$G$18*(G132-IFERROR(H132,0))+((Besatzung!$B$18&lt;&gt;"")*IF(B132="",1,(IF(Besatzung!$C$18="",Besatzung!$B$5,Besatzung!$C$18)&lt;=B132)*(IF(Besatzung!$D$18="",Besatzung!$B$6,Besatzung!$D$18)&gt;=B132)))*(Besatzung!$F$18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$18&lt;&gt;"")*IF(B132="",1,(IF(Besatzung!$C$18="",Besatzung!$B$5,Besatzung!$C$18)&lt;=B132)*(IF(Besatzung!$D$18="",Besatzung!$B$6,Besatzung!$D$18)&gt;=B132)))*((G132-IFERROR(H132,0))/IFERROR(SUMPRODUCT((Besatzung!$B$11:$B$22&lt;&gt;"")*(IF(Besatzung!$C$11:$C$22="",Besatzung!$B$5,Besatzung!$C$11:$C$22)&lt;=B132)*(IF(Besatzung!$D$11:$D$22="",Besatzung!$B$6,Besatzung!$D$11:$D$22)&gt;=B132)),1)+(Besatzung!$F$18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Q132="x")*((G132-IFERROR(H132,0))/IFERROR(COUNTIF(J132:U132,"x"),1)+(Besatzung!$F$18="x")*IFERROR(H132,0)/IFERROR(SUMPRODUCT((J132:U132="x")*(Besatzung!$F$11:$F$22="x")),1))),(IF(COUNTIF(J132:U132,"x")=0,IF(Besatzung!$B$18&lt;&gt;"",1,0),(Q132="x"))*(G132-IFERROR(H132,0))/IFERROR(IF(COUNTIF(J132:U132,"x")=0,COUNTA(Besatzung!$B$11:$B$22),COUNTIF(J132:U132,"x")),1)+IF(COUNTIF(J132:U132,"x")=0,(Besatzung!$F$18="x"),(Q132="x")*(Besatzung!$F$18="x"))*IFERROR(H132,0)/IFERROR(IF(COUNTIF(J132:U132,"x")=0,SUMPRODUCT((Besatzung!$B$11:$B$22&lt;&gt;"")*(Besatzung!$F$11:$F$22="x")),SUMPRODUCT((J132:U132="x")*(Besatzung!$F$11:$F$22="x"))),1))))),0))))</f>
        <v/>
      </c>
      <c r="AD132" s="106">
        <f>IF(C132="Gutschrift","",IF(G132="","",IF(Besatzung!$B$19="","",IFERROR(IF(I132="Zeitanteilig",(Besatzung!$G$19*(G132-IFERROR(H132,0))+((Besatzung!$B$19&lt;&gt;"")*IF(B132="",1,(IF(Besatzung!$C$19="",Besatzung!$B$5,Besatzung!$C$19)&lt;=B132)*(IF(Besatzung!$D$19="",Besatzung!$B$6,Besatzung!$D$19)&gt;=B132)))*(Besatzung!$F$19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$19&lt;&gt;"")*IF(B132="",1,(IF(Besatzung!$C$19="",Besatzung!$B$5,Besatzung!$C$19)&lt;=B132)*(IF(Besatzung!$D$19="",Besatzung!$B$6,Besatzung!$D$19)&gt;=B132)))*((G132-IFERROR(H132,0))/IFERROR(SUMPRODUCT((Besatzung!$B$11:$B$22&lt;&gt;"")*(IF(Besatzung!$C$11:$C$22="",Besatzung!$B$5,Besatzung!$C$11:$C$22)&lt;=B132)*(IF(Besatzung!$D$11:$D$22="",Besatzung!$B$6,Besatzung!$D$11:$D$22)&gt;=B132)),1)+(Besatzung!$F$19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R132="x")*((G132-IFERROR(H132,0))/IFERROR(COUNTIF(J132:U132,"x"),1)+(Besatzung!$F$19="x")*IFERROR(H132,0)/IFERROR(SUMPRODUCT((J132:U132="x")*(Besatzung!$F$11:$F$22="x")),1))),(IF(COUNTIF(J132:U132,"x")=0,IF(Besatzung!$B$19&lt;&gt;"",1,0),(R132="x"))*(G132-IFERROR(H132,0))/IFERROR(IF(COUNTIF(J132:U132,"x")=0,COUNTA(Besatzung!$B$11:$B$22),COUNTIF(J132:U132,"x")),1)+IF(COUNTIF(J132:U132,"x")=0,(Besatzung!$F$19="x"),(R132="x")*(Besatzung!$F$19="x"))*IFERROR(H132,0)/IFERROR(IF(COUNTIF(J132:U132,"x")=0,SUMPRODUCT((Besatzung!$B$11:$B$22&lt;&gt;"")*(Besatzung!$F$11:$F$22="x")),SUMPRODUCT((J132:U132="x")*(Besatzung!$F$11:$F$22="x"))),1))))),0))))</f>
        <v/>
      </c>
      <c r="AE132" s="106">
        <f>IF(C132="Gutschrift","",IF(G132="","",IF(Besatzung!$B$20="","",IFERROR(IF(I132="Zeitanteilig",(Besatzung!$G$20*(G132-IFERROR(H132,0))+((Besatzung!$B$20&lt;&gt;"")*IF(B132="",1,(IF(Besatzung!$C$20="",Besatzung!$B$5,Besatzung!$C$20)&lt;=B132)*(IF(Besatzung!$D$20="",Besatzung!$B$6,Besatzung!$D$20)&gt;=B132)))*(Besatzung!$F$20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$20&lt;&gt;"")*IF(B132="",1,(IF(Besatzung!$C$20="",Besatzung!$B$5,Besatzung!$C$20)&lt;=B132)*(IF(Besatzung!$D$20="",Besatzung!$B$6,Besatzung!$D$20)&gt;=B132)))*((G132-IFERROR(H132,0))/IFERROR(SUMPRODUCT((Besatzung!$B$11:$B$22&lt;&gt;"")*(IF(Besatzung!$C$11:$C$22="",Besatzung!$B$5,Besatzung!$C$11:$C$22)&lt;=B132)*(IF(Besatzung!$D$11:$D$22="",Besatzung!$B$6,Besatzung!$D$11:$D$22)&gt;=B132)),1)+(Besatzung!$F$20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S132="x")*((G132-IFERROR(H132,0))/IFERROR(COUNTIF(J132:U132,"x"),1)+(Besatzung!$F$20="x")*IFERROR(H132,0)/IFERROR(SUMPRODUCT((J132:U132="x")*(Besatzung!$F$11:$F$22="x")),1))),(IF(COUNTIF(J132:U132,"x")=0,IF(Besatzung!$B$20&lt;&gt;"",1,0),(S132="x"))*(G132-IFERROR(H132,0))/IFERROR(IF(COUNTIF(J132:U132,"x")=0,COUNTA(Besatzung!$B$11:$B$22),COUNTIF(J132:U132,"x")),1)+IF(COUNTIF(J132:U132,"x")=0,(Besatzung!$F$20="x"),(S132="x")*(Besatzung!$F$20="x"))*IFERROR(H132,0)/IFERROR(IF(COUNTIF(J132:U132,"x")=0,SUMPRODUCT((Besatzung!$B$11:$B$22&lt;&gt;"")*(Besatzung!$F$11:$F$22="x")),SUMPRODUCT((J132:U132="x")*(Besatzung!$F$11:$F$22="x"))),1))))),0))))</f>
        <v/>
      </c>
      <c r="AF132" s="106">
        <f>IF(C132="Gutschrift","",IF(G132="","",IF(Besatzung!$B$21="","",IFERROR(IF(I132="Zeitanteilig",(Besatzung!$G$21*(G132-IFERROR(H132,0))+((Besatzung!$B$21&lt;&gt;"")*IF(B132="",1,(IF(Besatzung!$C$21="",Besatzung!$B$5,Besatzung!$C$21)&lt;=B132)*(IF(Besatzung!$D$21="",Besatzung!$B$6,Besatzung!$D$21)&gt;=B132)))*(Besatzung!$F$21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$21&lt;&gt;"")*IF(B132="",1,(IF(Besatzung!$C$21="",Besatzung!$B$5,Besatzung!$C$21)&lt;=B132)*(IF(Besatzung!$D$21="",Besatzung!$B$6,Besatzung!$D$21)&gt;=B132)))*((G132-IFERROR(H132,0))/IFERROR(SUMPRODUCT((Besatzung!$B$11:$B$22&lt;&gt;"")*(IF(Besatzung!$C$11:$C$22="",Besatzung!$B$5,Besatzung!$C$11:$C$22)&lt;=B132)*(IF(Besatzung!$D$11:$D$22="",Besatzung!$B$6,Besatzung!$D$11:$D$22)&gt;=B132)),1)+(Besatzung!$F$21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T132="x")*((G132-IFERROR(H132,0))/IFERROR(COUNTIF(J132:U132,"x"),1)+(Besatzung!$F$21="x")*IFERROR(H132,0)/IFERROR(SUMPRODUCT((J132:U132="x")*(Besatzung!$F$11:$F$22="x")),1))),(IF(COUNTIF(J132:U132,"x")=0,IF(Besatzung!$B$21&lt;&gt;"",1,0),(T132="x"))*(G132-IFERROR(H132,0))/IFERROR(IF(COUNTIF(J132:U132,"x")=0,COUNTA(Besatzung!$B$11:$B$22),COUNTIF(J132:U132,"x")),1)+IF(COUNTIF(J132:U132,"x")=0,(Besatzung!$F$21="x"),(T132="x")*(Besatzung!$F$21="x"))*IFERROR(H132,0)/IFERROR(IF(COUNTIF(J132:U132,"x")=0,SUMPRODUCT((Besatzung!$B$11:$B$22&lt;&gt;"")*(Besatzung!$F$11:$F$22="x")),SUMPRODUCT((J132:U132="x")*(Besatzung!$F$11:$F$22="x"))),1))))),0))))</f>
        <v/>
      </c>
      <c r="AG132" s="106">
        <f>IF(C132="Gutschrift","",IF(G132="","",IF(Besatzung!$B$22="","",IFERROR(IF(I132="Zeitanteilig",(Besatzung!$G$22*(G132-IFERROR(H132,0))+((Besatzung!$B$22&lt;&gt;"")*IF(B132="",1,(IF(Besatzung!$C$22="",Besatzung!$B$5,Besatzung!$C$22)&lt;=B132)*(IF(Besatzung!$D$22="",Besatzung!$B$6,Besatzung!$D$22)&gt;=B132)))*(Besatzung!$F$22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$22&lt;&gt;"")*IF(B132="",1,(IF(Besatzung!$C$22="",Besatzung!$B$5,Besatzung!$C$22)&lt;=B132)*(IF(Besatzung!$D$22="",Besatzung!$B$6,Besatzung!$D$22)&gt;=B132)))*((G132-IFERROR(H132,0))/IFERROR(SUMPRODUCT((Besatzung!$B$11:$B$22&lt;&gt;"")*(IF(Besatzung!$C$11:$C$22="",Besatzung!$B$5,Besatzung!$C$11:$C$22)&lt;=B132)*(IF(Besatzung!$D$11:$D$22="",Besatzung!$B$6,Besatzung!$D$11:$D$22)&gt;=B132)),1)+(Besatzung!$F$22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U132="x")*((G132-IFERROR(H132,0))/IFERROR(COUNTIF(J132:U132,"x"),1)+(Besatzung!$F$22="x")*IFERROR(H132,0)/IFERROR(SUMPRODUCT((J132:U132="x")*(Besatzung!$F$11:$F$22="x")),1))),(IF(COUNTIF(J132:U132,"x")=0,IF(Besatzung!$B$22&lt;&gt;"",1,0),(U132="x"))*(G132-IFERROR(H132,0))/IFERROR(IF(COUNTIF(J132:U132,"x")=0,COUNTA(Besatzung!$B$11:$B$22),COUNTIF(J132:U132,"x")),1)+IF(COUNTIF(J132:U132,"x")=0,(Besatzung!$F$22="x"),(U132="x")*(Besatzung!$F$22="x"))*IFERROR(H132,0)/IFERROR(IF(COUNTIF(J132:U132,"x")=0,SUMPRODUCT((Besatzung!$B$11:$B$22&lt;&gt;"")*(Besatzung!$F$11:$F$22="x")),SUMPRODUCT((J132:U132="x")*(Besatzung!$F$11:$F$22="x"))),1))))),0))))</f>
        <v/>
      </c>
      <c r="AH132" s="107" t="n"/>
      <c r="AI132" s="107" t="n"/>
    </row>
    <row r="133" ht="21.75" customHeight="1" s="182">
      <c r="A133" s="97">
        <f>IF(AND(D133="",C133=""),"",130)</f>
        <v/>
      </c>
      <c r="B133" s="63" t="n"/>
      <c r="C133" s="108" t="n"/>
      <c r="D133" s="109" t="n"/>
      <c r="E133" s="110" t="n"/>
      <c r="F133" s="111" t="n"/>
      <c r="G133" s="112" t="n"/>
      <c r="H133" s="113" t="n"/>
      <c r="I133" s="114" t="n"/>
      <c r="J133" s="115" t="n"/>
      <c r="K133" s="115" t="n"/>
      <c r="L133" s="115" t="n"/>
      <c r="M133" s="115" t="n"/>
      <c r="N133" s="115" t="n"/>
      <c r="O133" s="115" t="n"/>
      <c r="P133" s="115" t="n"/>
      <c r="Q133" s="115" t="n"/>
      <c r="R133" s="115" t="n"/>
      <c r="S133" s="115" t="n"/>
      <c r="T133" s="115" t="n"/>
      <c r="U133" s="115" t="n"/>
      <c r="V133" s="106">
        <f>IF(C133="Gutschrift","",IF(G133="","",IF(Besatzung!$B$11="","",IFERROR(IF(I133="Zeitanteilig",(Besatzung!$G$11*(G133-IFERROR(H133,0))+((Besatzung!$B$11&lt;&gt;"")*IF(B133="",1,(IF(Besatzung!$C$11="",Besatzung!$B$5,Besatzung!$C$11)&lt;=B133)*(IF(Besatzung!$D$11="",Besatzung!$B$6,Besatzung!$D$11)&gt;=B133)))*(Besatzung!$F$11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$11&lt;&gt;"")*IF(B133="",1,(IF(Besatzung!$C$11="",Besatzung!$B$5,Besatzung!$C$11)&lt;=B133)*(IF(Besatzung!$D$11="",Besatzung!$B$6,Besatzung!$D$11)&gt;=B133)))*((G133-IFERROR(H133,0))/IFERROR(SUMPRODUCT((Besatzung!$B$11:$B$22&lt;&gt;"")*(IF(Besatzung!$C$11:$C$22="",Besatzung!$B$5,Besatzung!$C$11:$C$22)&lt;=B133)*(IF(Besatzung!$D$11:$D$22="",Besatzung!$B$6,Besatzung!$D$11:$D$22)&gt;=B133)),1)+(Besatzung!$F$11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J133="x")*((G133-IFERROR(H133,0))/IFERROR(COUNTIF(J133:U133,"x"),1)+(Besatzung!$F$11="x")*IFERROR(H133,0)/IFERROR(SUMPRODUCT((J133:U133="x")*(Besatzung!$F$11:$F$22="x")),1))),(IF(COUNTIF(J133:U133,"x")=0,IF(Besatzung!$B$11&lt;&gt;"",1,0),(J133="x"))*(G133-IFERROR(H133,0))/IFERROR(IF(COUNTIF(J133:U133,"x")=0,COUNTA(Besatzung!$B$11:$B$22),COUNTIF(J133:U133,"x")),1)+IF(COUNTIF(J133:U133,"x")=0,(Besatzung!$F$11="x"),(J133="x")*(Besatzung!$F$11="x"))*IFERROR(H133,0)/IFERROR(IF(COUNTIF(J133:U133,"x")=0,SUMPRODUCT((Besatzung!$B$11:$B$22&lt;&gt;"")*(Besatzung!$F$11:$F$22="x")),SUMPRODUCT((J133:U133="x")*(Besatzung!$F$11:$F$22="x"))),1))))),0))))</f>
        <v/>
      </c>
      <c r="W133" s="106">
        <f>IF(C133="Gutschrift","",IF(G133="","",IF(Besatzung!$B$12="","",IFERROR(IF(I133="Zeitanteilig",(Besatzung!$G$12*(G133-IFERROR(H133,0))+((Besatzung!$B$12&lt;&gt;"")*IF(B133="",1,(IF(Besatzung!$C$12="",Besatzung!$B$5,Besatzung!$C$12)&lt;=B133)*(IF(Besatzung!$D$12="",Besatzung!$B$6,Besatzung!$D$12)&gt;=B133)))*(Besatzung!$F$12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$12&lt;&gt;"")*IF(B133="",1,(IF(Besatzung!$C$12="",Besatzung!$B$5,Besatzung!$C$12)&lt;=B133)*(IF(Besatzung!$D$12="",Besatzung!$B$6,Besatzung!$D$12)&gt;=B133)))*((G133-IFERROR(H133,0))/IFERROR(SUMPRODUCT((Besatzung!$B$11:$B$22&lt;&gt;"")*(IF(Besatzung!$C$11:$C$22="",Besatzung!$B$5,Besatzung!$C$11:$C$22)&lt;=B133)*(IF(Besatzung!$D$11:$D$22="",Besatzung!$B$6,Besatzung!$D$11:$D$22)&gt;=B133)),1)+(Besatzung!$F$12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K133="x")*((G133-IFERROR(H133,0))/IFERROR(COUNTIF(J133:U133,"x"),1)+(Besatzung!$F$12="x")*IFERROR(H133,0)/IFERROR(SUMPRODUCT((J133:U133="x")*(Besatzung!$F$11:$F$22="x")),1))),(IF(COUNTIF(J133:U133,"x")=0,IF(Besatzung!$B$12&lt;&gt;"",1,0),(K133="x"))*(G133-IFERROR(H133,0))/IFERROR(IF(COUNTIF(J133:U133,"x")=0,COUNTA(Besatzung!$B$11:$B$22),COUNTIF(J133:U133,"x")),1)+IF(COUNTIF(J133:U133,"x")=0,(Besatzung!$F$12="x"),(K133="x")*(Besatzung!$F$12="x"))*IFERROR(H133,0)/IFERROR(IF(COUNTIF(J133:U133,"x")=0,SUMPRODUCT((Besatzung!$B$11:$B$22&lt;&gt;"")*(Besatzung!$F$11:$F$22="x")),SUMPRODUCT((J133:U133="x")*(Besatzung!$F$11:$F$22="x"))),1))))),0))))</f>
        <v/>
      </c>
      <c r="X133" s="106">
        <f>IF(C133="Gutschrift","",IF(G133="","",IF(Besatzung!$B$13="","",IFERROR(IF(I133="Zeitanteilig",(Besatzung!$G$13*(G133-IFERROR(H133,0))+((Besatzung!$B$13&lt;&gt;"")*IF(B133="",1,(IF(Besatzung!$C$13="",Besatzung!$B$5,Besatzung!$C$13)&lt;=B133)*(IF(Besatzung!$D$13="",Besatzung!$B$6,Besatzung!$D$13)&gt;=B133)))*(Besatzung!$F$13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$13&lt;&gt;"")*IF(B133="",1,(IF(Besatzung!$C$13="",Besatzung!$B$5,Besatzung!$C$13)&lt;=B133)*(IF(Besatzung!$D$13="",Besatzung!$B$6,Besatzung!$D$13)&gt;=B133)))*((G133-IFERROR(H133,0))/IFERROR(SUMPRODUCT((Besatzung!$B$11:$B$22&lt;&gt;"")*(IF(Besatzung!$C$11:$C$22="",Besatzung!$B$5,Besatzung!$C$11:$C$22)&lt;=B133)*(IF(Besatzung!$D$11:$D$22="",Besatzung!$B$6,Besatzung!$D$11:$D$22)&gt;=B133)),1)+(Besatzung!$F$13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K133="x")*((G133-IFERROR(H133,0))/IFERROR(COUNTIF(J133:U133,"x"),1)+(Besatzung!$F$13="x")*IFERROR(H133,0)/IFERROR(SUMPRODUCT((J133:U133="x")*(Besatzung!$F$11:$F$22="x")),1))),(IF(COUNTIF(J133:U133,"x")=0,IF(Besatzung!$B$13&lt;&gt;"",1,0),(K133="x"))*(G133-IFERROR(H133,0))/IFERROR(IF(COUNTIF(J133:U133,"x")=0,COUNTA(Besatzung!$B$11:$B$22),COUNTIF(J133:U133,"x")),1)+IF(COUNTIF(J133:U133,"x")=0,(Besatzung!$F$13="x"),(K133="x")*(Besatzung!$F$13="x"))*IFERROR(H133,0)/IFERROR(IF(COUNTIF(J133:U133,"x")=0,SUMPRODUCT((Besatzung!$B$11:$B$22&lt;&gt;"")*(Besatzung!$F$11:$F$22="x")),SUMPRODUCT((J133:U133="x")*(Besatzung!$F$11:$F$22="x"))),1))))),0))))</f>
        <v/>
      </c>
      <c r="Y133" s="106">
        <f>IF(C133="Gutschrift","",IF(G133="","",IF(Besatzung!$B$14="","",IFERROR(IF(I133="Zeitanteilig",(Besatzung!$G$14*(G133-IFERROR(H133,0))+((Besatzung!$B$14&lt;&gt;"")*IF(B133="",1,(IF(Besatzung!$C$14="",Besatzung!$B$5,Besatzung!$C$14)&lt;=B133)*(IF(Besatzung!$D$14="",Besatzung!$B$6,Besatzung!$D$14)&gt;=B133)))*(Besatzung!$F$14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$14&lt;&gt;"")*IF(B133="",1,(IF(Besatzung!$C$14="",Besatzung!$B$5,Besatzung!$C$14)&lt;=B133)*(IF(Besatzung!$D$14="",Besatzung!$B$6,Besatzung!$D$14)&gt;=B133)))*((G133-IFERROR(H133,0))/IFERROR(SUMPRODUCT((Besatzung!$B$11:$B$22&lt;&gt;"")*(IF(Besatzung!$C$11:$C$22="",Besatzung!$B$5,Besatzung!$C$11:$C$22)&lt;=B133)*(IF(Besatzung!$D$11:$D$22="",Besatzung!$B$6,Besatzung!$D$11:$D$22)&gt;=B133)),1)+(Besatzung!$F$14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M133="x")*((G133-IFERROR(H133,0))/IFERROR(COUNTIF(J133:U133,"x"),1)+(Besatzung!$F$14="x")*IFERROR(H133,0)/IFERROR(SUMPRODUCT((J133:U133="x")*(Besatzung!$F$11:$F$22="x")),1))),(IF(COUNTIF(J133:U133,"x")=0,IF(Besatzung!$B$14&lt;&gt;"",1,0),(M133="x"))*(G133-IFERROR(H133,0))/IFERROR(IF(COUNTIF(J133:U133,"x")=0,COUNTA(Besatzung!$B$11:$B$22),COUNTIF(J133:U133,"x")),1)+IF(COUNTIF(J133:U133,"x")=0,(Besatzung!$F$14="x"),(M133="x")*(Besatzung!$F$14="x"))*IFERROR(H133,0)/IFERROR(IF(COUNTIF(J133:U133,"x")=0,SUMPRODUCT((Besatzung!$B$11:$B$22&lt;&gt;"")*(Besatzung!$F$11:$F$22="x")),SUMPRODUCT((J133:U133="x")*(Besatzung!$F$11:$F$22="x"))),1))))),0))))</f>
        <v/>
      </c>
      <c r="Z133" s="106">
        <f>IF(C133="Gutschrift","",IF(G133="","",IF(Besatzung!$B$13="","",IFERROR(IF(I133="Zeitanteilig",(Besatzung!$G$15*(G133-IFERROR(H133,0))+((Besatzung!$B$13&lt;&gt;"")*IF(B133="",1,(IF(Besatzung!$C$15="",Besatzung!$B$5,Besatzung!$C$15)&lt;=B133)*(IF(Besatzung!$D$15="",Besatzung!$B$6,Besatzung!$D$15)&gt;=B133)))*(Besatzung!$F$15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$13&lt;&gt;"")*IF(B133="",1,(IF(Besatzung!$C$15="",Besatzung!$B$5,Besatzung!$C$15)&lt;=B133)*(IF(Besatzung!$D$15="",Besatzung!$B$6,Besatzung!$D$15)&gt;=B133)))*((G133-IFERROR(H133,0))/IFERROR(SUMPRODUCT((Besatzung!$B$11:$B$22&lt;&gt;"")*(IF(Besatzung!$C$11:$C$22="",Besatzung!$B$5,Besatzung!$C$11:$C$22)&lt;=B133)*(IF(Besatzung!$D$11:$D$22="",Besatzung!$B$6,Besatzung!$D$11:$D$22)&gt;=B133)),1)+(Besatzung!$F$15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N133="x")*((G133-IFERROR(H133,0))/IFERROR(COUNTIF(J133:U133,"x"),1)+(Besatzung!$F$15="x")*IFERROR(H133,0)/IFERROR(SUMPRODUCT((J133:U133="x")*(Besatzung!$F$11:$F$22="x")),1))),(IF(COUNTIF(J133:U133,"x")=0,IF(Besatzung!$B$13&lt;&gt;"",1,0),(N133="x"))*(G133-IFERROR(H133,0))/IFERROR(IF(COUNTIF(J133:U133,"x")=0,COUNTA(Besatzung!$B$11:$B$22),COUNTIF(J133:U133,"x")),1)+IF(COUNTIF(J133:U133,"x")=0,(Besatzung!$F$15="x"),(N133="x")*(Besatzung!$F$15="x"))*IFERROR(H133,0)/IFERROR(IF(COUNTIF(J133:U133,"x")=0,SUMPRODUCT((Besatzung!$B$11:$B$22&lt;&gt;"")*(Besatzung!$F$11:$F$22="x")),SUMPRODUCT((J133:U133="x")*(Besatzung!$F$11:$F$22="x"))),1))))),0))))</f>
        <v/>
      </c>
      <c r="AA133" s="106">
        <f>IF(C133="Gutschrift","",IF(G133="","",IF(Besatzung!$B$15="","",IFERROR(IF(I133="Zeitanteilig",(Besatzung!$G$16*(G133-IFERROR(H133,0))+((Besatzung!$B$15&lt;&gt;"")*IF(B133="",1,(IF(Besatzung!$C$16="",Besatzung!$B$5,Besatzung!$C$16)&lt;=B133)*(IF(Besatzung!$D$16="",Besatzung!$B$6,Besatzung!$D$16)&gt;=B133)))*(Besatzung!$F$16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$15&lt;&gt;"")*IF(B133="",1,(IF(Besatzung!$C$16="",Besatzung!$B$5,Besatzung!$C$16)&lt;=B133)*(IF(Besatzung!$D$16="",Besatzung!$B$6,Besatzung!$D$16)&gt;=B133)))*((G133-IFERROR(H133,0))/IFERROR(SUMPRODUCT((Besatzung!$B$11:$B$22&lt;&gt;"")*(IF(Besatzung!$C$11:$C$22="",Besatzung!$B$5,Besatzung!$C$11:$C$22)&lt;=B133)*(IF(Besatzung!$D$11:$D$22="",Besatzung!$B$6,Besatzung!$D$11:$D$22)&gt;=B133)),1)+(Besatzung!$F$16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O133="x")*((G133-IFERROR(H133,0))/IFERROR(COUNTIF(J133:U133,"x"),1)+(Besatzung!$F$16="x")*IFERROR(H133,0)/IFERROR(SUMPRODUCT((J133:U133="x")*(Besatzung!$F$11:$F$22="x")),1))),(IF(COUNTIF(J133:U133,"x")=0,IF(Besatzung!$B$15&lt;&gt;"",1,0),(O133="x"))*(G133-IFERROR(H133,0))/IFERROR(IF(COUNTIF(J133:U133,"x")=0,COUNTA(Besatzung!$B$11:$B$22),COUNTIF(J133:U133,"x")),1)+IF(COUNTIF(J133:U133,"x")=0,(Besatzung!$F$16="x"),(O133="x")*(Besatzung!$F$16="x"))*IFERROR(H133,0)/IFERROR(IF(COUNTIF(J133:U133,"x")=0,SUMPRODUCT((Besatzung!$B$11:$B$22&lt;&gt;"")*(Besatzung!$F$11:$F$22="x")),SUMPRODUCT((J133:U133="x")*(Besatzung!$F$11:$F$22="x"))),1))))),0))))</f>
        <v/>
      </c>
      <c r="AB133" s="106">
        <f>IF(C133="Gutschrift","",IF(G133="","",IF(Besatzung!$B$17="","",IFERROR(IF(I133="Zeitanteilig",(Besatzung!$G$17*(G133-IFERROR(H133,0))+((Besatzung!$B$17&lt;&gt;"")*IF(B133="",1,(IF(Besatzung!$C$17="",Besatzung!$B$5,Besatzung!$C$17)&lt;=B133)*(IF(Besatzung!$D$17="",Besatzung!$B$6,Besatzung!$D$17)&gt;=B133)))*(Besatzung!$F$17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$17&lt;&gt;"")*IF(B133="",1,(IF(Besatzung!$C$17="",Besatzung!$B$5,Besatzung!$C$17)&lt;=B133)*(IF(Besatzung!$D$17="",Besatzung!$B$6,Besatzung!$D$17)&gt;=B133)))*((G133-IFERROR(H133,0))/IFERROR(SUMPRODUCT((Besatzung!$B$11:$B$22&lt;&gt;"")*(IF(Besatzung!$C$11:$C$22="",Besatzung!$B$5,Besatzung!$C$11:$C$22)&lt;=B133)*(IF(Besatzung!$D$11:$D$22="",Besatzung!$B$6,Besatzung!$D$11:$D$22)&gt;=B133)),1)+(Besatzung!$F$17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P133="x")*((G133-IFERROR(H133,0))/IFERROR(COUNTIF(J133:U133,"x"),1)+(Besatzung!$F$17="x")*IFERROR(H133,0)/IFERROR(SUMPRODUCT((J133:U133="x")*(Besatzung!$F$11:$F$22="x")),1))),(IF(COUNTIF(J133:U133,"x")=0,IF(Besatzung!$B$17&lt;&gt;"",1,0),(P133="x"))*(G133-IFERROR(H133,0))/IFERROR(IF(COUNTIF(J133:U133,"x")=0,COUNTA(Besatzung!$B$11:$B$22),COUNTIF(J133:U133,"x")),1)+IF(COUNTIF(J133:U133,"x")=0,(Besatzung!$F$17="x"),(P133="x")*(Besatzung!$F$17="x"))*IFERROR(H133,0)/IFERROR(IF(COUNTIF(J133:U133,"x")=0,SUMPRODUCT((Besatzung!$B$11:$B$22&lt;&gt;"")*(Besatzung!$F$11:$F$22="x")),SUMPRODUCT((J133:U133="x")*(Besatzung!$F$11:$F$22="x"))),1))))),0))))</f>
        <v/>
      </c>
      <c r="AC133" s="106">
        <f>IF(C133="Gutschrift","",IF(G133="","",IF(Besatzung!$B$18="","",IFERROR(IF(I133="Zeitanteilig",(Besatzung!$G$18*(G133-IFERROR(H133,0))+((Besatzung!$B$18&lt;&gt;"")*IF(B133="",1,(IF(Besatzung!$C$18="",Besatzung!$B$5,Besatzung!$C$18)&lt;=B133)*(IF(Besatzung!$D$18="",Besatzung!$B$6,Besatzung!$D$18)&gt;=B133)))*(Besatzung!$F$18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$18&lt;&gt;"")*IF(B133="",1,(IF(Besatzung!$C$18="",Besatzung!$B$5,Besatzung!$C$18)&lt;=B133)*(IF(Besatzung!$D$18="",Besatzung!$B$6,Besatzung!$D$18)&gt;=B133)))*((G133-IFERROR(H133,0))/IFERROR(SUMPRODUCT((Besatzung!$B$11:$B$22&lt;&gt;"")*(IF(Besatzung!$C$11:$C$22="",Besatzung!$B$5,Besatzung!$C$11:$C$22)&lt;=B133)*(IF(Besatzung!$D$11:$D$22="",Besatzung!$B$6,Besatzung!$D$11:$D$22)&gt;=B133)),1)+(Besatzung!$F$18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Q133="x")*((G133-IFERROR(H133,0))/IFERROR(COUNTIF(J133:U133,"x"),1)+(Besatzung!$F$18="x")*IFERROR(H133,0)/IFERROR(SUMPRODUCT((J133:U133="x")*(Besatzung!$F$11:$F$22="x")),1))),(IF(COUNTIF(J133:U133,"x")=0,IF(Besatzung!$B$18&lt;&gt;"",1,0),(Q133="x"))*(G133-IFERROR(H133,0))/IFERROR(IF(COUNTIF(J133:U133,"x")=0,COUNTA(Besatzung!$B$11:$B$22),COUNTIF(J133:U133,"x")),1)+IF(COUNTIF(J133:U133,"x")=0,(Besatzung!$F$18="x"),(Q133="x")*(Besatzung!$F$18="x"))*IFERROR(H133,0)/IFERROR(IF(COUNTIF(J133:U133,"x")=0,SUMPRODUCT((Besatzung!$B$11:$B$22&lt;&gt;"")*(Besatzung!$F$11:$F$22="x")),SUMPRODUCT((J133:U133="x")*(Besatzung!$F$11:$F$22="x"))),1))))),0))))</f>
        <v/>
      </c>
      <c r="AD133" s="106">
        <f>IF(C133="Gutschrift","",IF(G133="","",IF(Besatzung!$B$19="","",IFERROR(IF(I133="Zeitanteilig",(Besatzung!$G$19*(G133-IFERROR(H133,0))+((Besatzung!$B$19&lt;&gt;"")*IF(B133="",1,(IF(Besatzung!$C$19="",Besatzung!$B$5,Besatzung!$C$19)&lt;=B133)*(IF(Besatzung!$D$19="",Besatzung!$B$6,Besatzung!$D$19)&gt;=B133)))*(Besatzung!$F$19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$19&lt;&gt;"")*IF(B133="",1,(IF(Besatzung!$C$19="",Besatzung!$B$5,Besatzung!$C$19)&lt;=B133)*(IF(Besatzung!$D$19="",Besatzung!$B$6,Besatzung!$D$19)&gt;=B133)))*((G133-IFERROR(H133,0))/IFERROR(SUMPRODUCT((Besatzung!$B$11:$B$22&lt;&gt;"")*(IF(Besatzung!$C$11:$C$22="",Besatzung!$B$5,Besatzung!$C$11:$C$22)&lt;=B133)*(IF(Besatzung!$D$11:$D$22="",Besatzung!$B$6,Besatzung!$D$11:$D$22)&gt;=B133)),1)+(Besatzung!$F$19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R133="x")*((G133-IFERROR(H133,0))/IFERROR(COUNTIF(J133:U133,"x"),1)+(Besatzung!$F$19="x")*IFERROR(H133,0)/IFERROR(SUMPRODUCT((J133:U133="x")*(Besatzung!$F$11:$F$22="x")),1))),(IF(COUNTIF(J133:U133,"x")=0,IF(Besatzung!$B$19&lt;&gt;"",1,0),(R133="x"))*(G133-IFERROR(H133,0))/IFERROR(IF(COUNTIF(J133:U133,"x")=0,COUNTA(Besatzung!$B$11:$B$22),COUNTIF(J133:U133,"x")),1)+IF(COUNTIF(J133:U133,"x")=0,(Besatzung!$F$19="x"),(R133="x")*(Besatzung!$F$19="x"))*IFERROR(H133,0)/IFERROR(IF(COUNTIF(J133:U133,"x")=0,SUMPRODUCT((Besatzung!$B$11:$B$22&lt;&gt;"")*(Besatzung!$F$11:$F$22="x")),SUMPRODUCT((J133:U133="x")*(Besatzung!$F$11:$F$22="x"))),1))))),0))))</f>
        <v/>
      </c>
      <c r="AE133" s="106">
        <f>IF(C133="Gutschrift","",IF(G133="","",IF(Besatzung!$B$20="","",IFERROR(IF(I133="Zeitanteilig",(Besatzung!$G$20*(G133-IFERROR(H133,0))+((Besatzung!$B$20&lt;&gt;"")*IF(B133="",1,(IF(Besatzung!$C$20="",Besatzung!$B$5,Besatzung!$C$20)&lt;=B133)*(IF(Besatzung!$D$20="",Besatzung!$B$6,Besatzung!$D$20)&gt;=B133)))*(Besatzung!$F$20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$20&lt;&gt;"")*IF(B133="",1,(IF(Besatzung!$C$20="",Besatzung!$B$5,Besatzung!$C$20)&lt;=B133)*(IF(Besatzung!$D$20="",Besatzung!$B$6,Besatzung!$D$20)&gt;=B133)))*((G133-IFERROR(H133,0))/IFERROR(SUMPRODUCT((Besatzung!$B$11:$B$22&lt;&gt;"")*(IF(Besatzung!$C$11:$C$22="",Besatzung!$B$5,Besatzung!$C$11:$C$22)&lt;=B133)*(IF(Besatzung!$D$11:$D$22="",Besatzung!$B$6,Besatzung!$D$11:$D$22)&gt;=B133)),1)+(Besatzung!$F$20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S133="x")*((G133-IFERROR(H133,0))/IFERROR(COUNTIF(J133:U133,"x"),1)+(Besatzung!$F$20="x")*IFERROR(H133,0)/IFERROR(SUMPRODUCT((J133:U133="x")*(Besatzung!$F$11:$F$22="x")),1))),(IF(COUNTIF(J133:U133,"x")=0,IF(Besatzung!$B$20&lt;&gt;"",1,0),(S133="x"))*(G133-IFERROR(H133,0))/IFERROR(IF(COUNTIF(J133:U133,"x")=0,COUNTA(Besatzung!$B$11:$B$22),COUNTIF(J133:U133,"x")),1)+IF(COUNTIF(J133:U133,"x")=0,(Besatzung!$F$20="x"),(S133="x")*(Besatzung!$F$20="x"))*IFERROR(H133,0)/IFERROR(IF(COUNTIF(J133:U133,"x")=0,SUMPRODUCT((Besatzung!$B$11:$B$22&lt;&gt;"")*(Besatzung!$F$11:$F$22="x")),SUMPRODUCT((J133:U133="x")*(Besatzung!$F$11:$F$22="x"))),1))))),0))))</f>
        <v/>
      </c>
      <c r="AF133" s="106">
        <f>IF(C133="Gutschrift","",IF(G133="","",IF(Besatzung!$B$21="","",IFERROR(IF(I133="Zeitanteilig",(Besatzung!$G$21*(G133-IFERROR(H133,0))+((Besatzung!$B$21&lt;&gt;"")*IF(B133="",1,(IF(Besatzung!$C$21="",Besatzung!$B$5,Besatzung!$C$21)&lt;=B133)*(IF(Besatzung!$D$21="",Besatzung!$B$6,Besatzung!$D$21)&gt;=B133)))*(Besatzung!$F$21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$21&lt;&gt;"")*IF(B133="",1,(IF(Besatzung!$C$21="",Besatzung!$B$5,Besatzung!$C$21)&lt;=B133)*(IF(Besatzung!$D$21="",Besatzung!$B$6,Besatzung!$D$21)&gt;=B133)))*((G133-IFERROR(H133,0))/IFERROR(SUMPRODUCT((Besatzung!$B$11:$B$22&lt;&gt;"")*(IF(Besatzung!$C$11:$C$22="",Besatzung!$B$5,Besatzung!$C$11:$C$22)&lt;=B133)*(IF(Besatzung!$D$11:$D$22="",Besatzung!$B$6,Besatzung!$D$11:$D$22)&gt;=B133)),1)+(Besatzung!$F$21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T133="x")*((G133-IFERROR(H133,0))/IFERROR(COUNTIF(J133:U133,"x"),1)+(Besatzung!$F$21="x")*IFERROR(H133,0)/IFERROR(SUMPRODUCT((J133:U133="x")*(Besatzung!$F$11:$F$22="x")),1))),(IF(COUNTIF(J133:U133,"x")=0,IF(Besatzung!$B$21&lt;&gt;"",1,0),(T133="x"))*(G133-IFERROR(H133,0))/IFERROR(IF(COUNTIF(J133:U133,"x")=0,COUNTA(Besatzung!$B$11:$B$22),COUNTIF(J133:U133,"x")),1)+IF(COUNTIF(J133:U133,"x")=0,(Besatzung!$F$21="x"),(T133="x")*(Besatzung!$F$21="x"))*IFERROR(H133,0)/IFERROR(IF(COUNTIF(J133:U133,"x")=0,SUMPRODUCT((Besatzung!$B$11:$B$22&lt;&gt;"")*(Besatzung!$F$11:$F$22="x")),SUMPRODUCT((J133:U133="x")*(Besatzung!$F$11:$F$22="x"))),1))))),0))))</f>
        <v/>
      </c>
      <c r="AG133" s="106">
        <f>IF(C133="Gutschrift","",IF(G133="","",IF(Besatzung!$B$22="","",IFERROR(IF(I133="Zeitanteilig",(Besatzung!$G$22*(G133-IFERROR(H133,0))+((Besatzung!$B$22&lt;&gt;"")*IF(B133="",1,(IF(Besatzung!$C$22="",Besatzung!$B$5,Besatzung!$C$22)&lt;=B133)*(IF(Besatzung!$D$22="",Besatzung!$B$6,Besatzung!$D$22)&gt;=B133)))*(Besatzung!$F$22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$22&lt;&gt;"")*IF(B133="",1,(IF(Besatzung!$C$22="",Besatzung!$B$5,Besatzung!$C$22)&lt;=B133)*(IF(Besatzung!$D$22="",Besatzung!$B$6,Besatzung!$D$22)&gt;=B133)))*((G133-IFERROR(H133,0))/IFERROR(SUMPRODUCT((Besatzung!$B$11:$B$22&lt;&gt;"")*(IF(Besatzung!$C$11:$C$22="",Besatzung!$B$5,Besatzung!$C$11:$C$22)&lt;=B133)*(IF(Besatzung!$D$11:$D$22="",Besatzung!$B$6,Besatzung!$D$11:$D$22)&gt;=B133)),1)+(Besatzung!$F$22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U133="x")*((G133-IFERROR(H133,0))/IFERROR(COUNTIF(J133:U133,"x"),1)+(Besatzung!$F$22="x")*IFERROR(H133,0)/IFERROR(SUMPRODUCT((J133:U133="x")*(Besatzung!$F$11:$F$22="x")),1))),(IF(COUNTIF(J133:U133,"x")=0,IF(Besatzung!$B$22&lt;&gt;"",1,0),(U133="x"))*(G133-IFERROR(H133,0))/IFERROR(IF(COUNTIF(J133:U133,"x")=0,COUNTA(Besatzung!$B$11:$B$22),COUNTIF(J133:U133,"x")),1)+IF(COUNTIF(J133:U133,"x")=0,(Besatzung!$F$22="x"),(U133="x")*(Besatzung!$F$22="x"))*IFERROR(H133,0)/IFERROR(IF(COUNTIF(J133:U133,"x")=0,SUMPRODUCT((Besatzung!$B$11:$B$22&lt;&gt;"")*(Besatzung!$F$11:$F$22="x")),SUMPRODUCT((J133:U133="x")*(Besatzung!$F$11:$F$22="x"))),1))))),0))))</f>
        <v/>
      </c>
      <c r="AH133" s="107" t="n"/>
      <c r="AI133" s="107" t="n"/>
    </row>
    <row r="134" ht="21.75" customHeight="1" s="182">
      <c r="A134" s="97">
        <f>IF(AND(D134="",C134=""),"",131)</f>
        <v/>
      </c>
      <c r="B134" s="56" t="n"/>
      <c r="C134" s="98" t="n"/>
      <c r="D134" s="99" t="n"/>
      <c r="E134" s="100" t="n"/>
      <c r="F134" s="101" t="n"/>
      <c r="G134" s="102" t="n"/>
      <c r="H134" s="103" t="n"/>
      <c r="I134" s="104" t="n"/>
      <c r="J134" s="105" t="n"/>
      <c r="K134" s="105" t="n"/>
      <c r="L134" s="105" t="n"/>
      <c r="M134" s="105" t="n"/>
      <c r="N134" s="105" t="n"/>
      <c r="O134" s="105" t="n"/>
      <c r="P134" s="105" t="n"/>
      <c r="Q134" s="105" t="n"/>
      <c r="R134" s="105" t="n"/>
      <c r="S134" s="105" t="n"/>
      <c r="T134" s="105" t="n"/>
      <c r="U134" s="105" t="n"/>
      <c r="V134" s="106">
        <f>IF(C134="Gutschrift","",IF(G134="","",IF(Besatzung!$B$11="","",IFERROR(IF(I134="Zeitanteilig",(Besatzung!$G$11*(G134-IFERROR(H134,0))+((Besatzung!$B$11&lt;&gt;"")*IF(B134="",1,(IF(Besatzung!$C$11="",Besatzung!$B$5,Besatzung!$C$11)&lt;=B134)*(IF(Besatzung!$D$11="",Besatzung!$B$6,Besatzung!$D$11)&gt;=B134)))*(Besatzung!$F$11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$11&lt;&gt;"")*IF(B134="",1,(IF(Besatzung!$C$11="",Besatzung!$B$5,Besatzung!$C$11)&lt;=B134)*(IF(Besatzung!$D$11="",Besatzung!$B$6,Besatzung!$D$11)&gt;=B134)))*((G134-IFERROR(H134,0))/IFERROR(SUMPRODUCT((Besatzung!$B$11:$B$22&lt;&gt;"")*(IF(Besatzung!$C$11:$C$22="",Besatzung!$B$5,Besatzung!$C$11:$C$22)&lt;=B134)*(IF(Besatzung!$D$11:$D$22="",Besatzung!$B$6,Besatzung!$D$11:$D$22)&gt;=B134)),1)+(Besatzung!$F$11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J134="x")*((G134-IFERROR(H134,0))/IFERROR(COUNTIF(J134:U134,"x"),1)+(Besatzung!$F$11="x")*IFERROR(H134,0)/IFERROR(SUMPRODUCT((J134:U134="x")*(Besatzung!$F$11:$F$22="x")),1))),(IF(COUNTIF(J134:U134,"x")=0,IF(Besatzung!$B$11&lt;&gt;"",1,0),(J134="x"))*(G134-IFERROR(H134,0))/IFERROR(IF(COUNTIF(J134:U134,"x")=0,COUNTA(Besatzung!$B$11:$B$22),COUNTIF(J134:U134,"x")),1)+IF(COUNTIF(J134:U134,"x")=0,(Besatzung!$F$11="x"),(J134="x")*(Besatzung!$F$11="x"))*IFERROR(H134,0)/IFERROR(IF(COUNTIF(J134:U134,"x")=0,SUMPRODUCT((Besatzung!$B$11:$B$22&lt;&gt;"")*(Besatzung!$F$11:$F$22="x")),SUMPRODUCT((J134:U134="x")*(Besatzung!$F$11:$F$22="x"))),1))))),0))))</f>
        <v/>
      </c>
      <c r="W134" s="106">
        <f>IF(C134="Gutschrift","",IF(G134="","",IF(Besatzung!$B$12="","",IFERROR(IF(I134="Zeitanteilig",(Besatzung!$G$12*(G134-IFERROR(H134,0))+((Besatzung!$B$12&lt;&gt;"")*IF(B134="",1,(IF(Besatzung!$C$12="",Besatzung!$B$5,Besatzung!$C$12)&lt;=B134)*(IF(Besatzung!$D$12="",Besatzung!$B$6,Besatzung!$D$12)&gt;=B134)))*(Besatzung!$F$12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$12&lt;&gt;"")*IF(B134="",1,(IF(Besatzung!$C$12="",Besatzung!$B$5,Besatzung!$C$12)&lt;=B134)*(IF(Besatzung!$D$12="",Besatzung!$B$6,Besatzung!$D$12)&gt;=B134)))*((G134-IFERROR(H134,0))/IFERROR(SUMPRODUCT((Besatzung!$B$11:$B$22&lt;&gt;"")*(IF(Besatzung!$C$11:$C$22="",Besatzung!$B$5,Besatzung!$C$11:$C$22)&lt;=B134)*(IF(Besatzung!$D$11:$D$22="",Besatzung!$B$6,Besatzung!$D$11:$D$22)&gt;=B134)),1)+(Besatzung!$F$12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K134="x")*((G134-IFERROR(H134,0))/IFERROR(COUNTIF(J134:U134,"x"),1)+(Besatzung!$F$12="x")*IFERROR(H134,0)/IFERROR(SUMPRODUCT((J134:U134="x")*(Besatzung!$F$11:$F$22="x")),1))),(IF(COUNTIF(J134:U134,"x")=0,IF(Besatzung!$B$12&lt;&gt;"",1,0),(K134="x"))*(G134-IFERROR(H134,0))/IFERROR(IF(COUNTIF(J134:U134,"x")=0,COUNTA(Besatzung!$B$11:$B$22),COUNTIF(J134:U134,"x")),1)+IF(COUNTIF(J134:U134,"x")=0,(Besatzung!$F$12="x"),(K134="x")*(Besatzung!$F$12="x"))*IFERROR(H134,0)/IFERROR(IF(COUNTIF(J134:U134,"x")=0,SUMPRODUCT((Besatzung!$B$11:$B$22&lt;&gt;"")*(Besatzung!$F$11:$F$22="x")),SUMPRODUCT((J134:U134="x")*(Besatzung!$F$11:$F$22="x"))),1))))),0))))</f>
        <v/>
      </c>
      <c r="X134" s="106">
        <f>IF(C134="Gutschrift","",IF(G134="","",IF(Besatzung!$B$13="","",IFERROR(IF(I134="Zeitanteilig",(Besatzung!$G$13*(G134-IFERROR(H134,0))+((Besatzung!$B$13&lt;&gt;"")*IF(B134="",1,(IF(Besatzung!$C$13="",Besatzung!$B$5,Besatzung!$C$13)&lt;=B134)*(IF(Besatzung!$D$13="",Besatzung!$B$6,Besatzung!$D$13)&gt;=B134)))*(Besatzung!$F$13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$13&lt;&gt;"")*IF(B134="",1,(IF(Besatzung!$C$13="",Besatzung!$B$5,Besatzung!$C$13)&lt;=B134)*(IF(Besatzung!$D$13="",Besatzung!$B$6,Besatzung!$D$13)&gt;=B134)))*((G134-IFERROR(H134,0))/IFERROR(SUMPRODUCT((Besatzung!$B$11:$B$22&lt;&gt;"")*(IF(Besatzung!$C$11:$C$22="",Besatzung!$B$5,Besatzung!$C$11:$C$22)&lt;=B134)*(IF(Besatzung!$D$11:$D$22="",Besatzung!$B$6,Besatzung!$D$11:$D$22)&gt;=B134)),1)+(Besatzung!$F$13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K134="x")*((G134-IFERROR(H134,0))/IFERROR(COUNTIF(J134:U134,"x"),1)+(Besatzung!$F$13="x")*IFERROR(H134,0)/IFERROR(SUMPRODUCT((J134:U134="x")*(Besatzung!$F$11:$F$22="x")),1))),(IF(COUNTIF(J134:U134,"x")=0,IF(Besatzung!$B$13&lt;&gt;"",1,0),(K134="x"))*(G134-IFERROR(H134,0))/IFERROR(IF(COUNTIF(J134:U134,"x")=0,COUNTA(Besatzung!$B$11:$B$22),COUNTIF(J134:U134,"x")),1)+IF(COUNTIF(J134:U134,"x")=0,(Besatzung!$F$13="x"),(K134="x")*(Besatzung!$F$13="x"))*IFERROR(H134,0)/IFERROR(IF(COUNTIF(J134:U134,"x")=0,SUMPRODUCT((Besatzung!$B$11:$B$22&lt;&gt;"")*(Besatzung!$F$11:$F$22="x")),SUMPRODUCT((J134:U134="x")*(Besatzung!$F$11:$F$22="x"))),1))))),0))))</f>
        <v/>
      </c>
      <c r="Y134" s="106">
        <f>IF(C134="Gutschrift","",IF(G134="","",IF(Besatzung!$B$14="","",IFERROR(IF(I134="Zeitanteilig",(Besatzung!$G$14*(G134-IFERROR(H134,0))+((Besatzung!$B$14&lt;&gt;"")*IF(B134="",1,(IF(Besatzung!$C$14="",Besatzung!$B$5,Besatzung!$C$14)&lt;=B134)*(IF(Besatzung!$D$14="",Besatzung!$B$6,Besatzung!$D$14)&gt;=B134)))*(Besatzung!$F$14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$14&lt;&gt;"")*IF(B134="",1,(IF(Besatzung!$C$14="",Besatzung!$B$5,Besatzung!$C$14)&lt;=B134)*(IF(Besatzung!$D$14="",Besatzung!$B$6,Besatzung!$D$14)&gt;=B134)))*((G134-IFERROR(H134,0))/IFERROR(SUMPRODUCT((Besatzung!$B$11:$B$22&lt;&gt;"")*(IF(Besatzung!$C$11:$C$22="",Besatzung!$B$5,Besatzung!$C$11:$C$22)&lt;=B134)*(IF(Besatzung!$D$11:$D$22="",Besatzung!$B$6,Besatzung!$D$11:$D$22)&gt;=B134)),1)+(Besatzung!$F$14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M134="x")*((G134-IFERROR(H134,0))/IFERROR(COUNTIF(J134:U134,"x"),1)+(Besatzung!$F$14="x")*IFERROR(H134,0)/IFERROR(SUMPRODUCT((J134:U134="x")*(Besatzung!$F$11:$F$22="x")),1))),(IF(COUNTIF(J134:U134,"x")=0,IF(Besatzung!$B$14&lt;&gt;"",1,0),(M134="x"))*(G134-IFERROR(H134,0))/IFERROR(IF(COUNTIF(J134:U134,"x")=0,COUNTA(Besatzung!$B$11:$B$22),COUNTIF(J134:U134,"x")),1)+IF(COUNTIF(J134:U134,"x")=0,(Besatzung!$F$14="x"),(M134="x")*(Besatzung!$F$14="x"))*IFERROR(H134,0)/IFERROR(IF(COUNTIF(J134:U134,"x")=0,SUMPRODUCT((Besatzung!$B$11:$B$22&lt;&gt;"")*(Besatzung!$F$11:$F$22="x")),SUMPRODUCT((J134:U134="x")*(Besatzung!$F$11:$F$22="x"))),1))))),0))))</f>
        <v/>
      </c>
      <c r="Z134" s="106">
        <f>IF(C134="Gutschrift","",IF(G134="","",IF(Besatzung!$B$13="","",IFERROR(IF(I134="Zeitanteilig",(Besatzung!$G$15*(G134-IFERROR(H134,0))+((Besatzung!$B$13&lt;&gt;"")*IF(B134="",1,(IF(Besatzung!$C$15="",Besatzung!$B$5,Besatzung!$C$15)&lt;=B134)*(IF(Besatzung!$D$15="",Besatzung!$B$6,Besatzung!$D$15)&gt;=B134)))*(Besatzung!$F$15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$13&lt;&gt;"")*IF(B134="",1,(IF(Besatzung!$C$15="",Besatzung!$B$5,Besatzung!$C$15)&lt;=B134)*(IF(Besatzung!$D$15="",Besatzung!$B$6,Besatzung!$D$15)&gt;=B134)))*((G134-IFERROR(H134,0))/IFERROR(SUMPRODUCT((Besatzung!$B$11:$B$22&lt;&gt;"")*(IF(Besatzung!$C$11:$C$22="",Besatzung!$B$5,Besatzung!$C$11:$C$22)&lt;=B134)*(IF(Besatzung!$D$11:$D$22="",Besatzung!$B$6,Besatzung!$D$11:$D$22)&gt;=B134)),1)+(Besatzung!$F$15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N134="x")*((G134-IFERROR(H134,0))/IFERROR(COUNTIF(J134:U134,"x"),1)+(Besatzung!$F$15="x")*IFERROR(H134,0)/IFERROR(SUMPRODUCT((J134:U134="x")*(Besatzung!$F$11:$F$22="x")),1))),(IF(COUNTIF(J134:U134,"x")=0,IF(Besatzung!$B$13&lt;&gt;"",1,0),(N134="x"))*(G134-IFERROR(H134,0))/IFERROR(IF(COUNTIF(J134:U134,"x")=0,COUNTA(Besatzung!$B$11:$B$22),COUNTIF(J134:U134,"x")),1)+IF(COUNTIF(J134:U134,"x")=0,(Besatzung!$F$15="x"),(N134="x")*(Besatzung!$F$15="x"))*IFERROR(H134,0)/IFERROR(IF(COUNTIF(J134:U134,"x")=0,SUMPRODUCT((Besatzung!$B$11:$B$22&lt;&gt;"")*(Besatzung!$F$11:$F$22="x")),SUMPRODUCT((J134:U134="x")*(Besatzung!$F$11:$F$22="x"))),1))))),0))))</f>
        <v/>
      </c>
      <c r="AA134" s="106">
        <f>IF(C134="Gutschrift","",IF(G134="","",IF(Besatzung!$B$15="","",IFERROR(IF(I134="Zeitanteilig",(Besatzung!$G$16*(G134-IFERROR(H134,0))+((Besatzung!$B$15&lt;&gt;"")*IF(B134="",1,(IF(Besatzung!$C$16="",Besatzung!$B$5,Besatzung!$C$16)&lt;=B134)*(IF(Besatzung!$D$16="",Besatzung!$B$6,Besatzung!$D$16)&gt;=B134)))*(Besatzung!$F$16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$15&lt;&gt;"")*IF(B134="",1,(IF(Besatzung!$C$16="",Besatzung!$B$5,Besatzung!$C$16)&lt;=B134)*(IF(Besatzung!$D$16="",Besatzung!$B$6,Besatzung!$D$16)&gt;=B134)))*((G134-IFERROR(H134,0))/IFERROR(SUMPRODUCT((Besatzung!$B$11:$B$22&lt;&gt;"")*(IF(Besatzung!$C$11:$C$22="",Besatzung!$B$5,Besatzung!$C$11:$C$22)&lt;=B134)*(IF(Besatzung!$D$11:$D$22="",Besatzung!$B$6,Besatzung!$D$11:$D$22)&gt;=B134)),1)+(Besatzung!$F$16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O134="x")*((G134-IFERROR(H134,0))/IFERROR(COUNTIF(J134:U134,"x"),1)+(Besatzung!$F$16="x")*IFERROR(H134,0)/IFERROR(SUMPRODUCT((J134:U134="x")*(Besatzung!$F$11:$F$22="x")),1))),(IF(COUNTIF(J134:U134,"x")=0,IF(Besatzung!$B$15&lt;&gt;"",1,0),(O134="x"))*(G134-IFERROR(H134,0))/IFERROR(IF(COUNTIF(J134:U134,"x")=0,COUNTA(Besatzung!$B$11:$B$22),COUNTIF(J134:U134,"x")),1)+IF(COUNTIF(J134:U134,"x")=0,(Besatzung!$F$16="x"),(O134="x")*(Besatzung!$F$16="x"))*IFERROR(H134,0)/IFERROR(IF(COUNTIF(J134:U134,"x")=0,SUMPRODUCT((Besatzung!$B$11:$B$22&lt;&gt;"")*(Besatzung!$F$11:$F$22="x")),SUMPRODUCT((J134:U134="x")*(Besatzung!$F$11:$F$22="x"))),1))))),0))))</f>
        <v/>
      </c>
      <c r="AB134" s="106">
        <f>IF(C134="Gutschrift","",IF(G134="","",IF(Besatzung!$B$17="","",IFERROR(IF(I134="Zeitanteilig",(Besatzung!$G$17*(G134-IFERROR(H134,0))+((Besatzung!$B$17&lt;&gt;"")*IF(B134="",1,(IF(Besatzung!$C$17="",Besatzung!$B$5,Besatzung!$C$17)&lt;=B134)*(IF(Besatzung!$D$17="",Besatzung!$B$6,Besatzung!$D$17)&gt;=B134)))*(Besatzung!$F$17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$17&lt;&gt;"")*IF(B134="",1,(IF(Besatzung!$C$17="",Besatzung!$B$5,Besatzung!$C$17)&lt;=B134)*(IF(Besatzung!$D$17="",Besatzung!$B$6,Besatzung!$D$17)&gt;=B134)))*((G134-IFERROR(H134,0))/IFERROR(SUMPRODUCT((Besatzung!$B$11:$B$22&lt;&gt;"")*(IF(Besatzung!$C$11:$C$22="",Besatzung!$B$5,Besatzung!$C$11:$C$22)&lt;=B134)*(IF(Besatzung!$D$11:$D$22="",Besatzung!$B$6,Besatzung!$D$11:$D$22)&gt;=B134)),1)+(Besatzung!$F$17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P134="x")*((G134-IFERROR(H134,0))/IFERROR(COUNTIF(J134:U134,"x"),1)+(Besatzung!$F$17="x")*IFERROR(H134,0)/IFERROR(SUMPRODUCT((J134:U134="x")*(Besatzung!$F$11:$F$22="x")),1))),(IF(COUNTIF(J134:U134,"x")=0,IF(Besatzung!$B$17&lt;&gt;"",1,0),(P134="x"))*(G134-IFERROR(H134,0))/IFERROR(IF(COUNTIF(J134:U134,"x")=0,COUNTA(Besatzung!$B$11:$B$22),COUNTIF(J134:U134,"x")),1)+IF(COUNTIF(J134:U134,"x")=0,(Besatzung!$F$17="x"),(P134="x")*(Besatzung!$F$17="x"))*IFERROR(H134,0)/IFERROR(IF(COUNTIF(J134:U134,"x")=0,SUMPRODUCT((Besatzung!$B$11:$B$22&lt;&gt;"")*(Besatzung!$F$11:$F$22="x")),SUMPRODUCT((J134:U134="x")*(Besatzung!$F$11:$F$22="x"))),1))))),0))))</f>
        <v/>
      </c>
      <c r="AC134" s="106">
        <f>IF(C134="Gutschrift","",IF(G134="","",IF(Besatzung!$B$18="","",IFERROR(IF(I134="Zeitanteilig",(Besatzung!$G$18*(G134-IFERROR(H134,0))+((Besatzung!$B$18&lt;&gt;"")*IF(B134="",1,(IF(Besatzung!$C$18="",Besatzung!$B$5,Besatzung!$C$18)&lt;=B134)*(IF(Besatzung!$D$18="",Besatzung!$B$6,Besatzung!$D$18)&gt;=B134)))*(Besatzung!$F$18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$18&lt;&gt;"")*IF(B134="",1,(IF(Besatzung!$C$18="",Besatzung!$B$5,Besatzung!$C$18)&lt;=B134)*(IF(Besatzung!$D$18="",Besatzung!$B$6,Besatzung!$D$18)&gt;=B134)))*((G134-IFERROR(H134,0))/IFERROR(SUMPRODUCT((Besatzung!$B$11:$B$22&lt;&gt;"")*(IF(Besatzung!$C$11:$C$22="",Besatzung!$B$5,Besatzung!$C$11:$C$22)&lt;=B134)*(IF(Besatzung!$D$11:$D$22="",Besatzung!$B$6,Besatzung!$D$11:$D$22)&gt;=B134)),1)+(Besatzung!$F$18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Q134="x")*((G134-IFERROR(H134,0))/IFERROR(COUNTIF(J134:U134,"x"),1)+(Besatzung!$F$18="x")*IFERROR(H134,0)/IFERROR(SUMPRODUCT((J134:U134="x")*(Besatzung!$F$11:$F$22="x")),1))),(IF(COUNTIF(J134:U134,"x")=0,IF(Besatzung!$B$18&lt;&gt;"",1,0),(Q134="x"))*(G134-IFERROR(H134,0))/IFERROR(IF(COUNTIF(J134:U134,"x")=0,COUNTA(Besatzung!$B$11:$B$22),COUNTIF(J134:U134,"x")),1)+IF(COUNTIF(J134:U134,"x")=0,(Besatzung!$F$18="x"),(Q134="x")*(Besatzung!$F$18="x"))*IFERROR(H134,0)/IFERROR(IF(COUNTIF(J134:U134,"x")=0,SUMPRODUCT((Besatzung!$B$11:$B$22&lt;&gt;"")*(Besatzung!$F$11:$F$22="x")),SUMPRODUCT((J134:U134="x")*(Besatzung!$F$11:$F$22="x"))),1))))),0))))</f>
        <v/>
      </c>
      <c r="AD134" s="106">
        <f>IF(C134="Gutschrift","",IF(G134="","",IF(Besatzung!$B$19="","",IFERROR(IF(I134="Zeitanteilig",(Besatzung!$G$19*(G134-IFERROR(H134,0))+((Besatzung!$B$19&lt;&gt;"")*IF(B134="",1,(IF(Besatzung!$C$19="",Besatzung!$B$5,Besatzung!$C$19)&lt;=B134)*(IF(Besatzung!$D$19="",Besatzung!$B$6,Besatzung!$D$19)&gt;=B134)))*(Besatzung!$F$19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$19&lt;&gt;"")*IF(B134="",1,(IF(Besatzung!$C$19="",Besatzung!$B$5,Besatzung!$C$19)&lt;=B134)*(IF(Besatzung!$D$19="",Besatzung!$B$6,Besatzung!$D$19)&gt;=B134)))*((G134-IFERROR(H134,0))/IFERROR(SUMPRODUCT((Besatzung!$B$11:$B$22&lt;&gt;"")*(IF(Besatzung!$C$11:$C$22="",Besatzung!$B$5,Besatzung!$C$11:$C$22)&lt;=B134)*(IF(Besatzung!$D$11:$D$22="",Besatzung!$B$6,Besatzung!$D$11:$D$22)&gt;=B134)),1)+(Besatzung!$F$19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R134="x")*((G134-IFERROR(H134,0))/IFERROR(COUNTIF(J134:U134,"x"),1)+(Besatzung!$F$19="x")*IFERROR(H134,0)/IFERROR(SUMPRODUCT((J134:U134="x")*(Besatzung!$F$11:$F$22="x")),1))),(IF(COUNTIF(J134:U134,"x")=0,IF(Besatzung!$B$19&lt;&gt;"",1,0),(R134="x"))*(G134-IFERROR(H134,0))/IFERROR(IF(COUNTIF(J134:U134,"x")=0,COUNTA(Besatzung!$B$11:$B$22),COUNTIF(J134:U134,"x")),1)+IF(COUNTIF(J134:U134,"x")=0,(Besatzung!$F$19="x"),(R134="x")*(Besatzung!$F$19="x"))*IFERROR(H134,0)/IFERROR(IF(COUNTIF(J134:U134,"x")=0,SUMPRODUCT((Besatzung!$B$11:$B$22&lt;&gt;"")*(Besatzung!$F$11:$F$22="x")),SUMPRODUCT((J134:U134="x")*(Besatzung!$F$11:$F$22="x"))),1))))),0))))</f>
        <v/>
      </c>
      <c r="AE134" s="106">
        <f>IF(C134="Gutschrift","",IF(G134="","",IF(Besatzung!$B$20="","",IFERROR(IF(I134="Zeitanteilig",(Besatzung!$G$20*(G134-IFERROR(H134,0))+((Besatzung!$B$20&lt;&gt;"")*IF(B134="",1,(IF(Besatzung!$C$20="",Besatzung!$B$5,Besatzung!$C$20)&lt;=B134)*(IF(Besatzung!$D$20="",Besatzung!$B$6,Besatzung!$D$20)&gt;=B134)))*(Besatzung!$F$20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$20&lt;&gt;"")*IF(B134="",1,(IF(Besatzung!$C$20="",Besatzung!$B$5,Besatzung!$C$20)&lt;=B134)*(IF(Besatzung!$D$20="",Besatzung!$B$6,Besatzung!$D$20)&gt;=B134)))*((G134-IFERROR(H134,0))/IFERROR(SUMPRODUCT((Besatzung!$B$11:$B$22&lt;&gt;"")*(IF(Besatzung!$C$11:$C$22="",Besatzung!$B$5,Besatzung!$C$11:$C$22)&lt;=B134)*(IF(Besatzung!$D$11:$D$22="",Besatzung!$B$6,Besatzung!$D$11:$D$22)&gt;=B134)),1)+(Besatzung!$F$20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S134="x")*((G134-IFERROR(H134,0))/IFERROR(COUNTIF(J134:U134,"x"),1)+(Besatzung!$F$20="x")*IFERROR(H134,0)/IFERROR(SUMPRODUCT((J134:U134="x")*(Besatzung!$F$11:$F$22="x")),1))),(IF(COUNTIF(J134:U134,"x")=0,IF(Besatzung!$B$20&lt;&gt;"",1,0),(S134="x"))*(G134-IFERROR(H134,0))/IFERROR(IF(COUNTIF(J134:U134,"x")=0,COUNTA(Besatzung!$B$11:$B$22),COUNTIF(J134:U134,"x")),1)+IF(COUNTIF(J134:U134,"x")=0,(Besatzung!$F$20="x"),(S134="x")*(Besatzung!$F$20="x"))*IFERROR(H134,0)/IFERROR(IF(COUNTIF(J134:U134,"x")=0,SUMPRODUCT((Besatzung!$B$11:$B$22&lt;&gt;"")*(Besatzung!$F$11:$F$22="x")),SUMPRODUCT((J134:U134="x")*(Besatzung!$F$11:$F$22="x"))),1))))),0))))</f>
        <v/>
      </c>
      <c r="AF134" s="106">
        <f>IF(C134="Gutschrift","",IF(G134="","",IF(Besatzung!$B$21="","",IFERROR(IF(I134="Zeitanteilig",(Besatzung!$G$21*(G134-IFERROR(H134,0))+((Besatzung!$B$21&lt;&gt;"")*IF(B134="",1,(IF(Besatzung!$C$21="",Besatzung!$B$5,Besatzung!$C$21)&lt;=B134)*(IF(Besatzung!$D$21="",Besatzung!$B$6,Besatzung!$D$21)&gt;=B134)))*(Besatzung!$F$21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$21&lt;&gt;"")*IF(B134="",1,(IF(Besatzung!$C$21="",Besatzung!$B$5,Besatzung!$C$21)&lt;=B134)*(IF(Besatzung!$D$21="",Besatzung!$B$6,Besatzung!$D$21)&gt;=B134)))*((G134-IFERROR(H134,0))/IFERROR(SUMPRODUCT((Besatzung!$B$11:$B$22&lt;&gt;"")*(IF(Besatzung!$C$11:$C$22="",Besatzung!$B$5,Besatzung!$C$11:$C$22)&lt;=B134)*(IF(Besatzung!$D$11:$D$22="",Besatzung!$B$6,Besatzung!$D$11:$D$22)&gt;=B134)),1)+(Besatzung!$F$21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T134="x")*((G134-IFERROR(H134,0))/IFERROR(COUNTIF(J134:U134,"x"),1)+(Besatzung!$F$21="x")*IFERROR(H134,0)/IFERROR(SUMPRODUCT((J134:U134="x")*(Besatzung!$F$11:$F$22="x")),1))),(IF(COUNTIF(J134:U134,"x")=0,IF(Besatzung!$B$21&lt;&gt;"",1,0),(T134="x"))*(G134-IFERROR(H134,0))/IFERROR(IF(COUNTIF(J134:U134,"x")=0,COUNTA(Besatzung!$B$11:$B$22),COUNTIF(J134:U134,"x")),1)+IF(COUNTIF(J134:U134,"x")=0,(Besatzung!$F$21="x"),(T134="x")*(Besatzung!$F$21="x"))*IFERROR(H134,0)/IFERROR(IF(COUNTIF(J134:U134,"x")=0,SUMPRODUCT((Besatzung!$B$11:$B$22&lt;&gt;"")*(Besatzung!$F$11:$F$22="x")),SUMPRODUCT((J134:U134="x")*(Besatzung!$F$11:$F$22="x"))),1))))),0))))</f>
        <v/>
      </c>
      <c r="AG134" s="106">
        <f>IF(C134="Gutschrift","",IF(G134="","",IF(Besatzung!$B$22="","",IFERROR(IF(I134="Zeitanteilig",(Besatzung!$G$22*(G134-IFERROR(H134,0))+((Besatzung!$B$22&lt;&gt;"")*IF(B134="",1,(IF(Besatzung!$C$22="",Besatzung!$B$5,Besatzung!$C$22)&lt;=B134)*(IF(Besatzung!$D$22="",Besatzung!$B$6,Besatzung!$D$22)&gt;=B134)))*(Besatzung!$F$22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$22&lt;&gt;"")*IF(B134="",1,(IF(Besatzung!$C$22="",Besatzung!$B$5,Besatzung!$C$22)&lt;=B134)*(IF(Besatzung!$D$22="",Besatzung!$B$6,Besatzung!$D$22)&gt;=B134)))*((G134-IFERROR(H134,0))/IFERROR(SUMPRODUCT((Besatzung!$B$11:$B$22&lt;&gt;"")*(IF(Besatzung!$C$11:$C$22="",Besatzung!$B$5,Besatzung!$C$11:$C$22)&lt;=B134)*(IF(Besatzung!$D$11:$D$22="",Besatzung!$B$6,Besatzung!$D$11:$D$22)&gt;=B134)),1)+(Besatzung!$F$22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U134="x")*((G134-IFERROR(H134,0))/IFERROR(COUNTIF(J134:U134,"x"),1)+(Besatzung!$F$22="x")*IFERROR(H134,0)/IFERROR(SUMPRODUCT((J134:U134="x")*(Besatzung!$F$11:$F$22="x")),1))),(IF(COUNTIF(J134:U134,"x")=0,IF(Besatzung!$B$22&lt;&gt;"",1,0),(U134="x"))*(G134-IFERROR(H134,0))/IFERROR(IF(COUNTIF(J134:U134,"x")=0,COUNTA(Besatzung!$B$11:$B$22),COUNTIF(J134:U134,"x")),1)+IF(COUNTIF(J134:U134,"x")=0,(Besatzung!$F$22="x"),(U134="x")*(Besatzung!$F$22="x"))*IFERROR(H134,0)/IFERROR(IF(COUNTIF(J134:U134,"x")=0,SUMPRODUCT((Besatzung!$B$11:$B$22&lt;&gt;"")*(Besatzung!$F$11:$F$22="x")),SUMPRODUCT((J134:U134="x")*(Besatzung!$F$11:$F$22="x"))),1))))),0))))</f>
        <v/>
      </c>
      <c r="AH134" s="107" t="n"/>
      <c r="AI134" s="107" t="n"/>
    </row>
    <row r="135" ht="21.75" customHeight="1" s="182">
      <c r="A135" s="97">
        <f>IF(AND(D135="",C135=""),"",132)</f>
        <v/>
      </c>
      <c r="B135" s="63" t="n"/>
      <c r="C135" s="108" t="n"/>
      <c r="D135" s="109" t="n"/>
      <c r="E135" s="110" t="n"/>
      <c r="F135" s="111" t="n"/>
      <c r="G135" s="112" t="n"/>
      <c r="H135" s="113" t="n"/>
      <c r="I135" s="114" t="n"/>
      <c r="J135" s="115" t="n"/>
      <c r="K135" s="115" t="n"/>
      <c r="L135" s="115" t="n"/>
      <c r="M135" s="115" t="n"/>
      <c r="N135" s="115" t="n"/>
      <c r="O135" s="115" t="n"/>
      <c r="P135" s="115" t="n"/>
      <c r="Q135" s="115" t="n"/>
      <c r="R135" s="115" t="n"/>
      <c r="S135" s="115" t="n"/>
      <c r="T135" s="115" t="n"/>
      <c r="U135" s="115" t="n"/>
      <c r="V135" s="106">
        <f>IF(C135="Gutschrift","",IF(G135="","",IF(Besatzung!$B$11="","",IFERROR(IF(I135="Zeitanteilig",(Besatzung!$G$11*(G135-IFERROR(H135,0))+((Besatzung!$B$11&lt;&gt;"")*IF(B135="",1,(IF(Besatzung!$C$11="",Besatzung!$B$5,Besatzung!$C$11)&lt;=B135)*(IF(Besatzung!$D$11="",Besatzung!$B$6,Besatzung!$D$11)&gt;=B135)))*(Besatzung!$F$11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$11&lt;&gt;"")*IF(B135="",1,(IF(Besatzung!$C$11="",Besatzung!$B$5,Besatzung!$C$11)&lt;=B135)*(IF(Besatzung!$D$11="",Besatzung!$B$6,Besatzung!$D$11)&gt;=B135)))*((G135-IFERROR(H135,0))/IFERROR(SUMPRODUCT((Besatzung!$B$11:$B$22&lt;&gt;"")*(IF(Besatzung!$C$11:$C$22="",Besatzung!$B$5,Besatzung!$C$11:$C$22)&lt;=B135)*(IF(Besatzung!$D$11:$D$22="",Besatzung!$B$6,Besatzung!$D$11:$D$22)&gt;=B135)),1)+(Besatzung!$F$11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J135="x")*((G135-IFERROR(H135,0))/IFERROR(COUNTIF(J135:U135,"x"),1)+(Besatzung!$F$11="x")*IFERROR(H135,0)/IFERROR(SUMPRODUCT((J135:U135="x")*(Besatzung!$F$11:$F$22="x")),1))),(IF(COUNTIF(J135:U135,"x")=0,IF(Besatzung!$B$11&lt;&gt;"",1,0),(J135="x"))*(G135-IFERROR(H135,0))/IFERROR(IF(COUNTIF(J135:U135,"x")=0,COUNTA(Besatzung!$B$11:$B$22),COUNTIF(J135:U135,"x")),1)+IF(COUNTIF(J135:U135,"x")=0,(Besatzung!$F$11="x"),(J135="x")*(Besatzung!$F$11="x"))*IFERROR(H135,0)/IFERROR(IF(COUNTIF(J135:U135,"x")=0,SUMPRODUCT((Besatzung!$B$11:$B$22&lt;&gt;"")*(Besatzung!$F$11:$F$22="x")),SUMPRODUCT((J135:U135="x")*(Besatzung!$F$11:$F$22="x"))),1))))),0))))</f>
        <v/>
      </c>
      <c r="W135" s="106">
        <f>IF(C135="Gutschrift","",IF(G135="","",IF(Besatzung!$B$12="","",IFERROR(IF(I135="Zeitanteilig",(Besatzung!$G$12*(G135-IFERROR(H135,0))+((Besatzung!$B$12&lt;&gt;"")*IF(B135="",1,(IF(Besatzung!$C$12="",Besatzung!$B$5,Besatzung!$C$12)&lt;=B135)*(IF(Besatzung!$D$12="",Besatzung!$B$6,Besatzung!$D$12)&gt;=B135)))*(Besatzung!$F$12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$12&lt;&gt;"")*IF(B135="",1,(IF(Besatzung!$C$12="",Besatzung!$B$5,Besatzung!$C$12)&lt;=B135)*(IF(Besatzung!$D$12="",Besatzung!$B$6,Besatzung!$D$12)&gt;=B135)))*((G135-IFERROR(H135,0))/IFERROR(SUMPRODUCT((Besatzung!$B$11:$B$22&lt;&gt;"")*(IF(Besatzung!$C$11:$C$22="",Besatzung!$B$5,Besatzung!$C$11:$C$22)&lt;=B135)*(IF(Besatzung!$D$11:$D$22="",Besatzung!$B$6,Besatzung!$D$11:$D$22)&gt;=B135)),1)+(Besatzung!$F$12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K135="x")*((G135-IFERROR(H135,0))/IFERROR(COUNTIF(J135:U135,"x"),1)+(Besatzung!$F$12="x")*IFERROR(H135,0)/IFERROR(SUMPRODUCT((J135:U135="x")*(Besatzung!$F$11:$F$22="x")),1))),(IF(COUNTIF(J135:U135,"x")=0,IF(Besatzung!$B$12&lt;&gt;"",1,0),(K135="x"))*(G135-IFERROR(H135,0))/IFERROR(IF(COUNTIF(J135:U135,"x")=0,COUNTA(Besatzung!$B$11:$B$22),COUNTIF(J135:U135,"x")),1)+IF(COUNTIF(J135:U135,"x")=0,(Besatzung!$F$12="x"),(K135="x")*(Besatzung!$F$12="x"))*IFERROR(H135,0)/IFERROR(IF(COUNTIF(J135:U135,"x")=0,SUMPRODUCT((Besatzung!$B$11:$B$22&lt;&gt;"")*(Besatzung!$F$11:$F$22="x")),SUMPRODUCT((J135:U135="x")*(Besatzung!$F$11:$F$22="x"))),1))))),0))))</f>
        <v/>
      </c>
      <c r="X135" s="106">
        <f>IF(C135="Gutschrift","",IF(G135="","",IF(Besatzung!$B$13="","",IFERROR(IF(I135="Zeitanteilig",(Besatzung!$G$13*(G135-IFERROR(H135,0))+((Besatzung!$B$13&lt;&gt;"")*IF(B135="",1,(IF(Besatzung!$C$13="",Besatzung!$B$5,Besatzung!$C$13)&lt;=B135)*(IF(Besatzung!$D$13="",Besatzung!$B$6,Besatzung!$D$13)&gt;=B135)))*(Besatzung!$F$13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$13&lt;&gt;"")*IF(B135="",1,(IF(Besatzung!$C$13="",Besatzung!$B$5,Besatzung!$C$13)&lt;=B135)*(IF(Besatzung!$D$13="",Besatzung!$B$6,Besatzung!$D$13)&gt;=B135)))*((G135-IFERROR(H135,0))/IFERROR(SUMPRODUCT((Besatzung!$B$11:$B$22&lt;&gt;"")*(IF(Besatzung!$C$11:$C$22="",Besatzung!$B$5,Besatzung!$C$11:$C$22)&lt;=B135)*(IF(Besatzung!$D$11:$D$22="",Besatzung!$B$6,Besatzung!$D$11:$D$22)&gt;=B135)),1)+(Besatzung!$F$13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K135="x")*((G135-IFERROR(H135,0))/IFERROR(COUNTIF(J135:U135,"x"),1)+(Besatzung!$F$13="x")*IFERROR(H135,0)/IFERROR(SUMPRODUCT((J135:U135="x")*(Besatzung!$F$11:$F$22="x")),1))),(IF(COUNTIF(J135:U135,"x")=0,IF(Besatzung!$B$13&lt;&gt;"",1,0),(K135="x"))*(G135-IFERROR(H135,0))/IFERROR(IF(COUNTIF(J135:U135,"x")=0,COUNTA(Besatzung!$B$11:$B$22),COUNTIF(J135:U135,"x")),1)+IF(COUNTIF(J135:U135,"x")=0,(Besatzung!$F$13="x"),(K135="x")*(Besatzung!$F$13="x"))*IFERROR(H135,0)/IFERROR(IF(COUNTIF(J135:U135,"x")=0,SUMPRODUCT((Besatzung!$B$11:$B$22&lt;&gt;"")*(Besatzung!$F$11:$F$22="x")),SUMPRODUCT((J135:U135="x")*(Besatzung!$F$11:$F$22="x"))),1))))),0))))</f>
        <v/>
      </c>
      <c r="Y135" s="106">
        <f>IF(C135="Gutschrift","",IF(G135="","",IF(Besatzung!$B$14="","",IFERROR(IF(I135="Zeitanteilig",(Besatzung!$G$14*(G135-IFERROR(H135,0))+((Besatzung!$B$14&lt;&gt;"")*IF(B135="",1,(IF(Besatzung!$C$14="",Besatzung!$B$5,Besatzung!$C$14)&lt;=B135)*(IF(Besatzung!$D$14="",Besatzung!$B$6,Besatzung!$D$14)&gt;=B135)))*(Besatzung!$F$14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$14&lt;&gt;"")*IF(B135="",1,(IF(Besatzung!$C$14="",Besatzung!$B$5,Besatzung!$C$14)&lt;=B135)*(IF(Besatzung!$D$14="",Besatzung!$B$6,Besatzung!$D$14)&gt;=B135)))*((G135-IFERROR(H135,0))/IFERROR(SUMPRODUCT((Besatzung!$B$11:$B$22&lt;&gt;"")*(IF(Besatzung!$C$11:$C$22="",Besatzung!$B$5,Besatzung!$C$11:$C$22)&lt;=B135)*(IF(Besatzung!$D$11:$D$22="",Besatzung!$B$6,Besatzung!$D$11:$D$22)&gt;=B135)),1)+(Besatzung!$F$14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M135="x")*((G135-IFERROR(H135,0))/IFERROR(COUNTIF(J135:U135,"x"),1)+(Besatzung!$F$14="x")*IFERROR(H135,0)/IFERROR(SUMPRODUCT((J135:U135="x")*(Besatzung!$F$11:$F$22="x")),1))),(IF(COUNTIF(J135:U135,"x")=0,IF(Besatzung!$B$14&lt;&gt;"",1,0),(M135="x"))*(G135-IFERROR(H135,0))/IFERROR(IF(COUNTIF(J135:U135,"x")=0,COUNTA(Besatzung!$B$11:$B$22),COUNTIF(J135:U135,"x")),1)+IF(COUNTIF(J135:U135,"x")=0,(Besatzung!$F$14="x"),(M135="x")*(Besatzung!$F$14="x"))*IFERROR(H135,0)/IFERROR(IF(COUNTIF(J135:U135,"x")=0,SUMPRODUCT((Besatzung!$B$11:$B$22&lt;&gt;"")*(Besatzung!$F$11:$F$22="x")),SUMPRODUCT((J135:U135="x")*(Besatzung!$F$11:$F$22="x"))),1))))),0))))</f>
        <v/>
      </c>
      <c r="Z135" s="106">
        <f>IF(C135="Gutschrift","",IF(G135="","",IF(Besatzung!$B$13="","",IFERROR(IF(I135="Zeitanteilig",(Besatzung!$G$15*(G135-IFERROR(H135,0))+((Besatzung!$B$13&lt;&gt;"")*IF(B135="",1,(IF(Besatzung!$C$15="",Besatzung!$B$5,Besatzung!$C$15)&lt;=B135)*(IF(Besatzung!$D$15="",Besatzung!$B$6,Besatzung!$D$15)&gt;=B135)))*(Besatzung!$F$15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$13&lt;&gt;"")*IF(B135="",1,(IF(Besatzung!$C$15="",Besatzung!$B$5,Besatzung!$C$15)&lt;=B135)*(IF(Besatzung!$D$15="",Besatzung!$B$6,Besatzung!$D$15)&gt;=B135)))*((G135-IFERROR(H135,0))/IFERROR(SUMPRODUCT((Besatzung!$B$11:$B$22&lt;&gt;"")*(IF(Besatzung!$C$11:$C$22="",Besatzung!$B$5,Besatzung!$C$11:$C$22)&lt;=B135)*(IF(Besatzung!$D$11:$D$22="",Besatzung!$B$6,Besatzung!$D$11:$D$22)&gt;=B135)),1)+(Besatzung!$F$15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N135="x")*((G135-IFERROR(H135,0))/IFERROR(COUNTIF(J135:U135,"x"),1)+(Besatzung!$F$15="x")*IFERROR(H135,0)/IFERROR(SUMPRODUCT((J135:U135="x")*(Besatzung!$F$11:$F$22="x")),1))),(IF(COUNTIF(J135:U135,"x")=0,IF(Besatzung!$B$13&lt;&gt;"",1,0),(N135="x"))*(G135-IFERROR(H135,0))/IFERROR(IF(COUNTIF(J135:U135,"x")=0,COUNTA(Besatzung!$B$11:$B$22),COUNTIF(J135:U135,"x")),1)+IF(COUNTIF(J135:U135,"x")=0,(Besatzung!$F$15="x"),(N135="x")*(Besatzung!$F$15="x"))*IFERROR(H135,0)/IFERROR(IF(COUNTIF(J135:U135,"x")=0,SUMPRODUCT((Besatzung!$B$11:$B$22&lt;&gt;"")*(Besatzung!$F$11:$F$22="x")),SUMPRODUCT((J135:U135="x")*(Besatzung!$F$11:$F$22="x"))),1))))),0))))</f>
        <v/>
      </c>
      <c r="AA135" s="106">
        <f>IF(C135="Gutschrift","",IF(G135="","",IF(Besatzung!$B$15="","",IFERROR(IF(I135="Zeitanteilig",(Besatzung!$G$16*(G135-IFERROR(H135,0))+((Besatzung!$B$15&lt;&gt;"")*IF(B135="",1,(IF(Besatzung!$C$16="",Besatzung!$B$5,Besatzung!$C$16)&lt;=B135)*(IF(Besatzung!$D$16="",Besatzung!$B$6,Besatzung!$D$16)&gt;=B135)))*(Besatzung!$F$16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$15&lt;&gt;"")*IF(B135="",1,(IF(Besatzung!$C$16="",Besatzung!$B$5,Besatzung!$C$16)&lt;=B135)*(IF(Besatzung!$D$16="",Besatzung!$B$6,Besatzung!$D$16)&gt;=B135)))*((G135-IFERROR(H135,0))/IFERROR(SUMPRODUCT((Besatzung!$B$11:$B$22&lt;&gt;"")*(IF(Besatzung!$C$11:$C$22="",Besatzung!$B$5,Besatzung!$C$11:$C$22)&lt;=B135)*(IF(Besatzung!$D$11:$D$22="",Besatzung!$B$6,Besatzung!$D$11:$D$22)&gt;=B135)),1)+(Besatzung!$F$16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O135="x")*((G135-IFERROR(H135,0))/IFERROR(COUNTIF(J135:U135,"x"),1)+(Besatzung!$F$16="x")*IFERROR(H135,0)/IFERROR(SUMPRODUCT((J135:U135="x")*(Besatzung!$F$11:$F$22="x")),1))),(IF(COUNTIF(J135:U135,"x")=0,IF(Besatzung!$B$15&lt;&gt;"",1,0),(O135="x"))*(G135-IFERROR(H135,0))/IFERROR(IF(COUNTIF(J135:U135,"x")=0,COUNTA(Besatzung!$B$11:$B$22),COUNTIF(J135:U135,"x")),1)+IF(COUNTIF(J135:U135,"x")=0,(Besatzung!$F$16="x"),(O135="x")*(Besatzung!$F$16="x"))*IFERROR(H135,0)/IFERROR(IF(COUNTIF(J135:U135,"x")=0,SUMPRODUCT((Besatzung!$B$11:$B$22&lt;&gt;"")*(Besatzung!$F$11:$F$22="x")),SUMPRODUCT((J135:U135="x")*(Besatzung!$F$11:$F$22="x"))),1))))),0))))</f>
        <v/>
      </c>
      <c r="AB135" s="106">
        <f>IF(C135="Gutschrift","",IF(G135="","",IF(Besatzung!$B$17="","",IFERROR(IF(I135="Zeitanteilig",(Besatzung!$G$17*(G135-IFERROR(H135,0))+((Besatzung!$B$17&lt;&gt;"")*IF(B135="",1,(IF(Besatzung!$C$17="",Besatzung!$B$5,Besatzung!$C$17)&lt;=B135)*(IF(Besatzung!$D$17="",Besatzung!$B$6,Besatzung!$D$17)&gt;=B135)))*(Besatzung!$F$17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$17&lt;&gt;"")*IF(B135="",1,(IF(Besatzung!$C$17="",Besatzung!$B$5,Besatzung!$C$17)&lt;=B135)*(IF(Besatzung!$D$17="",Besatzung!$B$6,Besatzung!$D$17)&gt;=B135)))*((G135-IFERROR(H135,0))/IFERROR(SUMPRODUCT((Besatzung!$B$11:$B$22&lt;&gt;"")*(IF(Besatzung!$C$11:$C$22="",Besatzung!$B$5,Besatzung!$C$11:$C$22)&lt;=B135)*(IF(Besatzung!$D$11:$D$22="",Besatzung!$B$6,Besatzung!$D$11:$D$22)&gt;=B135)),1)+(Besatzung!$F$17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P135="x")*((G135-IFERROR(H135,0))/IFERROR(COUNTIF(J135:U135,"x"),1)+(Besatzung!$F$17="x")*IFERROR(H135,0)/IFERROR(SUMPRODUCT((J135:U135="x")*(Besatzung!$F$11:$F$22="x")),1))),(IF(COUNTIF(J135:U135,"x")=0,IF(Besatzung!$B$17&lt;&gt;"",1,0),(P135="x"))*(G135-IFERROR(H135,0))/IFERROR(IF(COUNTIF(J135:U135,"x")=0,COUNTA(Besatzung!$B$11:$B$22),COUNTIF(J135:U135,"x")),1)+IF(COUNTIF(J135:U135,"x")=0,(Besatzung!$F$17="x"),(P135="x")*(Besatzung!$F$17="x"))*IFERROR(H135,0)/IFERROR(IF(COUNTIF(J135:U135,"x")=0,SUMPRODUCT((Besatzung!$B$11:$B$22&lt;&gt;"")*(Besatzung!$F$11:$F$22="x")),SUMPRODUCT((J135:U135="x")*(Besatzung!$F$11:$F$22="x"))),1))))),0))))</f>
        <v/>
      </c>
      <c r="AC135" s="106">
        <f>IF(C135="Gutschrift","",IF(G135="","",IF(Besatzung!$B$18="","",IFERROR(IF(I135="Zeitanteilig",(Besatzung!$G$18*(G135-IFERROR(H135,0))+((Besatzung!$B$18&lt;&gt;"")*IF(B135="",1,(IF(Besatzung!$C$18="",Besatzung!$B$5,Besatzung!$C$18)&lt;=B135)*(IF(Besatzung!$D$18="",Besatzung!$B$6,Besatzung!$D$18)&gt;=B135)))*(Besatzung!$F$18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$18&lt;&gt;"")*IF(B135="",1,(IF(Besatzung!$C$18="",Besatzung!$B$5,Besatzung!$C$18)&lt;=B135)*(IF(Besatzung!$D$18="",Besatzung!$B$6,Besatzung!$D$18)&gt;=B135)))*((G135-IFERROR(H135,0))/IFERROR(SUMPRODUCT((Besatzung!$B$11:$B$22&lt;&gt;"")*(IF(Besatzung!$C$11:$C$22="",Besatzung!$B$5,Besatzung!$C$11:$C$22)&lt;=B135)*(IF(Besatzung!$D$11:$D$22="",Besatzung!$B$6,Besatzung!$D$11:$D$22)&gt;=B135)),1)+(Besatzung!$F$18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Q135="x")*((G135-IFERROR(H135,0))/IFERROR(COUNTIF(J135:U135,"x"),1)+(Besatzung!$F$18="x")*IFERROR(H135,0)/IFERROR(SUMPRODUCT((J135:U135="x")*(Besatzung!$F$11:$F$22="x")),1))),(IF(COUNTIF(J135:U135,"x")=0,IF(Besatzung!$B$18&lt;&gt;"",1,0),(Q135="x"))*(G135-IFERROR(H135,0))/IFERROR(IF(COUNTIF(J135:U135,"x")=0,COUNTA(Besatzung!$B$11:$B$22),COUNTIF(J135:U135,"x")),1)+IF(COUNTIF(J135:U135,"x")=0,(Besatzung!$F$18="x"),(Q135="x")*(Besatzung!$F$18="x"))*IFERROR(H135,0)/IFERROR(IF(COUNTIF(J135:U135,"x")=0,SUMPRODUCT((Besatzung!$B$11:$B$22&lt;&gt;"")*(Besatzung!$F$11:$F$22="x")),SUMPRODUCT((J135:U135="x")*(Besatzung!$F$11:$F$22="x"))),1))))),0))))</f>
        <v/>
      </c>
      <c r="AD135" s="106">
        <f>IF(C135="Gutschrift","",IF(G135="","",IF(Besatzung!$B$19="","",IFERROR(IF(I135="Zeitanteilig",(Besatzung!$G$19*(G135-IFERROR(H135,0))+((Besatzung!$B$19&lt;&gt;"")*IF(B135="",1,(IF(Besatzung!$C$19="",Besatzung!$B$5,Besatzung!$C$19)&lt;=B135)*(IF(Besatzung!$D$19="",Besatzung!$B$6,Besatzung!$D$19)&gt;=B135)))*(Besatzung!$F$19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$19&lt;&gt;"")*IF(B135="",1,(IF(Besatzung!$C$19="",Besatzung!$B$5,Besatzung!$C$19)&lt;=B135)*(IF(Besatzung!$D$19="",Besatzung!$B$6,Besatzung!$D$19)&gt;=B135)))*((G135-IFERROR(H135,0))/IFERROR(SUMPRODUCT((Besatzung!$B$11:$B$22&lt;&gt;"")*(IF(Besatzung!$C$11:$C$22="",Besatzung!$B$5,Besatzung!$C$11:$C$22)&lt;=B135)*(IF(Besatzung!$D$11:$D$22="",Besatzung!$B$6,Besatzung!$D$11:$D$22)&gt;=B135)),1)+(Besatzung!$F$19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R135="x")*((G135-IFERROR(H135,0))/IFERROR(COUNTIF(J135:U135,"x"),1)+(Besatzung!$F$19="x")*IFERROR(H135,0)/IFERROR(SUMPRODUCT((J135:U135="x")*(Besatzung!$F$11:$F$22="x")),1))),(IF(COUNTIF(J135:U135,"x")=0,IF(Besatzung!$B$19&lt;&gt;"",1,0),(R135="x"))*(G135-IFERROR(H135,0))/IFERROR(IF(COUNTIF(J135:U135,"x")=0,COUNTA(Besatzung!$B$11:$B$22),COUNTIF(J135:U135,"x")),1)+IF(COUNTIF(J135:U135,"x")=0,(Besatzung!$F$19="x"),(R135="x")*(Besatzung!$F$19="x"))*IFERROR(H135,0)/IFERROR(IF(COUNTIF(J135:U135,"x")=0,SUMPRODUCT((Besatzung!$B$11:$B$22&lt;&gt;"")*(Besatzung!$F$11:$F$22="x")),SUMPRODUCT((J135:U135="x")*(Besatzung!$F$11:$F$22="x"))),1))))),0))))</f>
        <v/>
      </c>
      <c r="AE135" s="106">
        <f>IF(C135="Gutschrift","",IF(G135="","",IF(Besatzung!$B$20="","",IFERROR(IF(I135="Zeitanteilig",(Besatzung!$G$20*(G135-IFERROR(H135,0))+((Besatzung!$B$20&lt;&gt;"")*IF(B135="",1,(IF(Besatzung!$C$20="",Besatzung!$B$5,Besatzung!$C$20)&lt;=B135)*(IF(Besatzung!$D$20="",Besatzung!$B$6,Besatzung!$D$20)&gt;=B135)))*(Besatzung!$F$20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$20&lt;&gt;"")*IF(B135="",1,(IF(Besatzung!$C$20="",Besatzung!$B$5,Besatzung!$C$20)&lt;=B135)*(IF(Besatzung!$D$20="",Besatzung!$B$6,Besatzung!$D$20)&gt;=B135)))*((G135-IFERROR(H135,0))/IFERROR(SUMPRODUCT((Besatzung!$B$11:$B$22&lt;&gt;"")*(IF(Besatzung!$C$11:$C$22="",Besatzung!$B$5,Besatzung!$C$11:$C$22)&lt;=B135)*(IF(Besatzung!$D$11:$D$22="",Besatzung!$B$6,Besatzung!$D$11:$D$22)&gt;=B135)),1)+(Besatzung!$F$20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S135="x")*((G135-IFERROR(H135,0))/IFERROR(COUNTIF(J135:U135,"x"),1)+(Besatzung!$F$20="x")*IFERROR(H135,0)/IFERROR(SUMPRODUCT((J135:U135="x")*(Besatzung!$F$11:$F$22="x")),1))),(IF(COUNTIF(J135:U135,"x")=0,IF(Besatzung!$B$20&lt;&gt;"",1,0),(S135="x"))*(G135-IFERROR(H135,0))/IFERROR(IF(COUNTIF(J135:U135,"x")=0,COUNTA(Besatzung!$B$11:$B$22),COUNTIF(J135:U135,"x")),1)+IF(COUNTIF(J135:U135,"x")=0,(Besatzung!$F$20="x"),(S135="x")*(Besatzung!$F$20="x"))*IFERROR(H135,0)/IFERROR(IF(COUNTIF(J135:U135,"x")=0,SUMPRODUCT((Besatzung!$B$11:$B$22&lt;&gt;"")*(Besatzung!$F$11:$F$22="x")),SUMPRODUCT((J135:U135="x")*(Besatzung!$F$11:$F$22="x"))),1))))),0))))</f>
        <v/>
      </c>
      <c r="AF135" s="106">
        <f>IF(C135="Gutschrift","",IF(G135="","",IF(Besatzung!$B$21="","",IFERROR(IF(I135="Zeitanteilig",(Besatzung!$G$21*(G135-IFERROR(H135,0))+((Besatzung!$B$21&lt;&gt;"")*IF(B135="",1,(IF(Besatzung!$C$21="",Besatzung!$B$5,Besatzung!$C$21)&lt;=B135)*(IF(Besatzung!$D$21="",Besatzung!$B$6,Besatzung!$D$21)&gt;=B135)))*(Besatzung!$F$21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$21&lt;&gt;"")*IF(B135="",1,(IF(Besatzung!$C$21="",Besatzung!$B$5,Besatzung!$C$21)&lt;=B135)*(IF(Besatzung!$D$21="",Besatzung!$B$6,Besatzung!$D$21)&gt;=B135)))*((G135-IFERROR(H135,0))/IFERROR(SUMPRODUCT((Besatzung!$B$11:$B$22&lt;&gt;"")*(IF(Besatzung!$C$11:$C$22="",Besatzung!$B$5,Besatzung!$C$11:$C$22)&lt;=B135)*(IF(Besatzung!$D$11:$D$22="",Besatzung!$B$6,Besatzung!$D$11:$D$22)&gt;=B135)),1)+(Besatzung!$F$21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T135="x")*((G135-IFERROR(H135,0))/IFERROR(COUNTIF(J135:U135,"x"),1)+(Besatzung!$F$21="x")*IFERROR(H135,0)/IFERROR(SUMPRODUCT((J135:U135="x")*(Besatzung!$F$11:$F$22="x")),1))),(IF(COUNTIF(J135:U135,"x")=0,IF(Besatzung!$B$21&lt;&gt;"",1,0),(T135="x"))*(G135-IFERROR(H135,0))/IFERROR(IF(COUNTIF(J135:U135,"x")=0,COUNTA(Besatzung!$B$11:$B$22),COUNTIF(J135:U135,"x")),1)+IF(COUNTIF(J135:U135,"x")=0,(Besatzung!$F$21="x"),(T135="x")*(Besatzung!$F$21="x"))*IFERROR(H135,0)/IFERROR(IF(COUNTIF(J135:U135,"x")=0,SUMPRODUCT((Besatzung!$B$11:$B$22&lt;&gt;"")*(Besatzung!$F$11:$F$22="x")),SUMPRODUCT((J135:U135="x")*(Besatzung!$F$11:$F$22="x"))),1))))),0))))</f>
        <v/>
      </c>
      <c r="AG135" s="106">
        <f>IF(C135="Gutschrift","",IF(G135="","",IF(Besatzung!$B$22="","",IFERROR(IF(I135="Zeitanteilig",(Besatzung!$G$22*(G135-IFERROR(H135,0))+((Besatzung!$B$22&lt;&gt;"")*IF(B135="",1,(IF(Besatzung!$C$22="",Besatzung!$B$5,Besatzung!$C$22)&lt;=B135)*(IF(Besatzung!$D$22="",Besatzung!$B$6,Besatzung!$D$22)&gt;=B135)))*(Besatzung!$F$22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$22&lt;&gt;"")*IF(B135="",1,(IF(Besatzung!$C$22="",Besatzung!$B$5,Besatzung!$C$22)&lt;=B135)*(IF(Besatzung!$D$22="",Besatzung!$B$6,Besatzung!$D$22)&gt;=B135)))*((G135-IFERROR(H135,0))/IFERROR(SUMPRODUCT((Besatzung!$B$11:$B$22&lt;&gt;"")*(IF(Besatzung!$C$11:$C$22="",Besatzung!$B$5,Besatzung!$C$11:$C$22)&lt;=B135)*(IF(Besatzung!$D$11:$D$22="",Besatzung!$B$6,Besatzung!$D$11:$D$22)&gt;=B135)),1)+(Besatzung!$F$22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U135="x")*((G135-IFERROR(H135,0))/IFERROR(COUNTIF(J135:U135,"x"),1)+(Besatzung!$F$22="x")*IFERROR(H135,0)/IFERROR(SUMPRODUCT((J135:U135="x")*(Besatzung!$F$11:$F$22="x")),1))),(IF(COUNTIF(J135:U135,"x")=0,IF(Besatzung!$B$22&lt;&gt;"",1,0),(U135="x"))*(G135-IFERROR(H135,0))/IFERROR(IF(COUNTIF(J135:U135,"x")=0,COUNTA(Besatzung!$B$11:$B$22),COUNTIF(J135:U135,"x")),1)+IF(COUNTIF(J135:U135,"x")=0,(Besatzung!$F$22="x"),(U135="x")*(Besatzung!$F$22="x"))*IFERROR(H135,0)/IFERROR(IF(COUNTIF(J135:U135,"x")=0,SUMPRODUCT((Besatzung!$B$11:$B$22&lt;&gt;"")*(Besatzung!$F$11:$F$22="x")),SUMPRODUCT((J135:U135="x")*(Besatzung!$F$11:$F$22="x"))),1))))),0))))</f>
        <v/>
      </c>
      <c r="AH135" s="107" t="n"/>
      <c r="AI135" s="107" t="n"/>
    </row>
    <row r="136" ht="21.75" customHeight="1" s="182">
      <c r="A136" s="97">
        <f>IF(AND(D136="",C136=""),"",133)</f>
        <v/>
      </c>
      <c r="B136" s="56" t="n"/>
      <c r="C136" s="98" t="n"/>
      <c r="D136" s="99" t="n"/>
      <c r="E136" s="100" t="n"/>
      <c r="F136" s="101" t="n"/>
      <c r="G136" s="102" t="n"/>
      <c r="H136" s="103" t="n"/>
      <c r="I136" s="104" t="n"/>
      <c r="J136" s="105" t="n"/>
      <c r="K136" s="105" t="n"/>
      <c r="L136" s="105" t="n"/>
      <c r="M136" s="105" t="n"/>
      <c r="N136" s="105" t="n"/>
      <c r="O136" s="105" t="n"/>
      <c r="P136" s="105" t="n"/>
      <c r="Q136" s="105" t="n"/>
      <c r="R136" s="105" t="n"/>
      <c r="S136" s="105" t="n"/>
      <c r="T136" s="105" t="n"/>
      <c r="U136" s="105" t="n"/>
      <c r="V136" s="106">
        <f>IF(C136="Gutschrift","",IF(G136="","",IF(Besatzung!$B$11="","",IFERROR(IF(I136="Zeitanteilig",(Besatzung!$G$11*(G136-IFERROR(H136,0))+((Besatzung!$B$11&lt;&gt;"")*IF(B136="",1,(IF(Besatzung!$C$11="",Besatzung!$B$5,Besatzung!$C$11)&lt;=B136)*(IF(Besatzung!$D$11="",Besatzung!$B$6,Besatzung!$D$11)&gt;=B136)))*(Besatzung!$F$11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$11&lt;&gt;"")*IF(B136="",1,(IF(Besatzung!$C$11="",Besatzung!$B$5,Besatzung!$C$11)&lt;=B136)*(IF(Besatzung!$D$11="",Besatzung!$B$6,Besatzung!$D$11)&gt;=B136)))*((G136-IFERROR(H136,0))/IFERROR(SUMPRODUCT((Besatzung!$B$11:$B$22&lt;&gt;"")*(IF(Besatzung!$C$11:$C$22="",Besatzung!$B$5,Besatzung!$C$11:$C$22)&lt;=B136)*(IF(Besatzung!$D$11:$D$22="",Besatzung!$B$6,Besatzung!$D$11:$D$22)&gt;=B136)),1)+(Besatzung!$F$11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J136="x")*((G136-IFERROR(H136,0))/IFERROR(COUNTIF(J136:U136,"x"),1)+(Besatzung!$F$11="x")*IFERROR(H136,0)/IFERROR(SUMPRODUCT((J136:U136="x")*(Besatzung!$F$11:$F$22="x")),1))),(IF(COUNTIF(J136:U136,"x")=0,IF(Besatzung!$B$11&lt;&gt;"",1,0),(J136="x"))*(G136-IFERROR(H136,0))/IFERROR(IF(COUNTIF(J136:U136,"x")=0,COUNTA(Besatzung!$B$11:$B$22),COUNTIF(J136:U136,"x")),1)+IF(COUNTIF(J136:U136,"x")=0,(Besatzung!$F$11="x"),(J136="x")*(Besatzung!$F$11="x"))*IFERROR(H136,0)/IFERROR(IF(COUNTIF(J136:U136,"x")=0,SUMPRODUCT((Besatzung!$B$11:$B$22&lt;&gt;"")*(Besatzung!$F$11:$F$22="x")),SUMPRODUCT((J136:U136="x")*(Besatzung!$F$11:$F$22="x"))),1))))),0))))</f>
        <v/>
      </c>
      <c r="W136" s="106">
        <f>IF(C136="Gutschrift","",IF(G136="","",IF(Besatzung!$B$12="","",IFERROR(IF(I136="Zeitanteilig",(Besatzung!$G$12*(G136-IFERROR(H136,0))+((Besatzung!$B$12&lt;&gt;"")*IF(B136="",1,(IF(Besatzung!$C$12="",Besatzung!$B$5,Besatzung!$C$12)&lt;=B136)*(IF(Besatzung!$D$12="",Besatzung!$B$6,Besatzung!$D$12)&gt;=B136)))*(Besatzung!$F$12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$12&lt;&gt;"")*IF(B136="",1,(IF(Besatzung!$C$12="",Besatzung!$B$5,Besatzung!$C$12)&lt;=B136)*(IF(Besatzung!$D$12="",Besatzung!$B$6,Besatzung!$D$12)&gt;=B136)))*((G136-IFERROR(H136,0))/IFERROR(SUMPRODUCT((Besatzung!$B$11:$B$22&lt;&gt;"")*(IF(Besatzung!$C$11:$C$22="",Besatzung!$B$5,Besatzung!$C$11:$C$22)&lt;=B136)*(IF(Besatzung!$D$11:$D$22="",Besatzung!$B$6,Besatzung!$D$11:$D$22)&gt;=B136)),1)+(Besatzung!$F$12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K136="x")*((G136-IFERROR(H136,0))/IFERROR(COUNTIF(J136:U136,"x"),1)+(Besatzung!$F$12="x")*IFERROR(H136,0)/IFERROR(SUMPRODUCT((J136:U136="x")*(Besatzung!$F$11:$F$22="x")),1))),(IF(COUNTIF(J136:U136,"x")=0,IF(Besatzung!$B$12&lt;&gt;"",1,0),(K136="x"))*(G136-IFERROR(H136,0))/IFERROR(IF(COUNTIF(J136:U136,"x")=0,COUNTA(Besatzung!$B$11:$B$22),COUNTIF(J136:U136,"x")),1)+IF(COUNTIF(J136:U136,"x")=0,(Besatzung!$F$12="x"),(K136="x")*(Besatzung!$F$12="x"))*IFERROR(H136,0)/IFERROR(IF(COUNTIF(J136:U136,"x")=0,SUMPRODUCT((Besatzung!$B$11:$B$22&lt;&gt;"")*(Besatzung!$F$11:$F$22="x")),SUMPRODUCT((J136:U136="x")*(Besatzung!$F$11:$F$22="x"))),1))))),0))))</f>
        <v/>
      </c>
      <c r="X136" s="106">
        <f>IF(C136="Gutschrift","",IF(G136="","",IF(Besatzung!$B$13="","",IFERROR(IF(I136="Zeitanteilig",(Besatzung!$G$13*(G136-IFERROR(H136,0))+((Besatzung!$B$13&lt;&gt;"")*IF(B136="",1,(IF(Besatzung!$C$13="",Besatzung!$B$5,Besatzung!$C$13)&lt;=B136)*(IF(Besatzung!$D$13="",Besatzung!$B$6,Besatzung!$D$13)&gt;=B136)))*(Besatzung!$F$13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$13&lt;&gt;"")*IF(B136="",1,(IF(Besatzung!$C$13="",Besatzung!$B$5,Besatzung!$C$13)&lt;=B136)*(IF(Besatzung!$D$13="",Besatzung!$B$6,Besatzung!$D$13)&gt;=B136)))*((G136-IFERROR(H136,0))/IFERROR(SUMPRODUCT((Besatzung!$B$11:$B$22&lt;&gt;"")*(IF(Besatzung!$C$11:$C$22="",Besatzung!$B$5,Besatzung!$C$11:$C$22)&lt;=B136)*(IF(Besatzung!$D$11:$D$22="",Besatzung!$B$6,Besatzung!$D$11:$D$22)&gt;=B136)),1)+(Besatzung!$F$13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K136="x")*((G136-IFERROR(H136,0))/IFERROR(COUNTIF(J136:U136,"x"),1)+(Besatzung!$F$13="x")*IFERROR(H136,0)/IFERROR(SUMPRODUCT((J136:U136="x")*(Besatzung!$F$11:$F$22="x")),1))),(IF(COUNTIF(J136:U136,"x")=0,IF(Besatzung!$B$13&lt;&gt;"",1,0),(K136="x"))*(G136-IFERROR(H136,0))/IFERROR(IF(COUNTIF(J136:U136,"x")=0,COUNTA(Besatzung!$B$11:$B$22),COUNTIF(J136:U136,"x")),1)+IF(COUNTIF(J136:U136,"x")=0,(Besatzung!$F$13="x"),(K136="x")*(Besatzung!$F$13="x"))*IFERROR(H136,0)/IFERROR(IF(COUNTIF(J136:U136,"x")=0,SUMPRODUCT((Besatzung!$B$11:$B$22&lt;&gt;"")*(Besatzung!$F$11:$F$22="x")),SUMPRODUCT((J136:U136="x")*(Besatzung!$F$11:$F$22="x"))),1))))),0))))</f>
        <v/>
      </c>
      <c r="Y136" s="106">
        <f>IF(C136="Gutschrift","",IF(G136="","",IF(Besatzung!$B$14="","",IFERROR(IF(I136="Zeitanteilig",(Besatzung!$G$14*(G136-IFERROR(H136,0))+((Besatzung!$B$14&lt;&gt;"")*IF(B136="",1,(IF(Besatzung!$C$14="",Besatzung!$B$5,Besatzung!$C$14)&lt;=B136)*(IF(Besatzung!$D$14="",Besatzung!$B$6,Besatzung!$D$14)&gt;=B136)))*(Besatzung!$F$14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$14&lt;&gt;"")*IF(B136="",1,(IF(Besatzung!$C$14="",Besatzung!$B$5,Besatzung!$C$14)&lt;=B136)*(IF(Besatzung!$D$14="",Besatzung!$B$6,Besatzung!$D$14)&gt;=B136)))*((G136-IFERROR(H136,0))/IFERROR(SUMPRODUCT((Besatzung!$B$11:$B$22&lt;&gt;"")*(IF(Besatzung!$C$11:$C$22="",Besatzung!$B$5,Besatzung!$C$11:$C$22)&lt;=B136)*(IF(Besatzung!$D$11:$D$22="",Besatzung!$B$6,Besatzung!$D$11:$D$22)&gt;=B136)),1)+(Besatzung!$F$14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M136="x")*((G136-IFERROR(H136,0))/IFERROR(COUNTIF(J136:U136,"x"),1)+(Besatzung!$F$14="x")*IFERROR(H136,0)/IFERROR(SUMPRODUCT((J136:U136="x")*(Besatzung!$F$11:$F$22="x")),1))),(IF(COUNTIF(J136:U136,"x")=0,IF(Besatzung!$B$14&lt;&gt;"",1,0),(M136="x"))*(G136-IFERROR(H136,0))/IFERROR(IF(COUNTIF(J136:U136,"x")=0,COUNTA(Besatzung!$B$11:$B$22),COUNTIF(J136:U136,"x")),1)+IF(COUNTIF(J136:U136,"x")=0,(Besatzung!$F$14="x"),(M136="x")*(Besatzung!$F$14="x"))*IFERROR(H136,0)/IFERROR(IF(COUNTIF(J136:U136,"x")=0,SUMPRODUCT((Besatzung!$B$11:$B$22&lt;&gt;"")*(Besatzung!$F$11:$F$22="x")),SUMPRODUCT((J136:U136="x")*(Besatzung!$F$11:$F$22="x"))),1))))),0))))</f>
        <v/>
      </c>
      <c r="Z136" s="106">
        <f>IF(C136="Gutschrift","",IF(G136="","",IF(Besatzung!$B$13="","",IFERROR(IF(I136="Zeitanteilig",(Besatzung!$G$15*(G136-IFERROR(H136,0))+((Besatzung!$B$13&lt;&gt;"")*IF(B136="",1,(IF(Besatzung!$C$15="",Besatzung!$B$5,Besatzung!$C$15)&lt;=B136)*(IF(Besatzung!$D$15="",Besatzung!$B$6,Besatzung!$D$15)&gt;=B136)))*(Besatzung!$F$15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$13&lt;&gt;"")*IF(B136="",1,(IF(Besatzung!$C$15="",Besatzung!$B$5,Besatzung!$C$15)&lt;=B136)*(IF(Besatzung!$D$15="",Besatzung!$B$6,Besatzung!$D$15)&gt;=B136)))*((G136-IFERROR(H136,0))/IFERROR(SUMPRODUCT((Besatzung!$B$11:$B$22&lt;&gt;"")*(IF(Besatzung!$C$11:$C$22="",Besatzung!$B$5,Besatzung!$C$11:$C$22)&lt;=B136)*(IF(Besatzung!$D$11:$D$22="",Besatzung!$B$6,Besatzung!$D$11:$D$22)&gt;=B136)),1)+(Besatzung!$F$15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N136="x")*((G136-IFERROR(H136,0))/IFERROR(COUNTIF(J136:U136,"x"),1)+(Besatzung!$F$15="x")*IFERROR(H136,0)/IFERROR(SUMPRODUCT((J136:U136="x")*(Besatzung!$F$11:$F$22="x")),1))),(IF(COUNTIF(J136:U136,"x")=0,IF(Besatzung!$B$13&lt;&gt;"",1,0),(N136="x"))*(G136-IFERROR(H136,0))/IFERROR(IF(COUNTIF(J136:U136,"x")=0,COUNTA(Besatzung!$B$11:$B$22),COUNTIF(J136:U136,"x")),1)+IF(COUNTIF(J136:U136,"x")=0,(Besatzung!$F$15="x"),(N136="x")*(Besatzung!$F$15="x"))*IFERROR(H136,0)/IFERROR(IF(COUNTIF(J136:U136,"x")=0,SUMPRODUCT((Besatzung!$B$11:$B$22&lt;&gt;"")*(Besatzung!$F$11:$F$22="x")),SUMPRODUCT((J136:U136="x")*(Besatzung!$F$11:$F$22="x"))),1))))),0))))</f>
        <v/>
      </c>
      <c r="AA136" s="106">
        <f>IF(C136="Gutschrift","",IF(G136="","",IF(Besatzung!$B$15="","",IFERROR(IF(I136="Zeitanteilig",(Besatzung!$G$16*(G136-IFERROR(H136,0))+((Besatzung!$B$15&lt;&gt;"")*IF(B136="",1,(IF(Besatzung!$C$16="",Besatzung!$B$5,Besatzung!$C$16)&lt;=B136)*(IF(Besatzung!$D$16="",Besatzung!$B$6,Besatzung!$D$16)&gt;=B136)))*(Besatzung!$F$16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$15&lt;&gt;"")*IF(B136="",1,(IF(Besatzung!$C$16="",Besatzung!$B$5,Besatzung!$C$16)&lt;=B136)*(IF(Besatzung!$D$16="",Besatzung!$B$6,Besatzung!$D$16)&gt;=B136)))*((G136-IFERROR(H136,0))/IFERROR(SUMPRODUCT((Besatzung!$B$11:$B$22&lt;&gt;"")*(IF(Besatzung!$C$11:$C$22="",Besatzung!$B$5,Besatzung!$C$11:$C$22)&lt;=B136)*(IF(Besatzung!$D$11:$D$22="",Besatzung!$B$6,Besatzung!$D$11:$D$22)&gt;=B136)),1)+(Besatzung!$F$16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O136="x")*((G136-IFERROR(H136,0))/IFERROR(COUNTIF(J136:U136,"x"),1)+(Besatzung!$F$16="x")*IFERROR(H136,0)/IFERROR(SUMPRODUCT((J136:U136="x")*(Besatzung!$F$11:$F$22="x")),1))),(IF(COUNTIF(J136:U136,"x")=0,IF(Besatzung!$B$15&lt;&gt;"",1,0),(O136="x"))*(G136-IFERROR(H136,0))/IFERROR(IF(COUNTIF(J136:U136,"x")=0,COUNTA(Besatzung!$B$11:$B$22),COUNTIF(J136:U136,"x")),1)+IF(COUNTIF(J136:U136,"x")=0,(Besatzung!$F$16="x"),(O136="x")*(Besatzung!$F$16="x"))*IFERROR(H136,0)/IFERROR(IF(COUNTIF(J136:U136,"x")=0,SUMPRODUCT((Besatzung!$B$11:$B$22&lt;&gt;"")*(Besatzung!$F$11:$F$22="x")),SUMPRODUCT((J136:U136="x")*(Besatzung!$F$11:$F$22="x"))),1))))),0))))</f>
        <v/>
      </c>
      <c r="AB136" s="106">
        <f>IF(C136="Gutschrift","",IF(G136="","",IF(Besatzung!$B$17="","",IFERROR(IF(I136="Zeitanteilig",(Besatzung!$G$17*(G136-IFERROR(H136,0))+((Besatzung!$B$17&lt;&gt;"")*IF(B136="",1,(IF(Besatzung!$C$17="",Besatzung!$B$5,Besatzung!$C$17)&lt;=B136)*(IF(Besatzung!$D$17="",Besatzung!$B$6,Besatzung!$D$17)&gt;=B136)))*(Besatzung!$F$17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$17&lt;&gt;"")*IF(B136="",1,(IF(Besatzung!$C$17="",Besatzung!$B$5,Besatzung!$C$17)&lt;=B136)*(IF(Besatzung!$D$17="",Besatzung!$B$6,Besatzung!$D$17)&gt;=B136)))*((G136-IFERROR(H136,0))/IFERROR(SUMPRODUCT((Besatzung!$B$11:$B$22&lt;&gt;"")*(IF(Besatzung!$C$11:$C$22="",Besatzung!$B$5,Besatzung!$C$11:$C$22)&lt;=B136)*(IF(Besatzung!$D$11:$D$22="",Besatzung!$B$6,Besatzung!$D$11:$D$22)&gt;=B136)),1)+(Besatzung!$F$17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P136="x")*((G136-IFERROR(H136,0))/IFERROR(COUNTIF(J136:U136,"x"),1)+(Besatzung!$F$17="x")*IFERROR(H136,0)/IFERROR(SUMPRODUCT((J136:U136="x")*(Besatzung!$F$11:$F$22="x")),1))),(IF(COUNTIF(J136:U136,"x")=0,IF(Besatzung!$B$17&lt;&gt;"",1,0),(P136="x"))*(G136-IFERROR(H136,0))/IFERROR(IF(COUNTIF(J136:U136,"x")=0,COUNTA(Besatzung!$B$11:$B$22),COUNTIF(J136:U136,"x")),1)+IF(COUNTIF(J136:U136,"x")=0,(Besatzung!$F$17="x"),(P136="x")*(Besatzung!$F$17="x"))*IFERROR(H136,0)/IFERROR(IF(COUNTIF(J136:U136,"x")=0,SUMPRODUCT((Besatzung!$B$11:$B$22&lt;&gt;"")*(Besatzung!$F$11:$F$22="x")),SUMPRODUCT((J136:U136="x")*(Besatzung!$F$11:$F$22="x"))),1))))),0))))</f>
        <v/>
      </c>
      <c r="AC136" s="106">
        <f>IF(C136="Gutschrift","",IF(G136="","",IF(Besatzung!$B$18="","",IFERROR(IF(I136="Zeitanteilig",(Besatzung!$G$18*(G136-IFERROR(H136,0))+((Besatzung!$B$18&lt;&gt;"")*IF(B136="",1,(IF(Besatzung!$C$18="",Besatzung!$B$5,Besatzung!$C$18)&lt;=B136)*(IF(Besatzung!$D$18="",Besatzung!$B$6,Besatzung!$D$18)&gt;=B136)))*(Besatzung!$F$18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$18&lt;&gt;"")*IF(B136="",1,(IF(Besatzung!$C$18="",Besatzung!$B$5,Besatzung!$C$18)&lt;=B136)*(IF(Besatzung!$D$18="",Besatzung!$B$6,Besatzung!$D$18)&gt;=B136)))*((G136-IFERROR(H136,0))/IFERROR(SUMPRODUCT((Besatzung!$B$11:$B$22&lt;&gt;"")*(IF(Besatzung!$C$11:$C$22="",Besatzung!$B$5,Besatzung!$C$11:$C$22)&lt;=B136)*(IF(Besatzung!$D$11:$D$22="",Besatzung!$B$6,Besatzung!$D$11:$D$22)&gt;=B136)),1)+(Besatzung!$F$18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Q136="x")*((G136-IFERROR(H136,0))/IFERROR(COUNTIF(J136:U136,"x"),1)+(Besatzung!$F$18="x")*IFERROR(H136,0)/IFERROR(SUMPRODUCT((J136:U136="x")*(Besatzung!$F$11:$F$22="x")),1))),(IF(COUNTIF(J136:U136,"x")=0,IF(Besatzung!$B$18&lt;&gt;"",1,0),(Q136="x"))*(G136-IFERROR(H136,0))/IFERROR(IF(COUNTIF(J136:U136,"x")=0,COUNTA(Besatzung!$B$11:$B$22),COUNTIF(J136:U136,"x")),1)+IF(COUNTIF(J136:U136,"x")=0,(Besatzung!$F$18="x"),(Q136="x")*(Besatzung!$F$18="x"))*IFERROR(H136,0)/IFERROR(IF(COUNTIF(J136:U136,"x")=0,SUMPRODUCT((Besatzung!$B$11:$B$22&lt;&gt;"")*(Besatzung!$F$11:$F$22="x")),SUMPRODUCT((J136:U136="x")*(Besatzung!$F$11:$F$22="x"))),1))))),0))))</f>
        <v/>
      </c>
      <c r="AD136" s="106">
        <f>IF(C136="Gutschrift","",IF(G136="","",IF(Besatzung!$B$19="","",IFERROR(IF(I136="Zeitanteilig",(Besatzung!$G$19*(G136-IFERROR(H136,0))+((Besatzung!$B$19&lt;&gt;"")*IF(B136="",1,(IF(Besatzung!$C$19="",Besatzung!$B$5,Besatzung!$C$19)&lt;=B136)*(IF(Besatzung!$D$19="",Besatzung!$B$6,Besatzung!$D$19)&gt;=B136)))*(Besatzung!$F$19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$19&lt;&gt;"")*IF(B136="",1,(IF(Besatzung!$C$19="",Besatzung!$B$5,Besatzung!$C$19)&lt;=B136)*(IF(Besatzung!$D$19="",Besatzung!$B$6,Besatzung!$D$19)&gt;=B136)))*((G136-IFERROR(H136,0))/IFERROR(SUMPRODUCT((Besatzung!$B$11:$B$22&lt;&gt;"")*(IF(Besatzung!$C$11:$C$22="",Besatzung!$B$5,Besatzung!$C$11:$C$22)&lt;=B136)*(IF(Besatzung!$D$11:$D$22="",Besatzung!$B$6,Besatzung!$D$11:$D$22)&gt;=B136)),1)+(Besatzung!$F$19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R136="x")*((G136-IFERROR(H136,0))/IFERROR(COUNTIF(J136:U136,"x"),1)+(Besatzung!$F$19="x")*IFERROR(H136,0)/IFERROR(SUMPRODUCT((J136:U136="x")*(Besatzung!$F$11:$F$22="x")),1))),(IF(COUNTIF(J136:U136,"x")=0,IF(Besatzung!$B$19&lt;&gt;"",1,0),(R136="x"))*(G136-IFERROR(H136,0))/IFERROR(IF(COUNTIF(J136:U136,"x")=0,COUNTA(Besatzung!$B$11:$B$22),COUNTIF(J136:U136,"x")),1)+IF(COUNTIF(J136:U136,"x")=0,(Besatzung!$F$19="x"),(R136="x")*(Besatzung!$F$19="x"))*IFERROR(H136,0)/IFERROR(IF(COUNTIF(J136:U136,"x")=0,SUMPRODUCT((Besatzung!$B$11:$B$22&lt;&gt;"")*(Besatzung!$F$11:$F$22="x")),SUMPRODUCT((J136:U136="x")*(Besatzung!$F$11:$F$22="x"))),1))))),0))))</f>
        <v/>
      </c>
      <c r="AE136" s="106">
        <f>IF(C136="Gutschrift","",IF(G136="","",IF(Besatzung!$B$20="","",IFERROR(IF(I136="Zeitanteilig",(Besatzung!$G$20*(G136-IFERROR(H136,0))+((Besatzung!$B$20&lt;&gt;"")*IF(B136="",1,(IF(Besatzung!$C$20="",Besatzung!$B$5,Besatzung!$C$20)&lt;=B136)*(IF(Besatzung!$D$20="",Besatzung!$B$6,Besatzung!$D$20)&gt;=B136)))*(Besatzung!$F$20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$20&lt;&gt;"")*IF(B136="",1,(IF(Besatzung!$C$20="",Besatzung!$B$5,Besatzung!$C$20)&lt;=B136)*(IF(Besatzung!$D$20="",Besatzung!$B$6,Besatzung!$D$20)&gt;=B136)))*((G136-IFERROR(H136,0))/IFERROR(SUMPRODUCT((Besatzung!$B$11:$B$22&lt;&gt;"")*(IF(Besatzung!$C$11:$C$22="",Besatzung!$B$5,Besatzung!$C$11:$C$22)&lt;=B136)*(IF(Besatzung!$D$11:$D$22="",Besatzung!$B$6,Besatzung!$D$11:$D$22)&gt;=B136)),1)+(Besatzung!$F$20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S136="x")*((G136-IFERROR(H136,0))/IFERROR(COUNTIF(J136:U136,"x"),1)+(Besatzung!$F$20="x")*IFERROR(H136,0)/IFERROR(SUMPRODUCT((J136:U136="x")*(Besatzung!$F$11:$F$22="x")),1))),(IF(COUNTIF(J136:U136,"x")=0,IF(Besatzung!$B$20&lt;&gt;"",1,0),(S136="x"))*(G136-IFERROR(H136,0))/IFERROR(IF(COUNTIF(J136:U136,"x")=0,COUNTA(Besatzung!$B$11:$B$22),COUNTIF(J136:U136,"x")),1)+IF(COUNTIF(J136:U136,"x")=0,(Besatzung!$F$20="x"),(S136="x")*(Besatzung!$F$20="x"))*IFERROR(H136,0)/IFERROR(IF(COUNTIF(J136:U136,"x")=0,SUMPRODUCT((Besatzung!$B$11:$B$22&lt;&gt;"")*(Besatzung!$F$11:$F$22="x")),SUMPRODUCT((J136:U136="x")*(Besatzung!$F$11:$F$22="x"))),1))))),0))))</f>
        <v/>
      </c>
      <c r="AF136" s="106">
        <f>IF(C136="Gutschrift","",IF(G136="","",IF(Besatzung!$B$21="","",IFERROR(IF(I136="Zeitanteilig",(Besatzung!$G$21*(G136-IFERROR(H136,0))+((Besatzung!$B$21&lt;&gt;"")*IF(B136="",1,(IF(Besatzung!$C$21="",Besatzung!$B$5,Besatzung!$C$21)&lt;=B136)*(IF(Besatzung!$D$21="",Besatzung!$B$6,Besatzung!$D$21)&gt;=B136)))*(Besatzung!$F$21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$21&lt;&gt;"")*IF(B136="",1,(IF(Besatzung!$C$21="",Besatzung!$B$5,Besatzung!$C$21)&lt;=B136)*(IF(Besatzung!$D$21="",Besatzung!$B$6,Besatzung!$D$21)&gt;=B136)))*((G136-IFERROR(H136,0))/IFERROR(SUMPRODUCT((Besatzung!$B$11:$B$22&lt;&gt;"")*(IF(Besatzung!$C$11:$C$22="",Besatzung!$B$5,Besatzung!$C$11:$C$22)&lt;=B136)*(IF(Besatzung!$D$11:$D$22="",Besatzung!$B$6,Besatzung!$D$11:$D$22)&gt;=B136)),1)+(Besatzung!$F$21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T136="x")*((G136-IFERROR(H136,0))/IFERROR(COUNTIF(J136:U136,"x"),1)+(Besatzung!$F$21="x")*IFERROR(H136,0)/IFERROR(SUMPRODUCT((J136:U136="x")*(Besatzung!$F$11:$F$22="x")),1))),(IF(COUNTIF(J136:U136,"x")=0,IF(Besatzung!$B$21&lt;&gt;"",1,0),(T136="x"))*(G136-IFERROR(H136,0))/IFERROR(IF(COUNTIF(J136:U136,"x")=0,COUNTA(Besatzung!$B$11:$B$22),COUNTIF(J136:U136,"x")),1)+IF(COUNTIF(J136:U136,"x")=0,(Besatzung!$F$21="x"),(T136="x")*(Besatzung!$F$21="x"))*IFERROR(H136,0)/IFERROR(IF(COUNTIF(J136:U136,"x")=0,SUMPRODUCT((Besatzung!$B$11:$B$22&lt;&gt;"")*(Besatzung!$F$11:$F$22="x")),SUMPRODUCT((J136:U136="x")*(Besatzung!$F$11:$F$22="x"))),1))))),0))))</f>
        <v/>
      </c>
      <c r="AG136" s="106">
        <f>IF(C136="Gutschrift","",IF(G136="","",IF(Besatzung!$B$22="","",IFERROR(IF(I136="Zeitanteilig",(Besatzung!$G$22*(G136-IFERROR(H136,0))+((Besatzung!$B$22&lt;&gt;"")*IF(B136="",1,(IF(Besatzung!$C$22="",Besatzung!$B$5,Besatzung!$C$22)&lt;=B136)*(IF(Besatzung!$D$22="",Besatzung!$B$6,Besatzung!$D$22)&gt;=B136)))*(Besatzung!$F$22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$22&lt;&gt;"")*IF(B136="",1,(IF(Besatzung!$C$22="",Besatzung!$B$5,Besatzung!$C$22)&lt;=B136)*(IF(Besatzung!$D$22="",Besatzung!$B$6,Besatzung!$D$22)&gt;=B136)))*((G136-IFERROR(H136,0))/IFERROR(SUMPRODUCT((Besatzung!$B$11:$B$22&lt;&gt;"")*(IF(Besatzung!$C$11:$C$22="",Besatzung!$B$5,Besatzung!$C$11:$C$22)&lt;=B136)*(IF(Besatzung!$D$11:$D$22="",Besatzung!$B$6,Besatzung!$D$11:$D$22)&gt;=B136)),1)+(Besatzung!$F$22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U136="x")*((G136-IFERROR(H136,0))/IFERROR(COUNTIF(J136:U136,"x"),1)+(Besatzung!$F$22="x")*IFERROR(H136,0)/IFERROR(SUMPRODUCT((J136:U136="x")*(Besatzung!$F$11:$F$22="x")),1))),(IF(COUNTIF(J136:U136,"x")=0,IF(Besatzung!$B$22&lt;&gt;"",1,0),(U136="x"))*(G136-IFERROR(H136,0))/IFERROR(IF(COUNTIF(J136:U136,"x")=0,COUNTA(Besatzung!$B$11:$B$22),COUNTIF(J136:U136,"x")),1)+IF(COUNTIF(J136:U136,"x")=0,(Besatzung!$F$22="x"),(U136="x")*(Besatzung!$F$22="x"))*IFERROR(H136,0)/IFERROR(IF(COUNTIF(J136:U136,"x")=0,SUMPRODUCT((Besatzung!$B$11:$B$22&lt;&gt;"")*(Besatzung!$F$11:$F$22="x")),SUMPRODUCT((J136:U136="x")*(Besatzung!$F$11:$F$22="x"))),1))))),0))))</f>
        <v/>
      </c>
      <c r="AH136" s="107" t="n"/>
      <c r="AI136" s="107" t="n"/>
    </row>
    <row r="137" ht="21.75" customHeight="1" s="182">
      <c r="A137" s="97">
        <f>IF(AND(D137="",C137=""),"",134)</f>
        <v/>
      </c>
      <c r="B137" s="63" t="n"/>
      <c r="C137" s="108" t="n"/>
      <c r="D137" s="109" t="n"/>
      <c r="E137" s="110" t="n"/>
      <c r="F137" s="111" t="n"/>
      <c r="G137" s="112" t="n"/>
      <c r="H137" s="113" t="n"/>
      <c r="I137" s="114" t="n"/>
      <c r="J137" s="115" t="n"/>
      <c r="K137" s="115" t="n"/>
      <c r="L137" s="115" t="n"/>
      <c r="M137" s="115" t="n"/>
      <c r="N137" s="115" t="n"/>
      <c r="O137" s="115" t="n"/>
      <c r="P137" s="115" t="n"/>
      <c r="Q137" s="115" t="n"/>
      <c r="R137" s="115" t="n"/>
      <c r="S137" s="115" t="n"/>
      <c r="T137" s="115" t="n"/>
      <c r="U137" s="115" t="n"/>
      <c r="V137" s="106">
        <f>IF(C137="Gutschrift","",IF(G137="","",IF(Besatzung!$B$11="","",IFERROR(IF(I137="Zeitanteilig",(Besatzung!$G$11*(G137-IFERROR(H137,0))+((Besatzung!$B$11&lt;&gt;"")*IF(B137="",1,(IF(Besatzung!$C$11="",Besatzung!$B$5,Besatzung!$C$11)&lt;=B137)*(IF(Besatzung!$D$11="",Besatzung!$B$6,Besatzung!$D$11)&gt;=B137)))*(Besatzung!$F$11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$11&lt;&gt;"")*IF(B137="",1,(IF(Besatzung!$C$11="",Besatzung!$B$5,Besatzung!$C$11)&lt;=B137)*(IF(Besatzung!$D$11="",Besatzung!$B$6,Besatzung!$D$11)&gt;=B137)))*((G137-IFERROR(H137,0))/IFERROR(SUMPRODUCT((Besatzung!$B$11:$B$22&lt;&gt;"")*(IF(Besatzung!$C$11:$C$22="",Besatzung!$B$5,Besatzung!$C$11:$C$22)&lt;=B137)*(IF(Besatzung!$D$11:$D$22="",Besatzung!$B$6,Besatzung!$D$11:$D$22)&gt;=B137)),1)+(Besatzung!$F$11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J137="x")*((G137-IFERROR(H137,0))/IFERROR(COUNTIF(J137:U137,"x"),1)+(Besatzung!$F$11="x")*IFERROR(H137,0)/IFERROR(SUMPRODUCT((J137:U137="x")*(Besatzung!$F$11:$F$22="x")),1))),(IF(COUNTIF(J137:U137,"x")=0,IF(Besatzung!$B$11&lt;&gt;"",1,0),(J137="x"))*(G137-IFERROR(H137,0))/IFERROR(IF(COUNTIF(J137:U137,"x")=0,COUNTA(Besatzung!$B$11:$B$22),COUNTIF(J137:U137,"x")),1)+IF(COUNTIF(J137:U137,"x")=0,(Besatzung!$F$11="x"),(J137="x")*(Besatzung!$F$11="x"))*IFERROR(H137,0)/IFERROR(IF(COUNTIF(J137:U137,"x")=0,SUMPRODUCT((Besatzung!$B$11:$B$22&lt;&gt;"")*(Besatzung!$F$11:$F$22="x")),SUMPRODUCT((J137:U137="x")*(Besatzung!$F$11:$F$22="x"))),1))))),0))))</f>
        <v/>
      </c>
      <c r="W137" s="106">
        <f>IF(C137="Gutschrift","",IF(G137="","",IF(Besatzung!$B$12="","",IFERROR(IF(I137="Zeitanteilig",(Besatzung!$G$12*(G137-IFERROR(H137,0))+((Besatzung!$B$12&lt;&gt;"")*IF(B137="",1,(IF(Besatzung!$C$12="",Besatzung!$B$5,Besatzung!$C$12)&lt;=B137)*(IF(Besatzung!$D$12="",Besatzung!$B$6,Besatzung!$D$12)&gt;=B137)))*(Besatzung!$F$12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$12&lt;&gt;"")*IF(B137="",1,(IF(Besatzung!$C$12="",Besatzung!$B$5,Besatzung!$C$12)&lt;=B137)*(IF(Besatzung!$D$12="",Besatzung!$B$6,Besatzung!$D$12)&gt;=B137)))*((G137-IFERROR(H137,0))/IFERROR(SUMPRODUCT((Besatzung!$B$11:$B$22&lt;&gt;"")*(IF(Besatzung!$C$11:$C$22="",Besatzung!$B$5,Besatzung!$C$11:$C$22)&lt;=B137)*(IF(Besatzung!$D$11:$D$22="",Besatzung!$B$6,Besatzung!$D$11:$D$22)&gt;=B137)),1)+(Besatzung!$F$12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K137="x")*((G137-IFERROR(H137,0))/IFERROR(COUNTIF(J137:U137,"x"),1)+(Besatzung!$F$12="x")*IFERROR(H137,0)/IFERROR(SUMPRODUCT((J137:U137="x")*(Besatzung!$F$11:$F$22="x")),1))),(IF(COUNTIF(J137:U137,"x")=0,IF(Besatzung!$B$12&lt;&gt;"",1,0),(K137="x"))*(G137-IFERROR(H137,0))/IFERROR(IF(COUNTIF(J137:U137,"x")=0,COUNTA(Besatzung!$B$11:$B$22),COUNTIF(J137:U137,"x")),1)+IF(COUNTIF(J137:U137,"x")=0,(Besatzung!$F$12="x"),(K137="x")*(Besatzung!$F$12="x"))*IFERROR(H137,0)/IFERROR(IF(COUNTIF(J137:U137,"x")=0,SUMPRODUCT((Besatzung!$B$11:$B$22&lt;&gt;"")*(Besatzung!$F$11:$F$22="x")),SUMPRODUCT((J137:U137="x")*(Besatzung!$F$11:$F$22="x"))),1))))),0))))</f>
        <v/>
      </c>
      <c r="X137" s="106">
        <f>IF(C137="Gutschrift","",IF(G137="","",IF(Besatzung!$B$13="","",IFERROR(IF(I137="Zeitanteilig",(Besatzung!$G$13*(G137-IFERROR(H137,0))+((Besatzung!$B$13&lt;&gt;"")*IF(B137="",1,(IF(Besatzung!$C$13="",Besatzung!$B$5,Besatzung!$C$13)&lt;=B137)*(IF(Besatzung!$D$13="",Besatzung!$B$6,Besatzung!$D$13)&gt;=B137)))*(Besatzung!$F$13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$13&lt;&gt;"")*IF(B137="",1,(IF(Besatzung!$C$13="",Besatzung!$B$5,Besatzung!$C$13)&lt;=B137)*(IF(Besatzung!$D$13="",Besatzung!$B$6,Besatzung!$D$13)&gt;=B137)))*((G137-IFERROR(H137,0))/IFERROR(SUMPRODUCT((Besatzung!$B$11:$B$22&lt;&gt;"")*(IF(Besatzung!$C$11:$C$22="",Besatzung!$B$5,Besatzung!$C$11:$C$22)&lt;=B137)*(IF(Besatzung!$D$11:$D$22="",Besatzung!$B$6,Besatzung!$D$11:$D$22)&gt;=B137)),1)+(Besatzung!$F$13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K137="x")*((G137-IFERROR(H137,0))/IFERROR(COUNTIF(J137:U137,"x"),1)+(Besatzung!$F$13="x")*IFERROR(H137,0)/IFERROR(SUMPRODUCT((J137:U137="x")*(Besatzung!$F$11:$F$22="x")),1))),(IF(COUNTIF(J137:U137,"x")=0,IF(Besatzung!$B$13&lt;&gt;"",1,0),(K137="x"))*(G137-IFERROR(H137,0))/IFERROR(IF(COUNTIF(J137:U137,"x")=0,COUNTA(Besatzung!$B$11:$B$22),COUNTIF(J137:U137,"x")),1)+IF(COUNTIF(J137:U137,"x")=0,(Besatzung!$F$13="x"),(K137="x")*(Besatzung!$F$13="x"))*IFERROR(H137,0)/IFERROR(IF(COUNTIF(J137:U137,"x")=0,SUMPRODUCT((Besatzung!$B$11:$B$22&lt;&gt;"")*(Besatzung!$F$11:$F$22="x")),SUMPRODUCT((J137:U137="x")*(Besatzung!$F$11:$F$22="x"))),1))))),0))))</f>
        <v/>
      </c>
      <c r="Y137" s="106">
        <f>IF(C137="Gutschrift","",IF(G137="","",IF(Besatzung!$B$14="","",IFERROR(IF(I137="Zeitanteilig",(Besatzung!$G$14*(G137-IFERROR(H137,0))+((Besatzung!$B$14&lt;&gt;"")*IF(B137="",1,(IF(Besatzung!$C$14="",Besatzung!$B$5,Besatzung!$C$14)&lt;=B137)*(IF(Besatzung!$D$14="",Besatzung!$B$6,Besatzung!$D$14)&gt;=B137)))*(Besatzung!$F$14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$14&lt;&gt;"")*IF(B137="",1,(IF(Besatzung!$C$14="",Besatzung!$B$5,Besatzung!$C$14)&lt;=B137)*(IF(Besatzung!$D$14="",Besatzung!$B$6,Besatzung!$D$14)&gt;=B137)))*((G137-IFERROR(H137,0))/IFERROR(SUMPRODUCT((Besatzung!$B$11:$B$22&lt;&gt;"")*(IF(Besatzung!$C$11:$C$22="",Besatzung!$B$5,Besatzung!$C$11:$C$22)&lt;=B137)*(IF(Besatzung!$D$11:$D$22="",Besatzung!$B$6,Besatzung!$D$11:$D$22)&gt;=B137)),1)+(Besatzung!$F$14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M137="x")*((G137-IFERROR(H137,0))/IFERROR(COUNTIF(J137:U137,"x"),1)+(Besatzung!$F$14="x")*IFERROR(H137,0)/IFERROR(SUMPRODUCT((J137:U137="x")*(Besatzung!$F$11:$F$22="x")),1))),(IF(COUNTIF(J137:U137,"x")=0,IF(Besatzung!$B$14&lt;&gt;"",1,0),(M137="x"))*(G137-IFERROR(H137,0))/IFERROR(IF(COUNTIF(J137:U137,"x")=0,COUNTA(Besatzung!$B$11:$B$22),COUNTIF(J137:U137,"x")),1)+IF(COUNTIF(J137:U137,"x")=0,(Besatzung!$F$14="x"),(M137="x")*(Besatzung!$F$14="x"))*IFERROR(H137,0)/IFERROR(IF(COUNTIF(J137:U137,"x")=0,SUMPRODUCT((Besatzung!$B$11:$B$22&lt;&gt;"")*(Besatzung!$F$11:$F$22="x")),SUMPRODUCT((J137:U137="x")*(Besatzung!$F$11:$F$22="x"))),1))))),0))))</f>
        <v/>
      </c>
      <c r="Z137" s="106">
        <f>IF(C137="Gutschrift","",IF(G137="","",IF(Besatzung!$B$13="","",IFERROR(IF(I137="Zeitanteilig",(Besatzung!$G$15*(G137-IFERROR(H137,0))+((Besatzung!$B$13&lt;&gt;"")*IF(B137="",1,(IF(Besatzung!$C$15="",Besatzung!$B$5,Besatzung!$C$15)&lt;=B137)*(IF(Besatzung!$D$15="",Besatzung!$B$6,Besatzung!$D$15)&gt;=B137)))*(Besatzung!$F$15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$13&lt;&gt;"")*IF(B137="",1,(IF(Besatzung!$C$15="",Besatzung!$B$5,Besatzung!$C$15)&lt;=B137)*(IF(Besatzung!$D$15="",Besatzung!$B$6,Besatzung!$D$15)&gt;=B137)))*((G137-IFERROR(H137,0))/IFERROR(SUMPRODUCT((Besatzung!$B$11:$B$22&lt;&gt;"")*(IF(Besatzung!$C$11:$C$22="",Besatzung!$B$5,Besatzung!$C$11:$C$22)&lt;=B137)*(IF(Besatzung!$D$11:$D$22="",Besatzung!$B$6,Besatzung!$D$11:$D$22)&gt;=B137)),1)+(Besatzung!$F$15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N137="x")*((G137-IFERROR(H137,0))/IFERROR(COUNTIF(J137:U137,"x"),1)+(Besatzung!$F$15="x")*IFERROR(H137,0)/IFERROR(SUMPRODUCT((J137:U137="x")*(Besatzung!$F$11:$F$22="x")),1))),(IF(COUNTIF(J137:U137,"x")=0,IF(Besatzung!$B$13&lt;&gt;"",1,0),(N137="x"))*(G137-IFERROR(H137,0))/IFERROR(IF(COUNTIF(J137:U137,"x")=0,COUNTA(Besatzung!$B$11:$B$22),COUNTIF(J137:U137,"x")),1)+IF(COUNTIF(J137:U137,"x")=0,(Besatzung!$F$15="x"),(N137="x")*(Besatzung!$F$15="x"))*IFERROR(H137,0)/IFERROR(IF(COUNTIF(J137:U137,"x")=0,SUMPRODUCT((Besatzung!$B$11:$B$22&lt;&gt;"")*(Besatzung!$F$11:$F$22="x")),SUMPRODUCT((J137:U137="x")*(Besatzung!$F$11:$F$22="x"))),1))))),0))))</f>
        <v/>
      </c>
      <c r="AA137" s="106">
        <f>IF(C137="Gutschrift","",IF(G137="","",IF(Besatzung!$B$15="","",IFERROR(IF(I137="Zeitanteilig",(Besatzung!$G$16*(G137-IFERROR(H137,0))+((Besatzung!$B$15&lt;&gt;"")*IF(B137="",1,(IF(Besatzung!$C$16="",Besatzung!$B$5,Besatzung!$C$16)&lt;=B137)*(IF(Besatzung!$D$16="",Besatzung!$B$6,Besatzung!$D$16)&gt;=B137)))*(Besatzung!$F$16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$15&lt;&gt;"")*IF(B137="",1,(IF(Besatzung!$C$16="",Besatzung!$B$5,Besatzung!$C$16)&lt;=B137)*(IF(Besatzung!$D$16="",Besatzung!$B$6,Besatzung!$D$16)&gt;=B137)))*((G137-IFERROR(H137,0))/IFERROR(SUMPRODUCT((Besatzung!$B$11:$B$22&lt;&gt;"")*(IF(Besatzung!$C$11:$C$22="",Besatzung!$B$5,Besatzung!$C$11:$C$22)&lt;=B137)*(IF(Besatzung!$D$11:$D$22="",Besatzung!$B$6,Besatzung!$D$11:$D$22)&gt;=B137)),1)+(Besatzung!$F$16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O137="x")*((G137-IFERROR(H137,0))/IFERROR(COUNTIF(J137:U137,"x"),1)+(Besatzung!$F$16="x")*IFERROR(H137,0)/IFERROR(SUMPRODUCT((J137:U137="x")*(Besatzung!$F$11:$F$22="x")),1))),(IF(COUNTIF(J137:U137,"x")=0,IF(Besatzung!$B$15&lt;&gt;"",1,0),(O137="x"))*(G137-IFERROR(H137,0))/IFERROR(IF(COUNTIF(J137:U137,"x")=0,COUNTA(Besatzung!$B$11:$B$22),COUNTIF(J137:U137,"x")),1)+IF(COUNTIF(J137:U137,"x")=0,(Besatzung!$F$16="x"),(O137="x")*(Besatzung!$F$16="x"))*IFERROR(H137,0)/IFERROR(IF(COUNTIF(J137:U137,"x")=0,SUMPRODUCT((Besatzung!$B$11:$B$22&lt;&gt;"")*(Besatzung!$F$11:$F$22="x")),SUMPRODUCT((J137:U137="x")*(Besatzung!$F$11:$F$22="x"))),1))))),0))))</f>
        <v/>
      </c>
      <c r="AB137" s="106">
        <f>IF(C137="Gutschrift","",IF(G137="","",IF(Besatzung!$B$17="","",IFERROR(IF(I137="Zeitanteilig",(Besatzung!$G$17*(G137-IFERROR(H137,0))+((Besatzung!$B$17&lt;&gt;"")*IF(B137="",1,(IF(Besatzung!$C$17="",Besatzung!$B$5,Besatzung!$C$17)&lt;=B137)*(IF(Besatzung!$D$17="",Besatzung!$B$6,Besatzung!$D$17)&gt;=B137)))*(Besatzung!$F$17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$17&lt;&gt;"")*IF(B137="",1,(IF(Besatzung!$C$17="",Besatzung!$B$5,Besatzung!$C$17)&lt;=B137)*(IF(Besatzung!$D$17="",Besatzung!$B$6,Besatzung!$D$17)&gt;=B137)))*((G137-IFERROR(H137,0))/IFERROR(SUMPRODUCT((Besatzung!$B$11:$B$22&lt;&gt;"")*(IF(Besatzung!$C$11:$C$22="",Besatzung!$B$5,Besatzung!$C$11:$C$22)&lt;=B137)*(IF(Besatzung!$D$11:$D$22="",Besatzung!$B$6,Besatzung!$D$11:$D$22)&gt;=B137)),1)+(Besatzung!$F$17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P137="x")*((G137-IFERROR(H137,0))/IFERROR(COUNTIF(J137:U137,"x"),1)+(Besatzung!$F$17="x")*IFERROR(H137,0)/IFERROR(SUMPRODUCT((J137:U137="x")*(Besatzung!$F$11:$F$22="x")),1))),(IF(COUNTIF(J137:U137,"x")=0,IF(Besatzung!$B$17&lt;&gt;"",1,0),(P137="x"))*(G137-IFERROR(H137,0))/IFERROR(IF(COUNTIF(J137:U137,"x")=0,COUNTA(Besatzung!$B$11:$B$22),COUNTIF(J137:U137,"x")),1)+IF(COUNTIF(J137:U137,"x")=0,(Besatzung!$F$17="x"),(P137="x")*(Besatzung!$F$17="x"))*IFERROR(H137,0)/IFERROR(IF(COUNTIF(J137:U137,"x")=0,SUMPRODUCT((Besatzung!$B$11:$B$22&lt;&gt;"")*(Besatzung!$F$11:$F$22="x")),SUMPRODUCT((J137:U137="x")*(Besatzung!$F$11:$F$22="x"))),1))))),0))))</f>
        <v/>
      </c>
      <c r="AC137" s="106">
        <f>IF(C137="Gutschrift","",IF(G137="","",IF(Besatzung!$B$18="","",IFERROR(IF(I137="Zeitanteilig",(Besatzung!$G$18*(G137-IFERROR(H137,0))+((Besatzung!$B$18&lt;&gt;"")*IF(B137="",1,(IF(Besatzung!$C$18="",Besatzung!$B$5,Besatzung!$C$18)&lt;=B137)*(IF(Besatzung!$D$18="",Besatzung!$B$6,Besatzung!$D$18)&gt;=B137)))*(Besatzung!$F$18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$18&lt;&gt;"")*IF(B137="",1,(IF(Besatzung!$C$18="",Besatzung!$B$5,Besatzung!$C$18)&lt;=B137)*(IF(Besatzung!$D$18="",Besatzung!$B$6,Besatzung!$D$18)&gt;=B137)))*((G137-IFERROR(H137,0))/IFERROR(SUMPRODUCT((Besatzung!$B$11:$B$22&lt;&gt;"")*(IF(Besatzung!$C$11:$C$22="",Besatzung!$B$5,Besatzung!$C$11:$C$22)&lt;=B137)*(IF(Besatzung!$D$11:$D$22="",Besatzung!$B$6,Besatzung!$D$11:$D$22)&gt;=B137)),1)+(Besatzung!$F$18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Q137="x")*((G137-IFERROR(H137,0))/IFERROR(COUNTIF(J137:U137,"x"),1)+(Besatzung!$F$18="x")*IFERROR(H137,0)/IFERROR(SUMPRODUCT((J137:U137="x")*(Besatzung!$F$11:$F$22="x")),1))),(IF(COUNTIF(J137:U137,"x")=0,IF(Besatzung!$B$18&lt;&gt;"",1,0),(Q137="x"))*(G137-IFERROR(H137,0))/IFERROR(IF(COUNTIF(J137:U137,"x")=0,COUNTA(Besatzung!$B$11:$B$22),COUNTIF(J137:U137,"x")),1)+IF(COUNTIF(J137:U137,"x")=0,(Besatzung!$F$18="x"),(Q137="x")*(Besatzung!$F$18="x"))*IFERROR(H137,0)/IFERROR(IF(COUNTIF(J137:U137,"x")=0,SUMPRODUCT((Besatzung!$B$11:$B$22&lt;&gt;"")*(Besatzung!$F$11:$F$22="x")),SUMPRODUCT((J137:U137="x")*(Besatzung!$F$11:$F$22="x"))),1))))),0))))</f>
        <v/>
      </c>
      <c r="AD137" s="106">
        <f>IF(C137="Gutschrift","",IF(G137="","",IF(Besatzung!$B$19="","",IFERROR(IF(I137="Zeitanteilig",(Besatzung!$G$19*(G137-IFERROR(H137,0))+((Besatzung!$B$19&lt;&gt;"")*IF(B137="",1,(IF(Besatzung!$C$19="",Besatzung!$B$5,Besatzung!$C$19)&lt;=B137)*(IF(Besatzung!$D$19="",Besatzung!$B$6,Besatzung!$D$19)&gt;=B137)))*(Besatzung!$F$19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$19&lt;&gt;"")*IF(B137="",1,(IF(Besatzung!$C$19="",Besatzung!$B$5,Besatzung!$C$19)&lt;=B137)*(IF(Besatzung!$D$19="",Besatzung!$B$6,Besatzung!$D$19)&gt;=B137)))*((G137-IFERROR(H137,0))/IFERROR(SUMPRODUCT((Besatzung!$B$11:$B$22&lt;&gt;"")*(IF(Besatzung!$C$11:$C$22="",Besatzung!$B$5,Besatzung!$C$11:$C$22)&lt;=B137)*(IF(Besatzung!$D$11:$D$22="",Besatzung!$B$6,Besatzung!$D$11:$D$22)&gt;=B137)),1)+(Besatzung!$F$19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R137="x")*((G137-IFERROR(H137,0))/IFERROR(COUNTIF(J137:U137,"x"),1)+(Besatzung!$F$19="x")*IFERROR(H137,0)/IFERROR(SUMPRODUCT((J137:U137="x")*(Besatzung!$F$11:$F$22="x")),1))),(IF(COUNTIF(J137:U137,"x")=0,IF(Besatzung!$B$19&lt;&gt;"",1,0),(R137="x"))*(G137-IFERROR(H137,0))/IFERROR(IF(COUNTIF(J137:U137,"x")=0,COUNTA(Besatzung!$B$11:$B$22),COUNTIF(J137:U137,"x")),1)+IF(COUNTIF(J137:U137,"x")=0,(Besatzung!$F$19="x"),(R137="x")*(Besatzung!$F$19="x"))*IFERROR(H137,0)/IFERROR(IF(COUNTIF(J137:U137,"x")=0,SUMPRODUCT((Besatzung!$B$11:$B$22&lt;&gt;"")*(Besatzung!$F$11:$F$22="x")),SUMPRODUCT((J137:U137="x")*(Besatzung!$F$11:$F$22="x"))),1))))),0))))</f>
        <v/>
      </c>
      <c r="AE137" s="106">
        <f>IF(C137="Gutschrift","",IF(G137="","",IF(Besatzung!$B$20="","",IFERROR(IF(I137="Zeitanteilig",(Besatzung!$G$20*(G137-IFERROR(H137,0))+((Besatzung!$B$20&lt;&gt;"")*IF(B137="",1,(IF(Besatzung!$C$20="",Besatzung!$B$5,Besatzung!$C$20)&lt;=B137)*(IF(Besatzung!$D$20="",Besatzung!$B$6,Besatzung!$D$20)&gt;=B137)))*(Besatzung!$F$20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$20&lt;&gt;"")*IF(B137="",1,(IF(Besatzung!$C$20="",Besatzung!$B$5,Besatzung!$C$20)&lt;=B137)*(IF(Besatzung!$D$20="",Besatzung!$B$6,Besatzung!$D$20)&gt;=B137)))*((G137-IFERROR(H137,0))/IFERROR(SUMPRODUCT((Besatzung!$B$11:$B$22&lt;&gt;"")*(IF(Besatzung!$C$11:$C$22="",Besatzung!$B$5,Besatzung!$C$11:$C$22)&lt;=B137)*(IF(Besatzung!$D$11:$D$22="",Besatzung!$B$6,Besatzung!$D$11:$D$22)&gt;=B137)),1)+(Besatzung!$F$20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S137="x")*((G137-IFERROR(H137,0))/IFERROR(COUNTIF(J137:U137,"x"),1)+(Besatzung!$F$20="x")*IFERROR(H137,0)/IFERROR(SUMPRODUCT((J137:U137="x")*(Besatzung!$F$11:$F$22="x")),1))),(IF(COUNTIF(J137:U137,"x")=0,IF(Besatzung!$B$20&lt;&gt;"",1,0),(S137="x"))*(G137-IFERROR(H137,0))/IFERROR(IF(COUNTIF(J137:U137,"x")=0,COUNTA(Besatzung!$B$11:$B$22),COUNTIF(J137:U137,"x")),1)+IF(COUNTIF(J137:U137,"x")=0,(Besatzung!$F$20="x"),(S137="x")*(Besatzung!$F$20="x"))*IFERROR(H137,0)/IFERROR(IF(COUNTIF(J137:U137,"x")=0,SUMPRODUCT((Besatzung!$B$11:$B$22&lt;&gt;"")*(Besatzung!$F$11:$F$22="x")),SUMPRODUCT((J137:U137="x")*(Besatzung!$F$11:$F$22="x"))),1))))),0))))</f>
        <v/>
      </c>
      <c r="AF137" s="106">
        <f>IF(C137="Gutschrift","",IF(G137="","",IF(Besatzung!$B$21="","",IFERROR(IF(I137="Zeitanteilig",(Besatzung!$G$21*(G137-IFERROR(H137,0))+((Besatzung!$B$21&lt;&gt;"")*IF(B137="",1,(IF(Besatzung!$C$21="",Besatzung!$B$5,Besatzung!$C$21)&lt;=B137)*(IF(Besatzung!$D$21="",Besatzung!$B$6,Besatzung!$D$21)&gt;=B137)))*(Besatzung!$F$21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$21&lt;&gt;"")*IF(B137="",1,(IF(Besatzung!$C$21="",Besatzung!$B$5,Besatzung!$C$21)&lt;=B137)*(IF(Besatzung!$D$21="",Besatzung!$B$6,Besatzung!$D$21)&gt;=B137)))*((G137-IFERROR(H137,0))/IFERROR(SUMPRODUCT((Besatzung!$B$11:$B$22&lt;&gt;"")*(IF(Besatzung!$C$11:$C$22="",Besatzung!$B$5,Besatzung!$C$11:$C$22)&lt;=B137)*(IF(Besatzung!$D$11:$D$22="",Besatzung!$B$6,Besatzung!$D$11:$D$22)&gt;=B137)),1)+(Besatzung!$F$21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T137="x")*((G137-IFERROR(H137,0))/IFERROR(COUNTIF(J137:U137,"x"),1)+(Besatzung!$F$21="x")*IFERROR(H137,0)/IFERROR(SUMPRODUCT((J137:U137="x")*(Besatzung!$F$11:$F$22="x")),1))),(IF(COUNTIF(J137:U137,"x")=0,IF(Besatzung!$B$21&lt;&gt;"",1,0),(T137="x"))*(G137-IFERROR(H137,0))/IFERROR(IF(COUNTIF(J137:U137,"x")=0,COUNTA(Besatzung!$B$11:$B$22),COUNTIF(J137:U137,"x")),1)+IF(COUNTIF(J137:U137,"x")=0,(Besatzung!$F$21="x"),(T137="x")*(Besatzung!$F$21="x"))*IFERROR(H137,0)/IFERROR(IF(COUNTIF(J137:U137,"x")=0,SUMPRODUCT((Besatzung!$B$11:$B$22&lt;&gt;"")*(Besatzung!$F$11:$F$22="x")),SUMPRODUCT((J137:U137="x")*(Besatzung!$F$11:$F$22="x"))),1))))),0))))</f>
        <v/>
      </c>
      <c r="AG137" s="106">
        <f>IF(C137="Gutschrift","",IF(G137="","",IF(Besatzung!$B$22="","",IFERROR(IF(I137="Zeitanteilig",(Besatzung!$G$22*(G137-IFERROR(H137,0))+((Besatzung!$B$22&lt;&gt;"")*IF(B137="",1,(IF(Besatzung!$C$22="",Besatzung!$B$5,Besatzung!$C$22)&lt;=B137)*(IF(Besatzung!$D$22="",Besatzung!$B$6,Besatzung!$D$22)&gt;=B137)))*(Besatzung!$F$22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$22&lt;&gt;"")*IF(B137="",1,(IF(Besatzung!$C$22="",Besatzung!$B$5,Besatzung!$C$22)&lt;=B137)*(IF(Besatzung!$D$22="",Besatzung!$B$6,Besatzung!$D$22)&gt;=B137)))*((G137-IFERROR(H137,0))/IFERROR(SUMPRODUCT((Besatzung!$B$11:$B$22&lt;&gt;"")*(IF(Besatzung!$C$11:$C$22="",Besatzung!$B$5,Besatzung!$C$11:$C$22)&lt;=B137)*(IF(Besatzung!$D$11:$D$22="",Besatzung!$B$6,Besatzung!$D$11:$D$22)&gt;=B137)),1)+(Besatzung!$F$22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U137="x")*((G137-IFERROR(H137,0))/IFERROR(COUNTIF(J137:U137,"x"),1)+(Besatzung!$F$22="x")*IFERROR(H137,0)/IFERROR(SUMPRODUCT((J137:U137="x")*(Besatzung!$F$11:$F$22="x")),1))),(IF(COUNTIF(J137:U137,"x")=0,IF(Besatzung!$B$22&lt;&gt;"",1,0),(U137="x"))*(G137-IFERROR(H137,0))/IFERROR(IF(COUNTIF(J137:U137,"x")=0,COUNTA(Besatzung!$B$11:$B$22),COUNTIF(J137:U137,"x")),1)+IF(COUNTIF(J137:U137,"x")=0,(Besatzung!$F$22="x"),(U137="x")*(Besatzung!$F$22="x"))*IFERROR(H137,0)/IFERROR(IF(COUNTIF(J137:U137,"x")=0,SUMPRODUCT((Besatzung!$B$11:$B$22&lt;&gt;"")*(Besatzung!$F$11:$F$22="x")),SUMPRODUCT((J137:U137="x")*(Besatzung!$F$11:$F$22="x"))),1))))),0))))</f>
        <v/>
      </c>
      <c r="AH137" s="107" t="n"/>
      <c r="AI137" s="107" t="n"/>
    </row>
    <row r="138" ht="21.75" customHeight="1" s="182">
      <c r="A138" s="97">
        <f>IF(AND(D138="",C138=""),"",135)</f>
        <v/>
      </c>
      <c r="B138" s="56" t="n"/>
      <c r="C138" s="98" t="n"/>
      <c r="D138" s="99" t="n"/>
      <c r="E138" s="100" t="n"/>
      <c r="F138" s="101" t="n"/>
      <c r="G138" s="102" t="n"/>
      <c r="H138" s="103" t="n"/>
      <c r="I138" s="104" t="n"/>
      <c r="J138" s="105" t="n"/>
      <c r="K138" s="105" t="n"/>
      <c r="L138" s="105" t="n"/>
      <c r="M138" s="105" t="n"/>
      <c r="N138" s="105" t="n"/>
      <c r="O138" s="105" t="n"/>
      <c r="P138" s="105" t="n"/>
      <c r="Q138" s="105" t="n"/>
      <c r="R138" s="105" t="n"/>
      <c r="S138" s="105" t="n"/>
      <c r="T138" s="105" t="n"/>
      <c r="U138" s="105" t="n"/>
      <c r="V138" s="106">
        <f>IF(C138="Gutschrift","",IF(G138="","",IF(Besatzung!$B$11="","",IFERROR(IF(I138="Zeitanteilig",(Besatzung!$G$11*(G138-IFERROR(H138,0))+((Besatzung!$B$11&lt;&gt;"")*IF(B138="",1,(IF(Besatzung!$C$11="",Besatzung!$B$5,Besatzung!$C$11)&lt;=B138)*(IF(Besatzung!$D$11="",Besatzung!$B$6,Besatzung!$D$11)&gt;=B138)))*(Besatzung!$F$11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$11&lt;&gt;"")*IF(B138="",1,(IF(Besatzung!$C$11="",Besatzung!$B$5,Besatzung!$C$11)&lt;=B138)*(IF(Besatzung!$D$11="",Besatzung!$B$6,Besatzung!$D$11)&gt;=B138)))*((G138-IFERROR(H138,0))/IFERROR(SUMPRODUCT((Besatzung!$B$11:$B$22&lt;&gt;"")*(IF(Besatzung!$C$11:$C$22="",Besatzung!$B$5,Besatzung!$C$11:$C$22)&lt;=B138)*(IF(Besatzung!$D$11:$D$22="",Besatzung!$B$6,Besatzung!$D$11:$D$22)&gt;=B138)),1)+(Besatzung!$F$11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J138="x")*((G138-IFERROR(H138,0))/IFERROR(COUNTIF(J138:U138,"x"),1)+(Besatzung!$F$11="x")*IFERROR(H138,0)/IFERROR(SUMPRODUCT((J138:U138="x")*(Besatzung!$F$11:$F$22="x")),1))),(IF(COUNTIF(J138:U138,"x")=0,IF(Besatzung!$B$11&lt;&gt;"",1,0),(J138="x"))*(G138-IFERROR(H138,0))/IFERROR(IF(COUNTIF(J138:U138,"x")=0,COUNTA(Besatzung!$B$11:$B$22),COUNTIF(J138:U138,"x")),1)+IF(COUNTIF(J138:U138,"x")=0,(Besatzung!$F$11="x"),(J138="x")*(Besatzung!$F$11="x"))*IFERROR(H138,0)/IFERROR(IF(COUNTIF(J138:U138,"x")=0,SUMPRODUCT((Besatzung!$B$11:$B$22&lt;&gt;"")*(Besatzung!$F$11:$F$22="x")),SUMPRODUCT((J138:U138="x")*(Besatzung!$F$11:$F$22="x"))),1))))),0))))</f>
        <v/>
      </c>
      <c r="W138" s="106">
        <f>IF(C138="Gutschrift","",IF(G138="","",IF(Besatzung!$B$12="","",IFERROR(IF(I138="Zeitanteilig",(Besatzung!$G$12*(G138-IFERROR(H138,0))+((Besatzung!$B$12&lt;&gt;"")*IF(B138="",1,(IF(Besatzung!$C$12="",Besatzung!$B$5,Besatzung!$C$12)&lt;=B138)*(IF(Besatzung!$D$12="",Besatzung!$B$6,Besatzung!$D$12)&gt;=B138)))*(Besatzung!$F$12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$12&lt;&gt;"")*IF(B138="",1,(IF(Besatzung!$C$12="",Besatzung!$B$5,Besatzung!$C$12)&lt;=B138)*(IF(Besatzung!$D$12="",Besatzung!$B$6,Besatzung!$D$12)&gt;=B138)))*((G138-IFERROR(H138,0))/IFERROR(SUMPRODUCT((Besatzung!$B$11:$B$22&lt;&gt;"")*(IF(Besatzung!$C$11:$C$22="",Besatzung!$B$5,Besatzung!$C$11:$C$22)&lt;=B138)*(IF(Besatzung!$D$11:$D$22="",Besatzung!$B$6,Besatzung!$D$11:$D$22)&gt;=B138)),1)+(Besatzung!$F$12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K138="x")*((G138-IFERROR(H138,0))/IFERROR(COUNTIF(J138:U138,"x"),1)+(Besatzung!$F$12="x")*IFERROR(H138,0)/IFERROR(SUMPRODUCT((J138:U138="x")*(Besatzung!$F$11:$F$22="x")),1))),(IF(COUNTIF(J138:U138,"x")=0,IF(Besatzung!$B$12&lt;&gt;"",1,0),(K138="x"))*(G138-IFERROR(H138,0))/IFERROR(IF(COUNTIF(J138:U138,"x")=0,COUNTA(Besatzung!$B$11:$B$22),COUNTIF(J138:U138,"x")),1)+IF(COUNTIF(J138:U138,"x")=0,(Besatzung!$F$12="x"),(K138="x")*(Besatzung!$F$12="x"))*IFERROR(H138,0)/IFERROR(IF(COUNTIF(J138:U138,"x")=0,SUMPRODUCT((Besatzung!$B$11:$B$22&lt;&gt;"")*(Besatzung!$F$11:$F$22="x")),SUMPRODUCT((J138:U138="x")*(Besatzung!$F$11:$F$22="x"))),1))))),0))))</f>
        <v/>
      </c>
      <c r="X138" s="106">
        <f>IF(C138="Gutschrift","",IF(G138="","",IF(Besatzung!$B$13="","",IFERROR(IF(I138="Zeitanteilig",(Besatzung!$G$13*(G138-IFERROR(H138,0))+((Besatzung!$B$13&lt;&gt;"")*IF(B138="",1,(IF(Besatzung!$C$13="",Besatzung!$B$5,Besatzung!$C$13)&lt;=B138)*(IF(Besatzung!$D$13="",Besatzung!$B$6,Besatzung!$D$13)&gt;=B138)))*(Besatzung!$F$13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$13&lt;&gt;"")*IF(B138="",1,(IF(Besatzung!$C$13="",Besatzung!$B$5,Besatzung!$C$13)&lt;=B138)*(IF(Besatzung!$D$13="",Besatzung!$B$6,Besatzung!$D$13)&gt;=B138)))*((G138-IFERROR(H138,0))/IFERROR(SUMPRODUCT((Besatzung!$B$11:$B$22&lt;&gt;"")*(IF(Besatzung!$C$11:$C$22="",Besatzung!$B$5,Besatzung!$C$11:$C$22)&lt;=B138)*(IF(Besatzung!$D$11:$D$22="",Besatzung!$B$6,Besatzung!$D$11:$D$22)&gt;=B138)),1)+(Besatzung!$F$13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K138="x")*((G138-IFERROR(H138,0))/IFERROR(COUNTIF(J138:U138,"x"),1)+(Besatzung!$F$13="x")*IFERROR(H138,0)/IFERROR(SUMPRODUCT((J138:U138="x")*(Besatzung!$F$11:$F$22="x")),1))),(IF(COUNTIF(J138:U138,"x")=0,IF(Besatzung!$B$13&lt;&gt;"",1,0),(K138="x"))*(G138-IFERROR(H138,0))/IFERROR(IF(COUNTIF(J138:U138,"x")=0,COUNTA(Besatzung!$B$11:$B$22),COUNTIF(J138:U138,"x")),1)+IF(COUNTIF(J138:U138,"x")=0,(Besatzung!$F$13="x"),(K138="x")*(Besatzung!$F$13="x"))*IFERROR(H138,0)/IFERROR(IF(COUNTIF(J138:U138,"x")=0,SUMPRODUCT((Besatzung!$B$11:$B$22&lt;&gt;"")*(Besatzung!$F$11:$F$22="x")),SUMPRODUCT((J138:U138="x")*(Besatzung!$F$11:$F$22="x"))),1))))),0))))</f>
        <v/>
      </c>
      <c r="Y138" s="106">
        <f>IF(C138="Gutschrift","",IF(G138="","",IF(Besatzung!$B$14="","",IFERROR(IF(I138="Zeitanteilig",(Besatzung!$G$14*(G138-IFERROR(H138,0))+((Besatzung!$B$14&lt;&gt;"")*IF(B138="",1,(IF(Besatzung!$C$14="",Besatzung!$B$5,Besatzung!$C$14)&lt;=B138)*(IF(Besatzung!$D$14="",Besatzung!$B$6,Besatzung!$D$14)&gt;=B138)))*(Besatzung!$F$14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$14&lt;&gt;"")*IF(B138="",1,(IF(Besatzung!$C$14="",Besatzung!$B$5,Besatzung!$C$14)&lt;=B138)*(IF(Besatzung!$D$14="",Besatzung!$B$6,Besatzung!$D$14)&gt;=B138)))*((G138-IFERROR(H138,0))/IFERROR(SUMPRODUCT((Besatzung!$B$11:$B$22&lt;&gt;"")*(IF(Besatzung!$C$11:$C$22="",Besatzung!$B$5,Besatzung!$C$11:$C$22)&lt;=B138)*(IF(Besatzung!$D$11:$D$22="",Besatzung!$B$6,Besatzung!$D$11:$D$22)&gt;=B138)),1)+(Besatzung!$F$14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M138="x")*((G138-IFERROR(H138,0))/IFERROR(COUNTIF(J138:U138,"x"),1)+(Besatzung!$F$14="x")*IFERROR(H138,0)/IFERROR(SUMPRODUCT((J138:U138="x")*(Besatzung!$F$11:$F$22="x")),1))),(IF(COUNTIF(J138:U138,"x")=0,IF(Besatzung!$B$14&lt;&gt;"",1,0),(M138="x"))*(G138-IFERROR(H138,0))/IFERROR(IF(COUNTIF(J138:U138,"x")=0,COUNTA(Besatzung!$B$11:$B$22),COUNTIF(J138:U138,"x")),1)+IF(COUNTIF(J138:U138,"x")=0,(Besatzung!$F$14="x"),(M138="x")*(Besatzung!$F$14="x"))*IFERROR(H138,0)/IFERROR(IF(COUNTIF(J138:U138,"x")=0,SUMPRODUCT((Besatzung!$B$11:$B$22&lt;&gt;"")*(Besatzung!$F$11:$F$22="x")),SUMPRODUCT((J138:U138="x")*(Besatzung!$F$11:$F$22="x"))),1))))),0))))</f>
        <v/>
      </c>
      <c r="Z138" s="106">
        <f>IF(C138="Gutschrift","",IF(G138="","",IF(Besatzung!$B$13="","",IFERROR(IF(I138="Zeitanteilig",(Besatzung!$G$15*(G138-IFERROR(H138,0))+((Besatzung!$B$13&lt;&gt;"")*IF(B138="",1,(IF(Besatzung!$C$15="",Besatzung!$B$5,Besatzung!$C$15)&lt;=B138)*(IF(Besatzung!$D$15="",Besatzung!$B$6,Besatzung!$D$15)&gt;=B138)))*(Besatzung!$F$15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$13&lt;&gt;"")*IF(B138="",1,(IF(Besatzung!$C$15="",Besatzung!$B$5,Besatzung!$C$15)&lt;=B138)*(IF(Besatzung!$D$15="",Besatzung!$B$6,Besatzung!$D$15)&gt;=B138)))*((G138-IFERROR(H138,0))/IFERROR(SUMPRODUCT((Besatzung!$B$11:$B$22&lt;&gt;"")*(IF(Besatzung!$C$11:$C$22="",Besatzung!$B$5,Besatzung!$C$11:$C$22)&lt;=B138)*(IF(Besatzung!$D$11:$D$22="",Besatzung!$B$6,Besatzung!$D$11:$D$22)&gt;=B138)),1)+(Besatzung!$F$15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N138="x")*((G138-IFERROR(H138,0))/IFERROR(COUNTIF(J138:U138,"x"),1)+(Besatzung!$F$15="x")*IFERROR(H138,0)/IFERROR(SUMPRODUCT((J138:U138="x")*(Besatzung!$F$11:$F$22="x")),1))),(IF(COUNTIF(J138:U138,"x")=0,IF(Besatzung!$B$13&lt;&gt;"",1,0),(N138="x"))*(G138-IFERROR(H138,0))/IFERROR(IF(COUNTIF(J138:U138,"x")=0,COUNTA(Besatzung!$B$11:$B$22),COUNTIF(J138:U138,"x")),1)+IF(COUNTIF(J138:U138,"x")=0,(Besatzung!$F$15="x"),(N138="x")*(Besatzung!$F$15="x"))*IFERROR(H138,0)/IFERROR(IF(COUNTIF(J138:U138,"x")=0,SUMPRODUCT((Besatzung!$B$11:$B$22&lt;&gt;"")*(Besatzung!$F$11:$F$22="x")),SUMPRODUCT((J138:U138="x")*(Besatzung!$F$11:$F$22="x"))),1))))),0))))</f>
        <v/>
      </c>
      <c r="AA138" s="106">
        <f>IF(C138="Gutschrift","",IF(G138="","",IF(Besatzung!$B$15="","",IFERROR(IF(I138="Zeitanteilig",(Besatzung!$G$16*(G138-IFERROR(H138,0))+((Besatzung!$B$15&lt;&gt;"")*IF(B138="",1,(IF(Besatzung!$C$16="",Besatzung!$B$5,Besatzung!$C$16)&lt;=B138)*(IF(Besatzung!$D$16="",Besatzung!$B$6,Besatzung!$D$16)&gt;=B138)))*(Besatzung!$F$16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$15&lt;&gt;"")*IF(B138="",1,(IF(Besatzung!$C$16="",Besatzung!$B$5,Besatzung!$C$16)&lt;=B138)*(IF(Besatzung!$D$16="",Besatzung!$B$6,Besatzung!$D$16)&gt;=B138)))*((G138-IFERROR(H138,0))/IFERROR(SUMPRODUCT((Besatzung!$B$11:$B$22&lt;&gt;"")*(IF(Besatzung!$C$11:$C$22="",Besatzung!$B$5,Besatzung!$C$11:$C$22)&lt;=B138)*(IF(Besatzung!$D$11:$D$22="",Besatzung!$B$6,Besatzung!$D$11:$D$22)&gt;=B138)),1)+(Besatzung!$F$16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O138="x")*((G138-IFERROR(H138,0))/IFERROR(COUNTIF(J138:U138,"x"),1)+(Besatzung!$F$16="x")*IFERROR(H138,0)/IFERROR(SUMPRODUCT((J138:U138="x")*(Besatzung!$F$11:$F$22="x")),1))),(IF(COUNTIF(J138:U138,"x")=0,IF(Besatzung!$B$15&lt;&gt;"",1,0),(O138="x"))*(G138-IFERROR(H138,0))/IFERROR(IF(COUNTIF(J138:U138,"x")=0,COUNTA(Besatzung!$B$11:$B$22),COUNTIF(J138:U138,"x")),1)+IF(COUNTIF(J138:U138,"x")=0,(Besatzung!$F$16="x"),(O138="x")*(Besatzung!$F$16="x"))*IFERROR(H138,0)/IFERROR(IF(COUNTIF(J138:U138,"x")=0,SUMPRODUCT((Besatzung!$B$11:$B$22&lt;&gt;"")*(Besatzung!$F$11:$F$22="x")),SUMPRODUCT((J138:U138="x")*(Besatzung!$F$11:$F$22="x"))),1))))),0))))</f>
        <v/>
      </c>
      <c r="AB138" s="106">
        <f>IF(C138="Gutschrift","",IF(G138="","",IF(Besatzung!$B$17="","",IFERROR(IF(I138="Zeitanteilig",(Besatzung!$G$17*(G138-IFERROR(H138,0))+((Besatzung!$B$17&lt;&gt;"")*IF(B138="",1,(IF(Besatzung!$C$17="",Besatzung!$B$5,Besatzung!$C$17)&lt;=B138)*(IF(Besatzung!$D$17="",Besatzung!$B$6,Besatzung!$D$17)&gt;=B138)))*(Besatzung!$F$17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$17&lt;&gt;"")*IF(B138="",1,(IF(Besatzung!$C$17="",Besatzung!$B$5,Besatzung!$C$17)&lt;=B138)*(IF(Besatzung!$D$17="",Besatzung!$B$6,Besatzung!$D$17)&gt;=B138)))*((G138-IFERROR(H138,0))/IFERROR(SUMPRODUCT((Besatzung!$B$11:$B$22&lt;&gt;"")*(IF(Besatzung!$C$11:$C$22="",Besatzung!$B$5,Besatzung!$C$11:$C$22)&lt;=B138)*(IF(Besatzung!$D$11:$D$22="",Besatzung!$B$6,Besatzung!$D$11:$D$22)&gt;=B138)),1)+(Besatzung!$F$17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P138="x")*((G138-IFERROR(H138,0))/IFERROR(COUNTIF(J138:U138,"x"),1)+(Besatzung!$F$17="x")*IFERROR(H138,0)/IFERROR(SUMPRODUCT((J138:U138="x")*(Besatzung!$F$11:$F$22="x")),1))),(IF(COUNTIF(J138:U138,"x")=0,IF(Besatzung!$B$17&lt;&gt;"",1,0),(P138="x"))*(G138-IFERROR(H138,0))/IFERROR(IF(COUNTIF(J138:U138,"x")=0,COUNTA(Besatzung!$B$11:$B$22),COUNTIF(J138:U138,"x")),1)+IF(COUNTIF(J138:U138,"x")=0,(Besatzung!$F$17="x"),(P138="x")*(Besatzung!$F$17="x"))*IFERROR(H138,0)/IFERROR(IF(COUNTIF(J138:U138,"x")=0,SUMPRODUCT((Besatzung!$B$11:$B$22&lt;&gt;"")*(Besatzung!$F$11:$F$22="x")),SUMPRODUCT((J138:U138="x")*(Besatzung!$F$11:$F$22="x"))),1))))),0))))</f>
        <v/>
      </c>
      <c r="AC138" s="106">
        <f>IF(C138="Gutschrift","",IF(G138="","",IF(Besatzung!$B$18="","",IFERROR(IF(I138="Zeitanteilig",(Besatzung!$G$18*(G138-IFERROR(H138,0))+((Besatzung!$B$18&lt;&gt;"")*IF(B138="",1,(IF(Besatzung!$C$18="",Besatzung!$B$5,Besatzung!$C$18)&lt;=B138)*(IF(Besatzung!$D$18="",Besatzung!$B$6,Besatzung!$D$18)&gt;=B138)))*(Besatzung!$F$18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$18&lt;&gt;"")*IF(B138="",1,(IF(Besatzung!$C$18="",Besatzung!$B$5,Besatzung!$C$18)&lt;=B138)*(IF(Besatzung!$D$18="",Besatzung!$B$6,Besatzung!$D$18)&gt;=B138)))*((G138-IFERROR(H138,0))/IFERROR(SUMPRODUCT((Besatzung!$B$11:$B$22&lt;&gt;"")*(IF(Besatzung!$C$11:$C$22="",Besatzung!$B$5,Besatzung!$C$11:$C$22)&lt;=B138)*(IF(Besatzung!$D$11:$D$22="",Besatzung!$B$6,Besatzung!$D$11:$D$22)&gt;=B138)),1)+(Besatzung!$F$18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Q138="x")*((G138-IFERROR(H138,0))/IFERROR(COUNTIF(J138:U138,"x"),1)+(Besatzung!$F$18="x")*IFERROR(H138,0)/IFERROR(SUMPRODUCT((J138:U138="x")*(Besatzung!$F$11:$F$22="x")),1))),(IF(COUNTIF(J138:U138,"x")=0,IF(Besatzung!$B$18&lt;&gt;"",1,0),(Q138="x"))*(G138-IFERROR(H138,0))/IFERROR(IF(COUNTIF(J138:U138,"x")=0,COUNTA(Besatzung!$B$11:$B$22),COUNTIF(J138:U138,"x")),1)+IF(COUNTIF(J138:U138,"x")=0,(Besatzung!$F$18="x"),(Q138="x")*(Besatzung!$F$18="x"))*IFERROR(H138,0)/IFERROR(IF(COUNTIF(J138:U138,"x")=0,SUMPRODUCT((Besatzung!$B$11:$B$22&lt;&gt;"")*(Besatzung!$F$11:$F$22="x")),SUMPRODUCT((J138:U138="x")*(Besatzung!$F$11:$F$22="x"))),1))))),0))))</f>
        <v/>
      </c>
      <c r="AD138" s="106">
        <f>IF(C138="Gutschrift","",IF(G138="","",IF(Besatzung!$B$19="","",IFERROR(IF(I138="Zeitanteilig",(Besatzung!$G$19*(G138-IFERROR(H138,0))+((Besatzung!$B$19&lt;&gt;"")*IF(B138="",1,(IF(Besatzung!$C$19="",Besatzung!$B$5,Besatzung!$C$19)&lt;=B138)*(IF(Besatzung!$D$19="",Besatzung!$B$6,Besatzung!$D$19)&gt;=B138)))*(Besatzung!$F$19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$19&lt;&gt;"")*IF(B138="",1,(IF(Besatzung!$C$19="",Besatzung!$B$5,Besatzung!$C$19)&lt;=B138)*(IF(Besatzung!$D$19="",Besatzung!$B$6,Besatzung!$D$19)&gt;=B138)))*((G138-IFERROR(H138,0))/IFERROR(SUMPRODUCT((Besatzung!$B$11:$B$22&lt;&gt;"")*(IF(Besatzung!$C$11:$C$22="",Besatzung!$B$5,Besatzung!$C$11:$C$22)&lt;=B138)*(IF(Besatzung!$D$11:$D$22="",Besatzung!$B$6,Besatzung!$D$11:$D$22)&gt;=B138)),1)+(Besatzung!$F$19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R138="x")*((G138-IFERROR(H138,0))/IFERROR(COUNTIF(J138:U138,"x"),1)+(Besatzung!$F$19="x")*IFERROR(H138,0)/IFERROR(SUMPRODUCT((J138:U138="x")*(Besatzung!$F$11:$F$22="x")),1))),(IF(COUNTIF(J138:U138,"x")=0,IF(Besatzung!$B$19&lt;&gt;"",1,0),(R138="x"))*(G138-IFERROR(H138,0))/IFERROR(IF(COUNTIF(J138:U138,"x")=0,COUNTA(Besatzung!$B$11:$B$22),COUNTIF(J138:U138,"x")),1)+IF(COUNTIF(J138:U138,"x")=0,(Besatzung!$F$19="x"),(R138="x")*(Besatzung!$F$19="x"))*IFERROR(H138,0)/IFERROR(IF(COUNTIF(J138:U138,"x")=0,SUMPRODUCT((Besatzung!$B$11:$B$22&lt;&gt;"")*(Besatzung!$F$11:$F$22="x")),SUMPRODUCT((J138:U138="x")*(Besatzung!$F$11:$F$22="x"))),1))))),0))))</f>
        <v/>
      </c>
      <c r="AE138" s="106">
        <f>IF(C138="Gutschrift","",IF(G138="","",IF(Besatzung!$B$20="","",IFERROR(IF(I138="Zeitanteilig",(Besatzung!$G$20*(G138-IFERROR(H138,0))+((Besatzung!$B$20&lt;&gt;"")*IF(B138="",1,(IF(Besatzung!$C$20="",Besatzung!$B$5,Besatzung!$C$20)&lt;=B138)*(IF(Besatzung!$D$20="",Besatzung!$B$6,Besatzung!$D$20)&gt;=B138)))*(Besatzung!$F$20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$20&lt;&gt;"")*IF(B138="",1,(IF(Besatzung!$C$20="",Besatzung!$B$5,Besatzung!$C$20)&lt;=B138)*(IF(Besatzung!$D$20="",Besatzung!$B$6,Besatzung!$D$20)&gt;=B138)))*((G138-IFERROR(H138,0))/IFERROR(SUMPRODUCT((Besatzung!$B$11:$B$22&lt;&gt;"")*(IF(Besatzung!$C$11:$C$22="",Besatzung!$B$5,Besatzung!$C$11:$C$22)&lt;=B138)*(IF(Besatzung!$D$11:$D$22="",Besatzung!$B$6,Besatzung!$D$11:$D$22)&gt;=B138)),1)+(Besatzung!$F$20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S138="x")*((G138-IFERROR(H138,0))/IFERROR(COUNTIF(J138:U138,"x"),1)+(Besatzung!$F$20="x")*IFERROR(H138,0)/IFERROR(SUMPRODUCT((J138:U138="x")*(Besatzung!$F$11:$F$22="x")),1))),(IF(COUNTIF(J138:U138,"x")=0,IF(Besatzung!$B$20&lt;&gt;"",1,0),(S138="x"))*(G138-IFERROR(H138,0))/IFERROR(IF(COUNTIF(J138:U138,"x")=0,COUNTA(Besatzung!$B$11:$B$22),COUNTIF(J138:U138,"x")),1)+IF(COUNTIF(J138:U138,"x")=0,(Besatzung!$F$20="x"),(S138="x")*(Besatzung!$F$20="x"))*IFERROR(H138,0)/IFERROR(IF(COUNTIF(J138:U138,"x")=0,SUMPRODUCT((Besatzung!$B$11:$B$22&lt;&gt;"")*(Besatzung!$F$11:$F$22="x")),SUMPRODUCT((J138:U138="x")*(Besatzung!$F$11:$F$22="x"))),1))))),0))))</f>
        <v/>
      </c>
      <c r="AF138" s="106">
        <f>IF(C138="Gutschrift","",IF(G138="","",IF(Besatzung!$B$21="","",IFERROR(IF(I138="Zeitanteilig",(Besatzung!$G$21*(G138-IFERROR(H138,0))+((Besatzung!$B$21&lt;&gt;"")*IF(B138="",1,(IF(Besatzung!$C$21="",Besatzung!$B$5,Besatzung!$C$21)&lt;=B138)*(IF(Besatzung!$D$21="",Besatzung!$B$6,Besatzung!$D$21)&gt;=B138)))*(Besatzung!$F$21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$21&lt;&gt;"")*IF(B138="",1,(IF(Besatzung!$C$21="",Besatzung!$B$5,Besatzung!$C$21)&lt;=B138)*(IF(Besatzung!$D$21="",Besatzung!$B$6,Besatzung!$D$21)&gt;=B138)))*((G138-IFERROR(H138,0))/IFERROR(SUMPRODUCT((Besatzung!$B$11:$B$22&lt;&gt;"")*(IF(Besatzung!$C$11:$C$22="",Besatzung!$B$5,Besatzung!$C$11:$C$22)&lt;=B138)*(IF(Besatzung!$D$11:$D$22="",Besatzung!$B$6,Besatzung!$D$11:$D$22)&gt;=B138)),1)+(Besatzung!$F$21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T138="x")*((G138-IFERROR(H138,0))/IFERROR(COUNTIF(J138:U138,"x"),1)+(Besatzung!$F$21="x")*IFERROR(H138,0)/IFERROR(SUMPRODUCT((J138:U138="x")*(Besatzung!$F$11:$F$22="x")),1))),(IF(COUNTIF(J138:U138,"x")=0,IF(Besatzung!$B$21&lt;&gt;"",1,0),(T138="x"))*(G138-IFERROR(H138,0))/IFERROR(IF(COUNTIF(J138:U138,"x")=0,COUNTA(Besatzung!$B$11:$B$22),COUNTIF(J138:U138,"x")),1)+IF(COUNTIF(J138:U138,"x")=0,(Besatzung!$F$21="x"),(T138="x")*(Besatzung!$F$21="x"))*IFERROR(H138,0)/IFERROR(IF(COUNTIF(J138:U138,"x")=0,SUMPRODUCT((Besatzung!$B$11:$B$22&lt;&gt;"")*(Besatzung!$F$11:$F$22="x")),SUMPRODUCT((J138:U138="x")*(Besatzung!$F$11:$F$22="x"))),1))))),0))))</f>
        <v/>
      </c>
      <c r="AG138" s="106">
        <f>IF(C138="Gutschrift","",IF(G138="","",IF(Besatzung!$B$22="","",IFERROR(IF(I138="Zeitanteilig",(Besatzung!$G$22*(G138-IFERROR(H138,0))+((Besatzung!$B$22&lt;&gt;"")*IF(B138="",1,(IF(Besatzung!$C$22="",Besatzung!$B$5,Besatzung!$C$22)&lt;=B138)*(IF(Besatzung!$D$22="",Besatzung!$B$6,Besatzung!$D$22)&gt;=B138)))*(Besatzung!$F$22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$22&lt;&gt;"")*IF(B138="",1,(IF(Besatzung!$C$22="",Besatzung!$B$5,Besatzung!$C$22)&lt;=B138)*(IF(Besatzung!$D$22="",Besatzung!$B$6,Besatzung!$D$22)&gt;=B138)))*((G138-IFERROR(H138,0))/IFERROR(SUMPRODUCT((Besatzung!$B$11:$B$22&lt;&gt;"")*(IF(Besatzung!$C$11:$C$22="",Besatzung!$B$5,Besatzung!$C$11:$C$22)&lt;=B138)*(IF(Besatzung!$D$11:$D$22="",Besatzung!$B$6,Besatzung!$D$11:$D$22)&gt;=B138)),1)+(Besatzung!$F$22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U138="x")*((G138-IFERROR(H138,0))/IFERROR(COUNTIF(J138:U138,"x"),1)+(Besatzung!$F$22="x")*IFERROR(H138,0)/IFERROR(SUMPRODUCT((J138:U138="x")*(Besatzung!$F$11:$F$22="x")),1))),(IF(COUNTIF(J138:U138,"x")=0,IF(Besatzung!$B$22&lt;&gt;"",1,0),(U138="x"))*(G138-IFERROR(H138,0))/IFERROR(IF(COUNTIF(J138:U138,"x")=0,COUNTA(Besatzung!$B$11:$B$22),COUNTIF(J138:U138,"x")),1)+IF(COUNTIF(J138:U138,"x")=0,(Besatzung!$F$22="x"),(U138="x")*(Besatzung!$F$22="x"))*IFERROR(H138,0)/IFERROR(IF(COUNTIF(J138:U138,"x")=0,SUMPRODUCT((Besatzung!$B$11:$B$22&lt;&gt;"")*(Besatzung!$F$11:$F$22="x")),SUMPRODUCT((J138:U138="x")*(Besatzung!$F$11:$F$22="x"))),1))))),0))))</f>
        <v/>
      </c>
      <c r="AH138" s="107" t="n"/>
      <c r="AI138" s="107" t="n"/>
    </row>
    <row r="139" ht="21.75" customHeight="1" s="182">
      <c r="A139" s="97">
        <f>IF(AND(D139="",C139=""),"",136)</f>
        <v/>
      </c>
      <c r="B139" s="63" t="n"/>
      <c r="C139" s="108" t="n"/>
      <c r="D139" s="109" t="n"/>
      <c r="E139" s="110" t="n"/>
      <c r="F139" s="111" t="n"/>
      <c r="G139" s="112" t="n"/>
      <c r="H139" s="113" t="n"/>
      <c r="I139" s="114" t="n"/>
      <c r="J139" s="115" t="n"/>
      <c r="K139" s="115" t="n"/>
      <c r="L139" s="115" t="n"/>
      <c r="M139" s="115" t="n"/>
      <c r="N139" s="115" t="n"/>
      <c r="O139" s="115" t="n"/>
      <c r="P139" s="115" t="n"/>
      <c r="Q139" s="115" t="n"/>
      <c r="R139" s="115" t="n"/>
      <c r="S139" s="115" t="n"/>
      <c r="T139" s="115" t="n"/>
      <c r="U139" s="115" t="n"/>
      <c r="V139" s="106">
        <f>IF(C139="Gutschrift","",IF(G139="","",IF(Besatzung!$B$11="","",IFERROR(IF(I139="Zeitanteilig",(Besatzung!$G$11*(G139-IFERROR(H139,0))+((Besatzung!$B$11&lt;&gt;"")*IF(B139="",1,(IF(Besatzung!$C$11="",Besatzung!$B$5,Besatzung!$C$11)&lt;=B139)*(IF(Besatzung!$D$11="",Besatzung!$B$6,Besatzung!$D$11)&gt;=B139)))*(Besatzung!$F$11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$11&lt;&gt;"")*IF(B139="",1,(IF(Besatzung!$C$11="",Besatzung!$B$5,Besatzung!$C$11)&lt;=B139)*(IF(Besatzung!$D$11="",Besatzung!$B$6,Besatzung!$D$11)&gt;=B139)))*((G139-IFERROR(H139,0))/IFERROR(SUMPRODUCT((Besatzung!$B$11:$B$22&lt;&gt;"")*(IF(Besatzung!$C$11:$C$22="",Besatzung!$B$5,Besatzung!$C$11:$C$22)&lt;=B139)*(IF(Besatzung!$D$11:$D$22="",Besatzung!$B$6,Besatzung!$D$11:$D$22)&gt;=B139)),1)+(Besatzung!$F$11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J139="x")*((G139-IFERROR(H139,0))/IFERROR(COUNTIF(J139:U139,"x"),1)+(Besatzung!$F$11="x")*IFERROR(H139,0)/IFERROR(SUMPRODUCT((J139:U139="x")*(Besatzung!$F$11:$F$22="x")),1))),(IF(COUNTIF(J139:U139,"x")=0,IF(Besatzung!$B$11&lt;&gt;"",1,0),(J139="x"))*(G139-IFERROR(H139,0))/IFERROR(IF(COUNTIF(J139:U139,"x")=0,COUNTA(Besatzung!$B$11:$B$22),COUNTIF(J139:U139,"x")),1)+IF(COUNTIF(J139:U139,"x")=0,(Besatzung!$F$11="x"),(J139="x")*(Besatzung!$F$11="x"))*IFERROR(H139,0)/IFERROR(IF(COUNTIF(J139:U139,"x")=0,SUMPRODUCT((Besatzung!$B$11:$B$22&lt;&gt;"")*(Besatzung!$F$11:$F$22="x")),SUMPRODUCT((J139:U139="x")*(Besatzung!$F$11:$F$22="x"))),1))))),0))))</f>
        <v/>
      </c>
      <c r="W139" s="106">
        <f>IF(C139="Gutschrift","",IF(G139="","",IF(Besatzung!$B$12="","",IFERROR(IF(I139="Zeitanteilig",(Besatzung!$G$12*(G139-IFERROR(H139,0))+((Besatzung!$B$12&lt;&gt;"")*IF(B139="",1,(IF(Besatzung!$C$12="",Besatzung!$B$5,Besatzung!$C$12)&lt;=B139)*(IF(Besatzung!$D$12="",Besatzung!$B$6,Besatzung!$D$12)&gt;=B139)))*(Besatzung!$F$12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$12&lt;&gt;"")*IF(B139="",1,(IF(Besatzung!$C$12="",Besatzung!$B$5,Besatzung!$C$12)&lt;=B139)*(IF(Besatzung!$D$12="",Besatzung!$B$6,Besatzung!$D$12)&gt;=B139)))*((G139-IFERROR(H139,0))/IFERROR(SUMPRODUCT((Besatzung!$B$11:$B$22&lt;&gt;"")*(IF(Besatzung!$C$11:$C$22="",Besatzung!$B$5,Besatzung!$C$11:$C$22)&lt;=B139)*(IF(Besatzung!$D$11:$D$22="",Besatzung!$B$6,Besatzung!$D$11:$D$22)&gt;=B139)),1)+(Besatzung!$F$12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K139="x")*((G139-IFERROR(H139,0))/IFERROR(COUNTIF(J139:U139,"x"),1)+(Besatzung!$F$12="x")*IFERROR(H139,0)/IFERROR(SUMPRODUCT((J139:U139="x")*(Besatzung!$F$11:$F$22="x")),1))),(IF(COUNTIF(J139:U139,"x")=0,IF(Besatzung!$B$12&lt;&gt;"",1,0),(K139="x"))*(G139-IFERROR(H139,0))/IFERROR(IF(COUNTIF(J139:U139,"x")=0,COUNTA(Besatzung!$B$11:$B$22),COUNTIF(J139:U139,"x")),1)+IF(COUNTIF(J139:U139,"x")=0,(Besatzung!$F$12="x"),(K139="x")*(Besatzung!$F$12="x"))*IFERROR(H139,0)/IFERROR(IF(COUNTIF(J139:U139,"x")=0,SUMPRODUCT((Besatzung!$B$11:$B$22&lt;&gt;"")*(Besatzung!$F$11:$F$22="x")),SUMPRODUCT((J139:U139="x")*(Besatzung!$F$11:$F$22="x"))),1))))),0))))</f>
        <v/>
      </c>
      <c r="X139" s="106">
        <f>IF(C139="Gutschrift","",IF(G139="","",IF(Besatzung!$B$13="","",IFERROR(IF(I139="Zeitanteilig",(Besatzung!$G$13*(G139-IFERROR(H139,0))+((Besatzung!$B$13&lt;&gt;"")*IF(B139="",1,(IF(Besatzung!$C$13="",Besatzung!$B$5,Besatzung!$C$13)&lt;=B139)*(IF(Besatzung!$D$13="",Besatzung!$B$6,Besatzung!$D$13)&gt;=B139)))*(Besatzung!$F$13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$13&lt;&gt;"")*IF(B139="",1,(IF(Besatzung!$C$13="",Besatzung!$B$5,Besatzung!$C$13)&lt;=B139)*(IF(Besatzung!$D$13="",Besatzung!$B$6,Besatzung!$D$13)&gt;=B139)))*((G139-IFERROR(H139,0))/IFERROR(SUMPRODUCT((Besatzung!$B$11:$B$22&lt;&gt;"")*(IF(Besatzung!$C$11:$C$22="",Besatzung!$B$5,Besatzung!$C$11:$C$22)&lt;=B139)*(IF(Besatzung!$D$11:$D$22="",Besatzung!$B$6,Besatzung!$D$11:$D$22)&gt;=B139)),1)+(Besatzung!$F$13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K139="x")*((G139-IFERROR(H139,0))/IFERROR(COUNTIF(J139:U139,"x"),1)+(Besatzung!$F$13="x")*IFERROR(H139,0)/IFERROR(SUMPRODUCT((J139:U139="x")*(Besatzung!$F$11:$F$22="x")),1))),(IF(COUNTIF(J139:U139,"x")=0,IF(Besatzung!$B$13&lt;&gt;"",1,0),(K139="x"))*(G139-IFERROR(H139,0))/IFERROR(IF(COUNTIF(J139:U139,"x")=0,COUNTA(Besatzung!$B$11:$B$22),COUNTIF(J139:U139,"x")),1)+IF(COUNTIF(J139:U139,"x")=0,(Besatzung!$F$13="x"),(K139="x")*(Besatzung!$F$13="x"))*IFERROR(H139,0)/IFERROR(IF(COUNTIF(J139:U139,"x")=0,SUMPRODUCT((Besatzung!$B$11:$B$22&lt;&gt;"")*(Besatzung!$F$11:$F$22="x")),SUMPRODUCT((J139:U139="x")*(Besatzung!$F$11:$F$22="x"))),1))))),0))))</f>
        <v/>
      </c>
      <c r="Y139" s="106">
        <f>IF(C139="Gutschrift","",IF(G139="","",IF(Besatzung!$B$14="","",IFERROR(IF(I139="Zeitanteilig",(Besatzung!$G$14*(G139-IFERROR(H139,0))+((Besatzung!$B$14&lt;&gt;"")*IF(B139="",1,(IF(Besatzung!$C$14="",Besatzung!$B$5,Besatzung!$C$14)&lt;=B139)*(IF(Besatzung!$D$14="",Besatzung!$B$6,Besatzung!$D$14)&gt;=B139)))*(Besatzung!$F$14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$14&lt;&gt;"")*IF(B139="",1,(IF(Besatzung!$C$14="",Besatzung!$B$5,Besatzung!$C$14)&lt;=B139)*(IF(Besatzung!$D$14="",Besatzung!$B$6,Besatzung!$D$14)&gt;=B139)))*((G139-IFERROR(H139,0))/IFERROR(SUMPRODUCT((Besatzung!$B$11:$B$22&lt;&gt;"")*(IF(Besatzung!$C$11:$C$22="",Besatzung!$B$5,Besatzung!$C$11:$C$22)&lt;=B139)*(IF(Besatzung!$D$11:$D$22="",Besatzung!$B$6,Besatzung!$D$11:$D$22)&gt;=B139)),1)+(Besatzung!$F$14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M139="x")*((G139-IFERROR(H139,0))/IFERROR(COUNTIF(J139:U139,"x"),1)+(Besatzung!$F$14="x")*IFERROR(H139,0)/IFERROR(SUMPRODUCT((J139:U139="x")*(Besatzung!$F$11:$F$22="x")),1))),(IF(COUNTIF(J139:U139,"x")=0,IF(Besatzung!$B$14&lt;&gt;"",1,0),(M139="x"))*(G139-IFERROR(H139,0))/IFERROR(IF(COUNTIF(J139:U139,"x")=0,COUNTA(Besatzung!$B$11:$B$22),COUNTIF(J139:U139,"x")),1)+IF(COUNTIF(J139:U139,"x")=0,(Besatzung!$F$14="x"),(M139="x")*(Besatzung!$F$14="x"))*IFERROR(H139,0)/IFERROR(IF(COUNTIF(J139:U139,"x")=0,SUMPRODUCT((Besatzung!$B$11:$B$22&lt;&gt;"")*(Besatzung!$F$11:$F$22="x")),SUMPRODUCT((J139:U139="x")*(Besatzung!$F$11:$F$22="x"))),1))))),0))))</f>
        <v/>
      </c>
      <c r="Z139" s="106">
        <f>IF(C139="Gutschrift","",IF(G139="","",IF(Besatzung!$B$13="","",IFERROR(IF(I139="Zeitanteilig",(Besatzung!$G$15*(G139-IFERROR(H139,0))+((Besatzung!$B$13&lt;&gt;"")*IF(B139="",1,(IF(Besatzung!$C$15="",Besatzung!$B$5,Besatzung!$C$15)&lt;=B139)*(IF(Besatzung!$D$15="",Besatzung!$B$6,Besatzung!$D$15)&gt;=B139)))*(Besatzung!$F$15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$13&lt;&gt;"")*IF(B139="",1,(IF(Besatzung!$C$15="",Besatzung!$B$5,Besatzung!$C$15)&lt;=B139)*(IF(Besatzung!$D$15="",Besatzung!$B$6,Besatzung!$D$15)&gt;=B139)))*((G139-IFERROR(H139,0))/IFERROR(SUMPRODUCT((Besatzung!$B$11:$B$22&lt;&gt;"")*(IF(Besatzung!$C$11:$C$22="",Besatzung!$B$5,Besatzung!$C$11:$C$22)&lt;=B139)*(IF(Besatzung!$D$11:$D$22="",Besatzung!$B$6,Besatzung!$D$11:$D$22)&gt;=B139)),1)+(Besatzung!$F$15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N139="x")*((G139-IFERROR(H139,0))/IFERROR(COUNTIF(J139:U139,"x"),1)+(Besatzung!$F$15="x")*IFERROR(H139,0)/IFERROR(SUMPRODUCT((J139:U139="x")*(Besatzung!$F$11:$F$22="x")),1))),(IF(COUNTIF(J139:U139,"x")=0,IF(Besatzung!$B$13&lt;&gt;"",1,0),(N139="x"))*(G139-IFERROR(H139,0))/IFERROR(IF(COUNTIF(J139:U139,"x")=0,COUNTA(Besatzung!$B$11:$B$22),COUNTIF(J139:U139,"x")),1)+IF(COUNTIF(J139:U139,"x")=0,(Besatzung!$F$15="x"),(N139="x")*(Besatzung!$F$15="x"))*IFERROR(H139,0)/IFERROR(IF(COUNTIF(J139:U139,"x")=0,SUMPRODUCT((Besatzung!$B$11:$B$22&lt;&gt;"")*(Besatzung!$F$11:$F$22="x")),SUMPRODUCT((J139:U139="x")*(Besatzung!$F$11:$F$22="x"))),1))))),0))))</f>
        <v/>
      </c>
      <c r="AA139" s="106">
        <f>IF(C139="Gutschrift","",IF(G139="","",IF(Besatzung!$B$15="","",IFERROR(IF(I139="Zeitanteilig",(Besatzung!$G$16*(G139-IFERROR(H139,0))+((Besatzung!$B$15&lt;&gt;"")*IF(B139="",1,(IF(Besatzung!$C$16="",Besatzung!$B$5,Besatzung!$C$16)&lt;=B139)*(IF(Besatzung!$D$16="",Besatzung!$B$6,Besatzung!$D$16)&gt;=B139)))*(Besatzung!$F$16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$15&lt;&gt;"")*IF(B139="",1,(IF(Besatzung!$C$16="",Besatzung!$B$5,Besatzung!$C$16)&lt;=B139)*(IF(Besatzung!$D$16="",Besatzung!$B$6,Besatzung!$D$16)&gt;=B139)))*((G139-IFERROR(H139,0))/IFERROR(SUMPRODUCT((Besatzung!$B$11:$B$22&lt;&gt;"")*(IF(Besatzung!$C$11:$C$22="",Besatzung!$B$5,Besatzung!$C$11:$C$22)&lt;=B139)*(IF(Besatzung!$D$11:$D$22="",Besatzung!$B$6,Besatzung!$D$11:$D$22)&gt;=B139)),1)+(Besatzung!$F$16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O139="x")*((G139-IFERROR(H139,0))/IFERROR(COUNTIF(J139:U139,"x"),1)+(Besatzung!$F$16="x")*IFERROR(H139,0)/IFERROR(SUMPRODUCT((J139:U139="x")*(Besatzung!$F$11:$F$22="x")),1))),(IF(COUNTIF(J139:U139,"x")=0,IF(Besatzung!$B$15&lt;&gt;"",1,0),(O139="x"))*(G139-IFERROR(H139,0))/IFERROR(IF(COUNTIF(J139:U139,"x")=0,COUNTA(Besatzung!$B$11:$B$22),COUNTIF(J139:U139,"x")),1)+IF(COUNTIF(J139:U139,"x")=0,(Besatzung!$F$16="x"),(O139="x")*(Besatzung!$F$16="x"))*IFERROR(H139,0)/IFERROR(IF(COUNTIF(J139:U139,"x")=0,SUMPRODUCT((Besatzung!$B$11:$B$22&lt;&gt;"")*(Besatzung!$F$11:$F$22="x")),SUMPRODUCT((J139:U139="x")*(Besatzung!$F$11:$F$22="x"))),1))))),0))))</f>
        <v/>
      </c>
      <c r="AB139" s="106">
        <f>IF(C139="Gutschrift","",IF(G139="","",IF(Besatzung!$B$17="","",IFERROR(IF(I139="Zeitanteilig",(Besatzung!$G$17*(G139-IFERROR(H139,0))+((Besatzung!$B$17&lt;&gt;"")*IF(B139="",1,(IF(Besatzung!$C$17="",Besatzung!$B$5,Besatzung!$C$17)&lt;=B139)*(IF(Besatzung!$D$17="",Besatzung!$B$6,Besatzung!$D$17)&gt;=B139)))*(Besatzung!$F$17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$17&lt;&gt;"")*IF(B139="",1,(IF(Besatzung!$C$17="",Besatzung!$B$5,Besatzung!$C$17)&lt;=B139)*(IF(Besatzung!$D$17="",Besatzung!$B$6,Besatzung!$D$17)&gt;=B139)))*((G139-IFERROR(H139,0))/IFERROR(SUMPRODUCT((Besatzung!$B$11:$B$22&lt;&gt;"")*(IF(Besatzung!$C$11:$C$22="",Besatzung!$B$5,Besatzung!$C$11:$C$22)&lt;=B139)*(IF(Besatzung!$D$11:$D$22="",Besatzung!$B$6,Besatzung!$D$11:$D$22)&gt;=B139)),1)+(Besatzung!$F$17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P139="x")*((G139-IFERROR(H139,0))/IFERROR(COUNTIF(J139:U139,"x"),1)+(Besatzung!$F$17="x")*IFERROR(H139,0)/IFERROR(SUMPRODUCT((J139:U139="x")*(Besatzung!$F$11:$F$22="x")),1))),(IF(COUNTIF(J139:U139,"x")=0,IF(Besatzung!$B$17&lt;&gt;"",1,0),(P139="x"))*(G139-IFERROR(H139,0))/IFERROR(IF(COUNTIF(J139:U139,"x")=0,COUNTA(Besatzung!$B$11:$B$22),COUNTIF(J139:U139,"x")),1)+IF(COUNTIF(J139:U139,"x")=0,(Besatzung!$F$17="x"),(P139="x")*(Besatzung!$F$17="x"))*IFERROR(H139,0)/IFERROR(IF(COUNTIF(J139:U139,"x")=0,SUMPRODUCT((Besatzung!$B$11:$B$22&lt;&gt;"")*(Besatzung!$F$11:$F$22="x")),SUMPRODUCT((J139:U139="x")*(Besatzung!$F$11:$F$22="x"))),1))))),0))))</f>
        <v/>
      </c>
      <c r="AC139" s="106">
        <f>IF(C139="Gutschrift","",IF(G139="","",IF(Besatzung!$B$18="","",IFERROR(IF(I139="Zeitanteilig",(Besatzung!$G$18*(G139-IFERROR(H139,0))+((Besatzung!$B$18&lt;&gt;"")*IF(B139="",1,(IF(Besatzung!$C$18="",Besatzung!$B$5,Besatzung!$C$18)&lt;=B139)*(IF(Besatzung!$D$18="",Besatzung!$B$6,Besatzung!$D$18)&gt;=B139)))*(Besatzung!$F$18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$18&lt;&gt;"")*IF(B139="",1,(IF(Besatzung!$C$18="",Besatzung!$B$5,Besatzung!$C$18)&lt;=B139)*(IF(Besatzung!$D$18="",Besatzung!$B$6,Besatzung!$D$18)&gt;=B139)))*((G139-IFERROR(H139,0))/IFERROR(SUMPRODUCT((Besatzung!$B$11:$B$22&lt;&gt;"")*(IF(Besatzung!$C$11:$C$22="",Besatzung!$B$5,Besatzung!$C$11:$C$22)&lt;=B139)*(IF(Besatzung!$D$11:$D$22="",Besatzung!$B$6,Besatzung!$D$11:$D$22)&gt;=B139)),1)+(Besatzung!$F$18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Q139="x")*((G139-IFERROR(H139,0))/IFERROR(COUNTIF(J139:U139,"x"),1)+(Besatzung!$F$18="x")*IFERROR(H139,0)/IFERROR(SUMPRODUCT((J139:U139="x")*(Besatzung!$F$11:$F$22="x")),1))),(IF(COUNTIF(J139:U139,"x")=0,IF(Besatzung!$B$18&lt;&gt;"",1,0),(Q139="x"))*(G139-IFERROR(H139,0))/IFERROR(IF(COUNTIF(J139:U139,"x")=0,COUNTA(Besatzung!$B$11:$B$22),COUNTIF(J139:U139,"x")),1)+IF(COUNTIF(J139:U139,"x")=0,(Besatzung!$F$18="x"),(Q139="x")*(Besatzung!$F$18="x"))*IFERROR(H139,0)/IFERROR(IF(COUNTIF(J139:U139,"x")=0,SUMPRODUCT((Besatzung!$B$11:$B$22&lt;&gt;"")*(Besatzung!$F$11:$F$22="x")),SUMPRODUCT((J139:U139="x")*(Besatzung!$F$11:$F$22="x"))),1))))),0))))</f>
        <v/>
      </c>
      <c r="AD139" s="106">
        <f>IF(C139="Gutschrift","",IF(G139="","",IF(Besatzung!$B$19="","",IFERROR(IF(I139="Zeitanteilig",(Besatzung!$G$19*(G139-IFERROR(H139,0))+((Besatzung!$B$19&lt;&gt;"")*IF(B139="",1,(IF(Besatzung!$C$19="",Besatzung!$B$5,Besatzung!$C$19)&lt;=B139)*(IF(Besatzung!$D$19="",Besatzung!$B$6,Besatzung!$D$19)&gt;=B139)))*(Besatzung!$F$19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$19&lt;&gt;"")*IF(B139="",1,(IF(Besatzung!$C$19="",Besatzung!$B$5,Besatzung!$C$19)&lt;=B139)*(IF(Besatzung!$D$19="",Besatzung!$B$6,Besatzung!$D$19)&gt;=B139)))*((G139-IFERROR(H139,0))/IFERROR(SUMPRODUCT((Besatzung!$B$11:$B$22&lt;&gt;"")*(IF(Besatzung!$C$11:$C$22="",Besatzung!$B$5,Besatzung!$C$11:$C$22)&lt;=B139)*(IF(Besatzung!$D$11:$D$22="",Besatzung!$B$6,Besatzung!$D$11:$D$22)&gt;=B139)),1)+(Besatzung!$F$19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R139="x")*((G139-IFERROR(H139,0))/IFERROR(COUNTIF(J139:U139,"x"),1)+(Besatzung!$F$19="x")*IFERROR(H139,0)/IFERROR(SUMPRODUCT((J139:U139="x")*(Besatzung!$F$11:$F$22="x")),1))),(IF(COUNTIF(J139:U139,"x")=0,IF(Besatzung!$B$19&lt;&gt;"",1,0),(R139="x"))*(G139-IFERROR(H139,0))/IFERROR(IF(COUNTIF(J139:U139,"x")=0,COUNTA(Besatzung!$B$11:$B$22),COUNTIF(J139:U139,"x")),1)+IF(COUNTIF(J139:U139,"x")=0,(Besatzung!$F$19="x"),(R139="x")*(Besatzung!$F$19="x"))*IFERROR(H139,0)/IFERROR(IF(COUNTIF(J139:U139,"x")=0,SUMPRODUCT((Besatzung!$B$11:$B$22&lt;&gt;"")*(Besatzung!$F$11:$F$22="x")),SUMPRODUCT((J139:U139="x")*(Besatzung!$F$11:$F$22="x"))),1))))),0))))</f>
        <v/>
      </c>
      <c r="AE139" s="106">
        <f>IF(C139="Gutschrift","",IF(G139="","",IF(Besatzung!$B$20="","",IFERROR(IF(I139="Zeitanteilig",(Besatzung!$G$20*(G139-IFERROR(H139,0))+((Besatzung!$B$20&lt;&gt;"")*IF(B139="",1,(IF(Besatzung!$C$20="",Besatzung!$B$5,Besatzung!$C$20)&lt;=B139)*(IF(Besatzung!$D$20="",Besatzung!$B$6,Besatzung!$D$20)&gt;=B139)))*(Besatzung!$F$20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$20&lt;&gt;"")*IF(B139="",1,(IF(Besatzung!$C$20="",Besatzung!$B$5,Besatzung!$C$20)&lt;=B139)*(IF(Besatzung!$D$20="",Besatzung!$B$6,Besatzung!$D$20)&gt;=B139)))*((G139-IFERROR(H139,0))/IFERROR(SUMPRODUCT((Besatzung!$B$11:$B$22&lt;&gt;"")*(IF(Besatzung!$C$11:$C$22="",Besatzung!$B$5,Besatzung!$C$11:$C$22)&lt;=B139)*(IF(Besatzung!$D$11:$D$22="",Besatzung!$B$6,Besatzung!$D$11:$D$22)&gt;=B139)),1)+(Besatzung!$F$20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S139="x")*((G139-IFERROR(H139,0))/IFERROR(COUNTIF(J139:U139,"x"),1)+(Besatzung!$F$20="x")*IFERROR(H139,0)/IFERROR(SUMPRODUCT((J139:U139="x")*(Besatzung!$F$11:$F$22="x")),1))),(IF(COUNTIF(J139:U139,"x")=0,IF(Besatzung!$B$20&lt;&gt;"",1,0),(S139="x"))*(G139-IFERROR(H139,0))/IFERROR(IF(COUNTIF(J139:U139,"x")=0,COUNTA(Besatzung!$B$11:$B$22),COUNTIF(J139:U139,"x")),1)+IF(COUNTIF(J139:U139,"x")=0,(Besatzung!$F$20="x"),(S139="x")*(Besatzung!$F$20="x"))*IFERROR(H139,0)/IFERROR(IF(COUNTIF(J139:U139,"x")=0,SUMPRODUCT((Besatzung!$B$11:$B$22&lt;&gt;"")*(Besatzung!$F$11:$F$22="x")),SUMPRODUCT((J139:U139="x")*(Besatzung!$F$11:$F$22="x"))),1))))),0))))</f>
        <v/>
      </c>
      <c r="AF139" s="106">
        <f>IF(C139="Gutschrift","",IF(G139="","",IF(Besatzung!$B$21="","",IFERROR(IF(I139="Zeitanteilig",(Besatzung!$G$21*(G139-IFERROR(H139,0))+((Besatzung!$B$21&lt;&gt;"")*IF(B139="",1,(IF(Besatzung!$C$21="",Besatzung!$B$5,Besatzung!$C$21)&lt;=B139)*(IF(Besatzung!$D$21="",Besatzung!$B$6,Besatzung!$D$21)&gt;=B139)))*(Besatzung!$F$21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$21&lt;&gt;"")*IF(B139="",1,(IF(Besatzung!$C$21="",Besatzung!$B$5,Besatzung!$C$21)&lt;=B139)*(IF(Besatzung!$D$21="",Besatzung!$B$6,Besatzung!$D$21)&gt;=B139)))*((G139-IFERROR(H139,0))/IFERROR(SUMPRODUCT((Besatzung!$B$11:$B$22&lt;&gt;"")*(IF(Besatzung!$C$11:$C$22="",Besatzung!$B$5,Besatzung!$C$11:$C$22)&lt;=B139)*(IF(Besatzung!$D$11:$D$22="",Besatzung!$B$6,Besatzung!$D$11:$D$22)&gt;=B139)),1)+(Besatzung!$F$21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T139="x")*((G139-IFERROR(H139,0))/IFERROR(COUNTIF(J139:U139,"x"),1)+(Besatzung!$F$21="x")*IFERROR(H139,0)/IFERROR(SUMPRODUCT((J139:U139="x")*(Besatzung!$F$11:$F$22="x")),1))),(IF(COUNTIF(J139:U139,"x")=0,IF(Besatzung!$B$21&lt;&gt;"",1,0),(T139="x"))*(G139-IFERROR(H139,0))/IFERROR(IF(COUNTIF(J139:U139,"x")=0,COUNTA(Besatzung!$B$11:$B$22),COUNTIF(J139:U139,"x")),1)+IF(COUNTIF(J139:U139,"x")=0,(Besatzung!$F$21="x"),(T139="x")*(Besatzung!$F$21="x"))*IFERROR(H139,0)/IFERROR(IF(COUNTIF(J139:U139,"x")=0,SUMPRODUCT((Besatzung!$B$11:$B$22&lt;&gt;"")*(Besatzung!$F$11:$F$22="x")),SUMPRODUCT((J139:U139="x")*(Besatzung!$F$11:$F$22="x"))),1))))),0))))</f>
        <v/>
      </c>
      <c r="AG139" s="106">
        <f>IF(C139="Gutschrift","",IF(G139="","",IF(Besatzung!$B$22="","",IFERROR(IF(I139="Zeitanteilig",(Besatzung!$G$22*(G139-IFERROR(H139,0))+((Besatzung!$B$22&lt;&gt;"")*IF(B139="",1,(IF(Besatzung!$C$22="",Besatzung!$B$5,Besatzung!$C$22)&lt;=B139)*(IF(Besatzung!$D$22="",Besatzung!$B$6,Besatzung!$D$22)&gt;=B139)))*(Besatzung!$F$22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$22&lt;&gt;"")*IF(B139="",1,(IF(Besatzung!$C$22="",Besatzung!$B$5,Besatzung!$C$22)&lt;=B139)*(IF(Besatzung!$D$22="",Besatzung!$B$6,Besatzung!$D$22)&gt;=B139)))*((G139-IFERROR(H139,0))/IFERROR(SUMPRODUCT((Besatzung!$B$11:$B$22&lt;&gt;"")*(IF(Besatzung!$C$11:$C$22="",Besatzung!$B$5,Besatzung!$C$11:$C$22)&lt;=B139)*(IF(Besatzung!$D$11:$D$22="",Besatzung!$B$6,Besatzung!$D$11:$D$22)&gt;=B139)),1)+(Besatzung!$F$22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U139="x")*((G139-IFERROR(H139,0))/IFERROR(COUNTIF(J139:U139,"x"),1)+(Besatzung!$F$22="x")*IFERROR(H139,0)/IFERROR(SUMPRODUCT((J139:U139="x")*(Besatzung!$F$11:$F$22="x")),1))),(IF(COUNTIF(J139:U139,"x")=0,IF(Besatzung!$B$22&lt;&gt;"",1,0),(U139="x"))*(G139-IFERROR(H139,0))/IFERROR(IF(COUNTIF(J139:U139,"x")=0,COUNTA(Besatzung!$B$11:$B$22),COUNTIF(J139:U139,"x")),1)+IF(COUNTIF(J139:U139,"x")=0,(Besatzung!$F$22="x"),(U139="x")*(Besatzung!$F$22="x"))*IFERROR(H139,0)/IFERROR(IF(COUNTIF(J139:U139,"x")=0,SUMPRODUCT((Besatzung!$B$11:$B$22&lt;&gt;"")*(Besatzung!$F$11:$F$22="x")),SUMPRODUCT((J139:U139="x")*(Besatzung!$F$11:$F$22="x"))),1))))),0))))</f>
        <v/>
      </c>
      <c r="AH139" s="107" t="n"/>
      <c r="AI139" s="107" t="n"/>
    </row>
    <row r="140" ht="21.75" customHeight="1" s="182">
      <c r="A140" s="97">
        <f>IF(AND(D140="",C140=""),"",137)</f>
        <v/>
      </c>
      <c r="B140" s="56" t="n"/>
      <c r="C140" s="98" t="n"/>
      <c r="D140" s="99" t="n"/>
      <c r="E140" s="100" t="n"/>
      <c r="F140" s="101" t="n"/>
      <c r="G140" s="102" t="n"/>
      <c r="H140" s="103" t="n"/>
      <c r="I140" s="104" t="n"/>
      <c r="J140" s="105" t="n"/>
      <c r="K140" s="105" t="n"/>
      <c r="L140" s="105" t="n"/>
      <c r="M140" s="105" t="n"/>
      <c r="N140" s="105" t="n"/>
      <c r="O140" s="105" t="n"/>
      <c r="P140" s="105" t="n"/>
      <c r="Q140" s="105" t="n"/>
      <c r="R140" s="105" t="n"/>
      <c r="S140" s="105" t="n"/>
      <c r="T140" s="105" t="n"/>
      <c r="U140" s="105" t="n"/>
      <c r="V140" s="106">
        <f>IF(C140="Gutschrift","",IF(G140="","",IF(Besatzung!$B$11="","",IFERROR(IF(I140="Zeitanteilig",(Besatzung!$G$11*(G140-IFERROR(H140,0))+((Besatzung!$B$11&lt;&gt;"")*IF(B140="",1,(IF(Besatzung!$C$11="",Besatzung!$B$5,Besatzung!$C$11)&lt;=B140)*(IF(Besatzung!$D$11="",Besatzung!$B$6,Besatzung!$D$11)&gt;=B140)))*(Besatzung!$F$11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$11&lt;&gt;"")*IF(B140="",1,(IF(Besatzung!$C$11="",Besatzung!$B$5,Besatzung!$C$11)&lt;=B140)*(IF(Besatzung!$D$11="",Besatzung!$B$6,Besatzung!$D$11)&gt;=B140)))*((G140-IFERROR(H140,0))/IFERROR(SUMPRODUCT((Besatzung!$B$11:$B$22&lt;&gt;"")*(IF(Besatzung!$C$11:$C$22="",Besatzung!$B$5,Besatzung!$C$11:$C$22)&lt;=B140)*(IF(Besatzung!$D$11:$D$22="",Besatzung!$B$6,Besatzung!$D$11:$D$22)&gt;=B140)),1)+(Besatzung!$F$11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J140="x")*((G140-IFERROR(H140,0))/IFERROR(COUNTIF(J140:U140,"x"),1)+(Besatzung!$F$11="x")*IFERROR(H140,0)/IFERROR(SUMPRODUCT((J140:U140="x")*(Besatzung!$F$11:$F$22="x")),1))),(IF(COUNTIF(J140:U140,"x")=0,IF(Besatzung!$B$11&lt;&gt;"",1,0),(J140="x"))*(G140-IFERROR(H140,0))/IFERROR(IF(COUNTIF(J140:U140,"x")=0,COUNTA(Besatzung!$B$11:$B$22),COUNTIF(J140:U140,"x")),1)+IF(COUNTIF(J140:U140,"x")=0,(Besatzung!$F$11="x"),(J140="x")*(Besatzung!$F$11="x"))*IFERROR(H140,0)/IFERROR(IF(COUNTIF(J140:U140,"x")=0,SUMPRODUCT((Besatzung!$B$11:$B$22&lt;&gt;"")*(Besatzung!$F$11:$F$22="x")),SUMPRODUCT((J140:U140="x")*(Besatzung!$F$11:$F$22="x"))),1))))),0))))</f>
        <v/>
      </c>
      <c r="W140" s="106">
        <f>IF(C140="Gutschrift","",IF(G140="","",IF(Besatzung!$B$12="","",IFERROR(IF(I140="Zeitanteilig",(Besatzung!$G$12*(G140-IFERROR(H140,0))+((Besatzung!$B$12&lt;&gt;"")*IF(B140="",1,(IF(Besatzung!$C$12="",Besatzung!$B$5,Besatzung!$C$12)&lt;=B140)*(IF(Besatzung!$D$12="",Besatzung!$B$6,Besatzung!$D$12)&gt;=B140)))*(Besatzung!$F$12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$12&lt;&gt;"")*IF(B140="",1,(IF(Besatzung!$C$12="",Besatzung!$B$5,Besatzung!$C$12)&lt;=B140)*(IF(Besatzung!$D$12="",Besatzung!$B$6,Besatzung!$D$12)&gt;=B140)))*((G140-IFERROR(H140,0))/IFERROR(SUMPRODUCT((Besatzung!$B$11:$B$22&lt;&gt;"")*(IF(Besatzung!$C$11:$C$22="",Besatzung!$B$5,Besatzung!$C$11:$C$22)&lt;=B140)*(IF(Besatzung!$D$11:$D$22="",Besatzung!$B$6,Besatzung!$D$11:$D$22)&gt;=B140)),1)+(Besatzung!$F$12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K140="x")*((G140-IFERROR(H140,0))/IFERROR(COUNTIF(J140:U140,"x"),1)+(Besatzung!$F$12="x")*IFERROR(H140,0)/IFERROR(SUMPRODUCT((J140:U140="x")*(Besatzung!$F$11:$F$22="x")),1))),(IF(COUNTIF(J140:U140,"x")=0,IF(Besatzung!$B$12&lt;&gt;"",1,0),(K140="x"))*(G140-IFERROR(H140,0))/IFERROR(IF(COUNTIF(J140:U140,"x")=0,COUNTA(Besatzung!$B$11:$B$22),COUNTIF(J140:U140,"x")),1)+IF(COUNTIF(J140:U140,"x")=0,(Besatzung!$F$12="x"),(K140="x")*(Besatzung!$F$12="x"))*IFERROR(H140,0)/IFERROR(IF(COUNTIF(J140:U140,"x")=0,SUMPRODUCT((Besatzung!$B$11:$B$22&lt;&gt;"")*(Besatzung!$F$11:$F$22="x")),SUMPRODUCT((J140:U140="x")*(Besatzung!$F$11:$F$22="x"))),1))))),0))))</f>
        <v/>
      </c>
      <c r="X140" s="106">
        <f>IF(C140="Gutschrift","",IF(G140="","",IF(Besatzung!$B$13="","",IFERROR(IF(I140="Zeitanteilig",(Besatzung!$G$13*(G140-IFERROR(H140,0))+((Besatzung!$B$13&lt;&gt;"")*IF(B140="",1,(IF(Besatzung!$C$13="",Besatzung!$B$5,Besatzung!$C$13)&lt;=B140)*(IF(Besatzung!$D$13="",Besatzung!$B$6,Besatzung!$D$13)&gt;=B140)))*(Besatzung!$F$13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$13&lt;&gt;"")*IF(B140="",1,(IF(Besatzung!$C$13="",Besatzung!$B$5,Besatzung!$C$13)&lt;=B140)*(IF(Besatzung!$D$13="",Besatzung!$B$6,Besatzung!$D$13)&gt;=B140)))*((G140-IFERROR(H140,0))/IFERROR(SUMPRODUCT((Besatzung!$B$11:$B$22&lt;&gt;"")*(IF(Besatzung!$C$11:$C$22="",Besatzung!$B$5,Besatzung!$C$11:$C$22)&lt;=B140)*(IF(Besatzung!$D$11:$D$22="",Besatzung!$B$6,Besatzung!$D$11:$D$22)&gt;=B140)),1)+(Besatzung!$F$13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K140="x")*((G140-IFERROR(H140,0))/IFERROR(COUNTIF(J140:U140,"x"),1)+(Besatzung!$F$13="x")*IFERROR(H140,0)/IFERROR(SUMPRODUCT((J140:U140="x")*(Besatzung!$F$11:$F$22="x")),1))),(IF(COUNTIF(J140:U140,"x")=0,IF(Besatzung!$B$13&lt;&gt;"",1,0),(K140="x"))*(G140-IFERROR(H140,0))/IFERROR(IF(COUNTIF(J140:U140,"x")=0,COUNTA(Besatzung!$B$11:$B$22),COUNTIF(J140:U140,"x")),1)+IF(COUNTIF(J140:U140,"x")=0,(Besatzung!$F$13="x"),(K140="x")*(Besatzung!$F$13="x"))*IFERROR(H140,0)/IFERROR(IF(COUNTIF(J140:U140,"x")=0,SUMPRODUCT((Besatzung!$B$11:$B$22&lt;&gt;"")*(Besatzung!$F$11:$F$22="x")),SUMPRODUCT((J140:U140="x")*(Besatzung!$F$11:$F$22="x"))),1))))),0))))</f>
        <v/>
      </c>
      <c r="Y140" s="106">
        <f>IF(C140="Gutschrift","",IF(G140="","",IF(Besatzung!$B$14="","",IFERROR(IF(I140="Zeitanteilig",(Besatzung!$G$14*(G140-IFERROR(H140,0))+((Besatzung!$B$14&lt;&gt;"")*IF(B140="",1,(IF(Besatzung!$C$14="",Besatzung!$B$5,Besatzung!$C$14)&lt;=B140)*(IF(Besatzung!$D$14="",Besatzung!$B$6,Besatzung!$D$14)&gt;=B140)))*(Besatzung!$F$14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$14&lt;&gt;"")*IF(B140="",1,(IF(Besatzung!$C$14="",Besatzung!$B$5,Besatzung!$C$14)&lt;=B140)*(IF(Besatzung!$D$14="",Besatzung!$B$6,Besatzung!$D$14)&gt;=B140)))*((G140-IFERROR(H140,0))/IFERROR(SUMPRODUCT((Besatzung!$B$11:$B$22&lt;&gt;"")*(IF(Besatzung!$C$11:$C$22="",Besatzung!$B$5,Besatzung!$C$11:$C$22)&lt;=B140)*(IF(Besatzung!$D$11:$D$22="",Besatzung!$B$6,Besatzung!$D$11:$D$22)&gt;=B140)),1)+(Besatzung!$F$14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M140="x")*((G140-IFERROR(H140,0))/IFERROR(COUNTIF(J140:U140,"x"),1)+(Besatzung!$F$14="x")*IFERROR(H140,0)/IFERROR(SUMPRODUCT((J140:U140="x")*(Besatzung!$F$11:$F$22="x")),1))),(IF(COUNTIF(J140:U140,"x")=0,IF(Besatzung!$B$14&lt;&gt;"",1,0),(M140="x"))*(G140-IFERROR(H140,0))/IFERROR(IF(COUNTIF(J140:U140,"x")=0,COUNTA(Besatzung!$B$11:$B$22),COUNTIF(J140:U140,"x")),1)+IF(COUNTIF(J140:U140,"x")=0,(Besatzung!$F$14="x"),(M140="x")*(Besatzung!$F$14="x"))*IFERROR(H140,0)/IFERROR(IF(COUNTIF(J140:U140,"x")=0,SUMPRODUCT((Besatzung!$B$11:$B$22&lt;&gt;"")*(Besatzung!$F$11:$F$22="x")),SUMPRODUCT((J140:U140="x")*(Besatzung!$F$11:$F$22="x"))),1))))),0))))</f>
        <v/>
      </c>
      <c r="Z140" s="106">
        <f>IF(C140="Gutschrift","",IF(G140="","",IF(Besatzung!$B$13="","",IFERROR(IF(I140="Zeitanteilig",(Besatzung!$G$15*(G140-IFERROR(H140,0))+((Besatzung!$B$13&lt;&gt;"")*IF(B140="",1,(IF(Besatzung!$C$15="",Besatzung!$B$5,Besatzung!$C$15)&lt;=B140)*(IF(Besatzung!$D$15="",Besatzung!$B$6,Besatzung!$D$15)&gt;=B140)))*(Besatzung!$F$15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$13&lt;&gt;"")*IF(B140="",1,(IF(Besatzung!$C$15="",Besatzung!$B$5,Besatzung!$C$15)&lt;=B140)*(IF(Besatzung!$D$15="",Besatzung!$B$6,Besatzung!$D$15)&gt;=B140)))*((G140-IFERROR(H140,0))/IFERROR(SUMPRODUCT((Besatzung!$B$11:$B$22&lt;&gt;"")*(IF(Besatzung!$C$11:$C$22="",Besatzung!$B$5,Besatzung!$C$11:$C$22)&lt;=B140)*(IF(Besatzung!$D$11:$D$22="",Besatzung!$B$6,Besatzung!$D$11:$D$22)&gt;=B140)),1)+(Besatzung!$F$15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N140="x")*((G140-IFERROR(H140,0))/IFERROR(COUNTIF(J140:U140,"x"),1)+(Besatzung!$F$15="x")*IFERROR(H140,0)/IFERROR(SUMPRODUCT((J140:U140="x")*(Besatzung!$F$11:$F$22="x")),1))),(IF(COUNTIF(J140:U140,"x")=0,IF(Besatzung!$B$13&lt;&gt;"",1,0),(N140="x"))*(G140-IFERROR(H140,0))/IFERROR(IF(COUNTIF(J140:U140,"x")=0,COUNTA(Besatzung!$B$11:$B$22),COUNTIF(J140:U140,"x")),1)+IF(COUNTIF(J140:U140,"x")=0,(Besatzung!$F$15="x"),(N140="x")*(Besatzung!$F$15="x"))*IFERROR(H140,0)/IFERROR(IF(COUNTIF(J140:U140,"x")=0,SUMPRODUCT((Besatzung!$B$11:$B$22&lt;&gt;"")*(Besatzung!$F$11:$F$22="x")),SUMPRODUCT((J140:U140="x")*(Besatzung!$F$11:$F$22="x"))),1))))),0))))</f>
        <v/>
      </c>
      <c r="AA140" s="106">
        <f>IF(C140="Gutschrift","",IF(G140="","",IF(Besatzung!$B$15="","",IFERROR(IF(I140="Zeitanteilig",(Besatzung!$G$16*(G140-IFERROR(H140,0))+((Besatzung!$B$15&lt;&gt;"")*IF(B140="",1,(IF(Besatzung!$C$16="",Besatzung!$B$5,Besatzung!$C$16)&lt;=B140)*(IF(Besatzung!$D$16="",Besatzung!$B$6,Besatzung!$D$16)&gt;=B140)))*(Besatzung!$F$16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$15&lt;&gt;"")*IF(B140="",1,(IF(Besatzung!$C$16="",Besatzung!$B$5,Besatzung!$C$16)&lt;=B140)*(IF(Besatzung!$D$16="",Besatzung!$B$6,Besatzung!$D$16)&gt;=B140)))*((G140-IFERROR(H140,0))/IFERROR(SUMPRODUCT((Besatzung!$B$11:$B$22&lt;&gt;"")*(IF(Besatzung!$C$11:$C$22="",Besatzung!$B$5,Besatzung!$C$11:$C$22)&lt;=B140)*(IF(Besatzung!$D$11:$D$22="",Besatzung!$B$6,Besatzung!$D$11:$D$22)&gt;=B140)),1)+(Besatzung!$F$16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O140="x")*((G140-IFERROR(H140,0))/IFERROR(COUNTIF(J140:U140,"x"),1)+(Besatzung!$F$16="x")*IFERROR(H140,0)/IFERROR(SUMPRODUCT((J140:U140="x")*(Besatzung!$F$11:$F$22="x")),1))),(IF(COUNTIF(J140:U140,"x")=0,IF(Besatzung!$B$15&lt;&gt;"",1,0),(O140="x"))*(G140-IFERROR(H140,0))/IFERROR(IF(COUNTIF(J140:U140,"x")=0,COUNTA(Besatzung!$B$11:$B$22),COUNTIF(J140:U140,"x")),1)+IF(COUNTIF(J140:U140,"x")=0,(Besatzung!$F$16="x"),(O140="x")*(Besatzung!$F$16="x"))*IFERROR(H140,0)/IFERROR(IF(COUNTIF(J140:U140,"x")=0,SUMPRODUCT((Besatzung!$B$11:$B$22&lt;&gt;"")*(Besatzung!$F$11:$F$22="x")),SUMPRODUCT((J140:U140="x")*(Besatzung!$F$11:$F$22="x"))),1))))),0))))</f>
        <v/>
      </c>
      <c r="AB140" s="106">
        <f>IF(C140="Gutschrift","",IF(G140="","",IF(Besatzung!$B$17="","",IFERROR(IF(I140="Zeitanteilig",(Besatzung!$G$17*(G140-IFERROR(H140,0))+((Besatzung!$B$17&lt;&gt;"")*IF(B140="",1,(IF(Besatzung!$C$17="",Besatzung!$B$5,Besatzung!$C$17)&lt;=B140)*(IF(Besatzung!$D$17="",Besatzung!$B$6,Besatzung!$D$17)&gt;=B140)))*(Besatzung!$F$17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$17&lt;&gt;"")*IF(B140="",1,(IF(Besatzung!$C$17="",Besatzung!$B$5,Besatzung!$C$17)&lt;=B140)*(IF(Besatzung!$D$17="",Besatzung!$B$6,Besatzung!$D$17)&gt;=B140)))*((G140-IFERROR(H140,0))/IFERROR(SUMPRODUCT((Besatzung!$B$11:$B$22&lt;&gt;"")*(IF(Besatzung!$C$11:$C$22="",Besatzung!$B$5,Besatzung!$C$11:$C$22)&lt;=B140)*(IF(Besatzung!$D$11:$D$22="",Besatzung!$B$6,Besatzung!$D$11:$D$22)&gt;=B140)),1)+(Besatzung!$F$17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P140="x")*((G140-IFERROR(H140,0))/IFERROR(COUNTIF(J140:U140,"x"),1)+(Besatzung!$F$17="x")*IFERROR(H140,0)/IFERROR(SUMPRODUCT((J140:U140="x")*(Besatzung!$F$11:$F$22="x")),1))),(IF(COUNTIF(J140:U140,"x")=0,IF(Besatzung!$B$17&lt;&gt;"",1,0),(P140="x"))*(G140-IFERROR(H140,0))/IFERROR(IF(COUNTIF(J140:U140,"x")=0,COUNTA(Besatzung!$B$11:$B$22),COUNTIF(J140:U140,"x")),1)+IF(COUNTIF(J140:U140,"x")=0,(Besatzung!$F$17="x"),(P140="x")*(Besatzung!$F$17="x"))*IFERROR(H140,0)/IFERROR(IF(COUNTIF(J140:U140,"x")=0,SUMPRODUCT((Besatzung!$B$11:$B$22&lt;&gt;"")*(Besatzung!$F$11:$F$22="x")),SUMPRODUCT((J140:U140="x")*(Besatzung!$F$11:$F$22="x"))),1))))),0))))</f>
        <v/>
      </c>
      <c r="AC140" s="106">
        <f>IF(C140="Gutschrift","",IF(G140="","",IF(Besatzung!$B$18="","",IFERROR(IF(I140="Zeitanteilig",(Besatzung!$G$18*(G140-IFERROR(H140,0))+((Besatzung!$B$18&lt;&gt;"")*IF(B140="",1,(IF(Besatzung!$C$18="",Besatzung!$B$5,Besatzung!$C$18)&lt;=B140)*(IF(Besatzung!$D$18="",Besatzung!$B$6,Besatzung!$D$18)&gt;=B140)))*(Besatzung!$F$18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$18&lt;&gt;"")*IF(B140="",1,(IF(Besatzung!$C$18="",Besatzung!$B$5,Besatzung!$C$18)&lt;=B140)*(IF(Besatzung!$D$18="",Besatzung!$B$6,Besatzung!$D$18)&gt;=B140)))*((G140-IFERROR(H140,0))/IFERROR(SUMPRODUCT((Besatzung!$B$11:$B$22&lt;&gt;"")*(IF(Besatzung!$C$11:$C$22="",Besatzung!$B$5,Besatzung!$C$11:$C$22)&lt;=B140)*(IF(Besatzung!$D$11:$D$22="",Besatzung!$B$6,Besatzung!$D$11:$D$22)&gt;=B140)),1)+(Besatzung!$F$18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Q140="x")*((G140-IFERROR(H140,0))/IFERROR(COUNTIF(J140:U140,"x"),1)+(Besatzung!$F$18="x")*IFERROR(H140,0)/IFERROR(SUMPRODUCT((J140:U140="x")*(Besatzung!$F$11:$F$22="x")),1))),(IF(COUNTIF(J140:U140,"x")=0,IF(Besatzung!$B$18&lt;&gt;"",1,0),(Q140="x"))*(G140-IFERROR(H140,0))/IFERROR(IF(COUNTIF(J140:U140,"x")=0,COUNTA(Besatzung!$B$11:$B$22),COUNTIF(J140:U140,"x")),1)+IF(COUNTIF(J140:U140,"x")=0,(Besatzung!$F$18="x"),(Q140="x")*(Besatzung!$F$18="x"))*IFERROR(H140,0)/IFERROR(IF(COUNTIF(J140:U140,"x")=0,SUMPRODUCT((Besatzung!$B$11:$B$22&lt;&gt;"")*(Besatzung!$F$11:$F$22="x")),SUMPRODUCT((J140:U140="x")*(Besatzung!$F$11:$F$22="x"))),1))))),0))))</f>
        <v/>
      </c>
      <c r="AD140" s="106">
        <f>IF(C140="Gutschrift","",IF(G140="","",IF(Besatzung!$B$19="","",IFERROR(IF(I140="Zeitanteilig",(Besatzung!$G$19*(G140-IFERROR(H140,0))+((Besatzung!$B$19&lt;&gt;"")*IF(B140="",1,(IF(Besatzung!$C$19="",Besatzung!$B$5,Besatzung!$C$19)&lt;=B140)*(IF(Besatzung!$D$19="",Besatzung!$B$6,Besatzung!$D$19)&gt;=B140)))*(Besatzung!$F$19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$19&lt;&gt;"")*IF(B140="",1,(IF(Besatzung!$C$19="",Besatzung!$B$5,Besatzung!$C$19)&lt;=B140)*(IF(Besatzung!$D$19="",Besatzung!$B$6,Besatzung!$D$19)&gt;=B140)))*((G140-IFERROR(H140,0))/IFERROR(SUMPRODUCT((Besatzung!$B$11:$B$22&lt;&gt;"")*(IF(Besatzung!$C$11:$C$22="",Besatzung!$B$5,Besatzung!$C$11:$C$22)&lt;=B140)*(IF(Besatzung!$D$11:$D$22="",Besatzung!$B$6,Besatzung!$D$11:$D$22)&gt;=B140)),1)+(Besatzung!$F$19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R140="x")*((G140-IFERROR(H140,0))/IFERROR(COUNTIF(J140:U140,"x"),1)+(Besatzung!$F$19="x")*IFERROR(H140,0)/IFERROR(SUMPRODUCT((J140:U140="x")*(Besatzung!$F$11:$F$22="x")),1))),(IF(COUNTIF(J140:U140,"x")=0,IF(Besatzung!$B$19&lt;&gt;"",1,0),(R140="x"))*(G140-IFERROR(H140,0))/IFERROR(IF(COUNTIF(J140:U140,"x")=0,COUNTA(Besatzung!$B$11:$B$22),COUNTIF(J140:U140,"x")),1)+IF(COUNTIF(J140:U140,"x")=0,(Besatzung!$F$19="x"),(R140="x")*(Besatzung!$F$19="x"))*IFERROR(H140,0)/IFERROR(IF(COUNTIF(J140:U140,"x")=0,SUMPRODUCT((Besatzung!$B$11:$B$22&lt;&gt;"")*(Besatzung!$F$11:$F$22="x")),SUMPRODUCT((J140:U140="x")*(Besatzung!$F$11:$F$22="x"))),1))))),0))))</f>
        <v/>
      </c>
      <c r="AE140" s="106">
        <f>IF(C140="Gutschrift","",IF(G140="","",IF(Besatzung!$B$20="","",IFERROR(IF(I140="Zeitanteilig",(Besatzung!$G$20*(G140-IFERROR(H140,0))+((Besatzung!$B$20&lt;&gt;"")*IF(B140="",1,(IF(Besatzung!$C$20="",Besatzung!$B$5,Besatzung!$C$20)&lt;=B140)*(IF(Besatzung!$D$20="",Besatzung!$B$6,Besatzung!$D$20)&gt;=B140)))*(Besatzung!$F$20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$20&lt;&gt;"")*IF(B140="",1,(IF(Besatzung!$C$20="",Besatzung!$B$5,Besatzung!$C$20)&lt;=B140)*(IF(Besatzung!$D$20="",Besatzung!$B$6,Besatzung!$D$20)&gt;=B140)))*((G140-IFERROR(H140,0))/IFERROR(SUMPRODUCT((Besatzung!$B$11:$B$22&lt;&gt;"")*(IF(Besatzung!$C$11:$C$22="",Besatzung!$B$5,Besatzung!$C$11:$C$22)&lt;=B140)*(IF(Besatzung!$D$11:$D$22="",Besatzung!$B$6,Besatzung!$D$11:$D$22)&gt;=B140)),1)+(Besatzung!$F$20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S140="x")*((G140-IFERROR(H140,0))/IFERROR(COUNTIF(J140:U140,"x"),1)+(Besatzung!$F$20="x")*IFERROR(H140,0)/IFERROR(SUMPRODUCT((J140:U140="x")*(Besatzung!$F$11:$F$22="x")),1))),(IF(COUNTIF(J140:U140,"x")=0,IF(Besatzung!$B$20&lt;&gt;"",1,0),(S140="x"))*(G140-IFERROR(H140,0))/IFERROR(IF(COUNTIF(J140:U140,"x")=0,COUNTA(Besatzung!$B$11:$B$22),COUNTIF(J140:U140,"x")),1)+IF(COUNTIF(J140:U140,"x")=0,(Besatzung!$F$20="x"),(S140="x")*(Besatzung!$F$20="x"))*IFERROR(H140,0)/IFERROR(IF(COUNTIF(J140:U140,"x")=0,SUMPRODUCT((Besatzung!$B$11:$B$22&lt;&gt;"")*(Besatzung!$F$11:$F$22="x")),SUMPRODUCT((J140:U140="x")*(Besatzung!$F$11:$F$22="x"))),1))))),0))))</f>
        <v/>
      </c>
      <c r="AF140" s="106">
        <f>IF(C140="Gutschrift","",IF(G140="","",IF(Besatzung!$B$21="","",IFERROR(IF(I140="Zeitanteilig",(Besatzung!$G$21*(G140-IFERROR(H140,0))+((Besatzung!$B$21&lt;&gt;"")*IF(B140="",1,(IF(Besatzung!$C$21="",Besatzung!$B$5,Besatzung!$C$21)&lt;=B140)*(IF(Besatzung!$D$21="",Besatzung!$B$6,Besatzung!$D$21)&gt;=B140)))*(Besatzung!$F$21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$21&lt;&gt;"")*IF(B140="",1,(IF(Besatzung!$C$21="",Besatzung!$B$5,Besatzung!$C$21)&lt;=B140)*(IF(Besatzung!$D$21="",Besatzung!$B$6,Besatzung!$D$21)&gt;=B140)))*((G140-IFERROR(H140,0))/IFERROR(SUMPRODUCT((Besatzung!$B$11:$B$22&lt;&gt;"")*(IF(Besatzung!$C$11:$C$22="",Besatzung!$B$5,Besatzung!$C$11:$C$22)&lt;=B140)*(IF(Besatzung!$D$11:$D$22="",Besatzung!$B$6,Besatzung!$D$11:$D$22)&gt;=B140)),1)+(Besatzung!$F$21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T140="x")*((G140-IFERROR(H140,0))/IFERROR(COUNTIF(J140:U140,"x"),1)+(Besatzung!$F$21="x")*IFERROR(H140,0)/IFERROR(SUMPRODUCT((J140:U140="x")*(Besatzung!$F$11:$F$22="x")),1))),(IF(COUNTIF(J140:U140,"x")=0,IF(Besatzung!$B$21&lt;&gt;"",1,0),(T140="x"))*(G140-IFERROR(H140,0))/IFERROR(IF(COUNTIF(J140:U140,"x")=0,COUNTA(Besatzung!$B$11:$B$22),COUNTIF(J140:U140,"x")),1)+IF(COUNTIF(J140:U140,"x")=0,(Besatzung!$F$21="x"),(T140="x")*(Besatzung!$F$21="x"))*IFERROR(H140,0)/IFERROR(IF(COUNTIF(J140:U140,"x")=0,SUMPRODUCT((Besatzung!$B$11:$B$22&lt;&gt;"")*(Besatzung!$F$11:$F$22="x")),SUMPRODUCT((J140:U140="x")*(Besatzung!$F$11:$F$22="x"))),1))))),0))))</f>
        <v/>
      </c>
      <c r="AG140" s="106">
        <f>IF(C140="Gutschrift","",IF(G140="","",IF(Besatzung!$B$22="","",IFERROR(IF(I140="Zeitanteilig",(Besatzung!$G$22*(G140-IFERROR(H140,0))+((Besatzung!$B$22&lt;&gt;"")*IF(B140="",1,(IF(Besatzung!$C$22="",Besatzung!$B$5,Besatzung!$C$22)&lt;=B140)*(IF(Besatzung!$D$22="",Besatzung!$B$6,Besatzung!$D$22)&gt;=B140)))*(Besatzung!$F$22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$22&lt;&gt;"")*IF(B140="",1,(IF(Besatzung!$C$22="",Besatzung!$B$5,Besatzung!$C$22)&lt;=B140)*(IF(Besatzung!$D$22="",Besatzung!$B$6,Besatzung!$D$22)&gt;=B140)))*((G140-IFERROR(H140,0))/IFERROR(SUMPRODUCT((Besatzung!$B$11:$B$22&lt;&gt;"")*(IF(Besatzung!$C$11:$C$22="",Besatzung!$B$5,Besatzung!$C$11:$C$22)&lt;=B140)*(IF(Besatzung!$D$11:$D$22="",Besatzung!$B$6,Besatzung!$D$11:$D$22)&gt;=B140)),1)+(Besatzung!$F$22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U140="x")*((G140-IFERROR(H140,0))/IFERROR(COUNTIF(J140:U140,"x"),1)+(Besatzung!$F$22="x")*IFERROR(H140,0)/IFERROR(SUMPRODUCT((J140:U140="x")*(Besatzung!$F$11:$F$22="x")),1))),(IF(COUNTIF(J140:U140,"x")=0,IF(Besatzung!$B$22&lt;&gt;"",1,0),(U140="x"))*(G140-IFERROR(H140,0))/IFERROR(IF(COUNTIF(J140:U140,"x")=0,COUNTA(Besatzung!$B$11:$B$22),COUNTIF(J140:U140,"x")),1)+IF(COUNTIF(J140:U140,"x")=0,(Besatzung!$F$22="x"),(U140="x")*(Besatzung!$F$22="x"))*IFERROR(H140,0)/IFERROR(IF(COUNTIF(J140:U140,"x")=0,SUMPRODUCT((Besatzung!$B$11:$B$22&lt;&gt;"")*(Besatzung!$F$11:$F$22="x")),SUMPRODUCT((J140:U140="x")*(Besatzung!$F$11:$F$22="x"))),1))))),0))))</f>
        <v/>
      </c>
      <c r="AH140" s="107" t="n"/>
      <c r="AI140" s="107" t="n"/>
    </row>
    <row r="141" ht="21.75" customHeight="1" s="182">
      <c r="A141" s="97">
        <f>IF(AND(D141="",C141=""),"",138)</f>
        <v/>
      </c>
      <c r="B141" s="63" t="n"/>
      <c r="C141" s="108" t="n"/>
      <c r="D141" s="109" t="n"/>
      <c r="E141" s="110" t="n"/>
      <c r="F141" s="111" t="n"/>
      <c r="G141" s="112" t="n"/>
      <c r="H141" s="113" t="n"/>
      <c r="I141" s="114" t="n"/>
      <c r="J141" s="115" t="n"/>
      <c r="K141" s="115" t="n"/>
      <c r="L141" s="115" t="n"/>
      <c r="M141" s="115" t="n"/>
      <c r="N141" s="115" t="n"/>
      <c r="O141" s="115" t="n"/>
      <c r="P141" s="115" t="n"/>
      <c r="Q141" s="115" t="n"/>
      <c r="R141" s="115" t="n"/>
      <c r="S141" s="115" t="n"/>
      <c r="T141" s="115" t="n"/>
      <c r="U141" s="115" t="n"/>
      <c r="V141" s="106">
        <f>IF(C141="Gutschrift","",IF(G141="","",IF(Besatzung!$B$11="","",IFERROR(IF(I141="Zeitanteilig",(Besatzung!$G$11*(G141-IFERROR(H141,0))+((Besatzung!$B$11&lt;&gt;"")*IF(B141="",1,(IF(Besatzung!$C$11="",Besatzung!$B$5,Besatzung!$C$11)&lt;=B141)*(IF(Besatzung!$D$11="",Besatzung!$B$6,Besatzung!$D$11)&gt;=B141)))*(Besatzung!$F$11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$11&lt;&gt;"")*IF(B141="",1,(IF(Besatzung!$C$11="",Besatzung!$B$5,Besatzung!$C$11)&lt;=B141)*(IF(Besatzung!$D$11="",Besatzung!$B$6,Besatzung!$D$11)&gt;=B141)))*((G141-IFERROR(H141,0))/IFERROR(SUMPRODUCT((Besatzung!$B$11:$B$22&lt;&gt;"")*(IF(Besatzung!$C$11:$C$22="",Besatzung!$B$5,Besatzung!$C$11:$C$22)&lt;=B141)*(IF(Besatzung!$D$11:$D$22="",Besatzung!$B$6,Besatzung!$D$11:$D$22)&gt;=B141)),1)+(Besatzung!$F$11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J141="x")*((G141-IFERROR(H141,0))/IFERROR(COUNTIF(J141:U141,"x"),1)+(Besatzung!$F$11="x")*IFERROR(H141,0)/IFERROR(SUMPRODUCT((J141:U141="x")*(Besatzung!$F$11:$F$22="x")),1))),(IF(COUNTIF(J141:U141,"x")=0,IF(Besatzung!$B$11&lt;&gt;"",1,0),(J141="x"))*(G141-IFERROR(H141,0))/IFERROR(IF(COUNTIF(J141:U141,"x")=0,COUNTA(Besatzung!$B$11:$B$22),COUNTIF(J141:U141,"x")),1)+IF(COUNTIF(J141:U141,"x")=0,(Besatzung!$F$11="x"),(J141="x")*(Besatzung!$F$11="x"))*IFERROR(H141,0)/IFERROR(IF(COUNTIF(J141:U141,"x")=0,SUMPRODUCT((Besatzung!$B$11:$B$22&lt;&gt;"")*(Besatzung!$F$11:$F$22="x")),SUMPRODUCT((J141:U141="x")*(Besatzung!$F$11:$F$22="x"))),1))))),0))))</f>
        <v/>
      </c>
      <c r="W141" s="106">
        <f>IF(C141="Gutschrift","",IF(G141="","",IF(Besatzung!$B$12="","",IFERROR(IF(I141="Zeitanteilig",(Besatzung!$G$12*(G141-IFERROR(H141,0))+((Besatzung!$B$12&lt;&gt;"")*IF(B141="",1,(IF(Besatzung!$C$12="",Besatzung!$B$5,Besatzung!$C$12)&lt;=B141)*(IF(Besatzung!$D$12="",Besatzung!$B$6,Besatzung!$D$12)&gt;=B141)))*(Besatzung!$F$12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$12&lt;&gt;"")*IF(B141="",1,(IF(Besatzung!$C$12="",Besatzung!$B$5,Besatzung!$C$12)&lt;=B141)*(IF(Besatzung!$D$12="",Besatzung!$B$6,Besatzung!$D$12)&gt;=B141)))*((G141-IFERROR(H141,0))/IFERROR(SUMPRODUCT((Besatzung!$B$11:$B$22&lt;&gt;"")*(IF(Besatzung!$C$11:$C$22="",Besatzung!$B$5,Besatzung!$C$11:$C$22)&lt;=B141)*(IF(Besatzung!$D$11:$D$22="",Besatzung!$B$6,Besatzung!$D$11:$D$22)&gt;=B141)),1)+(Besatzung!$F$12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K141="x")*((G141-IFERROR(H141,0))/IFERROR(COUNTIF(J141:U141,"x"),1)+(Besatzung!$F$12="x")*IFERROR(H141,0)/IFERROR(SUMPRODUCT((J141:U141="x")*(Besatzung!$F$11:$F$22="x")),1))),(IF(COUNTIF(J141:U141,"x")=0,IF(Besatzung!$B$12&lt;&gt;"",1,0),(K141="x"))*(G141-IFERROR(H141,0))/IFERROR(IF(COUNTIF(J141:U141,"x")=0,COUNTA(Besatzung!$B$11:$B$22),COUNTIF(J141:U141,"x")),1)+IF(COUNTIF(J141:U141,"x")=0,(Besatzung!$F$12="x"),(K141="x")*(Besatzung!$F$12="x"))*IFERROR(H141,0)/IFERROR(IF(COUNTIF(J141:U141,"x")=0,SUMPRODUCT((Besatzung!$B$11:$B$22&lt;&gt;"")*(Besatzung!$F$11:$F$22="x")),SUMPRODUCT((J141:U141="x")*(Besatzung!$F$11:$F$22="x"))),1))))),0))))</f>
        <v/>
      </c>
      <c r="X141" s="106">
        <f>IF(C141="Gutschrift","",IF(G141="","",IF(Besatzung!$B$13="","",IFERROR(IF(I141="Zeitanteilig",(Besatzung!$G$13*(G141-IFERROR(H141,0))+((Besatzung!$B$13&lt;&gt;"")*IF(B141="",1,(IF(Besatzung!$C$13="",Besatzung!$B$5,Besatzung!$C$13)&lt;=B141)*(IF(Besatzung!$D$13="",Besatzung!$B$6,Besatzung!$D$13)&gt;=B141)))*(Besatzung!$F$13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$13&lt;&gt;"")*IF(B141="",1,(IF(Besatzung!$C$13="",Besatzung!$B$5,Besatzung!$C$13)&lt;=B141)*(IF(Besatzung!$D$13="",Besatzung!$B$6,Besatzung!$D$13)&gt;=B141)))*((G141-IFERROR(H141,0))/IFERROR(SUMPRODUCT((Besatzung!$B$11:$B$22&lt;&gt;"")*(IF(Besatzung!$C$11:$C$22="",Besatzung!$B$5,Besatzung!$C$11:$C$22)&lt;=B141)*(IF(Besatzung!$D$11:$D$22="",Besatzung!$B$6,Besatzung!$D$11:$D$22)&gt;=B141)),1)+(Besatzung!$F$13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K141="x")*((G141-IFERROR(H141,0))/IFERROR(COUNTIF(J141:U141,"x"),1)+(Besatzung!$F$13="x")*IFERROR(H141,0)/IFERROR(SUMPRODUCT((J141:U141="x")*(Besatzung!$F$11:$F$22="x")),1))),(IF(COUNTIF(J141:U141,"x")=0,IF(Besatzung!$B$13&lt;&gt;"",1,0),(K141="x"))*(G141-IFERROR(H141,0))/IFERROR(IF(COUNTIF(J141:U141,"x")=0,COUNTA(Besatzung!$B$11:$B$22),COUNTIF(J141:U141,"x")),1)+IF(COUNTIF(J141:U141,"x")=0,(Besatzung!$F$13="x"),(K141="x")*(Besatzung!$F$13="x"))*IFERROR(H141,0)/IFERROR(IF(COUNTIF(J141:U141,"x")=0,SUMPRODUCT((Besatzung!$B$11:$B$22&lt;&gt;"")*(Besatzung!$F$11:$F$22="x")),SUMPRODUCT((J141:U141="x")*(Besatzung!$F$11:$F$22="x"))),1))))),0))))</f>
        <v/>
      </c>
      <c r="Y141" s="106">
        <f>IF(C141="Gutschrift","",IF(G141="","",IF(Besatzung!$B$14="","",IFERROR(IF(I141="Zeitanteilig",(Besatzung!$G$14*(G141-IFERROR(H141,0))+((Besatzung!$B$14&lt;&gt;"")*IF(B141="",1,(IF(Besatzung!$C$14="",Besatzung!$B$5,Besatzung!$C$14)&lt;=B141)*(IF(Besatzung!$D$14="",Besatzung!$B$6,Besatzung!$D$14)&gt;=B141)))*(Besatzung!$F$14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$14&lt;&gt;"")*IF(B141="",1,(IF(Besatzung!$C$14="",Besatzung!$B$5,Besatzung!$C$14)&lt;=B141)*(IF(Besatzung!$D$14="",Besatzung!$B$6,Besatzung!$D$14)&gt;=B141)))*((G141-IFERROR(H141,0))/IFERROR(SUMPRODUCT((Besatzung!$B$11:$B$22&lt;&gt;"")*(IF(Besatzung!$C$11:$C$22="",Besatzung!$B$5,Besatzung!$C$11:$C$22)&lt;=B141)*(IF(Besatzung!$D$11:$D$22="",Besatzung!$B$6,Besatzung!$D$11:$D$22)&gt;=B141)),1)+(Besatzung!$F$14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M141="x")*((G141-IFERROR(H141,0))/IFERROR(COUNTIF(J141:U141,"x"),1)+(Besatzung!$F$14="x")*IFERROR(H141,0)/IFERROR(SUMPRODUCT((J141:U141="x")*(Besatzung!$F$11:$F$22="x")),1))),(IF(COUNTIF(J141:U141,"x")=0,IF(Besatzung!$B$14&lt;&gt;"",1,0),(M141="x"))*(G141-IFERROR(H141,0))/IFERROR(IF(COUNTIF(J141:U141,"x")=0,COUNTA(Besatzung!$B$11:$B$22),COUNTIF(J141:U141,"x")),1)+IF(COUNTIF(J141:U141,"x")=0,(Besatzung!$F$14="x"),(M141="x")*(Besatzung!$F$14="x"))*IFERROR(H141,0)/IFERROR(IF(COUNTIF(J141:U141,"x")=0,SUMPRODUCT((Besatzung!$B$11:$B$22&lt;&gt;"")*(Besatzung!$F$11:$F$22="x")),SUMPRODUCT((J141:U141="x")*(Besatzung!$F$11:$F$22="x"))),1))))),0))))</f>
        <v/>
      </c>
      <c r="Z141" s="106">
        <f>IF(C141="Gutschrift","",IF(G141="","",IF(Besatzung!$B$13="","",IFERROR(IF(I141="Zeitanteilig",(Besatzung!$G$15*(G141-IFERROR(H141,0))+((Besatzung!$B$13&lt;&gt;"")*IF(B141="",1,(IF(Besatzung!$C$15="",Besatzung!$B$5,Besatzung!$C$15)&lt;=B141)*(IF(Besatzung!$D$15="",Besatzung!$B$6,Besatzung!$D$15)&gt;=B141)))*(Besatzung!$F$15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$13&lt;&gt;"")*IF(B141="",1,(IF(Besatzung!$C$15="",Besatzung!$B$5,Besatzung!$C$15)&lt;=B141)*(IF(Besatzung!$D$15="",Besatzung!$B$6,Besatzung!$D$15)&gt;=B141)))*((G141-IFERROR(H141,0))/IFERROR(SUMPRODUCT((Besatzung!$B$11:$B$22&lt;&gt;"")*(IF(Besatzung!$C$11:$C$22="",Besatzung!$B$5,Besatzung!$C$11:$C$22)&lt;=B141)*(IF(Besatzung!$D$11:$D$22="",Besatzung!$B$6,Besatzung!$D$11:$D$22)&gt;=B141)),1)+(Besatzung!$F$15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N141="x")*((G141-IFERROR(H141,0))/IFERROR(COUNTIF(J141:U141,"x"),1)+(Besatzung!$F$15="x")*IFERROR(H141,0)/IFERROR(SUMPRODUCT((J141:U141="x")*(Besatzung!$F$11:$F$22="x")),1))),(IF(COUNTIF(J141:U141,"x")=0,IF(Besatzung!$B$13&lt;&gt;"",1,0),(N141="x"))*(G141-IFERROR(H141,0))/IFERROR(IF(COUNTIF(J141:U141,"x")=0,COUNTA(Besatzung!$B$11:$B$22),COUNTIF(J141:U141,"x")),1)+IF(COUNTIF(J141:U141,"x")=0,(Besatzung!$F$15="x"),(N141="x")*(Besatzung!$F$15="x"))*IFERROR(H141,0)/IFERROR(IF(COUNTIF(J141:U141,"x")=0,SUMPRODUCT((Besatzung!$B$11:$B$22&lt;&gt;"")*(Besatzung!$F$11:$F$22="x")),SUMPRODUCT((J141:U141="x")*(Besatzung!$F$11:$F$22="x"))),1))))),0))))</f>
        <v/>
      </c>
      <c r="AA141" s="106">
        <f>IF(C141="Gutschrift","",IF(G141="","",IF(Besatzung!$B$15="","",IFERROR(IF(I141="Zeitanteilig",(Besatzung!$G$16*(G141-IFERROR(H141,0))+((Besatzung!$B$15&lt;&gt;"")*IF(B141="",1,(IF(Besatzung!$C$16="",Besatzung!$B$5,Besatzung!$C$16)&lt;=B141)*(IF(Besatzung!$D$16="",Besatzung!$B$6,Besatzung!$D$16)&gt;=B141)))*(Besatzung!$F$16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$15&lt;&gt;"")*IF(B141="",1,(IF(Besatzung!$C$16="",Besatzung!$B$5,Besatzung!$C$16)&lt;=B141)*(IF(Besatzung!$D$16="",Besatzung!$B$6,Besatzung!$D$16)&gt;=B141)))*((G141-IFERROR(H141,0))/IFERROR(SUMPRODUCT((Besatzung!$B$11:$B$22&lt;&gt;"")*(IF(Besatzung!$C$11:$C$22="",Besatzung!$B$5,Besatzung!$C$11:$C$22)&lt;=B141)*(IF(Besatzung!$D$11:$D$22="",Besatzung!$B$6,Besatzung!$D$11:$D$22)&gt;=B141)),1)+(Besatzung!$F$16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O141="x")*((G141-IFERROR(H141,0))/IFERROR(COUNTIF(J141:U141,"x"),1)+(Besatzung!$F$16="x")*IFERROR(H141,0)/IFERROR(SUMPRODUCT((J141:U141="x")*(Besatzung!$F$11:$F$22="x")),1))),(IF(COUNTIF(J141:U141,"x")=0,IF(Besatzung!$B$15&lt;&gt;"",1,0),(O141="x"))*(G141-IFERROR(H141,0))/IFERROR(IF(COUNTIF(J141:U141,"x")=0,COUNTA(Besatzung!$B$11:$B$22),COUNTIF(J141:U141,"x")),1)+IF(COUNTIF(J141:U141,"x")=0,(Besatzung!$F$16="x"),(O141="x")*(Besatzung!$F$16="x"))*IFERROR(H141,0)/IFERROR(IF(COUNTIF(J141:U141,"x")=0,SUMPRODUCT((Besatzung!$B$11:$B$22&lt;&gt;"")*(Besatzung!$F$11:$F$22="x")),SUMPRODUCT((J141:U141="x")*(Besatzung!$F$11:$F$22="x"))),1))))),0))))</f>
        <v/>
      </c>
      <c r="AB141" s="106">
        <f>IF(C141="Gutschrift","",IF(G141="","",IF(Besatzung!$B$17="","",IFERROR(IF(I141="Zeitanteilig",(Besatzung!$G$17*(G141-IFERROR(H141,0))+((Besatzung!$B$17&lt;&gt;"")*IF(B141="",1,(IF(Besatzung!$C$17="",Besatzung!$B$5,Besatzung!$C$17)&lt;=B141)*(IF(Besatzung!$D$17="",Besatzung!$B$6,Besatzung!$D$17)&gt;=B141)))*(Besatzung!$F$17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$17&lt;&gt;"")*IF(B141="",1,(IF(Besatzung!$C$17="",Besatzung!$B$5,Besatzung!$C$17)&lt;=B141)*(IF(Besatzung!$D$17="",Besatzung!$B$6,Besatzung!$D$17)&gt;=B141)))*((G141-IFERROR(H141,0))/IFERROR(SUMPRODUCT((Besatzung!$B$11:$B$22&lt;&gt;"")*(IF(Besatzung!$C$11:$C$22="",Besatzung!$B$5,Besatzung!$C$11:$C$22)&lt;=B141)*(IF(Besatzung!$D$11:$D$22="",Besatzung!$B$6,Besatzung!$D$11:$D$22)&gt;=B141)),1)+(Besatzung!$F$17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P141="x")*((G141-IFERROR(H141,0))/IFERROR(COUNTIF(J141:U141,"x"),1)+(Besatzung!$F$17="x")*IFERROR(H141,0)/IFERROR(SUMPRODUCT((J141:U141="x")*(Besatzung!$F$11:$F$22="x")),1))),(IF(COUNTIF(J141:U141,"x")=0,IF(Besatzung!$B$17&lt;&gt;"",1,0),(P141="x"))*(G141-IFERROR(H141,0))/IFERROR(IF(COUNTIF(J141:U141,"x")=0,COUNTA(Besatzung!$B$11:$B$22),COUNTIF(J141:U141,"x")),1)+IF(COUNTIF(J141:U141,"x")=0,(Besatzung!$F$17="x"),(P141="x")*(Besatzung!$F$17="x"))*IFERROR(H141,0)/IFERROR(IF(COUNTIF(J141:U141,"x")=0,SUMPRODUCT((Besatzung!$B$11:$B$22&lt;&gt;"")*(Besatzung!$F$11:$F$22="x")),SUMPRODUCT((J141:U141="x")*(Besatzung!$F$11:$F$22="x"))),1))))),0))))</f>
        <v/>
      </c>
      <c r="AC141" s="106">
        <f>IF(C141="Gutschrift","",IF(G141="","",IF(Besatzung!$B$18="","",IFERROR(IF(I141="Zeitanteilig",(Besatzung!$G$18*(G141-IFERROR(H141,0))+((Besatzung!$B$18&lt;&gt;"")*IF(B141="",1,(IF(Besatzung!$C$18="",Besatzung!$B$5,Besatzung!$C$18)&lt;=B141)*(IF(Besatzung!$D$18="",Besatzung!$B$6,Besatzung!$D$18)&gt;=B141)))*(Besatzung!$F$18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$18&lt;&gt;"")*IF(B141="",1,(IF(Besatzung!$C$18="",Besatzung!$B$5,Besatzung!$C$18)&lt;=B141)*(IF(Besatzung!$D$18="",Besatzung!$B$6,Besatzung!$D$18)&gt;=B141)))*((G141-IFERROR(H141,0))/IFERROR(SUMPRODUCT((Besatzung!$B$11:$B$22&lt;&gt;"")*(IF(Besatzung!$C$11:$C$22="",Besatzung!$B$5,Besatzung!$C$11:$C$22)&lt;=B141)*(IF(Besatzung!$D$11:$D$22="",Besatzung!$B$6,Besatzung!$D$11:$D$22)&gt;=B141)),1)+(Besatzung!$F$18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Q141="x")*((G141-IFERROR(H141,0))/IFERROR(COUNTIF(J141:U141,"x"),1)+(Besatzung!$F$18="x")*IFERROR(H141,0)/IFERROR(SUMPRODUCT((J141:U141="x")*(Besatzung!$F$11:$F$22="x")),1))),(IF(COUNTIF(J141:U141,"x")=0,IF(Besatzung!$B$18&lt;&gt;"",1,0),(Q141="x"))*(G141-IFERROR(H141,0))/IFERROR(IF(COUNTIF(J141:U141,"x")=0,COUNTA(Besatzung!$B$11:$B$22),COUNTIF(J141:U141,"x")),1)+IF(COUNTIF(J141:U141,"x")=0,(Besatzung!$F$18="x"),(Q141="x")*(Besatzung!$F$18="x"))*IFERROR(H141,0)/IFERROR(IF(COUNTIF(J141:U141,"x")=0,SUMPRODUCT((Besatzung!$B$11:$B$22&lt;&gt;"")*(Besatzung!$F$11:$F$22="x")),SUMPRODUCT((J141:U141="x")*(Besatzung!$F$11:$F$22="x"))),1))))),0))))</f>
        <v/>
      </c>
      <c r="AD141" s="106">
        <f>IF(C141="Gutschrift","",IF(G141="","",IF(Besatzung!$B$19="","",IFERROR(IF(I141="Zeitanteilig",(Besatzung!$G$19*(G141-IFERROR(H141,0))+((Besatzung!$B$19&lt;&gt;"")*IF(B141="",1,(IF(Besatzung!$C$19="",Besatzung!$B$5,Besatzung!$C$19)&lt;=B141)*(IF(Besatzung!$D$19="",Besatzung!$B$6,Besatzung!$D$19)&gt;=B141)))*(Besatzung!$F$19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$19&lt;&gt;"")*IF(B141="",1,(IF(Besatzung!$C$19="",Besatzung!$B$5,Besatzung!$C$19)&lt;=B141)*(IF(Besatzung!$D$19="",Besatzung!$B$6,Besatzung!$D$19)&gt;=B141)))*((G141-IFERROR(H141,0))/IFERROR(SUMPRODUCT((Besatzung!$B$11:$B$22&lt;&gt;"")*(IF(Besatzung!$C$11:$C$22="",Besatzung!$B$5,Besatzung!$C$11:$C$22)&lt;=B141)*(IF(Besatzung!$D$11:$D$22="",Besatzung!$B$6,Besatzung!$D$11:$D$22)&gt;=B141)),1)+(Besatzung!$F$19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R141="x")*((G141-IFERROR(H141,0))/IFERROR(COUNTIF(J141:U141,"x"),1)+(Besatzung!$F$19="x")*IFERROR(H141,0)/IFERROR(SUMPRODUCT((J141:U141="x")*(Besatzung!$F$11:$F$22="x")),1))),(IF(COUNTIF(J141:U141,"x")=0,IF(Besatzung!$B$19&lt;&gt;"",1,0),(R141="x"))*(G141-IFERROR(H141,0))/IFERROR(IF(COUNTIF(J141:U141,"x")=0,COUNTA(Besatzung!$B$11:$B$22),COUNTIF(J141:U141,"x")),1)+IF(COUNTIF(J141:U141,"x")=0,(Besatzung!$F$19="x"),(R141="x")*(Besatzung!$F$19="x"))*IFERROR(H141,0)/IFERROR(IF(COUNTIF(J141:U141,"x")=0,SUMPRODUCT((Besatzung!$B$11:$B$22&lt;&gt;"")*(Besatzung!$F$11:$F$22="x")),SUMPRODUCT((J141:U141="x")*(Besatzung!$F$11:$F$22="x"))),1))))),0))))</f>
        <v/>
      </c>
      <c r="AE141" s="106">
        <f>IF(C141="Gutschrift","",IF(G141="","",IF(Besatzung!$B$20="","",IFERROR(IF(I141="Zeitanteilig",(Besatzung!$G$20*(G141-IFERROR(H141,0))+((Besatzung!$B$20&lt;&gt;"")*IF(B141="",1,(IF(Besatzung!$C$20="",Besatzung!$B$5,Besatzung!$C$20)&lt;=B141)*(IF(Besatzung!$D$20="",Besatzung!$B$6,Besatzung!$D$20)&gt;=B141)))*(Besatzung!$F$20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$20&lt;&gt;"")*IF(B141="",1,(IF(Besatzung!$C$20="",Besatzung!$B$5,Besatzung!$C$20)&lt;=B141)*(IF(Besatzung!$D$20="",Besatzung!$B$6,Besatzung!$D$20)&gt;=B141)))*((G141-IFERROR(H141,0))/IFERROR(SUMPRODUCT((Besatzung!$B$11:$B$22&lt;&gt;"")*(IF(Besatzung!$C$11:$C$22="",Besatzung!$B$5,Besatzung!$C$11:$C$22)&lt;=B141)*(IF(Besatzung!$D$11:$D$22="",Besatzung!$B$6,Besatzung!$D$11:$D$22)&gt;=B141)),1)+(Besatzung!$F$20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S141="x")*((G141-IFERROR(H141,0))/IFERROR(COUNTIF(J141:U141,"x"),1)+(Besatzung!$F$20="x")*IFERROR(H141,0)/IFERROR(SUMPRODUCT((J141:U141="x")*(Besatzung!$F$11:$F$22="x")),1))),(IF(COUNTIF(J141:U141,"x")=0,IF(Besatzung!$B$20&lt;&gt;"",1,0),(S141="x"))*(G141-IFERROR(H141,0))/IFERROR(IF(COUNTIF(J141:U141,"x")=0,COUNTA(Besatzung!$B$11:$B$22),COUNTIF(J141:U141,"x")),1)+IF(COUNTIF(J141:U141,"x")=0,(Besatzung!$F$20="x"),(S141="x")*(Besatzung!$F$20="x"))*IFERROR(H141,0)/IFERROR(IF(COUNTIF(J141:U141,"x")=0,SUMPRODUCT((Besatzung!$B$11:$B$22&lt;&gt;"")*(Besatzung!$F$11:$F$22="x")),SUMPRODUCT((J141:U141="x")*(Besatzung!$F$11:$F$22="x"))),1))))),0))))</f>
        <v/>
      </c>
      <c r="AF141" s="106">
        <f>IF(C141="Gutschrift","",IF(G141="","",IF(Besatzung!$B$21="","",IFERROR(IF(I141="Zeitanteilig",(Besatzung!$G$21*(G141-IFERROR(H141,0))+((Besatzung!$B$21&lt;&gt;"")*IF(B141="",1,(IF(Besatzung!$C$21="",Besatzung!$B$5,Besatzung!$C$21)&lt;=B141)*(IF(Besatzung!$D$21="",Besatzung!$B$6,Besatzung!$D$21)&gt;=B141)))*(Besatzung!$F$21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$21&lt;&gt;"")*IF(B141="",1,(IF(Besatzung!$C$21="",Besatzung!$B$5,Besatzung!$C$21)&lt;=B141)*(IF(Besatzung!$D$21="",Besatzung!$B$6,Besatzung!$D$21)&gt;=B141)))*((G141-IFERROR(H141,0))/IFERROR(SUMPRODUCT((Besatzung!$B$11:$B$22&lt;&gt;"")*(IF(Besatzung!$C$11:$C$22="",Besatzung!$B$5,Besatzung!$C$11:$C$22)&lt;=B141)*(IF(Besatzung!$D$11:$D$22="",Besatzung!$B$6,Besatzung!$D$11:$D$22)&gt;=B141)),1)+(Besatzung!$F$21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T141="x")*((G141-IFERROR(H141,0))/IFERROR(COUNTIF(J141:U141,"x"),1)+(Besatzung!$F$21="x")*IFERROR(H141,0)/IFERROR(SUMPRODUCT((J141:U141="x")*(Besatzung!$F$11:$F$22="x")),1))),(IF(COUNTIF(J141:U141,"x")=0,IF(Besatzung!$B$21&lt;&gt;"",1,0),(T141="x"))*(G141-IFERROR(H141,0))/IFERROR(IF(COUNTIF(J141:U141,"x")=0,COUNTA(Besatzung!$B$11:$B$22),COUNTIF(J141:U141,"x")),1)+IF(COUNTIF(J141:U141,"x")=0,(Besatzung!$F$21="x"),(T141="x")*(Besatzung!$F$21="x"))*IFERROR(H141,0)/IFERROR(IF(COUNTIF(J141:U141,"x")=0,SUMPRODUCT((Besatzung!$B$11:$B$22&lt;&gt;"")*(Besatzung!$F$11:$F$22="x")),SUMPRODUCT((J141:U141="x")*(Besatzung!$F$11:$F$22="x"))),1))))),0))))</f>
        <v/>
      </c>
      <c r="AG141" s="106">
        <f>IF(C141="Gutschrift","",IF(G141="","",IF(Besatzung!$B$22="","",IFERROR(IF(I141="Zeitanteilig",(Besatzung!$G$22*(G141-IFERROR(H141,0))+((Besatzung!$B$22&lt;&gt;"")*IF(B141="",1,(IF(Besatzung!$C$22="",Besatzung!$B$5,Besatzung!$C$22)&lt;=B141)*(IF(Besatzung!$D$22="",Besatzung!$B$6,Besatzung!$D$22)&gt;=B141)))*(Besatzung!$F$22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$22&lt;&gt;"")*IF(B141="",1,(IF(Besatzung!$C$22="",Besatzung!$B$5,Besatzung!$C$22)&lt;=B141)*(IF(Besatzung!$D$22="",Besatzung!$B$6,Besatzung!$D$22)&gt;=B141)))*((G141-IFERROR(H141,0))/IFERROR(SUMPRODUCT((Besatzung!$B$11:$B$22&lt;&gt;"")*(IF(Besatzung!$C$11:$C$22="",Besatzung!$B$5,Besatzung!$C$11:$C$22)&lt;=B141)*(IF(Besatzung!$D$11:$D$22="",Besatzung!$B$6,Besatzung!$D$11:$D$22)&gt;=B141)),1)+(Besatzung!$F$22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U141="x")*((G141-IFERROR(H141,0))/IFERROR(COUNTIF(J141:U141,"x"),1)+(Besatzung!$F$22="x")*IFERROR(H141,0)/IFERROR(SUMPRODUCT((J141:U141="x")*(Besatzung!$F$11:$F$22="x")),1))),(IF(COUNTIF(J141:U141,"x")=0,IF(Besatzung!$B$22&lt;&gt;"",1,0),(U141="x"))*(G141-IFERROR(H141,0))/IFERROR(IF(COUNTIF(J141:U141,"x")=0,COUNTA(Besatzung!$B$11:$B$22),COUNTIF(J141:U141,"x")),1)+IF(COUNTIF(J141:U141,"x")=0,(Besatzung!$F$22="x"),(U141="x")*(Besatzung!$F$22="x"))*IFERROR(H141,0)/IFERROR(IF(COUNTIF(J141:U141,"x")=0,SUMPRODUCT((Besatzung!$B$11:$B$22&lt;&gt;"")*(Besatzung!$F$11:$F$22="x")),SUMPRODUCT((J141:U141="x")*(Besatzung!$F$11:$F$22="x"))),1))))),0))))</f>
        <v/>
      </c>
      <c r="AH141" s="107" t="n"/>
      <c r="AI141" s="107" t="n"/>
    </row>
    <row r="142" ht="21.75" customHeight="1" s="182">
      <c r="A142" s="97">
        <f>IF(AND(D142="",C142=""),"",139)</f>
        <v/>
      </c>
      <c r="B142" s="56" t="n"/>
      <c r="C142" s="98" t="n"/>
      <c r="D142" s="99" t="n"/>
      <c r="E142" s="100" t="n"/>
      <c r="F142" s="101" t="n"/>
      <c r="G142" s="102" t="n"/>
      <c r="H142" s="103" t="n"/>
      <c r="I142" s="104" t="n"/>
      <c r="J142" s="105" t="n"/>
      <c r="K142" s="105" t="n"/>
      <c r="L142" s="105" t="n"/>
      <c r="M142" s="105" t="n"/>
      <c r="N142" s="105" t="n"/>
      <c r="O142" s="105" t="n"/>
      <c r="P142" s="105" t="n"/>
      <c r="Q142" s="105" t="n"/>
      <c r="R142" s="105" t="n"/>
      <c r="S142" s="105" t="n"/>
      <c r="T142" s="105" t="n"/>
      <c r="U142" s="105" t="n"/>
      <c r="V142" s="106">
        <f>IF(C142="Gutschrift","",IF(G142="","",IF(Besatzung!$B$11="","",IFERROR(IF(I142="Zeitanteilig",(Besatzung!$G$11*(G142-IFERROR(H142,0))+((Besatzung!$B$11&lt;&gt;"")*IF(B142="",1,(IF(Besatzung!$C$11="",Besatzung!$B$5,Besatzung!$C$11)&lt;=B142)*(IF(Besatzung!$D$11="",Besatzung!$B$6,Besatzung!$D$11)&gt;=B142)))*(Besatzung!$F$11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$11&lt;&gt;"")*IF(B142="",1,(IF(Besatzung!$C$11="",Besatzung!$B$5,Besatzung!$C$11)&lt;=B142)*(IF(Besatzung!$D$11="",Besatzung!$B$6,Besatzung!$D$11)&gt;=B142)))*((G142-IFERROR(H142,0))/IFERROR(SUMPRODUCT((Besatzung!$B$11:$B$22&lt;&gt;"")*(IF(Besatzung!$C$11:$C$22="",Besatzung!$B$5,Besatzung!$C$11:$C$22)&lt;=B142)*(IF(Besatzung!$D$11:$D$22="",Besatzung!$B$6,Besatzung!$D$11:$D$22)&gt;=B142)),1)+(Besatzung!$F$11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J142="x")*((G142-IFERROR(H142,0))/IFERROR(COUNTIF(J142:U142,"x"),1)+(Besatzung!$F$11="x")*IFERROR(H142,0)/IFERROR(SUMPRODUCT((J142:U142="x")*(Besatzung!$F$11:$F$22="x")),1))),(IF(COUNTIF(J142:U142,"x")=0,IF(Besatzung!$B$11&lt;&gt;"",1,0),(J142="x"))*(G142-IFERROR(H142,0))/IFERROR(IF(COUNTIF(J142:U142,"x")=0,COUNTA(Besatzung!$B$11:$B$22),COUNTIF(J142:U142,"x")),1)+IF(COUNTIF(J142:U142,"x")=0,(Besatzung!$F$11="x"),(J142="x")*(Besatzung!$F$11="x"))*IFERROR(H142,0)/IFERROR(IF(COUNTIF(J142:U142,"x")=0,SUMPRODUCT((Besatzung!$B$11:$B$22&lt;&gt;"")*(Besatzung!$F$11:$F$22="x")),SUMPRODUCT((J142:U142="x")*(Besatzung!$F$11:$F$22="x"))),1))))),0))))</f>
        <v/>
      </c>
      <c r="W142" s="106">
        <f>IF(C142="Gutschrift","",IF(G142="","",IF(Besatzung!$B$12="","",IFERROR(IF(I142="Zeitanteilig",(Besatzung!$G$12*(G142-IFERROR(H142,0))+((Besatzung!$B$12&lt;&gt;"")*IF(B142="",1,(IF(Besatzung!$C$12="",Besatzung!$B$5,Besatzung!$C$12)&lt;=B142)*(IF(Besatzung!$D$12="",Besatzung!$B$6,Besatzung!$D$12)&gt;=B142)))*(Besatzung!$F$12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$12&lt;&gt;"")*IF(B142="",1,(IF(Besatzung!$C$12="",Besatzung!$B$5,Besatzung!$C$12)&lt;=B142)*(IF(Besatzung!$D$12="",Besatzung!$B$6,Besatzung!$D$12)&gt;=B142)))*((G142-IFERROR(H142,0))/IFERROR(SUMPRODUCT((Besatzung!$B$11:$B$22&lt;&gt;"")*(IF(Besatzung!$C$11:$C$22="",Besatzung!$B$5,Besatzung!$C$11:$C$22)&lt;=B142)*(IF(Besatzung!$D$11:$D$22="",Besatzung!$B$6,Besatzung!$D$11:$D$22)&gt;=B142)),1)+(Besatzung!$F$12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K142="x")*((G142-IFERROR(H142,0))/IFERROR(COUNTIF(J142:U142,"x"),1)+(Besatzung!$F$12="x")*IFERROR(H142,0)/IFERROR(SUMPRODUCT((J142:U142="x")*(Besatzung!$F$11:$F$22="x")),1))),(IF(COUNTIF(J142:U142,"x")=0,IF(Besatzung!$B$12&lt;&gt;"",1,0),(K142="x"))*(G142-IFERROR(H142,0))/IFERROR(IF(COUNTIF(J142:U142,"x")=0,COUNTA(Besatzung!$B$11:$B$22),COUNTIF(J142:U142,"x")),1)+IF(COUNTIF(J142:U142,"x")=0,(Besatzung!$F$12="x"),(K142="x")*(Besatzung!$F$12="x"))*IFERROR(H142,0)/IFERROR(IF(COUNTIF(J142:U142,"x")=0,SUMPRODUCT((Besatzung!$B$11:$B$22&lt;&gt;"")*(Besatzung!$F$11:$F$22="x")),SUMPRODUCT((J142:U142="x")*(Besatzung!$F$11:$F$22="x"))),1))))),0))))</f>
        <v/>
      </c>
      <c r="X142" s="106">
        <f>IF(C142="Gutschrift","",IF(G142="","",IF(Besatzung!$B$13="","",IFERROR(IF(I142="Zeitanteilig",(Besatzung!$G$13*(G142-IFERROR(H142,0))+((Besatzung!$B$13&lt;&gt;"")*IF(B142="",1,(IF(Besatzung!$C$13="",Besatzung!$B$5,Besatzung!$C$13)&lt;=B142)*(IF(Besatzung!$D$13="",Besatzung!$B$6,Besatzung!$D$13)&gt;=B142)))*(Besatzung!$F$13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$13&lt;&gt;"")*IF(B142="",1,(IF(Besatzung!$C$13="",Besatzung!$B$5,Besatzung!$C$13)&lt;=B142)*(IF(Besatzung!$D$13="",Besatzung!$B$6,Besatzung!$D$13)&gt;=B142)))*((G142-IFERROR(H142,0))/IFERROR(SUMPRODUCT((Besatzung!$B$11:$B$22&lt;&gt;"")*(IF(Besatzung!$C$11:$C$22="",Besatzung!$B$5,Besatzung!$C$11:$C$22)&lt;=B142)*(IF(Besatzung!$D$11:$D$22="",Besatzung!$B$6,Besatzung!$D$11:$D$22)&gt;=B142)),1)+(Besatzung!$F$13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K142="x")*((G142-IFERROR(H142,0))/IFERROR(COUNTIF(J142:U142,"x"),1)+(Besatzung!$F$13="x")*IFERROR(H142,0)/IFERROR(SUMPRODUCT((J142:U142="x")*(Besatzung!$F$11:$F$22="x")),1))),(IF(COUNTIF(J142:U142,"x")=0,IF(Besatzung!$B$13&lt;&gt;"",1,0),(K142="x"))*(G142-IFERROR(H142,0))/IFERROR(IF(COUNTIF(J142:U142,"x")=0,COUNTA(Besatzung!$B$11:$B$22),COUNTIF(J142:U142,"x")),1)+IF(COUNTIF(J142:U142,"x")=0,(Besatzung!$F$13="x"),(K142="x")*(Besatzung!$F$13="x"))*IFERROR(H142,0)/IFERROR(IF(COUNTIF(J142:U142,"x")=0,SUMPRODUCT((Besatzung!$B$11:$B$22&lt;&gt;"")*(Besatzung!$F$11:$F$22="x")),SUMPRODUCT((J142:U142="x")*(Besatzung!$F$11:$F$22="x"))),1))))),0))))</f>
        <v/>
      </c>
      <c r="Y142" s="106">
        <f>IF(C142="Gutschrift","",IF(G142="","",IF(Besatzung!$B$14="","",IFERROR(IF(I142="Zeitanteilig",(Besatzung!$G$14*(G142-IFERROR(H142,0))+((Besatzung!$B$14&lt;&gt;"")*IF(B142="",1,(IF(Besatzung!$C$14="",Besatzung!$B$5,Besatzung!$C$14)&lt;=B142)*(IF(Besatzung!$D$14="",Besatzung!$B$6,Besatzung!$D$14)&gt;=B142)))*(Besatzung!$F$14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$14&lt;&gt;"")*IF(B142="",1,(IF(Besatzung!$C$14="",Besatzung!$B$5,Besatzung!$C$14)&lt;=B142)*(IF(Besatzung!$D$14="",Besatzung!$B$6,Besatzung!$D$14)&gt;=B142)))*((G142-IFERROR(H142,0))/IFERROR(SUMPRODUCT((Besatzung!$B$11:$B$22&lt;&gt;"")*(IF(Besatzung!$C$11:$C$22="",Besatzung!$B$5,Besatzung!$C$11:$C$22)&lt;=B142)*(IF(Besatzung!$D$11:$D$22="",Besatzung!$B$6,Besatzung!$D$11:$D$22)&gt;=B142)),1)+(Besatzung!$F$14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M142="x")*((G142-IFERROR(H142,0))/IFERROR(COUNTIF(J142:U142,"x"),1)+(Besatzung!$F$14="x")*IFERROR(H142,0)/IFERROR(SUMPRODUCT((J142:U142="x")*(Besatzung!$F$11:$F$22="x")),1))),(IF(COUNTIF(J142:U142,"x")=0,IF(Besatzung!$B$14&lt;&gt;"",1,0),(M142="x"))*(G142-IFERROR(H142,0))/IFERROR(IF(COUNTIF(J142:U142,"x")=0,COUNTA(Besatzung!$B$11:$B$22),COUNTIF(J142:U142,"x")),1)+IF(COUNTIF(J142:U142,"x")=0,(Besatzung!$F$14="x"),(M142="x")*(Besatzung!$F$14="x"))*IFERROR(H142,0)/IFERROR(IF(COUNTIF(J142:U142,"x")=0,SUMPRODUCT((Besatzung!$B$11:$B$22&lt;&gt;"")*(Besatzung!$F$11:$F$22="x")),SUMPRODUCT((J142:U142="x")*(Besatzung!$F$11:$F$22="x"))),1))))),0))))</f>
        <v/>
      </c>
      <c r="Z142" s="106">
        <f>IF(C142="Gutschrift","",IF(G142="","",IF(Besatzung!$B$13="","",IFERROR(IF(I142="Zeitanteilig",(Besatzung!$G$15*(G142-IFERROR(H142,0))+((Besatzung!$B$13&lt;&gt;"")*IF(B142="",1,(IF(Besatzung!$C$15="",Besatzung!$B$5,Besatzung!$C$15)&lt;=B142)*(IF(Besatzung!$D$15="",Besatzung!$B$6,Besatzung!$D$15)&gt;=B142)))*(Besatzung!$F$15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$13&lt;&gt;"")*IF(B142="",1,(IF(Besatzung!$C$15="",Besatzung!$B$5,Besatzung!$C$15)&lt;=B142)*(IF(Besatzung!$D$15="",Besatzung!$B$6,Besatzung!$D$15)&gt;=B142)))*((G142-IFERROR(H142,0))/IFERROR(SUMPRODUCT((Besatzung!$B$11:$B$22&lt;&gt;"")*(IF(Besatzung!$C$11:$C$22="",Besatzung!$B$5,Besatzung!$C$11:$C$22)&lt;=B142)*(IF(Besatzung!$D$11:$D$22="",Besatzung!$B$6,Besatzung!$D$11:$D$22)&gt;=B142)),1)+(Besatzung!$F$15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N142="x")*((G142-IFERROR(H142,0))/IFERROR(COUNTIF(J142:U142,"x"),1)+(Besatzung!$F$15="x")*IFERROR(H142,0)/IFERROR(SUMPRODUCT((J142:U142="x")*(Besatzung!$F$11:$F$22="x")),1))),(IF(COUNTIF(J142:U142,"x")=0,IF(Besatzung!$B$13&lt;&gt;"",1,0),(N142="x"))*(G142-IFERROR(H142,0))/IFERROR(IF(COUNTIF(J142:U142,"x")=0,COUNTA(Besatzung!$B$11:$B$22),COUNTIF(J142:U142,"x")),1)+IF(COUNTIF(J142:U142,"x")=0,(Besatzung!$F$15="x"),(N142="x")*(Besatzung!$F$15="x"))*IFERROR(H142,0)/IFERROR(IF(COUNTIF(J142:U142,"x")=0,SUMPRODUCT((Besatzung!$B$11:$B$22&lt;&gt;"")*(Besatzung!$F$11:$F$22="x")),SUMPRODUCT((J142:U142="x")*(Besatzung!$F$11:$F$22="x"))),1))))),0))))</f>
        <v/>
      </c>
      <c r="AA142" s="106">
        <f>IF(C142="Gutschrift","",IF(G142="","",IF(Besatzung!$B$15="","",IFERROR(IF(I142="Zeitanteilig",(Besatzung!$G$16*(G142-IFERROR(H142,0))+((Besatzung!$B$15&lt;&gt;"")*IF(B142="",1,(IF(Besatzung!$C$16="",Besatzung!$B$5,Besatzung!$C$16)&lt;=B142)*(IF(Besatzung!$D$16="",Besatzung!$B$6,Besatzung!$D$16)&gt;=B142)))*(Besatzung!$F$16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$15&lt;&gt;"")*IF(B142="",1,(IF(Besatzung!$C$16="",Besatzung!$B$5,Besatzung!$C$16)&lt;=B142)*(IF(Besatzung!$D$16="",Besatzung!$B$6,Besatzung!$D$16)&gt;=B142)))*((G142-IFERROR(H142,0))/IFERROR(SUMPRODUCT((Besatzung!$B$11:$B$22&lt;&gt;"")*(IF(Besatzung!$C$11:$C$22="",Besatzung!$B$5,Besatzung!$C$11:$C$22)&lt;=B142)*(IF(Besatzung!$D$11:$D$22="",Besatzung!$B$6,Besatzung!$D$11:$D$22)&gt;=B142)),1)+(Besatzung!$F$16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O142="x")*((G142-IFERROR(H142,0))/IFERROR(COUNTIF(J142:U142,"x"),1)+(Besatzung!$F$16="x")*IFERROR(H142,0)/IFERROR(SUMPRODUCT((J142:U142="x")*(Besatzung!$F$11:$F$22="x")),1))),(IF(COUNTIF(J142:U142,"x")=0,IF(Besatzung!$B$15&lt;&gt;"",1,0),(O142="x"))*(G142-IFERROR(H142,0))/IFERROR(IF(COUNTIF(J142:U142,"x")=0,COUNTA(Besatzung!$B$11:$B$22),COUNTIF(J142:U142,"x")),1)+IF(COUNTIF(J142:U142,"x")=0,(Besatzung!$F$16="x"),(O142="x")*(Besatzung!$F$16="x"))*IFERROR(H142,0)/IFERROR(IF(COUNTIF(J142:U142,"x")=0,SUMPRODUCT((Besatzung!$B$11:$B$22&lt;&gt;"")*(Besatzung!$F$11:$F$22="x")),SUMPRODUCT((J142:U142="x")*(Besatzung!$F$11:$F$22="x"))),1))))),0))))</f>
        <v/>
      </c>
      <c r="AB142" s="106">
        <f>IF(C142="Gutschrift","",IF(G142="","",IF(Besatzung!$B$17="","",IFERROR(IF(I142="Zeitanteilig",(Besatzung!$G$17*(G142-IFERROR(H142,0))+((Besatzung!$B$17&lt;&gt;"")*IF(B142="",1,(IF(Besatzung!$C$17="",Besatzung!$B$5,Besatzung!$C$17)&lt;=B142)*(IF(Besatzung!$D$17="",Besatzung!$B$6,Besatzung!$D$17)&gt;=B142)))*(Besatzung!$F$17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$17&lt;&gt;"")*IF(B142="",1,(IF(Besatzung!$C$17="",Besatzung!$B$5,Besatzung!$C$17)&lt;=B142)*(IF(Besatzung!$D$17="",Besatzung!$B$6,Besatzung!$D$17)&gt;=B142)))*((G142-IFERROR(H142,0))/IFERROR(SUMPRODUCT((Besatzung!$B$11:$B$22&lt;&gt;"")*(IF(Besatzung!$C$11:$C$22="",Besatzung!$B$5,Besatzung!$C$11:$C$22)&lt;=B142)*(IF(Besatzung!$D$11:$D$22="",Besatzung!$B$6,Besatzung!$D$11:$D$22)&gt;=B142)),1)+(Besatzung!$F$17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P142="x")*((G142-IFERROR(H142,0))/IFERROR(COUNTIF(J142:U142,"x"),1)+(Besatzung!$F$17="x")*IFERROR(H142,0)/IFERROR(SUMPRODUCT((J142:U142="x")*(Besatzung!$F$11:$F$22="x")),1))),(IF(COUNTIF(J142:U142,"x")=0,IF(Besatzung!$B$17&lt;&gt;"",1,0),(P142="x"))*(G142-IFERROR(H142,0))/IFERROR(IF(COUNTIF(J142:U142,"x")=0,COUNTA(Besatzung!$B$11:$B$22),COUNTIF(J142:U142,"x")),1)+IF(COUNTIF(J142:U142,"x")=0,(Besatzung!$F$17="x"),(P142="x")*(Besatzung!$F$17="x"))*IFERROR(H142,0)/IFERROR(IF(COUNTIF(J142:U142,"x")=0,SUMPRODUCT((Besatzung!$B$11:$B$22&lt;&gt;"")*(Besatzung!$F$11:$F$22="x")),SUMPRODUCT((J142:U142="x")*(Besatzung!$F$11:$F$22="x"))),1))))),0))))</f>
        <v/>
      </c>
      <c r="AC142" s="106">
        <f>IF(C142="Gutschrift","",IF(G142="","",IF(Besatzung!$B$18="","",IFERROR(IF(I142="Zeitanteilig",(Besatzung!$G$18*(G142-IFERROR(H142,0))+((Besatzung!$B$18&lt;&gt;"")*IF(B142="",1,(IF(Besatzung!$C$18="",Besatzung!$B$5,Besatzung!$C$18)&lt;=B142)*(IF(Besatzung!$D$18="",Besatzung!$B$6,Besatzung!$D$18)&gt;=B142)))*(Besatzung!$F$18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$18&lt;&gt;"")*IF(B142="",1,(IF(Besatzung!$C$18="",Besatzung!$B$5,Besatzung!$C$18)&lt;=B142)*(IF(Besatzung!$D$18="",Besatzung!$B$6,Besatzung!$D$18)&gt;=B142)))*((G142-IFERROR(H142,0))/IFERROR(SUMPRODUCT((Besatzung!$B$11:$B$22&lt;&gt;"")*(IF(Besatzung!$C$11:$C$22="",Besatzung!$B$5,Besatzung!$C$11:$C$22)&lt;=B142)*(IF(Besatzung!$D$11:$D$22="",Besatzung!$B$6,Besatzung!$D$11:$D$22)&gt;=B142)),1)+(Besatzung!$F$18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Q142="x")*((G142-IFERROR(H142,0))/IFERROR(COUNTIF(J142:U142,"x"),1)+(Besatzung!$F$18="x")*IFERROR(H142,0)/IFERROR(SUMPRODUCT((J142:U142="x")*(Besatzung!$F$11:$F$22="x")),1))),(IF(COUNTIF(J142:U142,"x")=0,IF(Besatzung!$B$18&lt;&gt;"",1,0),(Q142="x"))*(G142-IFERROR(H142,0))/IFERROR(IF(COUNTIF(J142:U142,"x")=0,COUNTA(Besatzung!$B$11:$B$22),COUNTIF(J142:U142,"x")),1)+IF(COUNTIF(J142:U142,"x")=0,(Besatzung!$F$18="x"),(Q142="x")*(Besatzung!$F$18="x"))*IFERROR(H142,0)/IFERROR(IF(COUNTIF(J142:U142,"x")=0,SUMPRODUCT((Besatzung!$B$11:$B$22&lt;&gt;"")*(Besatzung!$F$11:$F$22="x")),SUMPRODUCT((J142:U142="x")*(Besatzung!$F$11:$F$22="x"))),1))))),0))))</f>
        <v/>
      </c>
      <c r="AD142" s="106">
        <f>IF(C142="Gutschrift","",IF(G142="","",IF(Besatzung!$B$19="","",IFERROR(IF(I142="Zeitanteilig",(Besatzung!$G$19*(G142-IFERROR(H142,0))+((Besatzung!$B$19&lt;&gt;"")*IF(B142="",1,(IF(Besatzung!$C$19="",Besatzung!$B$5,Besatzung!$C$19)&lt;=B142)*(IF(Besatzung!$D$19="",Besatzung!$B$6,Besatzung!$D$19)&gt;=B142)))*(Besatzung!$F$19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$19&lt;&gt;"")*IF(B142="",1,(IF(Besatzung!$C$19="",Besatzung!$B$5,Besatzung!$C$19)&lt;=B142)*(IF(Besatzung!$D$19="",Besatzung!$B$6,Besatzung!$D$19)&gt;=B142)))*((G142-IFERROR(H142,0))/IFERROR(SUMPRODUCT((Besatzung!$B$11:$B$22&lt;&gt;"")*(IF(Besatzung!$C$11:$C$22="",Besatzung!$B$5,Besatzung!$C$11:$C$22)&lt;=B142)*(IF(Besatzung!$D$11:$D$22="",Besatzung!$B$6,Besatzung!$D$11:$D$22)&gt;=B142)),1)+(Besatzung!$F$19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R142="x")*((G142-IFERROR(H142,0))/IFERROR(COUNTIF(J142:U142,"x"),1)+(Besatzung!$F$19="x")*IFERROR(H142,0)/IFERROR(SUMPRODUCT((J142:U142="x")*(Besatzung!$F$11:$F$22="x")),1))),(IF(COUNTIF(J142:U142,"x")=0,IF(Besatzung!$B$19&lt;&gt;"",1,0),(R142="x"))*(G142-IFERROR(H142,0))/IFERROR(IF(COUNTIF(J142:U142,"x")=0,COUNTA(Besatzung!$B$11:$B$22),COUNTIF(J142:U142,"x")),1)+IF(COUNTIF(J142:U142,"x")=0,(Besatzung!$F$19="x"),(R142="x")*(Besatzung!$F$19="x"))*IFERROR(H142,0)/IFERROR(IF(COUNTIF(J142:U142,"x")=0,SUMPRODUCT((Besatzung!$B$11:$B$22&lt;&gt;"")*(Besatzung!$F$11:$F$22="x")),SUMPRODUCT((J142:U142="x")*(Besatzung!$F$11:$F$22="x"))),1))))),0))))</f>
        <v/>
      </c>
      <c r="AE142" s="106">
        <f>IF(C142="Gutschrift","",IF(G142="","",IF(Besatzung!$B$20="","",IFERROR(IF(I142="Zeitanteilig",(Besatzung!$G$20*(G142-IFERROR(H142,0))+((Besatzung!$B$20&lt;&gt;"")*IF(B142="",1,(IF(Besatzung!$C$20="",Besatzung!$B$5,Besatzung!$C$20)&lt;=B142)*(IF(Besatzung!$D$20="",Besatzung!$B$6,Besatzung!$D$20)&gt;=B142)))*(Besatzung!$F$20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$20&lt;&gt;"")*IF(B142="",1,(IF(Besatzung!$C$20="",Besatzung!$B$5,Besatzung!$C$20)&lt;=B142)*(IF(Besatzung!$D$20="",Besatzung!$B$6,Besatzung!$D$20)&gt;=B142)))*((G142-IFERROR(H142,0))/IFERROR(SUMPRODUCT((Besatzung!$B$11:$B$22&lt;&gt;"")*(IF(Besatzung!$C$11:$C$22="",Besatzung!$B$5,Besatzung!$C$11:$C$22)&lt;=B142)*(IF(Besatzung!$D$11:$D$22="",Besatzung!$B$6,Besatzung!$D$11:$D$22)&gt;=B142)),1)+(Besatzung!$F$20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S142="x")*((G142-IFERROR(H142,0))/IFERROR(COUNTIF(J142:U142,"x"),1)+(Besatzung!$F$20="x")*IFERROR(H142,0)/IFERROR(SUMPRODUCT((J142:U142="x")*(Besatzung!$F$11:$F$22="x")),1))),(IF(COUNTIF(J142:U142,"x")=0,IF(Besatzung!$B$20&lt;&gt;"",1,0),(S142="x"))*(G142-IFERROR(H142,0))/IFERROR(IF(COUNTIF(J142:U142,"x")=0,COUNTA(Besatzung!$B$11:$B$22),COUNTIF(J142:U142,"x")),1)+IF(COUNTIF(J142:U142,"x")=0,(Besatzung!$F$20="x"),(S142="x")*(Besatzung!$F$20="x"))*IFERROR(H142,0)/IFERROR(IF(COUNTIF(J142:U142,"x")=0,SUMPRODUCT((Besatzung!$B$11:$B$22&lt;&gt;"")*(Besatzung!$F$11:$F$22="x")),SUMPRODUCT((J142:U142="x")*(Besatzung!$F$11:$F$22="x"))),1))))),0))))</f>
        <v/>
      </c>
      <c r="AF142" s="106">
        <f>IF(C142="Gutschrift","",IF(G142="","",IF(Besatzung!$B$21="","",IFERROR(IF(I142="Zeitanteilig",(Besatzung!$G$21*(G142-IFERROR(H142,0))+((Besatzung!$B$21&lt;&gt;"")*IF(B142="",1,(IF(Besatzung!$C$21="",Besatzung!$B$5,Besatzung!$C$21)&lt;=B142)*(IF(Besatzung!$D$21="",Besatzung!$B$6,Besatzung!$D$21)&gt;=B142)))*(Besatzung!$F$21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$21&lt;&gt;"")*IF(B142="",1,(IF(Besatzung!$C$21="",Besatzung!$B$5,Besatzung!$C$21)&lt;=B142)*(IF(Besatzung!$D$21="",Besatzung!$B$6,Besatzung!$D$21)&gt;=B142)))*((G142-IFERROR(H142,0))/IFERROR(SUMPRODUCT((Besatzung!$B$11:$B$22&lt;&gt;"")*(IF(Besatzung!$C$11:$C$22="",Besatzung!$B$5,Besatzung!$C$11:$C$22)&lt;=B142)*(IF(Besatzung!$D$11:$D$22="",Besatzung!$B$6,Besatzung!$D$11:$D$22)&gt;=B142)),1)+(Besatzung!$F$21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T142="x")*((G142-IFERROR(H142,0))/IFERROR(COUNTIF(J142:U142,"x"),1)+(Besatzung!$F$21="x")*IFERROR(H142,0)/IFERROR(SUMPRODUCT((J142:U142="x")*(Besatzung!$F$11:$F$22="x")),1))),(IF(COUNTIF(J142:U142,"x")=0,IF(Besatzung!$B$21&lt;&gt;"",1,0),(T142="x"))*(G142-IFERROR(H142,0))/IFERROR(IF(COUNTIF(J142:U142,"x")=0,COUNTA(Besatzung!$B$11:$B$22),COUNTIF(J142:U142,"x")),1)+IF(COUNTIF(J142:U142,"x")=0,(Besatzung!$F$21="x"),(T142="x")*(Besatzung!$F$21="x"))*IFERROR(H142,0)/IFERROR(IF(COUNTIF(J142:U142,"x")=0,SUMPRODUCT((Besatzung!$B$11:$B$22&lt;&gt;"")*(Besatzung!$F$11:$F$22="x")),SUMPRODUCT((J142:U142="x")*(Besatzung!$F$11:$F$22="x"))),1))))),0))))</f>
        <v/>
      </c>
      <c r="AG142" s="106">
        <f>IF(C142="Gutschrift","",IF(G142="","",IF(Besatzung!$B$22="","",IFERROR(IF(I142="Zeitanteilig",(Besatzung!$G$22*(G142-IFERROR(H142,0))+((Besatzung!$B$22&lt;&gt;"")*IF(B142="",1,(IF(Besatzung!$C$22="",Besatzung!$B$5,Besatzung!$C$22)&lt;=B142)*(IF(Besatzung!$D$22="",Besatzung!$B$6,Besatzung!$D$22)&gt;=B142)))*(Besatzung!$F$22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$22&lt;&gt;"")*IF(B142="",1,(IF(Besatzung!$C$22="",Besatzung!$B$5,Besatzung!$C$22)&lt;=B142)*(IF(Besatzung!$D$22="",Besatzung!$B$6,Besatzung!$D$22)&gt;=B142)))*((G142-IFERROR(H142,0))/IFERROR(SUMPRODUCT((Besatzung!$B$11:$B$22&lt;&gt;"")*(IF(Besatzung!$C$11:$C$22="",Besatzung!$B$5,Besatzung!$C$11:$C$22)&lt;=B142)*(IF(Besatzung!$D$11:$D$22="",Besatzung!$B$6,Besatzung!$D$11:$D$22)&gt;=B142)),1)+(Besatzung!$F$22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U142="x")*((G142-IFERROR(H142,0))/IFERROR(COUNTIF(J142:U142,"x"),1)+(Besatzung!$F$22="x")*IFERROR(H142,0)/IFERROR(SUMPRODUCT((J142:U142="x")*(Besatzung!$F$11:$F$22="x")),1))),(IF(COUNTIF(J142:U142,"x")=0,IF(Besatzung!$B$22&lt;&gt;"",1,0),(U142="x"))*(G142-IFERROR(H142,0))/IFERROR(IF(COUNTIF(J142:U142,"x")=0,COUNTA(Besatzung!$B$11:$B$22),COUNTIF(J142:U142,"x")),1)+IF(COUNTIF(J142:U142,"x")=0,(Besatzung!$F$22="x"),(U142="x")*(Besatzung!$F$22="x"))*IFERROR(H142,0)/IFERROR(IF(COUNTIF(J142:U142,"x")=0,SUMPRODUCT((Besatzung!$B$11:$B$22&lt;&gt;"")*(Besatzung!$F$11:$F$22="x")),SUMPRODUCT((J142:U142="x")*(Besatzung!$F$11:$F$22="x"))),1))))),0))))</f>
        <v/>
      </c>
      <c r="AH142" s="107" t="n"/>
      <c r="AI142" s="107" t="n"/>
    </row>
    <row r="143" ht="21.75" customHeight="1" s="182">
      <c r="A143" s="97">
        <f>IF(AND(D143="",C143=""),"",140)</f>
        <v/>
      </c>
      <c r="B143" s="63" t="n"/>
      <c r="C143" s="108" t="n"/>
      <c r="D143" s="109" t="n"/>
      <c r="E143" s="110" t="n"/>
      <c r="F143" s="111" t="n"/>
      <c r="G143" s="112" t="n"/>
      <c r="H143" s="113" t="n"/>
      <c r="I143" s="114" t="n"/>
      <c r="J143" s="115" t="n"/>
      <c r="K143" s="115" t="n"/>
      <c r="L143" s="115" t="n"/>
      <c r="M143" s="115" t="n"/>
      <c r="N143" s="115" t="n"/>
      <c r="O143" s="115" t="n"/>
      <c r="P143" s="115" t="n"/>
      <c r="Q143" s="115" t="n"/>
      <c r="R143" s="115" t="n"/>
      <c r="S143" s="115" t="n"/>
      <c r="T143" s="115" t="n"/>
      <c r="U143" s="115" t="n"/>
      <c r="V143" s="106">
        <f>IF(C143="Gutschrift","",IF(G143="","",IF(Besatzung!$B$11="","",IFERROR(IF(I143="Zeitanteilig",(Besatzung!$G$11*(G143-IFERROR(H143,0))+((Besatzung!$B$11&lt;&gt;"")*IF(B143="",1,(IF(Besatzung!$C$11="",Besatzung!$B$5,Besatzung!$C$11)&lt;=B143)*(IF(Besatzung!$D$11="",Besatzung!$B$6,Besatzung!$D$11)&gt;=B143)))*(Besatzung!$F$11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$11&lt;&gt;"")*IF(B143="",1,(IF(Besatzung!$C$11="",Besatzung!$B$5,Besatzung!$C$11)&lt;=B143)*(IF(Besatzung!$D$11="",Besatzung!$B$6,Besatzung!$D$11)&gt;=B143)))*((G143-IFERROR(H143,0))/IFERROR(SUMPRODUCT((Besatzung!$B$11:$B$22&lt;&gt;"")*(IF(Besatzung!$C$11:$C$22="",Besatzung!$B$5,Besatzung!$C$11:$C$22)&lt;=B143)*(IF(Besatzung!$D$11:$D$22="",Besatzung!$B$6,Besatzung!$D$11:$D$22)&gt;=B143)),1)+(Besatzung!$F$11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J143="x")*((G143-IFERROR(H143,0))/IFERROR(COUNTIF(J143:U143,"x"),1)+(Besatzung!$F$11="x")*IFERROR(H143,0)/IFERROR(SUMPRODUCT((J143:U143="x")*(Besatzung!$F$11:$F$22="x")),1))),(IF(COUNTIF(J143:U143,"x")=0,IF(Besatzung!$B$11&lt;&gt;"",1,0),(J143="x"))*(G143-IFERROR(H143,0))/IFERROR(IF(COUNTIF(J143:U143,"x")=0,COUNTA(Besatzung!$B$11:$B$22),COUNTIF(J143:U143,"x")),1)+IF(COUNTIF(J143:U143,"x")=0,(Besatzung!$F$11="x"),(J143="x")*(Besatzung!$F$11="x"))*IFERROR(H143,0)/IFERROR(IF(COUNTIF(J143:U143,"x")=0,SUMPRODUCT((Besatzung!$B$11:$B$22&lt;&gt;"")*(Besatzung!$F$11:$F$22="x")),SUMPRODUCT((J143:U143="x")*(Besatzung!$F$11:$F$22="x"))),1))))),0))))</f>
        <v/>
      </c>
      <c r="W143" s="106">
        <f>IF(C143="Gutschrift","",IF(G143="","",IF(Besatzung!$B$12="","",IFERROR(IF(I143="Zeitanteilig",(Besatzung!$G$12*(G143-IFERROR(H143,0))+((Besatzung!$B$12&lt;&gt;"")*IF(B143="",1,(IF(Besatzung!$C$12="",Besatzung!$B$5,Besatzung!$C$12)&lt;=B143)*(IF(Besatzung!$D$12="",Besatzung!$B$6,Besatzung!$D$12)&gt;=B143)))*(Besatzung!$F$12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$12&lt;&gt;"")*IF(B143="",1,(IF(Besatzung!$C$12="",Besatzung!$B$5,Besatzung!$C$12)&lt;=B143)*(IF(Besatzung!$D$12="",Besatzung!$B$6,Besatzung!$D$12)&gt;=B143)))*((G143-IFERROR(H143,0))/IFERROR(SUMPRODUCT((Besatzung!$B$11:$B$22&lt;&gt;"")*(IF(Besatzung!$C$11:$C$22="",Besatzung!$B$5,Besatzung!$C$11:$C$22)&lt;=B143)*(IF(Besatzung!$D$11:$D$22="",Besatzung!$B$6,Besatzung!$D$11:$D$22)&gt;=B143)),1)+(Besatzung!$F$12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K143="x")*((G143-IFERROR(H143,0))/IFERROR(COUNTIF(J143:U143,"x"),1)+(Besatzung!$F$12="x")*IFERROR(H143,0)/IFERROR(SUMPRODUCT((J143:U143="x")*(Besatzung!$F$11:$F$22="x")),1))),(IF(COUNTIF(J143:U143,"x")=0,IF(Besatzung!$B$12&lt;&gt;"",1,0),(K143="x"))*(G143-IFERROR(H143,0))/IFERROR(IF(COUNTIF(J143:U143,"x")=0,COUNTA(Besatzung!$B$11:$B$22),COUNTIF(J143:U143,"x")),1)+IF(COUNTIF(J143:U143,"x")=0,(Besatzung!$F$12="x"),(K143="x")*(Besatzung!$F$12="x"))*IFERROR(H143,0)/IFERROR(IF(COUNTIF(J143:U143,"x")=0,SUMPRODUCT((Besatzung!$B$11:$B$22&lt;&gt;"")*(Besatzung!$F$11:$F$22="x")),SUMPRODUCT((J143:U143="x")*(Besatzung!$F$11:$F$22="x"))),1))))),0))))</f>
        <v/>
      </c>
      <c r="X143" s="106">
        <f>IF(C143="Gutschrift","",IF(G143="","",IF(Besatzung!$B$13="","",IFERROR(IF(I143="Zeitanteilig",(Besatzung!$G$13*(G143-IFERROR(H143,0))+((Besatzung!$B$13&lt;&gt;"")*IF(B143="",1,(IF(Besatzung!$C$13="",Besatzung!$B$5,Besatzung!$C$13)&lt;=B143)*(IF(Besatzung!$D$13="",Besatzung!$B$6,Besatzung!$D$13)&gt;=B143)))*(Besatzung!$F$13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$13&lt;&gt;"")*IF(B143="",1,(IF(Besatzung!$C$13="",Besatzung!$B$5,Besatzung!$C$13)&lt;=B143)*(IF(Besatzung!$D$13="",Besatzung!$B$6,Besatzung!$D$13)&gt;=B143)))*((G143-IFERROR(H143,0))/IFERROR(SUMPRODUCT((Besatzung!$B$11:$B$22&lt;&gt;"")*(IF(Besatzung!$C$11:$C$22="",Besatzung!$B$5,Besatzung!$C$11:$C$22)&lt;=B143)*(IF(Besatzung!$D$11:$D$22="",Besatzung!$B$6,Besatzung!$D$11:$D$22)&gt;=B143)),1)+(Besatzung!$F$13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K143="x")*((G143-IFERROR(H143,0))/IFERROR(COUNTIF(J143:U143,"x"),1)+(Besatzung!$F$13="x")*IFERROR(H143,0)/IFERROR(SUMPRODUCT((J143:U143="x")*(Besatzung!$F$11:$F$22="x")),1))),(IF(COUNTIF(J143:U143,"x")=0,IF(Besatzung!$B$13&lt;&gt;"",1,0),(K143="x"))*(G143-IFERROR(H143,0))/IFERROR(IF(COUNTIF(J143:U143,"x")=0,COUNTA(Besatzung!$B$11:$B$22),COUNTIF(J143:U143,"x")),1)+IF(COUNTIF(J143:U143,"x")=0,(Besatzung!$F$13="x"),(K143="x")*(Besatzung!$F$13="x"))*IFERROR(H143,0)/IFERROR(IF(COUNTIF(J143:U143,"x")=0,SUMPRODUCT((Besatzung!$B$11:$B$22&lt;&gt;"")*(Besatzung!$F$11:$F$22="x")),SUMPRODUCT((J143:U143="x")*(Besatzung!$F$11:$F$22="x"))),1))))),0))))</f>
        <v/>
      </c>
      <c r="Y143" s="106">
        <f>IF(C143="Gutschrift","",IF(G143="","",IF(Besatzung!$B$14="","",IFERROR(IF(I143="Zeitanteilig",(Besatzung!$G$14*(G143-IFERROR(H143,0))+((Besatzung!$B$14&lt;&gt;"")*IF(B143="",1,(IF(Besatzung!$C$14="",Besatzung!$B$5,Besatzung!$C$14)&lt;=B143)*(IF(Besatzung!$D$14="",Besatzung!$B$6,Besatzung!$D$14)&gt;=B143)))*(Besatzung!$F$14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$14&lt;&gt;"")*IF(B143="",1,(IF(Besatzung!$C$14="",Besatzung!$B$5,Besatzung!$C$14)&lt;=B143)*(IF(Besatzung!$D$14="",Besatzung!$B$6,Besatzung!$D$14)&gt;=B143)))*((G143-IFERROR(H143,0))/IFERROR(SUMPRODUCT((Besatzung!$B$11:$B$22&lt;&gt;"")*(IF(Besatzung!$C$11:$C$22="",Besatzung!$B$5,Besatzung!$C$11:$C$22)&lt;=B143)*(IF(Besatzung!$D$11:$D$22="",Besatzung!$B$6,Besatzung!$D$11:$D$22)&gt;=B143)),1)+(Besatzung!$F$14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M143="x")*((G143-IFERROR(H143,0))/IFERROR(COUNTIF(J143:U143,"x"),1)+(Besatzung!$F$14="x")*IFERROR(H143,0)/IFERROR(SUMPRODUCT((J143:U143="x")*(Besatzung!$F$11:$F$22="x")),1))),(IF(COUNTIF(J143:U143,"x")=0,IF(Besatzung!$B$14&lt;&gt;"",1,0),(M143="x"))*(G143-IFERROR(H143,0))/IFERROR(IF(COUNTIF(J143:U143,"x")=0,COUNTA(Besatzung!$B$11:$B$22),COUNTIF(J143:U143,"x")),1)+IF(COUNTIF(J143:U143,"x")=0,(Besatzung!$F$14="x"),(M143="x")*(Besatzung!$F$14="x"))*IFERROR(H143,0)/IFERROR(IF(COUNTIF(J143:U143,"x")=0,SUMPRODUCT((Besatzung!$B$11:$B$22&lt;&gt;"")*(Besatzung!$F$11:$F$22="x")),SUMPRODUCT((J143:U143="x")*(Besatzung!$F$11:$F$22="x"))),1))))),0))))</f>
        <v/>
      </c>
      <c r="Z143" s="106">
        <f>IF(C143="Gutschrift","",IF(G143="","",IF(Besatzung!$B$13="","",IFERROR(IF(I143="Zeitanteilig",(Besatzung!$G$15*(G143-IFERROR(H143,0))+((Besatzung!$B$13&lt;&gt;"")*IF(B143="",1,(IF(Besatzung!$C$15="",Besatzung!$B$5,Besatzung!$C$15)&lt;=B143)*(IF(Besatzung!$D$15="",Besatzung!$B$6,Besatzung!$D$15)&gt;=B143)))*(Besatzung!$F$15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$13&lt;&gt;"")*IF(B143="",1,(IF(Besatzung!$C$15="",Besatzung!$B$5,Besatzung!$C$15)&lt;=B143)*(IF(Besatzung!$D$15="",Besatzung!$B$6,Besatzung!$D$15)&gt;=B143)))*((G143-IFERROR(H143,0))/IFERROR(SUMPRODUCT((Besatzung!$B$11:$B$22&lt;&gt;"")*(IF(Besatzung!$C$11:$C$22="",Besatzung!$B$5,Besatzung!$C$11:$C$22)&lt;=B143)*(IF(Besatzung!$D$11:$D$22="",Besatzung!$B$6,Besatzung!$D$11:$D$22)&gt;=B143)),1)+(Besatzung!$F$15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N143="x")*((G143-IFERROR(H143,0))/IFERROR(COUNTIF(J143:U143,"x"),1)+(Besatzung!$F$15="x")*IFERROR(H143,0)/IFERROR(SUMPRODUCT((J143:U143="x")*(Besatzung!$F$11:$F$22="x")),1))),(IF(COUNTIF(J143:U143,"x")=0,IF(Besatzung!$B$13&lt;&gt;"",1,0),(N143="x"))*(G143-IFERROR(H143,0))/IFERROR(IF(COUNTIF(J143:U143,"x")=0,COUNTA(Besatzung!$B$11:$B$22),COUNTIF(J143:U143,"x")),1)+IF(COUNTIF(J143:U143,"x")=0,(Besatzung!$F$15="x"),(N143="x")*(Besatzung!$F$15="x"))*IFERROR(H143,0)/IFERROR(IF(COUNTIF(J143:U143,"x")=0,SUMPRODUCT((Besatzung!$B$11:$B$22&lt;&gt;"")*(Besatzung!$F$11:$F$22="x")),SUMPRODUCT((J143:U143="x")*(Besatzung!$F$11:$F$22="x"))),1))))),0))))</f>
        <v/>
      </c>
      <c r="AA143" s="106">
        <f>IF(C143="Gutschrift","",IF(G143="","",IF(Besatzung!$B$15="","",IFERROR(IF(I143="Zeitanteilig",(Besatzung!$G$16*(G143-IFERROR(H143,0))+((Besatzung!$B$15&lt;&gt;"")*IF(B143="",1,(IF(Besatzung!$C$16="",Besatzung!$B$5,Besatzung!$C$16)&lt;=B143)*(IF(Besatzung!$D$16="",Besatzung!$B$6,Besatzung!$D$16)&gt;=B143)))*(Besatzung!$F$16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$15&lt;&gt;"")*IF(B143="",1,(IF(Besatzung!$C$16="",Besatzung!$B$5,Besatzung!$C$16)&lt;=B143)*(IF(Besatzung!$D$16="",Besatzung!$B$6,Besatzung!$D$16)&gt;=B143)))*((G143-IFERROR(H143,0))/IFERROR(SUMPRODUCT((Besatzung!$B$11:$B$22&lt;&gt;"")*(IF(Besatzung!$C$11:$C$22="",Besatzung!$B$5,Besatzung!$C$11:$C$22)&lt;=B143)*(IF(Besatzung!$D$11:$D$22="",Besatzung!$B$6,Besatzung!$D$11:$D$22)&gt;=B143)),1)+(Besatzung!$F$16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O143="x")*((G143-IFERROR(H143,0))/IFERROR(COUNTIF(J143:U143,"x"),1)+(Besatzung!$F$16="x")*IFERROR(H143,0)/IFERROR(SUMPRODUCT((J143:U143="x")*(Besatzung!$F$11:$F$22="x")),1))),(IF(COUNTIF(J143:U143,"x")=0,IF(Besatzung!$B$15&lt;&gt;"",1,0),(O143="x"))*(G143-IFERROR(H143,0))/IFERROR(IF(COUNTIF(J143:U143,"x")=0,COUNTA(Besatzung!$B$11:$B$22),COUNTIF(J143:U143,"x")),1)+IF(COUNTIF(J143:U143,"x")=0,(Besatzung!$F$16="x"),(O143="x")*(Besatzung!$F$16="x"))*IFERROR(H143,0)/IFERROR(IF(COUNTIF(J143:U143,"x")=0,SUMPRODUCT((Besatzung!$B$11:$B$22&lt;&gt;"")*(Besatzung!$F$11:$F$22="x")),SUMPRODUCT((J143:U143="x")*(Besatzung!$F$11:$F$22="x"))),1))))),0))))</f>
        <v/>
      </c>
      <c r="AB143" s="106">
        <f>IF(C143="Gutschrift","",IF(G143="","",IF(Besatzung!$B$17="","",IFERROR(IF(I143="Zeitanteilig",(Besatzung!$G$17*(G143-IFERROR(H143,0))+((Besatzung!$B$17&lt;&gt;"")*IF(B143="",1,(IF(Besatzung!$C$17="",Besatzung!$B$5,Besatzung!$C$17)&lt;=B143)*(IF(Besatzung!$D$17="",Besatzung!$B$6,Besatzung!$D$17)&gt;=B143)))*(Besatzung!$F$17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$17&lt;&gt;"")*IF(B143="",1,(IF(Besatzung!$C$17="",Besatzung!$B$5,Besatzung!$C$17)&lt;=B143)*(IF(Besatzung!$D$17="",Besatzung!$B$6,Besatzung!$D$17)&gt;=B143)))*((G143-IFERROR(H143,0))/IFERROR(SUMPRODUCT((Besatzung!$B$11:$B$22&lt;&gt;"")*(IF(Besatzung!$C$11:$C$22="",Besatzung!$B$5,Besatzung!$C$11:$C$22)&lt;=B143)*(IF(Besatzung!$D$11:$D$22="",Besatzung!$B$6,Besatzung!$D$11:$D$22)&gt;=B143)),1)+(Besatzung!$F$17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P143="x")*((G143-IFERROR(H143,0))/IFERROR(COUNTIF(J143:U143,"x"),1)+(Besatzung!$F$17="x")*IFERROR(H143,0)/IFERROR(SUMPRODUCT((J143:U143="x")*(Besatzung!$F$11:$F$22="x")),1))),(IF(COUNTIF(J143:U143,"x")=0,IF(Besatzung!$B$17&lt;&gt;"",1,0),(P143="x"))*(G143-IFERROR(H143,0))/IFERROR(IF(COUNTIF(J143:U143,"x")=0,COUNTA(Besatzung!$B$11:$B$22),COUNTIF(J143:U143,"x")),1)+IF(COUNTIF(J143:U143,"x")=0,(Besatzung!$F$17="x"),(P143="x")*(Besatzung!$F$17="x"))*IFERROR(H143,0)/IFERROR(IF(COUNTIF(J143:U143,"x")=0,SUMPRODUCT((Besatzung!$B$11:$B$22&lt;&gt;"")*(Besatzung!$F$11:$F$22="x")),SUMPRODUCT((J143:U143="x")*(Besatzung!$F$11:$F$22="x"))),1))))),0))))</f>
        <v/>
      </c>
      <c r="AC143" s="106">
        <f>IF(C143="Gutschrift","",IF(G143="","",IF(Besatzung!$B$18="","",IFERROR(IF(I143="Zeitanteilig",(Besatzung!$G$18*(G143-IFERROR(H143,0))+((Besatzung!$B$18&lt;&gt;"")*IF(B143="",1,(IF(Besatzung!$C$18="",Besatzung!$B$5,Besatzung!$C$18)&lt;=B143)*(IF(Besatzung!$D$18="",Besatzung!$B$6,Besatzung!$D$18)&gt;=B143)))*(Besatzung!$F$18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$18&lt;&gt;"")*IF(B143="",1,(IF(Besatzung!$C$18="",Besatzung!$B$5,Besatzung!$C$18)&lt;=B143)*(IF(Besatzung!$D$18="",Besatzung!$B$6,Besatzung!$D$18)&gt;=B143)))*((G143-IFERROR(H143,0))/IFERROR(SUMPRODUCT((Besatzung!$B$11:$B$22&lt;&gt;"")*(IF(Besatzung!$C$11:$C$22="",Besatzung!$B$5,Besatzung!$C$11:$C$22)&lt;=B143)*(IF(Besatzung!$D$11:$D$22="",Besatzung!$B$6,Besatzung!$D$11:$D$22)&gt;=B143)),1)+(Besatzung!$F$18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Q143="x")*((G143-IFERROR(H143,0))/IFERROR(COUNTIF(J143:U143,"x"),1)+(Besatzung!$F$18="x")*IFERROR(H143,0)/IFERROR(SUMPRODUCT((J143:U143="x")*(Besatzung!$F$11:$F$22="x")),1))),(IF(COUNTIF(J143:U143,"x")=0,IF(Besatzung!$B$18&lt;&gt;"",1,0),(Q143="x"))*(G143-IFERROR(H143,0))/IFERROR(IF(COUNTIF(J143:U143,"x")=0,COUNTA(Besatzung!$B$11:$B$22),COUNTIF(J143:U143,"x")),1)+IF(COUNTIF(J143:U143,"x")=0,(Besatzung!$F$18="x"),(Q143="x")*(Besatzung!$F$18="x"))*IFERROR(H143,0)/IFERROR(IF(COUNTIF(J143:U143,"x")=0,SUMPRODUCT((Besatzung!$B$11:$B$22&lt;&gt;"")*(Besatzung!$F$11:$F$22="x")),SUMPRODUCT((J143:U143="x")*(Besatzung!$F$11:$F$22="x"))),1))))),0))))</f>
        <v/>
      </c>
      <c r="AD143" s="106">
        <f>IF(C143="Gutschrift","",IF(G143="","",IF(Besatzung!$B$19="","",IFERROR(IF(I143="Zeitanteilig",(Besatzung!$G$19*(G143-IFERROR(H143,0))+((Besatzung!$B$19&lt;&gt;"")*IF(B143="",1,(IF(Besatzung!$C$19="",Besatzung!$B$5,Besatzung!$C$19)&lt;=B143)*(IF(Besatzung!$D$19="",Besatzung!$B$6,Besatzung!$D$19)&gt;=B143)))*(Besatzung!$F$19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$19&lt;&gt;"")*IF(B143="",1,(IF(Besatzung!$C$19="",Besatzung!$B$5,Besatzung!$C$19)&lt;=B143)*(IF(Besatzung!$D$19="",Besatzung!$B$6,Besatzung!$D$19)&gt;=B143)))*((G143-IFERROR(H143,0))/IFERROR(SUMPRODUCT((Besatzung!$B$11:$B$22&lt;&gt;"")*(IF(Besatzung!$C$11:$C$22="",Besatzung!$B$5,Besatzung!$C$11:$C$22)&lt;=B143)*(IF(Besatzung!$D$11:$D$22="",Besatzung!$B$6,Besatzung!$D$11:$D$22)&gt;=B143)),1)+(Besatzung!$F$19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R143="x")*((G143-IFERROR(H143,0))/IFERROR(COUNTIF(J143:U143,"x"),1)+(Besatzung!$F$19="x")*IFERROR(H143,0)/IFERROR(SUMPRODUCT((J143:U143="x")*(Besatzung!$F$11:$F$22="x")),1))),(IF(COUNTIF(J143:U143,"x")=0,IF(Besatzung!$B$19&lt;&gt;"",1,0),(R143="x"))*(G143-IFERROR(H143,0))/IFERROR(IF(COUNTIF(J143:U143,"x")=0,COUNTA(Besatzung!$B$11:$B$22),COUNTIF(J143:U143,"x")),1)+IF(COUNTIF(J143:U143,"x")=0,(Besatzung!$F$19="x"),(R143="x")*(Besatzung!$F$19="x"))*IFERROR(H143,0)/IFERROR(IF(COUNTIF(J143:U143,"x")=0,SUMPRODUCT((Besatzung!$B$11:$B$22&lt;&gt;"")*(Besatzung!$F$11:$F$22="x")),SUMPRODUCT((J143:U143="x")*(Besatzung!$F$11:$F$22="x"))),1))))),0))))</f>
        <v/>
      </c>
      <c r="AE143" s="106">
        <f>IF(C143="Gutschrift","",IF(G143="","",IF(Besatzung!$B$20="","",IFERROR(IF(I143="Zeitanteilig",(Besatzung!$G$20*(G143-IFERROR(H143,0))+((Besatzung!$B$20&lt;&gt;"")*IF(B143="",1,(IF(Besatzung!$C$20="",Besatzung!$B$5,Besatzung!$C$20)&lt;=B143)*(IF(Besatzung!$D$20="",Besatzung!$B$6,Besatzung!$D$20)&gt;=B143)))*(Besatzung!$F$20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$20&lt;&gt;"")*IF(B143="",1,(IF(Besatzung!$C$20="",Besatzung!$B$5,Besatzung!$C$20)&lt;=B143)*(IF(Besatzung!$D$20="",Besatzung!$B$6,Besatzung!$D$20)&gt;=B143)))*((G143-IFERROR(H143,0))/IFERROR(SUMPRODUCT((Besatzung!$B$11:$B$22&lt;&gt;"")*(IF(Besatzung!$C$11:$C$22="",Besatzung!$B$5,Besatzung!$C$11:$C$22)&lt;=B143)*(IF(Besatzung!$D$11:$D$22="",Besatzung!$B$6,Besatzung!$D$11:$D$22)&gt;=B143)),1)+(Besatzung!$F$20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S143="x")*((G143-IFERROR(H143,0))/IFERROR(COUNTIF(J143:U143,"x"),1)+(Besatzung!$F$20="x")*IFERROR(H143,0)/IFERROR(SUMPRODUCT((J143:U143="x")*(Besatzung!$F$11:$F$22="x")),1))),(IF(COUNTIF(J143:U143,"x")=0,IF(Besatzung!$B$20&lt;&gt;"",1,0),(S143="x"))*(G143-IFERROR(H143,0))/IFERROR(IF(COUNTIF(J143:U143,"x")=0,COUNTA(Besatzung!$B$11:$B$22),COUNTIF(J143:U143,"x")),1)+IF(COUNTIF(J143:U143,"x")=0,(Besatzung!$F$20="x"),(S143="x")*(Besatzung!$F$20="x"))*IFERROR(H143,0)/IFERROR(IF(COUNTIF(J143:U143,"x")=0,SUMPRODUCT((Besatzung!$B$11:$B$22&lt;&gt;"")*(Besatzung!$F$11:$F$22="x")),SUMPRODUCT((J143:U143="x")*(Besatzung!$F$11:$F$22="x"))),1))))),0))))</f>
        <v/>
      </c>
      <c r="AF143" s="106">
        <f>IF(C143="Gutschrift","",IF(G143="","",IF(Besatzung!$B$21="","",IFERROR(IF(I143="Zeitanteilig",(Besatzung!$G$21*(G143-IFERROR(H143,0))+((Besatzung!$B$21&lt;&gt;"")*IF(B143="",1,(IF(Besatzung!$C$21="",Besatzung!$B$5,Besatzung!$C$21)&lt;=B143)*(IF(Besatzung!$D$21="",Besatzung!$B$6,Besatzung!$D$21)&gt;=B143)))*(Besatzung!$F$21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$21&lt;&gt;"")*IF(B143="",1,(IF(Besatzung!$C$21="",Besatzung!$B$5,Besatzung!$C$21)&lt;=B143)*(IF(Besatzung!$D$21="",Besatzung!$B$6,Besatzung!$D$21)&gt;=B143)))*((G143-IFERROR(H143,0))/IFERROR(SUMPRODUCT((Besatzung!$B$11:$B$22&lt;&gt;"")*(IF(Besatzung!$C$11:$C$22="",Besatzung!$B$5,Besatzung!$C$11:$C$22)&lt;=B143)*(IF(Besatzung!$D$11:$D$22="",Besatzung!$B$6,Besatzung!$D$11:$D$22)&gt;=B143)),1)+(Besatzung!$F$21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T143="x")*((G143-IFERROR(H143,0))/IFERROR(COUNTIF(J143:U143,"x"),1)+(Besatzung!$F$21="x")*IFERROR(H143,0)/IFERROR(SUMPRODUCT((J143:U143="x")*(Besatzung!$F$11:$F$22="x")),1))),(IF(COUNTIF(J143:U143,"x")=0,IF(Besatzung!$B$21&lt;&gt;"",1,0),(T143="x"))*(G143-IFERROR(H143,0))/IFERROR(IF(COUNTIF(J143:U143,"x")=0,COUNTA(Besatzung!$B$11:$B$22),COUNTIF(J143:U143,"x")),1)+IF(COUNTIF(J143:U143,"x")=0,(Besatzung!$F$21="x"),(T143="x")*(Besatzung!$F$21="x"))*IFERROR(H143,0)/IFERROR(IF(COUNTIF(J143:U143,"x")=0,SUMPRODUCT((Besatzung!$B$11:$B$22&lt;&gt;"")*(Besatzung!$F$11:$F$22="x")),SUMPRODUCT((J143:U143="x")*(Besatzung!$F$11:$F$22="x"))),1))))),0))))</f>
        <v/>
      </c>
      <c r="AG143" s="106">
        <f>IF(C143="Gutschrift","",IF(G143="","",IF(Besatzung!$B$22="","",IFERROR(IF(I143="Zeitanteilig",(Besatzung!$G$22*(G143-IFERROR(H143,0))+((Besatzung!$B$22&lt;&gt;"")*IF(B143="",1,(IF(Besatzung!$C$22="",Besatzung!$B$5,Besatzung!$C$22)&lt;=B143)*(IF(Besatzung!$D$22="",Besatzung!$B$6,Besatzung!$D$22)&gt;=B143)))*(Besatzung!$F$22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$22&lt;&gt;"")*IF(B143="",1,(IF(Besatzung!$C$22="",Besatzung!$B$5,Besatzung!$C$22)&lt;=B143)*(IF(Besatzung!$D$22="",Besatzung!$B$6,Besatzung!$D$22)&gt;=B143)))*((G143-IFERROR(H143,0))/IFERROR(SUMPRODUCT((Besatzung!$B$11:$B$22&lt;&gt;"")*(IF(Besatzung!$C$11:$C$22="",Besatzung!$B$5,Besatzung!$C$11:$C$22)&lt;=B143)*(IF(Besatzung!$D$11:$D$22="",Besatzung!$B$6,Besatzung!$D$11:$D$22)&gt;=B143)),1)+(Besatzung!$F$22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U143="x")*((G143-IFERROR(H143,0))/IFERROR(COUNTIF(J143:U143,"x"),1)+(Besatzung!$F$22="x")*IFERROR(H143,0)/IFERROR(SUMPRODUCT((J143:U143="x")*(Besatzung!$F$11:$F$22="x")),1))),(IF(COUNTIF(J143:U143,"x")=0,IF(Besatzung!$B$22&lt;&gt;"",1,0),(U143="x"))*(G143-IFERROR(H143,0))/IFERROR(IF(COUNTIF(J143:U143,"x")=0,COUNTA(Besatzung!$B$11:$B$22),COUNTIF(J143:U143,"x")),1)+IF(COUNTIF(J143:U143,"x")=0,(Besatzung!$F$22="x"),(U143="x")*(Besatzung!$F$22="x"))*IFERROR(H143,0)/IFERROR(IF(COUNTIF(J143:U143,"x")=0,SUMPRODUCT((Besatzung!$B$11:$B$22&lt;&gt;"")*(Besatzung!$F$11:$F$22="x")),SUMPRODUCT((J143:U143="x")*(Besatzung!$F$11:$F$22="x"))),1))))),0))))</f>
        <v/>
      </c>
      <c r="AH143" s="107" t="n"/>
      <c r="AI143" s="107" t="n"/>
    </row>
    <row r="144" ht="21.75" customHeight="1" s="182">
      <c r="A144" s="97">
        <f>IF(AND(D144="",C144=""),"",141)</f>
        <v/>
      </c>
      <c r="B144" s="56" t="n"/>
      <c r="C144" s="98" t="n"/>
      <c r="D144" s="99" t="n"/>
      <c r="E144" s="100" t="n"/>
      <c r="F144" s="101" t="n"/>
      <c r="G144" s="102" t="n"/>
      <c r="H144" s="103" t="n"/>
      <c r="I144" s="104" t="n"/>
      <c r="J144" s="105" t="n"/>
      <c r="K144" s="105" t="n"/>
      <c r="L144" s="105" t="n"/>
      <c r="M144" s="105" t="n"/>
      <c r="N144" s="105" t="n"/>
      <c r="O144" s="105" t="n"/>
      <c r="P144" s="105" t="n"/>
      <c r="Q144" s="105" t="n"/>
      <c r="R144" s="105" t="n"/>
      <c r="S144" s="105" t="n"/>
      <c r="T144" s="105" t="n"/>
      <c r="U144" s="105" t="n"/>
      <c r="V144" s="106">
        <f>IF(C144="Gutschrift","",IF(G144="","",IF(Besatzung!$B$11="","",IFERROR(IF(I144="Zeitanteilig",(Besatzung!$G$11*(G144-IFERROR(H144,0))+((Besatzung!$B$11&lt;&gt;"")*IF(B144="",1,(IF(Besatzung!$C$11="",Besatzung!$B$5,Besatzung!$C$11)&lt;=B144)*(IF(Besatzung!$D$11="",Besatzung!$B$6,Besatzung!$D$11)&gt;=B144)))*(Besatzung!$F$11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$11&lt;&gt;"")*IF(B144="",1,(IF(Besatzung!$C$11="",Besatzung!$B$5,Besatzung!$C$11)&lt;=B144)*(IF(Besatzung!$D$11="",Besatzung!$B$6,Besatzung!$D$11)&gt;=B144)))*((G144-IFERROR(H144,0))/IFERROR(SUMPRODUCT((Besatzung!$B$11:$B$22&lt;&gt;"")*(IF(Besatzung!$C$11:$C$22="",Besatzung!$B$5,Besatzung!$C$11:$C$22)&lt;=B144)*(IF(Besatzung!$D$11:$D$22="",Besatzung!$B$6,Besatzung!$D$11:$D$22)&gt;=B144)),1)+(Besatzung!$F$11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J144="x")*((G144-IFERROR(H144,0))/IFERROR(COUNTIF(J144:U144,"x"),1)+(Besatzung!$F$11="x")*IFERROR(H144,0)/IFERROR(SUMPRODUCT((J144:U144="x")*(Besatzung!$F$11:$F$22="x")),1))),(IF(COUNTIF(J144:U144,"x")=0,IF(Besatzung!$B$11&lt;&gt;"",1,0),(J144="x"))*(G144-IFERROR(H144,0))/IFERROR(IF(COUNTIF(J144:U144,"x")=0,COUNTA(Besatzung!$B$11:$B$22),COUNTIF(J144:U144,"x")),1)+IF(COUNTIF(J144:U144,"x")=0,(Besatzung!$F$11="x"),(J144="x")*(Besatzung!$F$11="x"))*IFERROR(H144,0)/IFERROR(IF(COUNTIF(J144:U144,"x")=0,SUMPRODUCT((Besatzung!$B$11:$B$22&lt;&gt;"")*(Besatzung!$F$11:$F$22="x")),SUMPRODUCT((J144:U144="x")*(Besatzung!$F$11:$F$22="x"))),1))))),0))))</f>
        <v/>
      </c>
      <c r="W144" s="106">
        <f>IF(C144="Gutschrift","",IF(G144="","",IF(Besatzung!$B$12="","",IFERROR(IF(I144="Zeitanteilig",(Besatzung!$G$12*(G144-IFERROR(H144,0))+((Besatzung!$B$12&lt;&gt;"")*IF(B144="",1,(IF(Besatzung!$C$12="",Besatzung!$B$5,Besatzung!$C$12)&lt;=B144)*(IF(Besatzung!$D$12="",Besatzung!$B$6,Besatzung!$D$12)&gt;=B144)))*(Besatzung!$F$12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$12&lt;&gt;"")*IF(B144="",1,(IF(Besatzung!$C$12="",Besatzung!$B$5,Besatzung!$C$12)&lt;=B144)*(IF(Besatzung!$D$12="",Besatzung!$B$6,Besatzung!$D$12)&gt;=B144)))*((G144-IFERROR(H144,0))/IFERROR(SUMPRODUCT((Besatzung!$B$11:$B$22&lt;&gt;"")*(IF(Besatzung!$C$11:$C$22="",Besatzung!$B$5,Besatzung!$C$11:$C$22)&lt;=B144)*(IF(Besatzung!$D$11:$D$22="",Besatzung!$B$6,Besatzung!$D$11:$D$22)&gt;=B144)),1)+(Besatzung!$F$12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K144="x")*((G144-IFERROR(H144,0))/IFERROR(COUNTIF(J144:U144,"x"),1)+(Besatzung!$F$12="x")*IFERROR(H144,0)/IFERROR(SUMPRODUCT((J144:U144="x")*(Besatzung!$F$11:$F$22="x")),1))),(IF(COUNTIF(J144:U144,"x")=0,IF(Besatzung!$B$12&lt;&gt;"",1,0),(K144="x"))*(G144-IFERROR(H144,0))/IFERROR(IF(COUNTIF(J144:U144,"x")=0,COUNTA(Besatzung!$B$11:$B$22),COUNTIF(J144:U144,"x")),1)+IF(COUNTIF(J144:U144,"x")=0,(Besatzung!$F$12="x"),(K144="x")*(Besatzung!$F$12="x"))*IFERROR(H144,0)/IFERROR(IF(COUNTIF(J144:U144,"x")=0,SUMPRODUCT((Besatzung!$B$11:$B$22&lt;&gt;"")*(Besatzung!$F$11:$F$22="x")),SUMPRODUCT((J144:U144="x")*(Besatzung!$F$11:$F$22="x"))),1))))),0))))</f>
        <v/>
      </c>
      <c r="X144" s="106">
        <f>IF(C144="Gutschrift","",IF(G144="","",IF(Besatzung!$B$13="","",IFERROR(IF(I144="Zeitanteilig",(Besatzung!$G$13*(G144-IFERROR(H144,0))+((Besatzung!$B$13&lt;&gt;"")*IF(B144="",1,(IF(Besatzung!$C$13="",Besatzung!$B$5,Besatzung!$C$13)&lt;=B144)*(IF(Besatzung!$D$13="",Besatzung!$B$6,Besatzung!$D$13)&gt;=B144)))*(Besatzung!$F$13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$13&lt;&gt;"")*IF(B144="",1,(IF(Besatzung!$C$13="",Besatzung!$B$5,Besatzung!$C$13)&lt;=B144)*(IF(Besatzung!$D$13="",Besatzung!$B$6,Besatzung!$D$13)&gt;=B144)))*((G144-IFERROR(H144,0))/IFERROR(SUMPRODUCT((Besatzung!$B$11:$B$22&lt;&gt;"")*(IF(Besatzung!$C$11:$C$22="",Besatzung!$B$5,Besatzung!$C$11:$C$22)&lt;=B144)*(IF(Besatzung!$D$11:$D$22="",Besatzung!$B$6,Besatzung!$D$11:$D$22)&gt;=B144)),1)+(Besatzung!$F$13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K144="x")*((G144-IFERROR(H144,0))/IFERROR(COUNTIF(J144:U144,"x"),1)+(Besatzung!$F$13="x")*IFERROR(H144,0)/IFERROR(SUMPRODUCT((J144:U144="x")*(Besatzung!$F$11:$F$22="x")),1))),(IF(COUNTIF(J144:U144,"x")=0,IF(Besatzung!$B$13&lt;&gt;"",1,0),(K144="x"))*(G144-IFERROR(H144,0))/IFERROR(IF(COUNTIF(J144:U144,"x")=0,COUNTA(Besatzung!$B$11:$B$22),COUNTIF(J144:U144,"x")),1)+IF(COUNTIF(J144:U144,"x")=0,(Besatzung!$F$13="x"),(K144="x")*(Besatzung!$F$13="x"))*IFERROR(H144,0)/IFERROR(IF(COUNTIF(J144:U144,"x")=0,SUMPRODUCT((Besatzung!$B$11:$B$22&lt;&gt;"")*(Besatzung!$F$11:$F$22="x")),SUMPRODUCT((J144:U144="x")*(Besatzung!$F$11:$F$22="x"))),1))))),0))))</f>
        <v/>
      </c>
      <c r="Y144" s="106">
        <f>IF(C144="Gutschrift","",IF(G144="","",IF(Besatzung!$B$14="","",IFERROR(IF(I144="Zeitanteilig",(Besatzung!$G$14*(G144-IFERROR(H144,0))+((Besatzung!$B$14&lt;&gt;"")*IF(B144="",1,(IF(Besatzung!$C$14="",Besatzung!$B$5,Besatzung!$C$14)&lt;=B144)*(IF(Besatzung!$D$14="",Besatzung!$B$6,Besatzung!$D$14)&gt;=B144)))*(Besatzung!$F$14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$14&lt;&gt;"")*IF(B144="",1,(IF(Besatzung!$C$14="",Besatzung!$B$5,Besatzung!$C$14)&lt;=B144)*(IF(Besatzung!$D$14="",Besatzung!$B$6,Besatzung!$D$14)&gt;=B144)))*((G144-IFERROR(H144,0))/IFERROR(SUMPRODUCT((Besatzung!$B$11:$B$22&lt;&gt;"")*(IF(Besatzung!$C$11:$C$22="",Besatzung!$B$5,Besatzung!$C$11:$C$22)&lt;=B144)*(IF(Besatzung!$D$11:$D$22="",Besatzung!$B$6,Besatzung!$D$11:$D$22)&gt;=B144)),1)+(Besatzung!$F$14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M144="x")*((G144-IFERROR(H144,0))/IFERROR(COUNTIF(J144:U144,"x"),1)+(Besatzung!$F$14="x")*IFERROR(H144,0)/IFERROR(SUMPRODUCT((J144:U144="x")*(Besatzung!$F$11:$F$22="x")),1))),(IF(COUNTIF(J144:U144,"x")=0,IF(Besatzung!$B$14&lt;&gt;"",1,0),(M144="x"))*(G144-IFERROR(H144,0))/IFERROR(IF(COUNTIF(J144:U144,"x")=0,COUNTA(Besatzung!$B$11:$B$22),COUNTIF(J144:U144,"x")),1)+IF(COUNTIF(J144:U144,"x")=0,(Besatzung!$F$14="x"),(M144="x")*(Besatzung!$F$14="x"))*IFERROR(H144,0)/IFERROR(IF(COUNTIF(J144:U144,"x")=0,SUMPRODUCT((Besatzung!$B$11:$B$22&lt;&gt;"")*(Besatzung!$F$11:$F$22="x")),SUMPRODUCT((J144:U144="x")*(Besatzung!$F$11:$F$22="x"))),1))))),0))))</f>
        <v/>
      </c>
      <c r="Z144" s="106">
        <f>IF(C144="Gutschrift","",IF(G144="","",IF(Besatzung!$B$13="","",IFERROR(IF(I144="Zeitanteilig",(Besatzung!$G$15*(G144-IFERROR(H144,0))+((Besatzung!$B$13&lt;&gt;"")*IF(B144="",1,(IF(Besatzung!$C$15="",Besatzung!$B$5,Besatzung!$C$15)&lt;=B144)*(IF(Besatzung!$D$15="",Besatzung!$B$6,Besatzung!$D$15)&gt;=B144)))*(Besatzung!$F$15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$13&lt;&gt;"")*IF(B144="",1,(IF(Besatzung!$C$15="",Besatzung!$B$5,Besatzung!$C$15)&lt;=B144)*(IF(Besatzung!$D$15="",Besatzung!$B$6,Besatzung!$D$15)&gt;=B144)))*((G144-IFERROR(H144,0))/IFERROR(SUMPRODUCT((Besatzung!$B$11:$B$22&lt;&gt;"")*(IF(Besatzung!$C$11:$C$22="",Besatzung!$B$5,Besatzung!$C$11:$C$22)&lt;=B144)*(IF(Besatzung!$D$11:$D$22="",Besatzung!$B$6,Besatzung!$D$11:$D$22)&gt;=B144)),1)+(Besatzung!$F$15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N144="x")*((G144-IFERROR(H144,0))/IFERROR(COUNTIF(J144:U144,"x"),1)+(Besatzung!$F$15="x")*IFERROR(H144,0)/IFERROR(SUMPRODUCT((J144:U144="x")*(Besatzung!$F$11:$F$22="x")),1))),(IF(COUNTIF(J144:U144,"x")=0,IF(Besatzung!$B$13&lt;&gt;"",1,0),(N144="x"))*(G144-IFERROR(H144,0))/IFERROR(IF(COUNTIF(J144:U144,"x")=0,COUNTA(Besatzung!$B$11:$B$22),COUNTIF(J144:U144,"x")),1)+IF(COUNTIF(J144:U144,"x")=0,(Besatzung!$F$15="x"),(N144="x")*(Besatzung!$F$15="x"))*IFERROR(H144,0)/IFERROR(IF(COUNTIF(J144:U144,"x")=0,SUMPRODUCT((Besatzung!$B$11:$B$22&lt;&gt;"")*(Besatzung!$F$11:$F$22="x")),SUMPRODUCT((J144:U144="x")*(Besatzung!$F$11:$F$22="x"))),1))))),0))))</f>
        <v/>
      </c>
      <c r="AA144" s="106">
        <f>IF(C144="Gutschrift","",IF(G144="","",IF(Besatzung!$B$15="","",IFERROR(IF(I144="Zeitanteilig",(Besatzung!$G$16*(G144-IFERROR(H144,0))+((Besatzung!$B$15&lt;&gt;"")*IF(B144="",1,(IF(Besatzung!$C$16="",Besatzung!$B$5,Besatzung!$C$16)&lt;=B144)*(IF(Besatzung!$D$16="",Besatzung!$B$6,Besatzung!$D$16)&gt;=B144)))*(Besatzung!$F$16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$15&lt;&gt;"")*IF(B144="",1,(IF(Besatzung!$C$16="",Besatzung!$B$5,Besatzung!$C$16)&lt;=B144)*(IF(Besatzung!$D$16="",Besatzung!$B$6,Besatzung!$D$16)&gt;=B144)))*((G144-IFERROR(H144,0))/IFERROR(SUMPRODUCT((Besatzung!$B$11:$B$22&lt;&gt;"")*(IF(Besatzung!$C$11:$C$22="",Besatzung!$B$5,Besatzung!$C$11:$C$22)&lt;=B144)*(IF(Besatzung!$D$11:$D$22="",Besatzung!$B$6,Besatzung!$D$11:$D$22)&gt;=B144)),1)+(Besatzung!$F$16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O144="x")*((G144-IFERROR(H144,0))/IFERROR(COUNTIF(J144:U144,"x"),1)+(Besatzung!$F$16="x")*IFERROR(H144,0)/IFERROR(SUMPRODUCT((J144:U144="x")*(Besatzung!$F$11:$F$22="x")),1))),(IF(COUNTIF(J144:U144,"x")=0,IF(Besatzung!$B$15&lt;&gt;"",1,0),(O144="x"))*(G144-IFERROR(H144,0))/IFERROR(IF(COUNTIF(J144:U144,"x")=0,COUNTA(Besatzung!$B$11:$B$22),COUNTIF(J144:U144,"x")),1)+IF(COUNTIF(J144:U144,"x")=0,(Besatzung!$F$16="x"),(O144="x")*(Besatzung!$F$16="x"))*IFERROR(H144,0)/IFERROR(IF(COUNTIF(J144:U144,"x")=0,SUMPRODUCT((Besatzung!$B$11:$B$22&lt;&gt;"")*(Besatzung!$F$11:$F$22="x")),SUMPRODUCT((J144:U144="x")*(Besatzung!$F$11:$F$22="x"))),1))))),0))))</f>
        <v/>
      </c>
      <c r="AB144" s="106">
        <f>IF(C144="Gutschrift","",IF(G144="","",IF(Besatzung!$B$17="","",IFERROR(IF(I144="Zeitanteilig",(Besatzung!$G$17*(G144-IFERROR(H144,0))+((Besatzung!$B$17&lt;&gt;"")*IF(B144="",1,(IF(Besatzung!$C$17="",Besatzung!$B$5,Besatzung!$C$17)&lt;=B144)*(IF(Besatzung!$D$17="",Besatzung!$B$6,Besatzung!$D$17)&gt;=B144)))*(Besatzung!$F$17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$17&lt;&gt;"")*IF(B144="",1,(IF(Besatzung!$C$17="",Besatzung!$B$5,Besatzung!$C$17)&lt;=B144)*(IF(Besatzung!$D$17="",Besatzung!$B$6,Besatzung!$D$17)&gt;=B144)))*((G144-IFERROR(H144,0))/IFERROR(SUMPRODUCT((Besatzung!$B$11:$B$22&lt;&gt;"")*(IF(Besatzung!$C$11:$C$22="",Besatzung!$B$5,Besatzung!$C$11:$C$22)&lt;=B144)*(IF(Besatzung!$D$11:$D$22="",Besatzung!$B$6,Besatzung!$D$11:$D$22)&gt;=B144)),1)+(Besatzung!$F$17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P144="x")*((G144-IFERROR(H144,0))/IFERROR(COUNTIF(J144:U144,"x"),1)+(Besatzung!$F$17="x")*IFERROR(H144,0)/IFERROR(SUMPRODUCT((J144:U144="x")*(Besatzung!$F$11:$F$22="x")),1))),(IF(COUNTIF(J144:U144,"x")=0,IF(Besatzung!$B$17&lt;&gt;"",1,0),(P144="x"))*(G144-IFERROR(H144,0))/IFERROR(IF(COUNTIF(J144:U144,"x")=0,COUNTA(Besatzung!$B$11:$B$22),COUNTIF(J144:U144,"x")),1)+IF(COUNTIF(J144:U144,"x")=0,(Besatzung!$F$17="x"),(P144="x")*(Besatzung!$F$17="x"))*IFERROR(H144,0)/IFERROR(IF(COUNTIF(J144:U144,"x")=0,SUMPRODUCT((Besatzung!$B$11:$B$22&lt;&gt;"")*(Besatzung!$F$11:$F$22="x")),SUMPRODUCT((J144:U144="x")*(Besatzung!$F$11:$F$22="x"))),1))))),0))))</f>
        <v/>
      </c>
      <c r="AC144" s="106">
        <f>IF(C144="Gutschrift","",IF(G144="","",IF(Besatzung!$B$18="","",IFERROR(IF(I144="Zeitanteilig",(Besatzung!$G$18*(G144-IFERROR(H144,0))+((Besatzung!$B$18&lt;&gt;"")*IF(B144="",1,(IF(Besatzung!$C$18="",Besatzung!$B$5,Besatzung!$C$18)&lt;=B144)*(IF(Besatzung!$D$18="",Besatzung!$B$6,Besatzung!$D$18)&gt;=B144)))*(Besatzung!$F$18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$18&lt;&gt;"")*IF(B144="",1,(IF(Besatzung!$C$18="",Besatzung!$B$5,Besatzung!$C$18)&lt;=B144)*(IF(Besatzung!$D$18="",Besatzung!$B$6,Besatzung!$D$18)&gt;=B144)))*((G144-IFERROR(H144,0))/IFERROR(SUMPRODUCT((Besatzung!$B$11:$B$22&lt;&gt;"")*(IF(Besatzung!$C$11:$C$22="",Besatzung!$B$5,Besatzung!$C$11:$C$22)&lt;=B144)*(IF(Besatzung!$D$11:$D$22="",Besatzung!$B$6,Besatzung!$D$11:$D$22)&gt;=B144)),1)+(Besatzung!$F$18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Q144="x")*((G144-IFERROR(H144,0))/IFERROR(COUNTIF(J144:U144,"x"),1)+(Besatzung!$F$18="x")*IFERROR(H144,0)/IFERROR(SUMPRODUCT((J144:U144="x")*(Besatzung!$F$11:$F$22="x")),1))),(IF(COUNTIF(J144:U144,"x")=0,IF(Besatzung!$B$18&lt;&gt;"",1,0),(Q144="x"))*(G144-IFERROR(H144,0))/IFERROR(IF(COUNTIF(J144:U144,"x")=0,COUNTA(Besatzung!$B$11:$B$22),COUNTIF(J144:U144,"x")),1)+IF(COUNTIF(J144:U144,"x")=0,(Besatzung!$F$18="x"),(Q144="x")*(Besatzung!$F$18="x"))*IFERROR(H144,0)/IFERROR(IF(COUNTIF(J144:U144,"x")=0,SUMPRODUCT((Besatzung!$B$11:$B$22&lt;&gt;"")*(Besatzung!$F$11:$F$22="x")),SUMPRODUCT((J144:U144="x")*(Besatzung!$F$11:$F$22="x"))),1))))),0))))</f>
        <v/>
      </c>
      <c r="AD144" s="106">
        <f>IF(C144="Gutschrift","",IF(G144="","",IF(Besatzung!$B$19="","",IFERROR(IF(I144="Zeitanteilig",(Besatzung!$G$19*(G144-IFERROR(H144,0))+((Besatzung!$B$19&lt;&gt;"")*IF(B144="",1,(IF(Besatzung!$C$19="",Besatzung!$B$5,Besatzung!$C$19)&lt;=B144)*(IF(Besatzung!$D$19="",Besatzung!$B$6,Besatzung!$D$19)&gt;=B144)))*(Besatzung!$F$19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$19&lt;&gt;"")*IF(B144="",1,(IF(Besatzung!$C$19="",Besatzung!$B$5,Besatzung!$C$19)&lt;=B144)*(IF(Besatzung!$D$19="",Besatzung!$B$6,Besatzung!$D$19)&gt;=B144)))*((G144-IFERROR(H144,0))/IFERROR(SUMPRODUCT((Besatzung!$B$11:$B$22&lt;&gt;"")*(IF(Besatzung!$C$11:$C$22="",Besatzung!$B$5,Besatzung!$C$11:$C$22)&lt;=B144)*(IF(Besatzung!$D$11:$D$22="",Besatzung!$B$6,Besatzung!$D$11:$D$22)&gt;=B144)),1)+(Besatzung!$F$19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R144="x")*((G144-IFERROR(H144,0))/IFERROR(COUNTIF(J144:U144,"x"),1)+(Besatzung!$F$19="x")*IFERROR(H144,0)/IFERROR(SUMPRODUCT((J144:U144="x")*(Besatzung!$F$11:$F$22="x")),1))),(IF(COUNTIF(J144:U144,"x")=0,IF(Besatzung!$B$19&lt;&gt;"",1,0),(R144="x"))*(G144-IFERROR(H144,0))/IFERROR(IF(COUNTIF(J144:U144,"x")=0,COUNTA(Besatzung!$B$11:$B$22),COUNTIF(J144:U144,"x")),1)+IF(COUNTIF(J144:U144,"x")=0,(Besatzung!$F$19="x"),(R144="x")*(Besatzung!$F$19="x"))*IFERROR(H144,0)/IFERROR(IF(COUNTIF(J144:U144,"x")=0,SUMPRODUCT((Besatzung!$B$11:$B$22&lt;&gt;"")*(Besatzung!$F$11:$F$22="x")),SUMPRODUCT((J144:U144="x")*(Besatzung!$F$11:$F$22="x"))),1))))),0))))</f>
        <v/>
      </c>
      <c r="AE144" s="106">
        <f>IF(C144="Gutschrift","",IF(G144="","",IF(Besatzung!$B$20="","",IFERROR(IF(I144="Zeitanteilig",(Besatzung!$G$20*(G144-IFERROR(H144,0))+((Besatzung!$B$20&lt;&gt;"")*IF(B144="",1,(IF(Besatzung!$C$20="",Besatzung!$B$5,Besatzung!$C$20)&lt;=B144)*(IF(Besatzung!$D$20="",Besatzung!$B$6,Besatzung!$D$20)&gt;=B144)))*(Besatzung!$F$20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$20&lt;&gt;"")*IF(B144="",1,(IF(Besatzung!$C$20="",Besatzung!$B$5,Besatzung!$C$20)&lt;=B144)*(IF(Besatzung!$D$20="",Besatzung!$B$6,Besatzung!$D$20)&gt;=B144)))*((G144-IFERROR(H144,0))/IFERROR(SUMPRODUCT((Besatzung!$B$11:$B$22&lt;&gt;"")*(IF(Besatzung!$C$11:$C$22="",Besatzung!$B$5,Besatzung!$C$11:$C$22)&lt;=B144)*(IF(Besatzung!$D$11:$D$22="",Besatzung!$B$6,Besatzung!$D$11:$D$22)&gt;=B144)),1)+(Besatzung!$F$20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S144="x")*((G144-IFERROR(H144,0))/IFERROR(COUNTIF(J144:U144,"x"),1)+(Besatzung!$F$20="x")*IFERROR(H144,0)/IFERROR(SUMPRODUCT((J144:U144="x")*(Besatzung!$F$11:$F$22="x")),1))),(IF(COUNTIF(J144:U144,"x")=0,IF(Besatzung!$B$20&lt;&gt;"",1,0),(S144="x"))*(G144-IFERROR(H144,0))/IFERROR(IF(COUNTIF(J144:U144,"x")=0,COUNTA(Besatzung!$B$11:$B$22),COUNTIF(J144:U144,"x")),1)+IF(COUNTIF(J144:U144,"x")=0,(Besatzung!$F$20="x"),(S144="x")*(Besatzung!$F$20="x"))*IFERROR(H144,0)/IFERROR(IF(COUNTIF(J144:U144,"x")=0,SUMPRODUCT((Besatzung!$B$11:$B$22&lt;&gt;"")*(Besatzung!$F$11:$F$22="x")),SUMPRODUCT((J144:U144="x")*(Besatzung!$F$11:$F$22="x"))),1))))),0))))</f>
        <v/>
      </c>
      <c r="AF144" s="106">
        <f>IF(C144="Gutschrift","",IF(G144="","",IF(Besatzung!$B$21="","",IFERROR(IF(I144="Zeitanteilig",(Besatzung!$G$21*(G144-IFERROR(H144,0))+((Besatzung!$B$21&lt;&gt;"")*IF(B144="",1,(IF(Besatzung!$C$21="",Besatzung!$B$5,Besatzung!$C$21)&lt;=B144)*(IF(Besatzung!$D$21="",Besatzung!$B$6,Besatzung!$D$21)&gt;=B144)))*(Besatzung!$F$21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$21&lt;&gt;"")*IF(B144="",1,(IF(Besatzung!$C$21="",Besatzung!$B$5,Besatzung!$C$21)&lt;=B144)*(IF(Besatzung!$D$21="",Besatzung!$B$6,Besatzung!$D$21)&gt;=B144)))*((G144-IFERROR(H144,0))/IFERROR(SUMPRODUCT((Besatzung!$B$11:$B$22&lt;&gt;"")*(IF(Besatzung!$C$11:$C$22="",Besatzung!$B$5,Besatzung!$C$11:$C$22)&lt;=B144)*(IF(Besatzung!$D$11:$D$22="",Besatzung!$B$6,Besatzung!$D$11:$D$22)&gt;=B144)),1)+(Besatzung!$F$21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T144="x")*((G144-IFERROR(H144,0))/IFERROR(COUNTIF(J144:U144,"x"),1)+(Besatzung!$F$21="x")*IFERROR(H144,0)/IFERROR(SUMPRODUCT((J144:U144="x")*(Besatzung!$F$11:$F$22="x")),1))),(IF(COUNTIF(J144:U144,"x")=0,IF(Besatzung!$B$21&lt;&gt;"",1,0),(T144="x"))*(G144-IFERROR(H144,0))/IFERROR(IF(COUNTIF(J144:U144,"x")=0,COUNTA(Besatzung!$B$11:$B$22),COUNTIF(J144:U144,"x")),1)+IF(COUNTIF(J144:U144,"x")=0,(Besatzung!$F$21="x"),(T144="x")*(Besatzung!$F$21="x"))*IFERROR(H144,0)/IFERROR(IF(COUNTIF(J144:U144,"x")=0,SUMPRODUCT((Besatzung!$B$11:$B$22&lt;&gt;"")*(Besatzung!$F$11:$F$22="x")),SUMPRODUCT((J144:U144="x")*(Besatzung!$F$11:$F$22="x"))),1))))),0))))</f>
        <v/>
      </c>
      <c r="AG144" s="106">
        <f>IF(C144="Gutschrift","",IF(G144="","",IF(Besatzung!$B$22="","",IFERROR(IF(I144="Zeitanteilig",(Besatzung!$G$22*(G144-IFERROR(H144,0))+((Besatzung!$B$22&lt;&gt;"")*IF(B144="",1,(IF(Besatzung!$C$22="",Besatzung!$B$5,Besatzung!$C$22)&lt;=B144)*(IF(Besatzung!$D$22="",Besatzung!$B$6,Besatzung!$D$22)&gt;=B144)))*(Besatzung!$F$22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$22&lt;&gt;"")*IF(B144="",1,(IF(Besatzung!$C$22="",Besatzung!$B$5,Besatzung!$C$22)&lt;=B144)*(IF(Besatzung!$D$22="",Besatzung!$B$6,Besatzung!$D$22)&gt;=B144)))*((G144-IFERROR(H144,0))/IFERROR(SUMPRODUCT((Besatzung!$B$11:$B$22&lt;&gt;"")*(IF(Besatzung!$C$11:$C$22="",Besatzung!$B$5,Besatzung!$C$11:$C$22)&lt;=B144)*(IF(Besatzung!$D$11:$D$22="",Besatzung!$B$6,Besatzung!$D$11:$D$22)&gt;=B144)),1)+(Besatzung!$F$22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U144="x")*((G144-IFERROR(H144,0))/IFERROR(COUNTIF(J144:U144,"x"),1)+(Besatzung!$F$22="x")*IFERROR(H144,0)/IFERROR(SUMPRODUCT((J144:U144="x")*(Besatzung!$F$11:$F$22="x")),1))),(IF(COUNTIF(J144:U144,"x")=0,IF(Besatzung!$B$22&lt;&gt;"",1,0),(U144="x"))*(G144-IFERROR(H144,0))/IFERROR(IF(COUNTIF(J144:U144,"x")=0,COUNTA(Besatzung!$B$11:$B$22),COUNTIF(J144:U144,"x")),1)+IF(COUNTIF(J144:U144,"x")=0,(Besatzung!$F$22="x"),(U144="x")*(Besatzung!$F$22="x"))*IFERROR(H144,0)/IFERROR(IF(COUNTIF(J144:U144,"x")=0,SUMPRODUCT((Besatzung!$B$11:$B$22&lt;&gt;"")*(Besatzung!$F$11:$F$22="x")),SUMPRODUCT((J144:U144="x")*(Besatzung!$F$11:$F$22="x"))),1))))),0))))</f>
        <v/>
      </c>
      <c r="AH144" s="107" t="n"/>
      <c r="AI144" s="107" t="n"/>
    </row>
    <row r="145" ht="21.75" customHeight="1" s="182">
      <c r="A145" s="97">
        <f>IF(AND(D145="",C145=""),"",142)</f>
        <v/>
      </c>
      <c r="B145" s="63" t="n"/>
      <c r="C145" s="108" t="n"/>
      <c r="D145" s="109" t="n"/>
      <c r="E145" s="110" t="n"/>
      <c r="F145" s="111" t="n"/>
      <c r="G145" s="112" t="n"/>
      <c r="H145" s="113" t="n"/>
      <c r="I145" s="114" t="n"/>
      <c r="J145" s="115" t="n"/>
      <c r="K145" s="115" t="n"/>
      <c r="L145" s="115" t="n"/>
      <c r="M145" s="115" t="n"/>
      <c r="N145" s="115" t="n"/>
      <c r="O145" s="115" t="n"/>
      <c r="P145" s="115" t="n"/>
      <c r="Q145" s="115" t="n"/>
      <c r="R145" s="115" t="n"/>
      <c r="S145" s="115" t="n"/>
      <c r="T145" s="115" t="n"/>
      <c r="U145" s="115" t="n"/>
      <c r="V145" s="106">
        <f>IF(C145="Gutschrift","",IF(G145="","",IF(Besatzung!$B$11="","",IFERROR(IF(I145="Zeitanteilig",(Besatzung!$G$11*(G145-IFERROR(H145,0))+((Besatzung!$B$11&lt;&gt;"")*IF(B145="",1,(IF(Besatzung!$C$11="",Besatzung!$B$5,Besatzung!$C$11)&lt;=B145)*(IF(Besatzung!$D$11="",Besatzung!$B$6,Besatzung!$D$11)&gt;=B145)))*(Besatzung!$F$11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$11&lt;&gt;"")*IF(B145="",1,(IF(Besatzung!$C$11="",Besatzung!$B$5,Besatzung!$C$11)&lt;=B145)*(IF(Besatzung!$D$11="",Besatzung!$B$6,Besatzung!$D$11)&gt;=B145)))*((G145-IFERROR(H145,0))/IFERROR(SUMPRODUCT((Besatzung!$B$11:$B$22&lt;&gt;"")*(IF(Besatzung!$C$11:$C$22="",Besatzung!$B$5,Besatzung!$C$11:$C$22)&lt;=B145)*(IF(Besatzung!$D$11:$D$22="",Besatzung!$B$6,Besatzung!$D$11:$D$22)&gt;=B145)),1)+(Besatzung!$F$11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J145="x")*((G145-IFERROR(H145,0))/IFERROR(COUNTIF(J145:U145,"x"),1)+(Besatzung!$F$11="x")*IFERROR(H145,0)/IFERROR(SUMPRODUCT((J145:U145="x")*(Besatzung!$F$11:$F$22="x")),1))),(IF(COUNTIF(J145:U145,"x")=0,IF(Besatzung!$B$11&lt;&gt;"",1,0),(J145="x"))*(G145-IFERROR(H145,0))/IFERROR(IF(COUNTIF(J145:U145,"x")=0,COUNTA(Besatzung!$B$11:$B$22),COUNTIF(J145:U145,"x")),1)+IF(COUNTIF(J145:U145,"x")=0,(Besatzung!$F$11="x"),(J145="x")*(Besatzung!$F$11="x"))*IFERROR(H145,0)/IFERROR(IF(COUNTIF(J145:U145,"x")=0,SUMPRODUCT((Besatzung!$B$11:$B$22&lt;&gt;"")*(Besatzung!$F$11:$F$22="x")),SUMPRODUCT((J145:U145="x")*(Besatzung!$F$11:$F$22="x"))),1))))),0))))</f>
        <v/>
      </c>
      <c r="W145" s="106">
        <f>IF(C145="Gutschrift","",IF(G145="","",IF(Besatzung!$B$12="","",IFERROR(IF(I145="Zeitanteilig",(Besatzung!$G$12*(G145-IFERROR(H145,0))+((Besatzung!$B$12&lt;&gt;"")*IF(B145="",1,(IF(Besatzung!$C$12="",Besatzung!$B$5,Besatzung!$C$12)&lt;=B145)*(IF(Besatzung!$D$12="",Besatzung!$B$6,Besatzung!$D$12)&gt;=B145)))*(Besatzung!$F$12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$12&lt;&gt;"")*IF(B145="",1,(IF(Besatzung!$C$12="",Besatzung!$B$5,Besatzung!$C$12)&lt;=B145)*(IF(Besatzung!$D$12="",Besatzung!$B$6,Besatzung!$D$12)&gt;=B145)))*((G145-IFERROR(H145,0))/IFERROR(SUMPRODUCT((Besatzung!$B$11:$B$22&lt;&gt;"")*(IF(Besatzung!$C$11:$C$22="",Besatzung!$B$5,Besatzung!$C$11:$C$22)&lt;=B145)*(IF(Besatzung!$D$11:$D$22="",Besatzung!$B$6,Besatzung!$D$11:$D$22)&gt;=B145)),1)+(Besatzung!$F$12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K145="x")*((G145-IFERROR(H145,0))/IFERROR(COUNTIF(J145:U145,"x"),1)+(Besatzung!$F$12="x")*IFERROR(H145,0)/IFERROR(SUMPRODUCT((J145:U145="x")*(Besatzung!$F$11:$F$22="x")),1))),(IF(COUNTIF(J145:U145,"x")=0,IF(Besatzung!$B$12&lt;&gt;"",1,0),(K145="x"))*(G145-IFERROR(H145,0))/IFERROR(IF(COUNTIF(J145:U145,"x")=0,COUNTA(Besatzung!$B$11:$B$22),COUNTIF(J145:U145,"x")),1)+IF(COUNTIF(J145:U145,"x")=0,(Besatzung!$F$12="x"),(K145="x")*(Besatzung!$F$12="x"))*IFERROR(H145,0)/IFERROR(IF(COUNTIF(J145:U145,"x")=0,SUMPRODUCT((Besatzung!$B$11:$B$22&lt;&gt;"")*(Besatzung!$F$11:$F$22="x")),SUMPRODUCT((J145:U145="x")*(Besatzung!$F$11:$F$22="x"))),1))))),0))))</f>
        <v/>
      </c>
      <c r="X145" s="106">
        <f>IF(C145="Gutschrift","",IF(G145="","",IF(Besatzung!$B$13="","",IFERROR(IF(I145="Zeitanteilig",(Besatzung!$G$13*(G145-IFERROR(H145,0))+((Besatzung!$B$13&lt;&gt;"")*IF(B145="",1,(IF(Besatzung!$C$13="",Besatzung!$B$5,Besatzung!$C$13)&lt;=B145)*(IF(Besatzung!$D$13="",Besatzung!$B$6,Besatzung!$D$13)&gt;=B145)))*(Besatzung!$F$13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$13&lt;&gt;"")*IF(B145="",1,(IF(Besatzung!$C$13="",Besatzung!$B$5,Besatzung!$C$13)&lt;=B145)*(IF(Besatzung!$D$13="",Besatzung!$B$6,Besatzung!$D$13)&gt;=B145)))*((G145-IFERROR(H145,0))/IFERROR(SUMPRODUCT((Besatzung!$B$11:$B$22&lt;&gt;"")*(IF(Besatzung!$C$11:$C$22="",Besatzung!$B$5,Besatzung!$C$11:$C$22)&lt;=B145)*(IF(Besatzung!$D$11:$D$22="",Besatzung!$B$6,Besatzung!$D$11:$D$22)&gt;=B145)),1)+(Besatzung!$F$13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K145="x")*((G145-IFERROR(H145,0))/IFERROR(COUNTIF(J145:U145,"x"),1)+(Besatzung!$F$13="x")*IFERROR(H145,0)/IFERROR(SUMPRODUCT((J145:U145="x")*(Besatzung!$F$11:$F$22="x")),1))),(IF(COUNTIF(J145:U145,"x")=0,IF(Besatzung!$B$13&lt;&gt;"",1,0),(K145="x"))*(G145-IFERROR(H145,0))/IFERROR(IF(COUNTIF(J145:U145,"x")=0,COUNTA(Besatzung!$B$11:$B$22),COUNTIF(J145:U145,"x")),1)+IF(COUNTIF(J145:U145,"x")=0,(Besatzung!$F$13="x"),(K145="x")*(Besatzung!$F$13="x"))*IFERROR(H145,0)/IFERROR(IF(COUNTIF(J145:U145,"x")=0,SUMPRODUCT((Besatzung!$B$11:$B$22&lt;&gt;"")*(Besatzung!$F$11:$F$22="x")),SUMPRODUCT((J145:U145="x")*(Besatzung!$F$11:$F$22="x"))),1))))),0))))</f>
        <v/>
      </c>
      <c r="Y145" s="106">
        <f>IF(C145="Gutschrift","",IF(G145="","",IF(Besatzung!$B$14="","",IFERROR(IF(I145="Zeitanteilig",(Besatzung!$G$14*(G145-IFERROR(H145,0))+((Besatzung!$B$14&lt;&gt;"")*IF(B145="",1,(IF(Besatzung!$C$14="",Besatzung!$B$5,Besatzung!$C$14)&lt;=B145)*(IF(Besatzung!$D$14="",Besatzung!$B$6,Besatzung!$D$14)&gt;=B145)))*(Besatzung!$F$14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$14&lt;&gt;"")*IF(B145="",1,(IF(Besatzung!$C$14="",Besatzung!$B$5,Besatzung!$C$14)&lt;=B145)*(IF(Besatzung!$D$14="",Besatzung!$B$6,Besatzung!$D$14)&gt;=B145)))*((G145-IFERROR(H145,0))/IFERROR(SUMPRODUCT((Besatzung!$B$11:$B$22&lt;&gt;"")*(IF(Besatzung!$C$11:$C$22="",Besatzung!$B$5,Besatzung!$C$11:$C$22)&lt;=B145)*(IF(Besatzung!$D$11:$D$22="",Besatzung!$B$6,Besatzung!$D$11:$D$22)&gt;=B145)),1)+(Besatzung!$F$14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M145="x")*((G145-IFERROR(H145,0))/IFERROR(COUNTIF(J145:U145,"x"),1)+(Besatzung!$F$14="x")*IFERROR(H145,0)/IFERROR(SUMPRODUCT((J145:U145="x")*(Besatzung!$F$11:$F$22="x")),1))),(IF(COUNTIF(J145:U145,"x")=0,IF(Besatzung!$B$14&lt;&gt;"",1,0),(M145="x"))*(G145-IFERROR(H145,0))/IFERROR(IF(COUNTIF(J145:U145,"x")=0,COUNTA(Besatzung!$B$11:$B$22),COUNTIF(J145:U145,"x")),1)+IF(COUNTIF(J145:U145,"x")=0,(Besatzung!$F$14="x"),(M145="x")*(Besatzung!$F$14="x"))*IFERROR(H145,0)/IFERROR(IF(COUNTIF(J145:U145,"x")=0,SUMPRODUCT((Besatzung!$B$11:$B$22&lt;&gt;"")*(Besatzung!$F$11:$F$22="x")),SUMPRODUCT((J145:U145="x")*(Besatzung!$F$11:$F$22="x"))),1))))),0))))</f>
        <v/>
      </c>
      <c r="Z145" s="106">
        <f>IF(C145="Gutschrift","",IF(G145="","",IF(Besatzung!$B$13="","",IFERROR(IF(I145="Zeitanteilig",(Besatzung!$G$15*(G145-IFERROR(H145,0))+((Besatzung!$B$13&lt;&gt;"")*IF(B145="",1,(IF(Besatzung!$C$15="",Besatzung!$B$5,Besatzung!$C$15)&lt;=B145)*(IF(Besatzung!$D$15="",Besatzung!$B$6,Besatzung!$D$15)&gt;=B145)))*(Besatzung!$F$15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$13&lt;&gt;"")*IF(B145="",1,(IF(Besatzung!$C$15="",Besatzung!$B$5,Besatzung!$C$15)&lt;=B145)*(IF(Besatzung!$D$15="",Besatzung!$B$6,Besatzung!$D$15)&gt;=B145)))*((G145-IFERROR(H145,0))/IFERROR(SUMPRODUCT((Besatzung!$B$11:$B$22&lt;&gt;"")*(IF(Besatzung!$C$11:$C$22="",Besatzung!$B$5,Besatzung!$C$11:$C$22)&lt;=B145)*(IF(Besatzung!$D$11:$D$22="",Besatzung!$B$6,Besatzung!$D$11:$D$22)&gt;=B145)),1)+(Besatzung!$F$15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N145="x")*((G145-IFERROR(H145,0))/IFERROR(COUNTIF(J145:U145,"x"),1)+(Besatzung!$F$15="x")*IFERROR(H145,0)/IFERROR(SUMPRODUCT((J145:U145="x")*(Besatzung!$F$11:$F$22="x")),1))),(IF(COUNTIF(J145:U145,"x")=0,IF(Besatzung!$B$13&lt;&gt;"",1,0),(N145="x"))*(G145-IFERROR(H145,0))/IFERROR(IF(COUNTIF(J145:U145,"x")=0,COUNTA(Besatzung!$B$11:$B$22),COUNTIF(J145:U145,"x")),1)+IF(COUNTIF(J145:U145,"x")=0,(Besatzung!$F$15="x"),(N145="x")*(Besatzung!$F$15="x"))*IFERROR(H145,0)/IFERROR(IF(COUNTIF(J145:U145,"x")=0,SUMPRODUCT((Besatzung!$B$11:$B$22&lt;&gt;"")*(Besatzung!$F$11:$F$22="x")),SUMPRODUCT((J145:U145="x")*(Besatzung!$F$11:$F$22="x"))),1))))),0))))</f>
        <v/>
      </c>
      <c r="AA145" s="106">
        <f>IF(C145="Gutschrift","",IF(G145="","",IF(Besatzung!$B$15="","",IFERROR(IF(I145="Zeitanteilig",(Besatzung!$G$16*(G145-IFERROR(H145,0))+((Besatzung!$B$15&lt;&gt;"")*IF(B145="",1,(IF(Besatzung!$C$16="",Besatzung!$B$5,Besatzung!$C$16)&lt;=B145)*(IF(Besatzung!$D$16="",Besatzung!$B$6,Besatzung!$D$16)&gt;=B145)))*(Besatzung!$F$16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$15&lt;&gt;"")*IF(B145="",1,(IF(Besatzung!$C$16="",Besatzung!$B$5,Besatzung!$C$16)&lt;=B145)*(IF(Besatzung!$D$16="",Besatzung!$B$6,Besatzung!$D$16)&gt;=B145)))*((G145-IFERROR(H145,0))/IFERROR(SUMPRODUCT((Besatzung!$B$11:$B$22&lt;&gt;"")*(IF(Besatzung!$C$11:$C$22="",Besatzung!$B$5,Besatzung!$C$11:$C$22)&lt;=B145)*(IF(Besatzung!$D$11:$D$22="",Besatzung!$B$6,Besatzung!$D$11:$D$22)&gt;=B145)),1)+(Besatzung!$F$16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O145="x")*((G145-IFERROR(H145,0))/IFERROR(COUNTIF(J145:U145,"x"),1)+(Besatzung!$F$16="x")*IFERROR(H145,0)/IFERROR(SUMPRODUCT((J145:U145="x")*(Besatzung!$F$11:$F$22="x")),1))),(IF(COUNTIF(J145:U145,"x")=0,IF(Besatzung!$B$15&lt;&gt;"",1,0),(O145="x"))*(G145-IFERROR(H145,0))/IFERROR(IF(COUNTIF(J145:U145,"x")=0,COUNTA(Besatzung!$B$11:$B$22),COUNTIF(J145:U145,"x")),1)+IF(COUNTIF(J145:U145,"x")=0,(Besatzung!$F$16="x"),(O145="x")*(Besatzung!$F$16="x"))*IFERROR(H145,0)/IFERROR(IF(COUNTIF(J145:U145,"x")=0,SUMPRODUCT((Besatzung!$B$11:$B$22&lt;&gt;"")*(Besatzung!$F$11:$F$22="x")),SUMPRODUCT((J145:U145="x")*(Besatzung!$F$11:$F$22="x"))),1))))),0))))</f>
        <v/>
      </c>
      <c r="AB145" s="106">
        <f>IF(C145="Gutschrift","",IF(G145="","",IF(Besatzung!$B$17="","",IFERROR(IF(I145="Zeitanteilig",(Besatzung!$G$17*(G145-IFERROR(H145,0))+((Besatzung!$B$17&lt;&gt;"")*IF(B145="",1,(IF(Besatzung!$C$17="",Besatzung!$B$5,Besatzung!$C$17)&lt;=B145)*(IF(Besatzung!$D$17="",Besatzung!$B$6,Besatzung!$D$17)&gt;=B145)))*(Besatzung!$F$17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$17&lt;&gt;"")*IF(B145="",1,(IF(Besatzung!$C$17="",Besatzung!$B$5,Besatzung!$C$17)&lt;=B145)*(IF(Besatzung!$D$17="",Besatzung!$B$6,Besatzung!$D$17)&gt;=B145)))*((G145-IFERROR(H145,0))/IFERROR(SUMPRODUCT((Besatzung!$B$11:$B$22&lt;&gt;"")*(IF(Besatzung!$C$11:$C$22="",Besatzung!$B$5,Besatzung!$C$11:$C$22)&lt;=B145)*(IF(Besatzung!$D$11:$D$22="",Besatzung!$B$6,Besatzung!$D$11:$D$22)&gt;=B145)),1)+(Besatzung!$F$17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P145="x")*((G145-IFERROR(H145,0))/IFERROR(COUNTIF(J145:U145,"x"),1)+(Besatzung!$F$17="x")*IFERROR(H145,0)/IFERROR(SUMPRODUCT((J145:U145="x")*(Besatzung!$F$11:$F$22="x")),1))),(IF(COUNTIF(J145:U145,"x")=0,IF(Besatzung!$B$17&lt;&gt;"",1,0),(P145="x"))*(G145-IFERROR(H145,0))/IFERROR(IF(COUNTIF(J145:U145,"x")=0,COUNTA(Besatzung!$B$11:$B$22),COUNTIF(J145:U145,"x")),1)+IF(COUNTIF(J145:U145,"x")=0,(Besatzung!$F$17="x"),(P145="x")*(Besatzung!$F$17="x"))*IFERROR(H145,0)/IFERROR(IF(COUNTIF(J145:U145,"x")=0,SUMPRODUCT((Besatzung!$B$11:$B$22&lt;&gt;"")*(Besatzung!$F$11:$F$22="x")),SUMPRODUCT((J145:U145="x")*(Besatzung!$F$11:$F$22="x"))),1))))),0))))</f>
        <v/>
      </c>
      <c r="AC145" s="106">
        <f>IF(C145="Gutschrift","",IF(G145="","",IF(Besatzung!$B$18="","",IFERROR(IF(I145="Zeitanteilig",(Besatzung!$G$18*(G145-IFERROR(H145,0))+((Besatzung!$B$18&lt;&gt;"")*IF(B145="",1,(IF(Besatzung!$C$18="",Besatzung!$B$5,Besatzung!$C$18)&lt;=B145)*(IF(Besatzung!$D$18="",Besatzung!$B$6,Besatzung!$D$18)&gt;=B145)))*(Besatzung!$F$18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$18&lt;&gt;"")*IF(B145="",1,(IF(Besatzung!$C$18="",Besatzung!$B$5,Besatzung!$C$18)&lt;=B145)*(IF(Besatzung!$D$18="",Besatzung!$B$6,Besatzung!$D$18)&gt;=B145)))*((G145-IFERROR(H145,0))/IFERROR(SUMPRODUCT((Besatzung!$B$11:$B$22&lt;&gt;"")*(IF(Besatzung!$C$11:$C$22="",Besatzung!$B$5,Besatzung!$C$11:$C$22)&lt;=B145)*(IF(Besatzung!$D$11:$D$22="",Besatzung!$B$6,Besatzung!$D$11:$D$22)&gt;=B145)),1)+(Besatzung!$F$18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Q145="x")*((G145-IFERROR(H145,0))/IFERROR(COUNTIF(J145:U145,"x"),1)+(Besatzung!$F$18="x")*IFERROR(H145,0)/IFERROR(SUMPRODUCT((J145:U145="x")*(Besatzung!$F$11:$F$22="x")),1))),(IF(COUNTIF(J145:U145,"x")=0,IF(Besatzung!$B$18&lt;&gt;"",1,0),(Q145="x"))*(G145-IFERROR(H145,0))/IFERROR(IF(COUNTIF(J145:U145,"x")=0,COUNTA(Besatzung!$B$11:$B$22),COUNTIF(J145:U145,"x")),1)+IF(COUNTIF(J145:U145,"x")=0,(Besatzung!$F$18="x"),(Q145="x")*(Besatzung!$F$18="x"))*IFERROR(H145,0)/IFERROR(IF(COUNTIF(J145:U145,"x")=0,SUMPRODUCT((Besatzung!$B$11:$B$22&lt;&gt;"")*(Besatzung!$F$11:$F$22="x")),SUMPRODUCT((J145:U145="x")*(Besatzung!$F$11:$F$22="x"))),1))))),0))))</f>
        <v/>
      </c>
      <c r="AD145" s="106">
        <f>IF(C145="Gutschrift","",IF(G145="","",IF(Besatzung!$B$19="","",IFERROR(IF(I145="Zeitanteilig",(Besatzung!$G$19*(G145-IFERROR(H145,0))+((Besatzung!$B$19&lt;&gt;"")*IF(B145="",1,(IF(Besatzung!$C$19="",Besatzung!$B$5,Besatzung!$C$19)&lt;=B145)*(IF(Besatzung!$D$19="",Besatzung!$B$6,Besatzung!$D$19)&gt;=B145)))*(Besatzung!$F$19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$19&lt;&gt;"")*IF(B145="",1,(IF(Besatzung!$C$19="",Besatzung!$B$5,Besatzung!$C$19)&lt;=B145)*(IF(Besatzung!$D$19="",Besatzung!$B$6,Besatzung!$D$19)&gt;=B145)))*((G145-IFERROR(H145,0))/IFERROR(SUMPRODUCT((Besatzung!$B$11:$B$22&lt;&gt;"")*(IF(Besatzung!$C$11:$C$22="",Besatzung!$B$5,Besatzung!$C$11:$C$22)&lt;=B145)*(IF(Besatzung!$D$11:$D$22="",Besatzung!$B$6,Besatzung!$D$11:$D$22)&gt;=B145)),1)+(Besatzung!$F$19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R145="x")*((G145-IFERROR(H145,0))/IFERROR(COUNTIF(J145:U145,"x"),1)+(Besatzung!$F$19="x")*IFERROR(H145,0)/IFERROR(SUMPRODUCT((J145:U145="x")*(Besatzung!$F$11:$F$22="x")),1))),(IF(COUNTIF(J145:U145,"x")=0,IF(Besatzung!$B$19&lt;&gt;"",1,0),(R145="x"))*(G145-IFERROR(H145,0))/IFERROR(IF(COUNTIF(J145:U145,"x")=0,COUNTA(Besatzung!$B$11:$B$22),COUNTIF(J145:U145,"x")),1)+IF(COUNTIF(J145:U145,"x")=0,(Besatzung!$F$19="x"),(R145="x")*(Besatzung!$F$19="x"))*IFERROR(H145,0)/IFERROR(IF(COUNTIF(J145:U145,"x")=0,SUMPRODUCT((Besatzung!$B$11:$B$22&lt;&gt;"")*(Besatzung!$F$11:$F$22="x")),SUMPRODUCT((J145:U145="x")*(Besatzung!$F$11:$F$22="x"))),1))))),0))))</f>
        <v/>
      </c>
      <c r="AE145" s="106">
        <f>IF(C145="Gutschrift","",IF(G145="","",IF(Besatzung!$B$20="","",IFERROR(IF(I145="Zeitanteilig",(Besatzung!$G$20*(G145-IFERROR(H145,0))+((Besatzung!$B$20&lt;&gt;"")*IF(B145="",1,(IF(Besatzung!$C$20="",Besatzung!$B$5,Besatzung!$C$20)&lt;=B145)*(IF(Besatzung!$D$20="",Besatzung!$B$6,Besatzung!$D$20)&gt;=B145)))*(Besatzung!$F$20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$20&lt;&gt;"")*IF(B145="",1,(IF(Besatzung!$C$20="",Besatzung!$B$5,Besatzung!$C$20)&lt;=B145)*(IF(Besatzung!$D$20="",Besatzung!$B$6,Besatzung!$D$20)&gt;=B145)))*((G145-IFERROR(H145,0))/IFERROR(SUMPRODUCT((Besatzung!$B$11:$B$22&lt;&gt;"")*(IF(Besatzung!$C$11:$C$22="",Besatzung!$B$5,Besatzung!$C$11:$C$22)&lt;=B145)*(IF(Besatzung!$D$11:$D$22="",Besatzung!$B$6,Besatzung!$D$11:$D$22)&gt;=B145)),1)+(Besatzung!$F$20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S145="x")*((G145-IFERROR(H145,0))/IFERROR(COUNTIF(J145:U145,"x"),1)+(Besatzung!$F$20="x")*IFERROR(H145,0)/IFERROR(SUMPRODUCT((J145:U145="x")*(Besatzung!$F$11:$F$22="x")),1))),(IF(COUNTIF(J145:U145,"x")=0,IF(Besatzung!$B$20&lt;&gt;"",1,0),(S145="x"))*(G145-IFERROR(H145,0))/IFERROR(IF(COUNTIF(J145:U145,"x")=0,COUNTA(Besatzung!$B$11:$B$22),COUNTIF(J145:U145,"x")),1)+IF(COUNTIF(J145:U145,"x")=0,(Besatzung!$F$20="x"),(S145="x")*(Besatzung!$F$20="x"))*IFERROR(H145,0)/IFERROR(IF(COUNTIF(J145:U145,"x")=0,SUMPRODUCT((Besatzung!$B$11:$B$22&lt;&gt;"")*(Besatzung!$F$11:$F$22="x")),SUMPRODUCT((J145:U145="x")*(Besatzung!$F$11:$F$22="x"))),1))))),0))))</f>
        <v/>
      </c>
      <c r="AF145" s="106">
        <f>IF(C145="Gutschrift","",IF(G145="","",IF(Besatzung!$B$21="","",IFERROR(IF(I145="Zeitanteilig",(Besatzung!$G$21*(G145-IFERROR(H145,0))+((Besatzung!$B$21&lt;&gt;"")*IF(B145="",1,(IF(Besatzung!$C$21="",Besatzung!$B$5,Besatzung!$C$21)&lt;=B145)*(IF(Besatzung!$D$21="",Besatzung!$B$6,Besatzung!$D$21)&gt;=B145)))*(Besatzung!$F$21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$21&lt;&gt;"")*IF(B145="",1,(IF(Besatzung!$C$21="",Besatzung!$B$5,Besatzung!$C$21)&lt;=B145)*(IF(Besatzung!$D$21="",Besatzung!$B$6,Besatzung!$D$21)&gt;=B145)))*((G145-IFERROR(H145,0))/IFERROR(SUMPRODUCT((Besatzung!$B$11:$B$22&lt;&gt;"")*(IF(Besatzung!$C$11:$C$22="",Besatzung!$B$5,Besatzung!$C$11:$C$22)&lt;=B145)*(IF(Besatzung!$D$11:$D$22="",Besatzung!$B$6,Besatzung!$D$11:$D$22)&gt;=B145)),1)+(Besatzung!$F$21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T145="x")*((G145-IFERROR(H145,0))/IFERROR(COUNTIF(J145:U145,"x"),1)+(Besatzung!$F$21="x")*IFERROR(H145,0)/IFERROR(SUMPRODUCT((J145:U145="x")*(Besatzung!$F$11:$F$22="x")),1))),(IF(COUNTIF(J145:U145,"x")=0,IF(Besatzung!$B$21&lt;&gt;"",1,0),(T145="x"))*(G145-IFERROR(H145,0))/IFERROR(IF(COUNTIF(J145:U145,"x")=0,COUNTA(Besatzung!$B$11:$B$22),COUNTIF(J145:U145,"x")),1)+IF(COUNTIF(J145:U145,"x")=0,(Besatzung!$F$21="x"),(T145="x")*(Besatzung!$F$21="x"))*IFERROR(H145,0)/IFERROR(IF(COUNTIF(J145:U145,"x")=0,SUMPRODUCT((Besatzung!$B$11:$B$22&lt;&gt;"")*(Besatzung!$F$11:$F$22="x")),SUMPRODUCT((J145:U145="x")*(Besatzung!$F$11:$F$22="x"))),1))))),0))))</f>
        <v/>
      </c>
      <c r="AG145" s="106">
        <f>IF(C145="Gutschrift","",IF(G145="","",IF(Besatzung!$B$22="","",IFERROR(IF(I145="Zeitanteilig",(Besatzung!$G$22*(G145-IFERROR(H145,0))+((Besatzung!$B$22&lt;&gt;"")*IF(B145="",1,(IF(Besatzung!$C$22="",Besatzung!$B$5,Besatzung!$C$22)&lt;=B145)*(IF(Besatzung!$D$22="",Besatzung!$B$6,Besatzung!$D$22)&gt;=B145)))*(Besatzung!$F$22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$22&lt;&gt;"")*IF(B145="",1,(IF(Besatzung!$C$22="",Besatzung!$B$5,Besatzung!$C$22)&lt;=B145)*(IF(Besatzung!$D$22="",Besatzung!$B$6,Besatzung!$D$22)&gt;=B145)))*((G145-IFERROR(H145,0))/IFERROR(SUMPRODUCT((Besatzung!$B$11:$B$22&lt;&gt;"")*(IF(Besatzung!$C$11:$C$22="",Besatzung!$B$5,Besatzung!$C$11:$C$22)&lt;=B145)*(IF(Besatzung!$D$11:$D$22="",Besatzung!$B$6,Besatzung!$D$11:$D$22)&gt;=B145)),1)+(Besatzung!$F$22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U145="x")*((G145-IFERROR(H145,0))/IFERROR(COUNTIF(J145:U145,"x"),1)+(Besatzung!$F$22="x")*IFERROR(H145,0)/IFERROR(SUMPRODUCT((J145:U145="x")*(Besatzung!$F$11:$F$22="x")),1))),(IF(COUNTIF(J145:U145,"x")=0,IF(Besatzung!$B$22&lt;&gt;"",1,0),(U145="x"))*(G145-IFERROR(H145,0))/IFERROR(IF(COUNTIF(J145:U145,"x")=0,COUNTA(Besatzung!$B$11:$B$22),COUNTIF(J145:U145,"x")),1)+IF(COUNTIF(J145:U145,"x")=0,(Besatzung!$F$22="x"),(U145="x")*(Besatzung!$F$22="x"))*IFERROR(H145,0)/IFERROR(IF(COUNTIF(J145:U145,"x")=0,SUMPRODUCT((Besatzung!$B$11:$B$22&lt;&gt;"")*(Besatzung!$F$11:$F$22="x")),SUMPRODUCT((J145:U145="x")*(Besatzung!$F$11:$F$22="x"))),1))))),0))))</f>
        <v/>
      </c>
      <c r="AH145" s="107" t="n"/>
      <c r="AI145" s="107" t="n"/>
    </row>
    <row r="146" ht="21.75" customHeight="1" s="182">
      <c r="A146" s="97">
        <f>IF(AND(D146="",C146=""),"",143)</f>
        <v/>
      </c>
      <c r="B146" s="56" t="n"/>
      <c r="C146" s="98" t="n"/>
      <c r="D146" s="99" t="n"/>
      <c r="E146" s="100" t="n"/>
      <c r="F146" s="101" t="n"/>
      <c r="G146" s="102" t="n"/>
      <c r="H146" s="103" t="n"/>
      <c r="I146" s="104" t="n"/>
      <c r="J146" s="105" t="n"/>
      <c r="K146" s="105" t="n"/>
      <c r="L146" s="105" t="n"/>
      <c r="M146" s="105" t="n"/>
      <c r="N146" s="105" t="n"/>
      <c r="O146" s="105" t="n"/>
      <c r="P146" s="105" t="n"/>
      <c r="Q146" s="105" t="n"/>
      <c r="R146" s="105" t="n"/>
      <c r="S146" s="105" t="n"/>
      <c r="T146" s="105" t="n"/>
      <c r="U146" s="105" t="n"/>
      <c r="V146" s="106">
        <f>IF(C146="Gutschrift","",IF(G146="","",IF(Besatzung!$B$11="","",IFERROR(IF(I146="Zeitanteilig",(Besatzung!$G$11*(G146-IFERROR(H146,0))+((Besatzung!$B$11&lt;&gt;"")*IF(B146="",1,(IF(Besatzung!$C$11="",Besatzung!$B$5,Besatzung!$C$11)&lt;=B146)*(IF(Besatzung!$D$11="",Besatzung!$B$6,Besatzung!$D$11)&gt;=B146)))*(Besatzung!$F$11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$11&lt;&gt;"")*IF(B146="",1,(IF(Besatzung!$C$11="",Besatzung!$B$5,Besatzung!$C$11)&lt;=B146)*(IF(Besatzung!$D$11="",Besatzung!$B$6,Besatzung!$D$11)&gt;=B146)))*((G146-IFERROR(H146,0))/IFERROR(SUMPRODUCT((Besatzung!$B$11:$B$22&lt;&gt;"")*(IF(Besatzung!$C$11:$C$22="",Besatzung!$B$5,Besatzung!$C$11:$C$22)&lt;=B146)*(IF(Besatzung!$D$11:$D$22="",Besatzung!$B$6,Besatzung!$D$11:$D$22)&gt;=B146)),1)+(Besatzung!$F$11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J146="x")*((G146-IFERROR(H146,0))/IFERROR(COUNTIF(J146:U146,"x"),1)+(Besatzung!$F$11="x")*IFERROR(H146,0)/IFERROR(SUMPRODUCT((J146:U146="x")*(Besatzung!$F$11:$F$22="x")),1))),(IF(COUNTIF(J146:U146,"x")=0,IF(Besatzung!$B$11&lt;&gt;"",1,0),(J146="x"))*(G146-IFERROR(H146,0))/IFERROR(IF(COUNTIF(J146:U146,"x")=0,COUNTA(Besatzung!$B$11:$B$22),COUNTIF(J146:U146,"x")),1)+IF(COUNTIF(J146:U146,"x")=0,(Besatzung!$F$11="x"),(J146="x")*(Besatzung!$F$11="x"))*IFERROR(H146,0)/IFERROR(IF(COUNTIF(J146:U146,"x")=0,SUMPRODUCT((Besatzung!$B$11:$B$22&lt;&gt;"")*(Besatzung!$F$11:$F$22="x")),SUMPRODUCT((J146:U146="x")*(Besatzung!$F$11:$F$22="x"))),1))))),0))))</f>
        <v/>
      </c>
      <c r="W146" s="106">
        <f>IF(C146="Gutschrift","",IF(G146="","",IF(Besatzung!$B$12="","",IFERROR(IF(I146="Zeitanteilig",(Besatzung!$G$12*(G146-IFERROR(H146,0))+((Besatzung!$B$12&lt;&gt;"")*IF(B146="",1,(IF(Besatzung!$C$12="",Besatzung!$B$5,Besatzung!$C$12)&lt;=B146)*(IF(Besatzung!$D$12="",Besatzung!$B$6,Besatzung!$D$12)&gt;=B146)))*(Besatzung!$F$12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$12&lt;&gt;"")*IF(B146="",1,(IF(Besatzung!$C$12="",Besatzung!$B$5,Besatzung!$C$12)&lt;=B146)*(IF(Besatzung!$D$12="",Besatzung!$B$6,Besatzung!$D$12)&gt;=B146)))*((G146-IFERROR(H146,0))/IFERROR(SUMPRODUCT((Besatzung!$B$11:$B$22&lt;&gt;"")*(IF(Besatzung!$C$11:$C$22="",Besatzung!$B$5,Besatzung!$C$11:$C$22)&lt;=B146)*(IF(Besatzung!$D$11:$D$22="",Besatzung!$B$6,Besatzung!$D$11:$D$22)&gt;=B146)),1)+(Besatzung!$F$12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K146="x")*((G146-IFERROR(H146,0))/IFERROR(COUNTIF(J146:U146,"x"),1)+(Besatzung!$F$12="x")*IFERROR(H146,0)/IFERROR(SUMPRODUCT((J146:U146="x")*(Besatzung!$F$11:$F$22="x")),1))),(IF(COUNTIF(J146:U146,"x")=0,IF(Besatzung!$B$12&lt;&gt;"",1,0),(K146="x"))*(G146-IFERROR(H146,0))/IFERROR(IF(COUNTIF(J146:U146,"x")=0,COUNTA(Besatzung!$B$11:$B$22),COUNTIF(J146:U146,"x")),1)+IF(COUNTIF(J146:U146,"x")=0,(Besatzung!$F$12="x"),(K146="x")*(Besatzung!$F$12="x"))*IFERROR(H146,0)/IFERROR(IF(COUNTIF(J146:U146,"x")=0,SUMPRODUCT((Besatzung!$B$11:$B$22&lt;&gt;"")*(Besatzung!$F$11:$F$22="x")),SUMPRODUCT((J146:U146="x")*(Besatzung!$F$11:$F$22="x"))),1))))),0))))</f>
        <v/>
      </c>
      <c r="X146" s="106">
        <f>IF(C146="Gutschrift","",IF(G146="","",IF(Besatzung!$B$13="","",IFERROR(IF(I146="Zeitanteilig",(Besatzung!$G$13*(G146-IFERROR(H146,0))+((Besatzung!$B$13&lt;&gt;"")*IF(B146="",1,(IF(Besatzung!$C$13="",Besatzung!$B$5,Besatzung!$C$13)&lt;=B146)*(IF(Besatzung!$D$13="",Besatzung!$B$6,Besatzung!$D$13)&gt;=B146)))*(Besatzung!$F$13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$13&lt;&gt;"")*IF(B146="",1,(IF(Besatzung!$C$13="",Besatzung!$B$5,Besatzung!$C$13)&lt;=B146)*(IF(Besatzung!$D$13="",Besatzung!$B$6,Besatzung!$D$13)&gt;=B146)))*((G146-IFERROR(H146,0))/IFERROR(SUMPRODUCT((Besatzung!$B$11:$B$22&lt;&gt;"")*(IF(Besatzung!$C$11:$C$22="",Besatzung!$B$5,Besatzung!$C$11:$C$22)&lt;=B146)*(IF(Besatzung!$D$11:$D$22="",Besatzung!$B$6,Besatzung!$D$11:$D$22)&gt;=B146)),1)+(Besatzung!$F$13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K146="x")*((G146-IFERROR(H146,0))/IFERROR(COUNTIF(J146:U146,"x"),1)+(Besatzung!$F$13="x")*IFERROR(H146,0)/IFERROR(SUMPRODUCT((J146:U146="x")*(Besatzung!$F$11:$F$22="x")),1))),(IF(COUNTIF(J146:U146,"x")=0,IF(Besatzung!$B$13&lt;&gt;"",1,0),(K146="x"))*(G146-IFERROR(H146,0))/IFERROR(IF(COUNTIF(J146:U146,"x")=0,COUNTA(Besatzung!$B$11:$B$22),COUNTIF(J146:U146,"x")),1)+IF(COUNTIF(J146:U146,"x")=0,(Besatzung!$F$13="x"),(K146="x")*(Besatzung!$F$13="x"))*IFERROR(H146,0)/IFERROR(IF(COUNTIF(J146:U146,"x")=0,SUMPRODUCT((Besatzung!$B$11:$B$22&lt;&gt;"")*(Besatzung!$F$11:$F$22="x")),SUMPRODUCT((J146:U146="x")*(Besatzung!$F$11:$F$22="x"))),1))))),0))))</f>
        <v/>
      </c>
      <c r="Y146" s="106">
        <f>IF(C146="Gutschrift","",IF(G146="","",IF(Besatzung!$B$14="","",IFERROR(IF(I146="Zeitanteilig",(Besatzung!$G$14*(G146-IFERROR(H146,0))+((Besatzung!$B$14&lt;&gt;"")*IF(B146="",1,(IF(Besatzung!$C$14="",Besatzung!$B$5,Besatzung!$C$14)&lt;=B146)*(IF(Besatzung!$D$14="",Besatzung!$B$6,Besatzung!$D$14)&gt;=B146)))*(Besatzung!$F$14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$14&lt;&gt;"")*IF(B146="",1,(IF(Besatzung!$C$14="",Besatzung!$B$5,Besatzung!$C$14)&lt;=B146)*(IF(Besatzung!$D$14="",Besatzung!$B$6,Besatzung!$D$14)&gt;=B146)))*((G146-IFERROR(H146,0))/IFERROR(SUMPRODUCT((Besatzung!$B$11:$B$22&lt;&gt;"")*(IF(Besatzung!$C$11:$C$22="",Besatzung!$B$5,Besatzung!$C$11:$C$22)&lt;=B146)*(IF(Besatzung!$D$11:$D$22="",Besatzung!$B$6,Besatzung!$D$11:$D$22)&gt;=B146)),1)+(Besatzung!$F$14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M146="x")*((G146-IFERROR(H146,0))/IFERROR(COUNTIF(J146:U146,"x"),1)+(Besatzung!$F$14="x")*IFERROR(H146,0)/IFERROR(SUMPRODUCT((J146:U146="x")*(Besatzung!$F$11:$F$22="x")),1))),(IF(COUNTIF(J146:U146,"x")=0,IF(Besatzung!$B$14&lt;&gt;"",1,0),(M146="x"))*(G146-IFERROR(H146,0))/IFERROR(IF(COUNTIF(J146:U146,"x")=0,COUNTA(Besatzung!$B$11:$B$22),COUNTIF(J146:U146,"x")),1)+IF(COUNTIF(J146:U146,"x")=0,(Besatzung!$F$14="x"),(M146="x")*(Besatzung!$F$14="x"))*IFERROR(H146,0)/IFERROR(IF(COUNTIF(J146:U146,"x")=0,SUMPRODUCT((Besatzung!$B$11:$B$22&lt;&gt;"")*(Besatzung!$F$11:$F$22="x")),SUMPRODUCT((J146:U146="x")*(Besatzung!$F$11:$F$22="x"))),1))))),0))))</f>
        <v/>
      </c>
      <c r="Z146" s="106">
        <f>IF(C146="Gutschrift","",IF(G146="","",IF(Besatzung!$B$13="","",IFERROR(IF(I146="Zeitanteilig",(Besatzung!$G$15*(G146-IFERROR(H146,0))+((Besatzung!$B$13&lt;&gt;"")*IF(B146="",1,(IF(Besatzung!$C$15="",Besatzung!$B$5,Besatzung!$C$15)&lt;=B146)*(IF(Besatzung!$D$15="",Besatzung!$B$6,Besatzung!$D$15)&gt;=B146)))*(Besatzung!$F$15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$13&lt;&gt;"")*IF(B146="",1,(IF(Besatzung!$C$15="",Besatzung!$B$5,Besatzung!$C$15)&lt;=B146)*(IF(Besatzung!$D$15="",Besatzung!$B$6,Besatzung!$D$15)&gt;=B146)))*((G146-IFERROR(H146,0))/IFERROR(SUMPRODUCT((Besatzung!$B$11:$B$22&lt;&gt;"")*(IF(Besatzung!$C$11:$C$22="",Besatzung!$B$5,Besatzung!$C$11:$C$22)&lt;=B146)*(IF(Besatzung!$D$11:$D$22="",Besatzung!$B$6,Besatzung!$D$11:$D$22)&gt;=B146)),1)+(Besatzung!$F$15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N146="x")*((G146-IFERROR(H146,0))/IFERROR(COUNTIF(J146:U146,"x"),1)+(Besatzung!$F$15="x")*IFERROR(H146,0)/IFERROR(SUMPRODUCT((J146:U146="x")*(Besatzung!$F$11:$F$22="x")),1))),(IF(COUNTIF(J146:U146,"x")=0,IF(Besatzung!$B$13&lt;&gt;"",1,0),(N146="x"))*(G146-IFERROR(H146,0))/IFERROR(IF(COUNTIF(J146:U146,"x")=0,COUNTA(Besatzung!$B$11:$B$22),COUNTIF(J146:U146,"x")),1)+IF(COUNTIF(J146:U146,"x")=0,(Besatzung!$F$15="x"),(N146="x")*(Besatzung!$F$15="x"))*IFERROR(H146,0)/IFERROR(IF(COUNTIF(J146:U146,"x")=0,SUMPRODUCT((Besatzung!$B$11:$B$22&lt;&gt;"")*(Besatzung!$F$11:$F$22="x")),SUMPRODUCT((J146:U146="x")*(Besatzung!$F$11:$F$22="x"))),1))))),0))))</f>
        <v/>
      </c>
      <c r="AA146" s="106">
        <f>IF(C146="Gutschrift","",IF(G146="","",IF(Besatzung!$B$15="","",IFERROR(IF(I146="Zeitanteilig",(Besatzung!$G$16*(G146-IFERROR(H146,0))+((Besatzung!$B$15&lt;&gt;"")*IF(B146="",1,(IF(Besatzung!$C$16="",Besatzung!$B$5,Besatzung!$C$16)&lt;=B146)*(IF(Besatzung!$D$16="",Besatzung!$B$6,Besatzung!$D$16)&gt;=B146)))*(Besatzung!$F$16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$15&lt;&gt;"")*IF(B146="",1,(IF(Besatzung!$C$16="",Besatzung!$B$5,Besatzung!$C$16)&lt;=B146)*(IF(Besatzung!$D$16="",Besatzung!$B$6,Besatzung!$D$16)&gt;=B146)))*((G146-IFERROR(H146,0))/IFERROR(SUMPRODUCT((Besatzung!$B$11:$B$22&lt;&gt;"")*(IF(Besatzung!$C$11:$C$22="",Besatzung!$B$5,Besatzung!$C$11:$C$22)&lt;=B146)*(IF(Besatzung!$D$11:$D$22="",Besatzung!$B$6,Besatzung!$D$11:$D$22)&gt;=B146)),1)+(Besatzung!$F$16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O146="x")*((G146-IFERROR(H146,0))/IFERROR(COUNTIF(J146:U146,"x"),1)+(Besatzung!$F$16="x")*IFERROR(H146,0)/IFERROR(SUMPRODUCT((J146:U146="x")*(Besatzung!$F$11:$F$22="x")),1))),(IF(COUNTIF(J146:U146,"x")=0,IF(Besatzung!$B$15&lt;&gt;"",1,0),(O146="x"))*(G146-IFERROR(H146,0))/IFERROR(IF(COUNTIF(J146:U146,"x")=0,COUNTA(Besatzung!$B$11:$B$22),COUNTIF(J146:U146,"x")),1)+IF(COUNTIF(J146:U146,"x")=0,(Besatzung!$F$16="x"),(O146="x")*(Besatzung!$F$16="x"))*IFERROR(H146,0)/IFERROR(IF(COUNTIF(J146:U146,"x")=0,SUMPRODUCT((Besatzung!$B$11:$B$22&lt;&gt;"")*(Besatzung!$F$11:$F$22="x")),SUMPRODUCT((J146:U146="x")*(Besatzung!$F$11:$F$22="x"))),1))))),0))))</f>
        <v/>
      </c>
      <c r="AB146" s="106">
        <f>IF(C146="Gutschrift","",IF(G146="","",IF(Besatzung!$B$17="","",IFERROR(IF(I146="Zeitanteilig",(Besatzung!$G$17*(G146-IFERROR(H146,0))+((Besatzung!$B$17&lt;&gt;"")*IF(B146="",1,(IF(Besatzung!$C$17="",Besatzung!$B$5,Besatzung!$C$17)&lt;=B146)*(IF(Besatzung!$D$17="",Besatzung!$B$6,Besatzung!$D$17)&gt;=B146)))*(Besatzung!$F$17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$17&lt;&gt;"")*IF(B146="",1,(IF(Besatzung!$C$17="",Besatzung!$B$5,Besatzung!$C$17)&lt;=B146)*(IF(Besatzung!$D$17="",Besatzung!$B$6,Besatzung!$D$17)&gt;=B146)))*((G146-IFERROR(H146,0))/IFERROR(SUMPRODUCT((Besatzung!$B$11:$B$22&lt;&gt;"")*(IF(Besatzung!$C$11:$C$22="",Besatzung!$B$5,Besatzung!$C$11:$C$22)&lt;=B146)*(IF(Besatzung!$D$11:$D$22="",Besatzung!$B$6,Besatzung!$D$11:$D$22)&gt;=B146)),1)+(Besatzung!$F$17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P146="x")*((G146-IFERROR(H146,0))/IFERROR(COUNTIF(J146:U146,"x"),1)+(Besatzung!$F$17="x")*IFERROR(H146,0)/IFERROR(SUMPRODUCT((J146:U146="x")*(Besatzung!$F$11:$F$22="x")),1))),(IF(COUNTIF(J146:U146,"x")=0,IF(Besatzung!$B$17&lt;&gt;"",1,0),(P146="x"))*(G146-IFERROR(H146,0))/IFERROR(IF(COUNTIF(J146:U146,"x")=0,COUNTA(Besatzung!$B$11:$B$22),COUNTIF(J146:U146,"x")),1)+IF(COUNTIF(J146:U146,"x")=0,(Besatzung!$F$17="x"),(P146="x")*(Besatzung!$F$17="x"))*IFERROR(H146,0)/IFERROR(IF(COUNTIF(J146:U146,"x")=0,SUMPRODUCT((Besatzung!$B$11:$B$22&lt;&gt;"")*(Besatzung!$F$11:$F$22="x")),SUMPRODUCT((J146:U146="x")*(Besatzung!$F$11:$F$22="x"))),1))))),0))))</f>
        <v/>
      </c>
      <c r="AC146" s="106">
        <f>IF(C146="Gutschrift","",IF(G146="","",IF(Besatzung!$B$18="","",IFERROR(IF(I146="Zeitanteilig",(Besatzung!$G$18*(G146-IFERROR(H146,0))+((Besatzung!$B$18&lt;&gt;"")*IF(B146="",1,(IF(Besatzung!$C$18="",Besatzung!$B$5,Besatzung!$C$18)&lt;=B146)*(IF(Besatzung!$D$18="",Besatzung!$B$6,Besatzung!$D$18)&gt;=B146)))*(Besatzung!$F$18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$18&lt;&gt;"")*IF(B146="",1,(IF(Besatzung!$C$18="",Besatzung!$B$5,Besatzung!$C$18)&lt;=B146)*(IF(Besatzung!$D$18="",Besatzung!$B$6,Besatzung!$D$18)&gt;=B146)))*((G146-IFERROR(H146,0))/IFERROR(SUMPRODUCT((Besatzung!$B$11:$B$22&lt;&gt;"")*(IF(Besatzung!$C$11:$C$22="",Besatzung!$B$5,Besatzung!$C$11:$C$22)&lt;=B146)*(IF(Besatzung!$D$11:$D$22="",Besatzung!$B$6,Besatzung!$D$11:$D$22)&gt;=B146)),1)+(Besatzung!$F$18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Q146="x")*((G146-IFERROR(H146,0))/IFERROR(COUNTIF(J146:U146,"x"),1)+(Besatzung!$F$18="x")*IFERROR(H146,0)/IFERROR(SUMPRODUCT((J146:U146="x")*(Besatzung!$F$11:$F$22="x")),1))),(IF(COUNTIF(J146:U146,"x")=0,IF(Besatzung!$B$18&lt;&gt;"",1,0),(Q146="x"))*(G146-IFERROR(H146,0))/IFERROR(IF(COUNTIF(J146:U146,"x")=0,COUNTA(Besatzung!$B$11:$B$22),COUNTIF(J146:U146,"x")),1)+IF(COUNTIF(J146:U146,"x")=0,(Besatzung!$F$18="x"),(Q146="x")*(Besatzung!$F$18="x"))*IFERROR(H146,0)/IFERROR(IF(COUNTIF(J146:U146,"x")=0,SUMPRODUCT((Besatzung!$B$11:$B$22&lt;&gt;"")*(Besatzung!$F$11:$F$22="x")),SUMPRODUCT((J146:U146="x")*(Besatzung!$F$11:$F$22="x"))),1))))),0))))</f>
        <v/>
      </c>
      <c r="AD146" s="106">
        <f>IF(C146="Gutschrift","",IF(G146="","",IF(Besatzung!$B$19="","",IFERROR(IF(I146="Zeitanteilig",(Besatzung!$G$19*(G146-IFERROR(H146,0))+((Besatzung!$B$19&lt;&gt;"")*IF(B146="",1,(IF(Besatzung!$C$19="",Besatzung!$B$5,Besatzung!$C$19)&lt;=B146)*(IF(Besatzung!$D$19="",Besatzung!$B$6,Besatzung!$D$19)&gt;=B146)))*(Besatzung!$F$19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$19&lt;&gt;"")*IF(B146="",1,(IF(Besatzung!$C$19="",Besatzung!$B$5,Besatzung!$C$19)&lt;=B146)*(IF(Besatzung!$D$19="",Besatzung!$B$6,Besatzung!$D$19)&gt;=B146)))*((G146-IFERROR(H146,0))/IFERROR(SUMPRODUCT((Besatzung!$B$11:$B$22&lt;&gt;"")*(IF(Besatzung!$C$11:$C$22="",Besatzung!$B$5,Besatzung!$C$11:$C$22)&lt;=B146)*(IF(Besatzung!$D$11:$D$22="",Besatzung!$B$6,Besatzung!$D$11:$D$22)&gt;=B146)),1)+(Besatzung!$F$19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R146="x")*((G146-IFERROR(H146,0))/IFERROR(COUNTIF(J146:U146,"x"),1)+(Besatzung!$F$19="x")*IFERROR(H146,0)/IFERROR(SUMPRODUCT((J146:U146="x")*(Besatzung!$F$11:$F$22="x")),1))),(IF(COUNTIF(J146:U146,"x")=0,IF(Besatzung!$B$19&lt;&gt;"",1,0),(R146="x"))*(G146-IFERROR(H146,0))/IFERROR(IF(COUNTIF(J146:U146,"x")=0,COUNTA(Besatzung!$B$11:$B$22),COUNTIF(J146:U146,"x")),1)+IF(COUNTIF(J146:U146,"x")=0,(Besatzung!$F$19="x"),(R146="x")*(Besatzung!$F$19="x"))*IFERROR(H146,0)/IFERROR(IF(COUNTIF(J146:U146,"x")=0,SUMPRODUCT((Besatzung!$B$11:$B$22&lt;&gt;"")*(Besatzung!$F$11:$F$22="x")),SUMPRODUCT((J146:U146="x")*(Besatzung!$F$11:$F$22="x"))),1))))),0))))</f>
        <v/>
      </c>
      <c r="AE146" s="106">
        <f>IF(C146="Gutschrift","",IF(G146="","",IF(Besatzung!$B$20="","",IFERROR(IF(I146="Zeitanteilig",(Besatzung!$G$20*(G146-IFERROR(H146,0))+((Besatzung!$B$20&lt;&gt;"")*IF(B146="",1,(IF(Besatzung!$C$20="",Besatzung!$B$5,Besatzung!$C$20)&lt;=B146)*(IF(Besatzung!$D$20="",Besatzung!$B$6,Besatzung!$D$20)&gt;=B146)))*(Besatzung!$F$20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$20&lt;&gt;"")*IF(B146="",1,(IF(Besatzung!$C$20="",Besatzung!$B$5,Besatzung!$C$20)&lt;=B146)*(IF(Besatzung!$D$20="",Besatzung!$B$6,Besatzung!$D$20)&gt;=B146)))*((G146-IFERROR(H146,0))/IFERROR(SUMPRODUCT((Besatzung!$B$11:$B$22&lt;&gt;"")*(IF(Besatzung!$C$11:$C$22="",Besatzung!$B$5,Besatzung!$C$11:$C$22)&lt;=B146)*(IF(Besatzung!$D$11:$D$22="",Besatzung!$B$6,Besatzung!$D$11:$D$22)&gt;=B146)),1)+(Besatzung!$F$20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S146="x")*((G146-IFERROR(H146,0))/IFERROR(COUNTIF(J146:U146,"x"),1)+(Besatzung!$F$20="x")*IFERROR(H146,0)/IFERROR(SUMPRODUCT((J146:U146="x")*(Besatzung!$F$11:$F$22="x")),1))),(IF(COUNTIF(J146:U146,"x")=0,IF(Besatzung!$B$20&lt;&gt;"",1,0),(S146="x"))*(G146-IFERROR(H146,0))/IFERROR(IF(COUNTIF(J146:U146,"x")=0,COUNTA(Besatzung!$B$11:$B$22),COUNTIF(J146:U146,"x")),1)+IF(COUNTIF(J146:U146,"x")=0,(Besatzung!$F$20="x"),(S146="x")*(Besatzung!$F$20="x"))*IFERROR(H146,0)/IFERROR(IF(COUNTIF(J146:U146,"x")=0,SUMPRODUCT((Besatzung!$B$11:$B$22&lt;&gt;"")*(Besatzung!$F$11:$F$22="x")),SUMPRODUCT((J146:U146="x")*(Besatzung!$F$11:$F$22="x"))),1))))),0))))</f>
        <v/>
      </c>
      <c r="AF146" s="106">
        <f>IF(C146="Gutschrift","",IF(G146="","",IF(Besatzung!$B$21="","",IFERROR(IF(I146="Zeitanteilig",(Besatzung!$G$21*(G146-IFERROR(H146,0))+((Besatzung!$B$21&lt;&gt;"")*IF(B146="",1,(IF(Besatzung!$C$21="",Besatzung!$B$5,Besatzung!$C$21)&lt;=B146)*(IF(Besatzung!$D$21="",Besatzung!$B$6,Besatzung!$D$21)&gt;=B146)))*(Besatzung!$F$21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$21&lt;&gt;"")*IF(B146="",1,(IF(Besatzung!$C$21="",Besatzung!$B$5,Besatzung!$C$21)&lt;=B146)*(IF(Besatzung!$D$21="",Besatzung!$B$6,Besatzung!$D$21)&gt;=B146)))*((G146-IFERROR(H146,0))/IFERROR(SUMPRODUCT((Besatzung!$B$11:$B$22&lt;&gt;"")*(IF(Besatzung!$C$11:$C$22="",Besatzung!$B$5,Besatzung!$C$11:$C$22)&lt;=B146)*(IF(Besatzung!$D$11:$D$22="",Besatzung!$B$6,Besatzung!$D$11:$D$22)&gt;=B146)),1)+(Besatzung!$F$21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T146="x")*((G146-IFERROR(H146,0))/IFERROR(COUNTIF(J146:U146,"x"),1)+(Besatzung!$F$21="x")*IFERROR(H146,0)/IFERROR(SUMPRODUCT((J146:U146="x")*(Besatzung!$F$11:$F$22="x")),1))),(IF(COUNTIF(J146:U146,"x")=0,IF(Besatzung!$B$21&lt;&gt;"",1,0),(T146="x"))*(G146-IFERROR(H146,0))/IFERROR(IF(COUNTIF(J146:U146,"x")=0,COUNTA(Besatzung!$B$11:$B$22),COUNTIF(J146:U146,"x")),1)+IF(COUNTIF(J146:U146,"x")=0,(Besatzung!$F$21="x"),(T146="x")*(Besatzung!$F$21="x"))*IFERROR(H146,0)/IFERROR(IF(COUNTIF(J146:U146,"x")=0,SUMPRODUCT((Besatzung!$B$11:$B$22&lt;&gt;"")*(Besatzung!$F$11:$F$22="x")),SUMPRODUCT((J146:U146="x")*(Besatzung!$F$11:$F$22="x"))),1))))),0))))</f>
        <v/>
      </c>
      <c r="AG146" s="106">
        <f>IF(C146="Gutschrift","",IF(G146="","",IF(Besatzung!$B$22="","",IFERROR(IF(I146="Zeitanteilig",(Besatzung!$G$22*(G146-IFERROR(H146,0))+((Besatzung!$B$22&lt;&gt;"")*IF(B146="",1,(IF(Besatzung!$C$22="",Besatzung!$B$5,Besatzung!$C$22)&lt;=B146)*(IF(Besatzung!$D$22="",Besatzung!$B$6,Besatzung!$D$22)&gt;=B146)))*(Besatzung!$F$22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$22&lt;&gt;"")*IF(B146="",1,(IF(Besatzung!$C$22="",Besatzung!$B$5,Besatzung!$C$22)&lt;=B146)*(IF(Besatzung!$D$22="",Besatzung!$B$6,Besatzung!$D$22)&gt;=B146)))*((G146-IFERROR(H146,0))/IFERROR(SUMPRODUCT((Besatzung!$B$11:$B$22&lt;&gt;"")*(IF(Besatzung!$C$11:$C$22="",Besatzung!$B$5,Besatzung!$C$11:$C$22)&lt;=B146)*(IF(Besatzung!$D$11:$D$22="",Besatzung!$B$6,Besatzung!$D$11:$D$22)&gt;=B146)),1)+(Besatzung!$F$22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U146="x")*((G146-IFERROR(H146,0))/IFERROR(COUNTIF(J146:U146,"x"),1)+(Besatzung!$F$22="x")*IFERROR(H146,0)/IFERROR(SUMPRODUCT((J146:U146="x")*(Besatzung!$F$11:$F$22="x")),1))),(IF(COUNTIF(J146:U146,"x")=0,IF(Besatzung!$B$22&lt;&gt;"",1,0),(U146="x"))*(G146-IFERROR(H146,0))/IFERROR(IF(COUNTIF(J146:U146,"x")=0,COUNTA(Besatzung!$B$11:$B$22),COUNTIF(J146:U146,"x")),1)+IF(COUNTIF(J146:U146,"x")=0,(Besatzung!$F$22="x"),(U146="x")*(Besatzung!$F$22="x"))*IFERROR(H146,0)/IFERROR(IF(COUNTIF(J146:U146,"x")=0,SUMPRODUCT((Besatzung!$B$11:$B$22&lt;&gt;"")*(Besatzung!$F$11:$F$22="x")),SUMPRODUCT((J146:U146="x")*(Besatzung!$F$11:$F$22="x"))),1))))),0))))</f>
        <v/>
      </c>
      <c r="AH146" s="107" t="n"/>
      <c r="AI146" s="107" t="n"/>
    </row>
    <row r="147" ht="21.75" customHeight="1" s="182">
      <c r="A147" s="97">
        <f>IF(AND(D147="",C147=""),"",144)</f>
        <v/>
      </c>
      <c r="B147" s="63" t="n"/>
      <c r="C147" s="108" t="n"/>
      <c r="D147" s="109" t="n"/>
      <c r="E147" s="110" t="n"/>
      <c r="F147" s="111" t="n"/>
      <c r="G147" s="112" t="n"/>
      <c r="H147" s="113" t="n"/>
      <c r="I147" s="114" t="n"/>
      <c r="J147" s="115" t="n"/>
      <c r="K147" s="115" t="n"/>
      <c r="L147" s="115" t="n"/>
      <c r="M147" s="115" t="n"/>
      <c r="N147" s="115" t="n"/>
      <c r="O147" s="115" t="n"/>
      <c r="P147" s="115" t="n"/>
      <c r="Q147" s="115" t="n"/>
      <c r="R147" s="115" t="n"/>
      <c r="S147" s="115" t="n"/>
      <c r="T147" s="115" t="n"/>
      <c r="U147" s="115" t="n"/>
      <c r="V147" s="106">
        <f>IF(C147="Gutschrift","",IF(G147="","",IF(Besatzung!$B$11="","",IFERROR(IF(I147="Zeitanteilig",(Besatzung!$G$11*(G147-IFERROR(H147,0))+((Besatzung!$B$11&lt;&gt;"")*IF(B147="",1,(IF(Besatzung!$C$11="",Besatzung!$B$5,Besatzung!$C$11)&lt;=B147)*(IF(Besatzung!$D$11="",Besatzung!$B$6,Besatzung!$D$11)&gt;=B147)))*(Besatzung!$F$11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$11&lt;&gt;"")*IF(B147="",1,(IF(Besatzung!$C$11="",Besatzung!$B$5,Besatzung!$C$11)&lt;=B147)*(IF(Besatzung!$D$11="",Besatzung!$B$6,Besatzung!$D$11)&gt;=B147)))*((G147-IFERROR(H147,0))/IFERROR(SUMPRODUCT((Besatzung!$B$11:$B$22&lt;&gt;"")*(IF(Besatzung!$C$11:$C$22="",Besatzung!$B$5,Besatzung!$C$11:$C$22)&lt;=B147)*(IF(Besatzung!$D$11:$D$22="",Besatzung!$B$6,Besatzung!$D$11:$D$22)&gt;=B147)),1)+(Besatzung!$F$11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J147="x")*((G147-IFERROR(H147,0))/IFERROR(COUNTIF(J147:U147,"x"),1)+(Besatzung!$F$11="x")*IFERROR(H147,0)/IFERROR(SUMPRODUCT((J147:U147="x")*(Besatzung!$F$11:$F$22="x")),1))),(IF(COUNTIF(J147:U147,"x")=0,IF(Besatzung!$B$11&lt;&gt;"",1,0),(J147="x"))*(G147-IFERROR(H147,0))/IFERROR(IF(COUNTIF(J147:U147,"x")=0,COUNTA(Besatzung!$B$11:$B$22),COUNTIF(J147:U147,"x")),1)+IF(COUNTIF(J147:U147,"x")=0,(Besatzung!$F$11="x"),(J147="x")*(Besatzung!$F$11="x"))*IFERROR(H147,0)/IFERROR(IF(COUNTIF(J147:U147,"x")=0,SUMPRODUCT((Besatzung!$B$11:$B$22&lt;&gt;"")*(Besatzung!$F$11:$F$22="x")),SUMPRODUCT((J147:U147="x")*(Besatzung!$F$11:$F$22="x"))),1))))),0))))</f>
        <v/>
      </c>
      <c r="W147" s="106">
        <f>IF(C147="Gutschrift","",IF(G147="","",IF(Besatzung!$B$12="","",IFERROR(IF(I147="Zeitanteilig",(Besatzung!$G$12*(G147-IFERROR(H147,0))+((Besatzung!$B$12&lt;&gt;"")*IF(B147="",1,(IF(Besatzung!$C$12="",Besatzung!$B$5,Besatzung!$C$12)&lt;=B147)*(IF(Besatzung!$D$12="",Besatzung!$B$6,Besatzung!$D$12)&gt;=B147)))*(Besatzung!$F$12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$12&lt;&gt;"")*IF(B147="",1,(IF(Besatzung!$C$12="",Besatzung!$B$5,Besatzung!$C$12)&lt;=B147)*(IF(Besatzung!$D$12="",Besatzung!$B$6,Besatzung!$D$12)&gt;=B147)))*((G147-IFERROR(H147,0))/IFERROR(SUMPRODUCT((Besatzung!$B$11:$B$22&lt;&gt;"")*(IF(Besatzung!$C$11:$C$22="",Besatzung!$B$5,Besatzung!$C$11:$C$22)&lt;=B147)*(IF(Besatzung!$D$11:$D$22="",Besatzung!$B$6,Besatzung!$D$11:$D$22)&gt;=B147)),1)+(Besatzung!$F$12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K147="x")*((G147-IFERROR(H147,0))/IFERROR(COUNTIF(J147:U147,"x"),1)+(Besatzung!$F$12="x")*IFERROR(H147,0)/IFERROR(SUMPRODUCT((J147:U147="x")*(Besatzung!$F$11:$F$22="x")),1))),(IF(COUNTIF(J147:U147,"x")=0,IF(Besatzung!$B$12&lt;&gt;"",1,0),(K147="x"))*(G147-IFERROR(H147,0))/IFERROR(IF(COUNTIF(J147:U147,"x")=0,COUNTA(Besatzung!$B$11:$B$22),COUNTIF(J147:U147,"x")),1)+IF(COUNTIF(J147:U147,"x")=0,(Besatzung!$F$12="x"),(K147="x")*(Besatzung!$F$12="x"))*IFERROR(H147,0)/IFERROR(IF(COUNTIF(J147:U147,"x")=0,SUMPRODUCT((Besatzung!$B$11:$B$22&lt;&gt;"")*(Besatzung!$F$11:$F$22="x")),SUMPRODUCT((J147:U147="x")*(Besatzung!$F$11:$F$22="x"))),1))))),0))))</f>
        <v/>
      </c>
      <c r="X147" s="106">
        <f>IF(C147="Gutschrift","",IF(G147="","",IF(Besatzung!$B$13="","",IFERROR(IF(I147="Zeitanteilig",(Besatzung!$G$13*(G147-IFERROR(H147,0))+((Besatzung!$B$13&lt;&gt;"")*IF(B147="",1,(IF(Besatzung!$C$13="",Besatzung!$B$5,Besatzung!$C$13)&lt;=B147)*(IF(Besatzung!$D$13="",Besatzung!$B$6,Besatzung!$D$13)&gt;=B147)))*(Besatzung!$F$13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$13&lt;&gt;"")*IF(B147="",1,(IF(Besatzung!$C$13="",Besatzung!$B$5,Besatzung!$C$13)&lt;=B147)*(IF(Besatzung!$D$13="",Besatzung!$B$6,Besatzung!$D$13)&gt;=B147)))*((G147-IFERROR(H147,0))/IFERROR(SUMPRODUCT((Besatzung!$B$11:$B$22&lt;&gt;"")*(IF(Besatzung!$C$11:$C$22="",Besatzung!$B$5,Besatzung!$C$11:$C$22)&lt;=B147)*(IF(Besatzung!$D$11:$D$22="",Besatzung!$B$6,Besatzung!$D$11:$D$22)&gt;=B147)),1)+(Besatzung!$F$13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K147="x")*((G147-IFERROR(H147,0))/IFERROR(COUNTIF(J147:U147,"x"),1)+(Besatzung!$F$13="x")*IFERROR(H147,0)/IFERROR(SUMPRODUCT((J147:U147="x")*(Besatzung!$F$11:$F$22="x")),1))),(IF(COUNTIF(J147:U147,"x")=0,IF(Besatzung!$B$13&lt;&gt;"",1,0),(K147="x"))*(G147-IFERROR(H147,0))/IFERROR(IF(COUNTIF(J147:U147,"x")=0,COUNTA(Besatzung!$B$11:$B$22),COUNTIF(J147:U147,"x")),1)+IF(COUNTIF(J147:U147,"x")=0,(Besatzung!$F$13="x"),(K147="x")*(Besatzung!$F$13="x"))*IFERROR(H147,0)/IFERROR(IF(COUNTIF(J147:U147,"x")=0,SUMPRODUCT((Besatzung!$B$11:$B$22&lt;&gt;"")*(Besatzung!$F$11:$F$22="x")),SUMPRODUCT((J147:U147="x")*(Besatzung!$F$11:$F$22="x"))),1))))),0))))</f>
        <v/>
      </c>
      <c r="Y147" s="106">
        <f>IF(C147="Gutschrift","",IF(G147="","",IF(Besatzung!$B$14="","",IFERROR(IF(I147="Zeitanteilig",(Besatzung!$G$14*(G147-IFERROR(H147,0))+((Besatzung!$B$14&lt;&gt;"")*IF(B147="",1,(IF(Besatzung!$C$14="",Besatzung!$B$5,Besatzung!$C$14)&lt;=B147)*(IF(Besatzung!$D$14="",Besatzung!$B$6,Besatzung!$D$14)&gt;=B147)))*(Besatzung!$F$14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$14&lt;&gt;"")*IF(B147="",1,(IF(Besatzung!$C$14="",Besatzung!$B$5,Besatzung!$C$14)&lt;=B147)*(IF(Besatzung!$D$14="",Besatzung!$B$6,Besatzung!$D$14)&gt;=B147)))*((G147-IFERROR(H147,0))/IFERROR(SUMPRODUCT((Besatzung!$B$11:$B$22&lt;&gt;"")*(IF(Besatzung!$C$11:$C$22="",Besatzung!$B$5,Besatzung!$C$11:$C$22)&lt;=B147)*(IF(Besatzung!$D$11:$D$22="",Besatzung!$B$6,Besatzung!$D$11:$D$22)&gt;=B147)),1)+(Besatzung!$F$14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M147="x")*((G147-IFERROR(H147,0))/IFERROR(COUNTIF(J147:U147,"x"),1)+(Besatzung!$F$14="x")*IFERROR(H147,0)/IFERROR(SUMPRODUCT((J147:U147="x")*(Besatzung!$F$11:$F$22="x")),1))),(IF(COUNTIF(J147:U147,"x")=0,IF(Besatzung!$B$14&lt;&gt;"",1,0),(M147="x"))*(G147-IFERROR(H147,0))/IFERROR(IF(COUNTIF(J147:U147,"x")=0,COUNTA(Besatzung!$B$11:$B$22),COUNTIF(J147:U147,"x")),1)+IF(COUNTIF(J147:U147,"x")=0,(Besatzung!$F$14="x"),(M147="x")*(Besatzung!$F$14="x"))*IFERROR(H147,0)/IFERROR(IF(COUNTIF(J147:U147,"x")=0,SUMPRODUCT((Besatzung!$B$11:$B$22&lt;&gt;"")*(Besatzung!$F$11:$F$22="x")),SUMPRODUCT((J147:U147="x")*(Besatzung!$F$11:$F$22="x"))),1))))),0))))</f>
        <v/>
      </c>
      <c r="Z147" s="106">
        <f>IF(C147="Gutschrift","",IF(G147="","",IF(Besatzung!$B$13="","",IFERROR(IF(I147="Zeitanteilig",(Besatzung!$G$15*(G147-IFERROR(H147,0))+((Besatzung!$B$13&lt;&gt;"")*IF(B147="",1,(IF(Besatzung!$C$15="",Besatzung!$B$5,Besatzung!$C$15)&lt;=B147)*(IF(Besatzung!$D$15="",Besatzung!$B$6,Besatzung!$D$15)&gt;=B147)))*(Besatzung!$F$15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$13&lt;&gt;"")*IF(B147="",1,(IF(Besatzung!$C$15="",Besatzung!$B$5,Besatzung!$C$15)&lt;=B147)*(IF(Besatzung!$D$15="",Besatzung!$B$6,Besatzung!$D$15)&gt;=B147)))*((G147-IFERROR(H147,0))/IFERROR(SUMPRODUCT((Besatzung!$B$11:$B$22&lt;&gt;"")*(IF(Besatzung!$C$11:$C$22="",Besatzung!$B$5,Besatzung!$C$11:$C$22)&lt;=B147)*(IF(Besatzung!$D$11:$D$22="",Besatzung!$B$6,Besatzung!$D$11:$D$22)&gt;=B147)),1)+(Besatzung!$F$15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N147="x")*((G147-IFERROR(H147,0))/IFERROR(COUNTIF(J147:U147,"x"),1)+(Besatzung!$F$15="x")*IFERROR(H147,0)/IFERROR(SUMPRODUCT((J147:U147="x")*(Besatzung!$F$11:$F$22="x")),1))),(IF(COUNTIF(J147:U147,"x")=0,IF(Besatzung!$B$13&lt;&gt;"",1,0),(N147="x"))*(G147-IFERROR(H147,0))/IFERROR(IF(COUNTIF(J147:U147,"x")=0,COUNTA(Besatzung!$B$11:$B$22),COUNTIF(J147:U147,"x")),1)+IF(COUNTIF(J147:U147,"x")=0,(Besatzung!$F$15="x"),(N147="x")*(Besatzung!$F$15="x"))*IFERROR(H147,0)/IFERROR(IF(COUNTIF(J147:U147,"x")=0,SUMPRODUCT((Besatzung!$B$11:$B$22&lt;&gt;"")*(Besatzung!$F$11:$F$22="x")),SUMPRODUCT((J147:U147="x")*(Besatzung!$F$11:$F$22="x"))),1))))),0))))</f>
        <v/>
      </c>
      <c r="AA147" s="106">
        <f>IF(C147="Gutschrift","",IF(G147="","",IF(Besatzung!$B$15="","",IFERROR(IF(I147="Zeitanteilig",(Besatzung!$G$16*(G147-IFERROR(H147,0))+((Besatzung!$B$15&lt;&gt;"")*IF(B147="",1,(IF(Besatzung!$C$16="",Besatzung!$B$5,Besatzung!$C$16)&lt;=B147)*(IF(Besatzung!$D$16="",Besatzung!$B$6,Besatzung!$D$16)&gt;=B147)))*(Besatzung!$F$16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$15&lt;&gt;"")*IF(B147="",1,(IF(Besatzung!$C$16="",Besatzung!$B$5,Besatzung!$C$16)&lt;=B147)*(IF(Besatzung!$D$16="",Besatzung!$B$6,Besatzung!$D$16)&gt;=B147)))*((G147-IFERROR(H147,0))/IFERROR(SUMPRODUCT((Besatzung!$B$11:$B$22&lt;&gt;"")*(IF(Besatzung!$C$11:$C$22="",Besatzung!$B$5,Besatzung!$C$11:$C$22)&lt;=B147)*(IF(Besatzung!$D$11:$D$22="",Besatzung!$B$6,Besatzung!$D$11:$D$22)&gt;=B147)),1)+(Besatzung!$F$16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O147="x")*((G147-IFERROR(H147,0))/IFERROR(COUNTIF(J147:U147,"x"),1)+(Besatzung!$F$16="x")*IFERROR(H147,0)/IFERROR(SUMPRODUCT((J147:U147="x")*(Besatzung!$F$11:$F$22="x")),1))),(IF(COUNTIF(J147:U147,"x")=0,IF(Besatzung!$B$15&lt;&gt;"",1,0),(O147="x"))*(G147-IFERROR(H147,0))/IFERROR(IF(COUNTIF(J147:U147,"x")=0,COUNTA(Besatzung!$B$11:$B$22),COUNTIF(J147:U147,"x")),1)+IF(COUNTIF(J147:U147,"x")=0,(Besatzung!$F$16="x"),(O147="x")*(Besatzung!$F$16="x"))*IFERROR(H147,0)/IFERROR(IF(COUNTIF(J147:U147,"x")=0,SUMPRODUCT((Besatzung!$B$11:$B$22&lt;&gt;"")*(Besatzung!$F$11:$F$22="x")),SUMPRODUCT((J147:U147="x")*(Besatzung!$F$11:$F$22="x"))),1))))),0))))</f>
        <v/>
      </c>
      <c r="AB147" s="106">
        <f>IF(C147="Gutschrift","",IF(G147="","",IF(Besatzung!$B$17="","",IFERROR(IF(I147="Zeitanteilig",(Besatzung!$G$17*(G147-IFERROR(H147,0))+((Besatzung!$B$17&lt;&gt;"")*IF(B147="",1,(IF(Besatzung!$C$17="",Besatzung!$B$5,Besatzung!$C$17)&lt;=B147)*(IF(Besatzung!$D$17="",Besatzung!$B$6,Besatzung!$D$17)&gt;=B147)))*(Besatzung!$F$17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$17&lt;&gt;"")*IF(B147="",1,(IF(Besatzung!$C$17="",Besatzung!$B$5,Besatzung!$C$17)&lt;=B147)*(IF(Besatzung!$D$17="",Besatzung!$B$6,Besatzung!$D$17)&gt;=B147)))*((G147-IFERROR(H147,0))/IFERROR(SUMPRODUCT((Besatzung!$B$11:$B$22&lt;&gt;"")*(IF(Besatzung!$C$11:$C$22="",Besatzung!$B$5,Besatzung!$C$11:$C$22)&lt;=B147)*(IF(Besatzung!$D$11:$D$22="",Besatzung!$B$6,Besatzung!$D$11:$D$22)&gt;=B147)),1)+(Besatzung!$F$17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P147="x")*((G147-IFERROR(H147,0))/IFERROR(COUNTIF(J147:U147,"x"),1)+(Besatzung!$F$17="x")*IFERROR(H147,0)/IFERROR(SUMPRODUCT((J147:U147="x")*(Besatzung!$F$11:$F$22="x")),1))),(IF(COUNTIF(J147:U147,"x")=0,IF(Besatzung!$B$17&lt;&gt;"",1,0),(P147="x"))*(G147-IFERROR(H147,0))/IFERROR(IF(COUNTIF(J147:U147,"x")=0,COUNTA(Besatzung!$B$11:$B$22),COUNTIF(J147:U147,"x")),1)+IF(COUNTIF(J147:U147,"x")=0,(Besatzung!$F$17="x"),(P147="x")*(Besatzung!$F$17="x"))*IFERROR(H147,0)/IFERROR(IF(COUNTIF(J147:U147,"x")=0,SUMPRODUCT((Besatzung!$B$11:$B$22&lt;&gt;"")*(Besatzung!$F$11:$F$22="x")),SUMPRODUCT((J147:U147="x")*(Besatzung!$F$11:$F$22="x"))),1))))),0))))</f>
        <v/>
      </c>
      <c r="AC147" s="106">
        <f>IF(C147="Gutschrift","",IF(G147="","",IF(Besatzung!$B$18="","",IFERROR(IF(I147="Zeitanteilig",(Besatzung!$G$18*(G147-IFERROR(H147,0))+((Besatzung!$B$18&lt;&gt;"")*IF(B147="",1,(IF(Besatzung!$C$18="",Besatzung!$B$5,Besatzung!$C$18)&lt;=B147)*(IF(Besatzung!$D$18="",Besatzung!$B$6,Besatzung!$D$18)&gt;=B147)))*(Besatzung!$F$18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$18&lt;&gt;"")*IF(B147="",1,(IF(Besatzung!$C$18="",Besatzung!$B$5,Besatzung!$C$18)&lt;=B147)*(IF(Besatzung!$D$18="",Besatzung!$B$6,Besatzung!$D$18)&gt;=B147)))*((G147-IFERROR(H147,0))/IFERROR(SUMPRODUCT((Besatzung!$B$11:$B$22&lt;&gt;"")*(IF(Besatzung!$C$11:$C$22="",Besatzung!$B$5,Besatzung!$C$11:$C$22)&lt;=B147)*(IF(Besatzung!$D$11:$D$22="",Besatzung!$B$6,Besatzung!$D$11:$D$22)&gt;=B147)),1)+(Besatzung!$F$18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Q147="x")*((G147-IFERROR(H147,0))/IFERROR(COUNTIF(J147:U147,"x"),1)+(Besatzung!$F$18="x")*IFERROR(H147,0)/IFERROR(SUMPRODUCT((J147:U147="x")*(Besatzung!$F$11:$F$22="x")),1))),(IF(COUNTIF(J147:U147,"x")=0,IF(Besatzung!$B$18&lt;&gt;"",1,0),(Q147="x"))*(G147-IFERROR(H147,0))/IFERROR(IF(COUNTIF(J147:U147,"x")=0,COUNTA(Besatzung!$B$11:$B$22),COUNTIF(J147:U147,"x")),1)+IF(COUNTIF(J147:U147,"x")=0,(Besatzung!$F$18="x"),(Q147="x")*(Besatzung!$F$18="x"))*IFERROR(H147,0)/IFERROR(IF(COUNTIF(J147:U147,"x")=0,SUMPRODUCT((Besatzung!$B$11:$B$22&lt;&gt;"")*(Besatzung!$F$11:$F$22="x")),SUMPRODUCT((J147:U147="x")*(Besatzung!$F$11:$F$22="x"))),1))))),0))))</f>
        <v/>
      </c>
      <c r="AD147" s="106">
        <f>IF(C147="Gutschrift","",IF(G147="","",IF(Besatzung!$B$19="","",IFERROR(IF(I147="Zeitanteilig",(Besatzung!$G$19*(G147-IFERROR(H147,0))+((Besatzung!$B$19&lt;&gt;"")*IF(B147="",1,(IF(Besatzung!$C$19="",Besatzung!$B$5,Besatzung!$C$19)&lt;=B147)*(IF(Besatzung!$D$19="",Besatzung!$B$6,Besatzung!$D$19)&gt;=B147)))*(Besatzung!$F$19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$19&lt;&gt;"")*IF(B147="",1,(IF(Besatzung!$C$19="",Besatzung!$B$5,Besatzung!$C$19)&lt;=B147)*(IF(Besatzung!$D$19="",Besatzung!$B$6,Besatzung!$D$19)&gt;=B147)))*((G147-IFERROR(H147,0))/IFERROR(SUMPRODUCT((Besatzung!$B$11:$B$22&lt;&gt;"")*(IF(Besatzung!$C$11:$C$22="",Besatzung!$B$5,Besatzung!$C$11:$C$22)&lt;=B147)*(IF(Besatzung!$D$11:$D$22="",Besatzung!$B$6,Besatzung!$D$11:$D$22)&gt;=B147)),1)+(Besatzung!$F$19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R147="x")*((G147-IFERROR(H147,0))/IFERROR(COUNTIF(J147:U147,"x"),1)+(Besatzung!$F$19="x")*IFERROR(H147,0)/IFERROR(SUMPRODUCT((J147:U147="x")*(Besatzung!$F$11:$F$22="x")),1))),(IF(COUNTIF(J147:U147,"x")=0,IF(Besatzung!$B$19&lt;&gt;"",1,0),(R147="x"))*(G147-IFERROR(H147,0))/IFERROR(IF(COUNTIF(J147:U147,"x")=0,COUNTA(Besatzung!$B$11:$B$22),COUNTIF(J147:U147,"x")),1)+IF(COUNTIF(J147:U147,"x")=0,(Besatzung!$F$19="x"),(R147="x")*(Besatzung!$F$19="x"))*IFERROR(H147,0)/IFERROR(IF(COUNTIF(J147:U147,"x")=0,SUMPRODUCT((Besatzung!$B$11:$B$22&lt;&gt;"")*(Besatzung!$F$11:$F$22="x")),SUMPRODUCT((J147:U147="x")*(Besatzung!$F$11:$F$22="x"))),1))))),0))))</f>
        <v/>
      </c>
      <c r="AE147" s="106">
        <f>IF(C147="Gutschrift","",IF(G147="","",IF(Besatzung!$B$20="","",IFERROR(IF(I147="Zeitanteilig",(Besatzung!$G$20*(G147-IFERROR(H147,0))+((Besatzung!$B$20&lt;&gt;"")*IF(B147="",1,(IF(Besatzung!$C$20="",Besatzung!$B$5,Besatzung!$C$20)&lt;=B147)*(IF(Besatzung!$D$20="",Besatzung!$B$6,Besatzung!$D$20)&gt;=B147)))*(Besatzung!$F$20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$20&lt;&gt;"")*IF(B147="",1,(IF(Besatzung!$C$20="",Besatzung!$B$5,Besatzung!$C$20)&lt;=B147)*(IF(Besatzung!$D$20="",Besatzung!$B$6,Besatzung!$D$20)&gt;=B147)))*((G147-IFERROR(H147,0))/IFERROR(SUMPRODUCT((Besatzung!$B$11:$B$22&lt;&gt;"")*(IF(Besatzung!$C$11:$C$22="",Besatzung!$B$5,Besatzung!$C$11:$C$22)&lt;=B147)*(IF(Besatzung!$D$11:$D$22="",Besatzung!$B$6,Besatzung!$D$11:$D$22)&gt;=B147)),1)+(Besatzung!$F$20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S147="x")*((G147-IFERROR(H147,0))/IFERROR(COUNTIF(J147:U147,"x"),1)+(Besatzung!$F$20="x")*IFERROR(H147,0)/IFERROR(SUMPRODUCT((J147:U147="x")*(Besatzung!$F$11:$F$22="x")),1))),(IF(COUNTIF(J147:U147,"x")=0,IF(Besatzung!$B$20&lt;&gt;"",1,0),(S147="x"))*(G147-IFERROR(H147,0))/IFERROR(IF(COUNTIF(J147:U147,"x")=0,COUNTA(Besatzung!$B$11:$B$22),COUNTIF(J147:U147,"x")),1)+IF(COUNTIF(J147:U147,"x")=0,(Besatzung!$F$20="x"),(S147="x")*(Besatzung!$F$20="x"))*IFERROR(H147,0)/IFERROR(IF(COUNTIF(J147:U147,"x")=0,SUMPRODUCT((Besatzung!$B$11:$B$22&lt;&gt;"")*(Besatzung!$F$11:$F$22="x")),SUMPRODUCT((J147:U147="x")*(Besatzung!$F$11:$F$22="x"))),1))))),0))))</f>
        <v/>
      </c>
      <c r="AF147" s="106">
        <f>IF(C147="Gutschrift","",IF(G147="","",IF(Besatzung!$B$21="","",IFERROR(IF(I147="Zeitanteilig",(Besatzung!$G$21*(G147-IFERROR(H147,0))+((Besatzung!$B$21&lt;&gt;"")*IF(B147="",1,(IF(Besatzung!$C$21="",Besatzung!$B$5,Besatzung!$C$21)&lt;=B147)*(IF(Besatzung!$D$21="",Besatzung!$B$6,Besatzung!$D$21)&gt;=B147)))*(Besatzung!$F$21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$21&lt;&gt;"")*IF(B147="",1,(IF(Besatzung!$C$21="",Besatzung!$B$5,Besatzung!$C$21)&lt;=B147)*(IF(Besatzung!$D$21="",Besatzung!$B$6,Besatzung!$D$21)&gt;=B147)))*((G147-IFERROR(H147,0))/IFERROR(SUMPRODUCT((Besatzung!$B$11:$B$22&lt;&gt;"")*(IF(Besatzung!$C$11:$C$22="",Besatzung!$B$5,Besatzung!$C$11:$C$22)&lt;=B147)*(IF(Besatzung!$D$11:$D$22="",Besatzung!$B$6,Besatzung!$D$11:$D$22)&gt;=B147)),1)+(Besatzung!$F$21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T147="x")*((G147-IFERROR(H147,0))/IFERROR(COUNTIF(J147:U147,"x"),1)+(Besatzung!$F$21="x")*IFERROR(H147,0)/IFERROR(SUMPRODUCT((J147:U147="x")*(Besatzung!$F$11:$F$22="x")),1))),(IF(COUNTIF(J147:U147,"x")=0,IF(Besatzung!$B$21&lt;&gt;"",1,0),(T147="x"))*(G147-IFERROR(H147,0))/IFERROR(IF(COUNTIF(J147:U147,"x")=0,COUNTA(Besatzung!$B$11:$B$22),COUNTIF(J147:U147,"x")),1)+IF(COUNTIF(J147:U147,"x")=0,(Besatzung!$F$21="x"),(T147="x")*(Besatzung!$F$21="x"))*IFERROR(H147,0)/IFERROR(IF(COUNTIF(J147:U147,"x")=0,SUMPRODUCT((Besatzung!$B$11:$B$22&lt;&gt;"")*(Besatzung!$F$11:$F$22="x")),SUMPRODUCT((J147:U147="x")*(Besatzung!$F$11:$F$22="x"))),1))))),0))))</f>
        <v/>
      </c>
      <c r="AG147" s="106">
        <f>IF(C147="Gutschrift","",IF(G147="","",IF(Besatzung!$B$22="","",IFERROR(IF(I147="Zeitanteilig",(Besatzung!$G$22*(G147-IFERROR(H147,0))+((Besatzung!$B$22&lt;&gt;"")*IF(B147="",1,(IF(Besatzung!$C$22="",Besatzung!$B$5,Besatzung!$C$22)&lt;=B147)*(IF(Besatzung!$D$22="",Besatzung!$B$6,Besatzung!$D$22)&gt;=B147)))*(Besatzung!$F$22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$22&lt;&gt;"")*IF(B147="",1,(IF(Besatzung!$C$22="",Besatzung!$B$5,Besatzung!$C$22)&lt;=B147)*(IF(Besatzung!$D$22="",Besatzung!$B$6,Besatzung!$D$22)&gt;=B147)))*((G147-IFERROR(H147,0))/IFERROR(SUMPRODUCT((Besatzung!$B$11:$B$22&lt;&gt;"")*(IF(Besatzung!$C$11:$C$22="",Besatzung!$B$5,Besatzung!$C$11:$C$22)&lt;=B147)*(IF(Besatzung!$D$11:$D$22="",Besatzung!$B$6,Besatzung!$D$11:$D$22)&gt;=B147)),1)+(Besatzung!$F$22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U147="x")*((G147-IFERROR(H147,0))/IFERROR(COUNTIF(J147:U147,"x"),1)+(Besatzung!$F$22="x")*IFERROR(H147,0)/IFERROR(SUMPRODUCT((J147:U147="x")*(Besatzung!$F$11:$F$22="x")),1))),(IF(COUNTIF(J147:U147,"x")=0,IF(Besatzung!$B$22&lt;&gt;"",1,0),(U147="x"))*(G147-IFERROR(H147,0))/IFERROR(IF(COUNTIF(J147:U147,"x")=0,COUNTA(Besatzung!$B$11:$B$22),COUNTIF(J147:U147,"x")),1)+IF(COUNTIF(J147:U147,"x")=0,(Besatzung!$F$22="x"),(U147="x")*(Besatzung!$F$22="x"))*IFERROR(H147,0)/IFERROR(IF(COUNTIF(J147:U147,"x")=0,SUMPRODUCT((Besatzung!$B$11:$B$22&lt;&gt;"")*(Besatzung!$F$11:$F$22="x")),SUMPRODUCT((J147:U147="x")*(Besatzung!$F$11:$F$22="x"))),1))))),0))))</f>
        <v/>
      </c>
      <c r="AH147" s="107" t="n"/>
      <c r="AI147" s="107" t="n"/>
    </row>
    <row r="148" ht="21.75" customHeight="1" s="182">
      <c r="A148" s="97">
        <f>IF(AND(D148="",C148=""),"",145)</f>
        <v/>
      </c>
      <c r="B148" s="56" t="n"/>
      <c r="C148" s="98" t="n"/>
      <c r="D148" s="99" t="n"/>
      <c r="E148" s="100" t="n"/>
      <c r="F148" s="101" t="n"/>
      <c r="G148" s="102" t="n"/>
      <c r="H148" s="103" t="n"/>
      <c r="I148" s="104" t="n"/>
      <c r="J148" s="105" t="n"/>
      <c r="K148" s="105" t="n"/>
      <c r="L148" s="105" t="n"/>
      <c r="M148" s="105" t="n"/>
      <c r="N148" s="105" t="n"/>
      <c r="O148" s="105" t="n"/>
      <c r="P148" s="105" t="n"/>
      <c r="Q148" s="105" t="n"/>
      <c r="R148" s="105" t="n"/>
      <c r="S148" s="105" t="n"/>
      <c r="T148" s="105" t="n"/>
      <c r="U148" s="105" t="n"/>
      <c r="V148" s="106">
        <f>IF(C148="Gutschrift","",IF(G148="","",IF(Besatzung!$B$11="","",IFERROR(IF(I148="Zeitanteilig",(Besatzung!$G$11*(G148-IFERROR(H148,0))+((Besatzung!$B$11&lt;&gt;"")*IF(B148="",1,(IF(Besatzung!$C$11="",Besatzung!$B$5,Besatzung!$C$11)&lt;=B148)*(IF(Besatzung!$D$11="",Besatzung!$B$6,Besatzung!$D$11)&gt;=B148)))*(Besatzung!$F$11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$11&lt;&gt;"")*IF(B148="",1,(IF(Besatzung!$C$11="",Besatzung!$B$5,Besatzung!$C$11)&lt;=B148)*(IF(Besatzung!$D$11="",Besatzung!$B$6,Besatzung!$D$11)&gt;=B148)))*((G148-IFERROR(H148,0))/IFERROR(SUMPRODUCT((Besatzung!$B$11:$B$22&lt;&gt;"")*(IF(Besatzung!$C$11:$C$22="",Besatzung!$B$5,Besatzung!$C$11:$C$22)&lt;=B148)*(IF(Besatzung!$D$11:$D$22="",Besatzung!$B$6,Besatzung!$D$11:$D$22)&gt;=B148)),1)+(Besatzung!$F$11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J148="x")*((G148-IFERROR(H148,0))/IFERROR(COUNTIF(J148:U148,"x"),1)+(Besatzung!$F$11="x")*IFERROR(H148,0)/IFERROR(SUMPRODUCT((J148:U148="x")*(Besatzung!$F$11:$F$22="x")),1))),(IF(COUNTIF(J148:U148,"x")=0,IF(Besatzung!$B$11&lt;&gt;"",1,0),(J148="x"))*(G148-IFERROR(H148,0))/IFERROR(IF(COUNTIF(J148:U148,"x")=0,COUNTA(Besatzung!$B$11:$B$22),COUNTIF(J148:U148,"x")),1)+IF(COUNTIF(J148:U148,"x")=0,(Besatzung!$F$11="x"),(J148="x")*(Besatzung!$F$11="x"))*IFERROR(H148,0)/IFERROR(IF(COUNTIF(J148:U148,"x")=0,SUMPRODUCT((Besatzung!$B$11:$B$22&lt;&gt;"")*(Besatzung!$F$11:$F$22="x")),SUMPRODUCT((J148:U148="x")*(Besatzung!$F$11:$F$22="x"))),1))))),0))))</f>
        <v/>
      </c>
      <c r="W148" s="106">
        <f>IF(C148="Gutschrift","",IF(G148="","",IF(Besatzung!$B$12="","",IFERROR(IF(I148="Zeitanteilig",(Besatzung!$G$12*(G148-IFERROR(H148,0))+((Besatzung!$B$12&lt;&gt;"")*IF(B148="",1,(IF(Besatzung!$C$12="",Besatzung!$B$5,Besatzung!$C$12)&lt;=B148)*(IF(Besatzung!$D$12="",Besatzung!$B$6,Besatzung!$D$12)&gt;=B148)))*(Besatzung!$F$12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$12&lt;&gt;"")*IF(B148="",1,(IF(Besatzung!$C$12="",Besatzung!$B$5,Besatzung!$C$12)&lt;=B148)*(IF(Besatzung!$D$12="",Besatzung!$B$6,Besatzung!$D$12)&gt;=B148)))*((G148-IFERROR(H148,0))/IFERROR(SUMPRODUCT((Besatzung!$B$11:$B$22&lt;&gt;"")*(IF(Besatzung!$C$11:$C$22="",Besatzung!$B$5,Besatzung!$C$11:$C$22)&lt;=B148)*(IF(Besatzung!$D$11:$D$22="",Besatzung!$B$6,Besatzung!$D$11:$D$22)&gt;=B148)),1)+(Besatzung!$F$12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K148="x")*((G148-IFERROR(H148,0))/IFERROR(COUNTIF(J148:U148,"x"),1)+(Besatzung!$F$12="x")*IFERROR(H148,0)/IFERROR(SUMPRODUCT((J148:U148="x")*(Besatzung!$F$11:$F$22="x")),1))),(IF(COUNTIF(J148:U148,"x")=0,IF(Besatzung!$B$12&lt;&gt;"",1,0),(K148="x"))*(G148-IFERROR(H148,0))/IFERROR(IF(COUNTIF(J148:U148,"x")=0,COUNTA(Besatzung!$B$11:$B$22),COUNTIF(J148:U148,"x")),1)+IF(COUNTIF(J148:U148,"x")=0,(Besatzung!$F$12="x"),(K148="x")*(Besatzung!$F$12="x"))*IFERROR(H148,0)/IFERROR(IF(COUNTIF(J148:U148,"x")=0,SUMPRODUCT((Besatzung!$B$11:$B$22&lt;&gt;"")*(Besatzung!$F$11:$F$22="x")),SUMPRODUCT((J148:U148="x")*(Besatzung!$F$11:$F$22="x"))),1))))),0))))</f>
        <v/>
      </c>
      <c r="X148" s="106">
        <f>IF(C148="Gutschrift","",IF(G148="","",IF(Besatzung!$B$13="","",IFERROR(IF(I148="Zeitanteilig",(Besatzung!$G$13*(G148-IFERROR(H148,0))+((Besatzung!$B$13&lt;&gt;"")*IF(B148="",1,(IF(Besatzung!$C$13="",Besatzung!$B$5,Besatzung!$C$13)&lt;=B148)*(IF(Besatzung!$D$13="",Besatzung!$B$6,Besatzung!$D$13)&gt;=B148)))*(Besatzung!$F$13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$13&lt;&gt;"")*IF(B148="",1,(IF(Besatzung!$C$13="",Besatzung!$B$5,Besatzung!$C$13)&lt;=B148)*(IF(Besatzung!$D$13="",Besatzung!$B$6,Besatzung!$D$13)&gt;=B148)))*((G148-IFERROR(H148,0))/IFERROR(SUMPRODUCT((Besatzung!$B$11:$B$22&lt;&gt;"")*(IF(Besatzung!$C$11:$C$22="",Besatzung!$B$5,Besatzung!$C$11:$C$22)&lt;=B148)*(IF(Besatzung!$D$11:$D$22="",Besatzung!$B$6,Besatzung!$D$11:$D$22)&gt;=B148)),1)+(Besatzung!$F$13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K148="x")*((G148-IFERROR(H148,0))/IFERROR(COUNTIF(J148:U148,"x"),1)+(Besatzung!$F$13="x")*IFERROR(H148,0)/IFERROR(SUMPRODUCT((J148:U148="x")*(Besatzung!$F$11:$F$22="x")),1))),(IF(COUNTIF(J148:U148,"x")=0,IF(Besatzung!$B$13&lt;&gt;"",1,0),(K148="x"))*(G148-IFERROR(H148,0))/IFERROR(IF(COUNTIF(J148:U148,"x")=0,COUNTA(Besatzung!$B$11:$B$22),COUNTIF(J148:U148,"x")),1)+IF(COUNTIF(J148:U148,"x")=0,(Besatzung!$F$13="x"),(K148="x")*(Besatzung!$F$13="x"))*IFERROR(H148,0)/IFERROR(IF(COUNTIF(J148:U148,"x")=0,SUMPRODUCT((Besatzung!$B$11:$B$22&lt;&gt;"")*(Besatzung!$F$11:$F$22="x")),SUMPRODUCT((J148:U148="x")*(Besatzung!$F$11:$F$22="x"))),1))))),0))))</f>
        <v/>
      </c>
      <c r="Y148" s="106">
        <f>IF(C148="Gutschrift","",IF(G148="","",IF(Besatzung!$B$14="","",IFERROR(IF(I148="Zeitanteilig",(Besatzung!$G$14*(G148-IFERROR(H148,0))+((Besatzung!$B$14&lt;&gt;"")*IF(B148="",1,(IF(Besatzung!$C$14="",Besatzung!$B$5,Besatzung!$C$14)&lt;=B148)*(IF(Besatzung!$D$14="",Besatzung!$B$6,Besatzung!$D$14)&gt;=B148)))*(Besatzung!$F$14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$14&lt;&gt;"")*IF(B148="",1,(IF(Besatzung!$C$14="",Besatzung!$B$5,Besatzung!$C$14)&lt;=B148)*(IF(Besatzung!$D$14="",Besatzung!$B$6,Besatzung!$D$14)&gt;=B148)))*((G148-IFERROR(H148,0))/IFERROR(SUMPRODUCT((Besatzung!$B$11:$B$22&lt;&gt;"")*(IF(Besatzung!$C$11:$C$22="",Besatzung!$B$5,Besatzung!$C$11:$C$22)&lt;=B148)*(IF(Besatzung!$D$11:$D$22="",Besatzung!$B$6,Besatzung!$D$11:$D$22)&gt;=B148)),1)+(Besatzung!$F$14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M148="x")*((G148-IFERROR(H148,0))/IFERROR(COUNTIF(J148:U148,"x"),1)+(Besatzung!$F$14="x")*IFERROR(H148,0)/IFERROR(SUMPRODUCT((J148:U148="x")*(Besatzung!$F$11:$F$22="x")),1))),(IF(COUNTIF(J148:U148,"x")=0,IF(Besatzung!$B$14&lt;&gt;"",1,0),(M148="x"))*(G148-IFERROR(H148,0))/IFERROR(IF(COUNTIF(J148:U148,"x")=0,COUNTA(Besatzung!$B$11:$B$22),COUNTIF(J148:U148,"x")),1)+IF(COUNTIF(J148:U148,"x")=0,(Besatzung!$F$14="x"),(M148="x")*(Besatzung!$F$14="x"))*IFERROR(H148,0)/IFERROR(IF(COUNTIF(J148:U148,"x")=0,SUMPRODUCT((Besatzung!$B$11:$B$22&lt;&gt;"")*(Besatzung!$F$11:$F$22="x")),SUMPRODUCT((J148:U148="x")*(Besatzung!$F$11:$F$22="x"))),1))))),0))))</f>
        <v/>
      </c>
      <c r="Z148" s="106">
        <f>IF(C148="Gutschrift","",IF(G148="","",IF(Besatzung!$B$13="","",IFERROR(IF(I148="Zeitanteilig",(Besatzung!$G$15*(G148-IFERROR(H148,0))+((Besatzung!$B$13&lt;&gt;"")*IF(B148="",1,(IF(Besatzung!$C$15="",Besatzung!$B$5,Besatzung!$C$15)&lt;=B148)*(IF(Besatzung!$D$15="",Besatzung!$B$6,Besatzung!$D$15)&gt;=B148)))*(Besatzung!$F$15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$13&lt;&gt;"")*IF(B148="",1,(IF(Besatzung!$C$15="",Besatzung!$B$5,Besatzung!$C$15)&lt;=B148)*(IF(Besatzung!$D$15="",Besatzung!$B$6,Besatzung!$D$15)&gt;=B148)))*((G148-IFERROR(H148,0))/IFERROR(SUMPRODUCT((Besatzung!$B$11:$B$22&lt;&gt;"")*(IF(Besatzung!$C$11:$C$22="",Besatzung!$B$5,Besatzung!$C$11:$C$22)&lt;=B148)*(IF(Besatzung!$D$11:$D$22="",Besatzung!$B$6,Besatzung!$D$11:$D$22)&gt;=B148)),1)+(Besatzung!$F$15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N148="x")*((G148-IFERROR(H148,0))/IFERROR(COUNTIF(J148:U148,"x"),1)+(Besatzung!$F$15="x")*IFERROR(H148,0)/IFERROR(SUMPRODUCT((J148:U148="x")*(Besatzung!$F$11:$F$22="x")),1))),(IF(COUNTIF(J148:U148,"x")=0,IF(Besatzung!$B$13&lt;&gt;"",1,0),(N148="x"))*(G148-IFERROR(H148,0))/IFERROR(IF(COUNTIF(J148:U148,"x")=0,COUNTA(Besatzung!$B$11:$B$22),COUNTIF(J148:U148,"x")),1)+IF(COUNTIF(J148:U148,"x")=0,(Besatzung!$F$15="x"),(N148="x")*(Besatzung!$F$15="x"))*IFERROR(H148,0)/IFERROR(IF(COUNTIF(J148:U148,"x")=0,SUMPRODUCT((Besatzung!$B$11:$B$22&lt;&gt;"")*(Besatzung!$F$11:$F$22="x")),SUMPRODUCT((J148:U148="x")*(Besatzung!$F$11:$F$22="x"))),1))))),0))))</f>
        <v/>
      </c>
      <c r="AA148" s="106">
        <f>IF(C148="Gutschrift","",IF(G148="","",IF(Besatzung!$B$15="","",IFERROR(IF(I148="Zeitanteilig",(Besatzung!$G$16*(G148-IFERROR(H148,0))+((Besatzung!$B$15&lt;&gt;"")*IF(B148="",1,(IF(Besatzung!$C$16="",Besatzung!$B$5,Besatzung!$C$16)&lt;=B148)*(IF(Besatzung!$D$16="",Besatzung!$B$6,Besatzung!$D$16)&gt;=B148)))*(Besatzung!$F$16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$15&lt;&gt;"")*IF(B148="",1,(IF(Besatzung!$C$16="",Besatzung!$B$5,Besatzung!$C$16)&lt;=B148)*(IF(Besatzung!$D$16="",Besatzung!$B$6,Besatzung!$D$16)&gt;=B148)))*((G148-IFERROR(H148,0))/IFERROR(SUMPRODUCT((Besatzung!$B$11:$B$22&lt;&gt;"")*(IF(Besatzung!$C$11:$C$22="",Besatzung!$B$5,Besatzung!$C$11:$C$22)&lt;=B148)*(IF(Besatzung!$D$11:$D$22="",Besatzung!$B$6,Besatzung!$D$11:$D$22)&gt;=B148)),1)+(Besatzung!$F$16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O148="x")*((G148-IFERROR(H148,0))/IFERROR(COUNTIF(J148:U148,"x"),1)+(Besatzung!$F$16="x")*IFERROR(H148,0)/IFERROR(SUMPRODUCT((J148:U148="x")*(Besatzung!$F$11:$F$22="x")),1))),(IF(COUNTIF(J148:U148,"x")=0,IF(Besatzung!$B$15&lt;&gt;"",1,0),(O148="x"))*(G148-IFERROR(H148,0))/IFERROR(IF(COUNTIF(J148:U148,"x")=0,COUNTA(Besatzung!$B$11:$B$22),COUNTIF(J148:U148,"x")),1)+IF(COUNTIF(J148:U148,"x")=0,(Besatzung!$F$16="x"),(O148="x")*(Besatzung!$F$16="x"))*IFERROR(H148,0)/IFERROR(IF(COUNTIF(J148:U148,"x")=0,SUMPRODUCT((Besatzung!$B$11:$B$22&lt;&gt;"")*(Besatzung!$F$11:$F$22="x")),SUMPRODUCT((J148:U148="x")*(Besatzung!$F$11:$F$22="x"))),1))))),0))))</f>
        <v/>
      </c>
      <c r="AB148" s="106">
        <f>IF(C148="Gutschrift","",IF(G148="","",IF(Besatzung!$B$17="","",IFERROR(IF(I148="Zeitanteilig",(Besatzung!$G$17*(G148-IFERROR(H148,0))+((Besatzung!$B$17&lt;&gt;"")*IF(B148="",1,(IF(Besatzung!$C$17="",Besatzung!$B$5,Besatzung!$C$17)&lt;=B148)*(IF(Besatzung!$D$17="",Besatzung!$B$6,Besatzung!$D$17)&gt;=B148)))*(Besatzung!$F$17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$17&lt;&gt;"")*IF(B148="",1,(IF(Besatzung!$C$17="",Besatzung!$B$5,Besatzung!$C$17)&lt;=B148)*(IF(Besatzung!$D$17="",Besatzung!$B$6,Besatzung!$D$17)&gt;=B148)))*((G148-IFERROR(H148,0))/IFERROR(SUMPRODUCT((Besatzung!$B$11:$B$22&lt;&gt;"")*(IF(Besatzung!$C$11:$C$22="",Besatzung!$B$5,Besatzung!$C$11:$C$22)&lt;=B148)*(IF(Besatzung!$D$11:$D$22="",Besatzung!$B$6,Besatzung!$D$11:$D$22)&gt;=B148)),1)+(Besatzung!$F$17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P148="x")*((G148-IFERROR(H148,0))/IFERROR(COUNTIF(J148:U148,"x"),1)+(Besatzung!$F$17="x")*IFERROR(H148,0)/IFERROR(SUMPRODUCT((J148:U148="x")*(Besatzung!$F$11:$F$22="x")),1))),(IF(COUNTIF(J148:U148,"x")=0,IF(Besatzung!$B$17&lt;&gt;"",1,0),(P148="x"))*(G148-IFERROR(H148,0))/IFERROR(IF(COUNTIF(J148:U148,"x")=0,COUNTA(Besatzung!$B$11:$B$22),COUNTIF(J148:U148,"x")),1)+IF(COUNTIF(J148:U148,"x")=0,(Besatzung!$F$17="x"),(P148="x")*(Besatzung!$F$17="x"))*IFERROR(H148,0)/IFERROR(IF(COUNTIF(J148:U148,"x")=0,SUMPRODUCT((Besatzung!$B$11:$B$22&lt;&gt;"")*(Besatzung!$F$11:$F$22="x")),SUMPRODUCT((J148:U148="x")*(Besatzung!$F$11:$F$22="x"))),1))))),0))))</f>
        <v/>
      </c>
      <c r="AC148" s="106">
        <f>IF(C148="Gutschrift","",IF(G148="","",IF(Besatzung!$B$18="","",IFERROR(IF(I148="Zeitanteilig",(Besatzung!$G$18*(G148-IFERROR(H148,0))+((Besatzung!$B$18&lt;&gt;"")*IF(B148="",1,(IF(Besatzung!$C$18="",Besatzung!$B$5,Besatzung!$C$18)&lt;=B148)*(IF(Besatzung!$D$18="",Besatzung!$B$6,Besatzung!$D$18)&gt;=B148)))*(Besatzung!$F$18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$18&lt;&gt;"")*IF(B148="",1,(IF(Besatzung!$C$18="",Besatzung!$B$5,Besatzung!$C$18)&lt;=B148)*(IF(Besatzung!$D$18="",Besatzung!$B$6,Besatzung!$D$18)&gt;=B148)))*((G148-IFERROR(H148,0))/IFERROR(SUMPRODUCT((Besatzung!$B$11:$B$22&lt;&gt;"")*(IF(Besatzung!$C$11:$C$22="",Besatzung!$B$5,Besatzung!$C$11:$C$22)&lt;=B148)*(IF(Besatzung!$D$11:$D$22="",Besatzung!$B$6,Besatzung!$D$11:$D$22)&gt;=B148)),1)+(Besatzung!$F$18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Q148="x")*((G148-IFERROR(H148,0))/IFERROR(COUNTIF(J148:U148,"x"),1)+(Besatzung!$F$18="x")*IFERROR(H148,0)/IFERROR(SUMPRODUCT((J148:U148="x")*(Besatzung!$F$11:$F$22="x")),1))),(IF(COUNTIF(J148:U148,"x")=0,IF(Besatzung!$B$18&lt;&gt;"",1,0),(Q148="x"))*(G148-IFERROR(H148,0))/IFERROR(IF(COUNTIF(J148:U148,"x")=0,COUNTA(Besatzung!$B$11:$B$22),COUNTIF(J148:U148,"x")),1)+IF(COUNTIF(J148:U148,"x")=0,(Besatzung!$F$18="x"),(Q148="x")*(Besatzung!$F$18="x"))*IFERROR(H148,0)/IFERROR(IF(COUNTIF(J148:U148,"x")=0,SUMPRODUCT((Besatzung!$B$11:$B$22&lt;&gt;"")*(Besatzung!$F$11:$F$22="x")),SUMPRODUCT((J148:U148="x")*(Besatzung!$F$11:$F$22="x"))),1))))),0))))</f>
        <v/>
      </c>
      <c r="AD148" s="106">
        <f>IF(C148="Gutschrift","",IF(G148="","",IF(Besatzung!$B$19="","",IFERROR(IF(I148="Zeitanteilig",(Besatzung!$G$19*(G148-IFERROR(H148,0))+((Besatzung!$B$19&lt;&gt;"")*IF(B148="",1,(IF(Besatzung!$C$19="",Besatzung!$B$5,Besatzung!$C$19)&lt;=B148)*(IF(Besatzung!$D$19="",Besatzung!$B$6,Besatzung!$D$19)&gt;=B148)))*(Besatzung!$F$19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$19&lt;&gt;"")*IF(B148="",1,(IF(Besatzung!$C$19="",Besatzung!$B$5,Besatzung!$C$19)&lt;=B148)*(IF(Besatzung!$D$19="",Besatzung!$B$6,Besatzung!$D$19)&gt;=B148)))*((G148-IFERROR(H148,0))/IFERROR(SUMPRODUCT((Besatzung!$B$11:$B$22&lt;&gt;"")*(IF(Besatzung!$C$11:$C$22="",Besatzung!$B$5,Besatzung!$C$11:$C$22)&lt;=B148)*(IF(Besatzung!$D$11:$D$22="",Besatzung!$B$6,Besatzung!$D$11:$D$22)&gt;=B148)),1)+(Besatzung!$F$19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R148="x")*((G148-IFERROR(H148,0))/IFERROR(COUNTIF(J148:U148,"x"),1)+(Besatzung!$F$19="x")*IFERROR(H148,0)/IFERROR(SUMPRODUCT((J148:U148="x")*(Besatzung!$F$11:$F$22="x")),1))),(IF(COUNTIF(J148:U148,"x")=0,IF(Besatzung!$B$19&lt;&gt;"",1,0),(R148="x"))*(G148-IFERROR(H148,0))/IFERROR(IF(COUNTIF(J148:U148,"x")=0,COUNTA(Besatzung!$B$11:$B$22),COUNTIF(J148:U148,"x")),1)+IF(COUNTIF(J148:U148,"x")=0,(Besatzung!$F$19="x"),(R148="x")*(Besatzung!$F$19="x"))*IFERROR(H148,0)/IFERROR(IF(COUNTIF(J148:U148,"x")=0,SUMPRODUCT((Besatzung!$B$11:$B$22&lt;&gt;"")*(Besatzung!$F$11:$F$22="x")),SUMPRODUCT((J148:U148="x")*(Besatzung!$F$11:$F$22="x"))),1))))),0))))</f>
        <v/>
      </c>
      <c r="AE148" s="106">
        <f>IF(C148="Gutschrift","",IF(G148="","",IF(Besatzung!$B$20="","",IFERROR(IF(I148="Zeitanteilig",(Besatzung!$G$20*(G148-IFERROR(H148,0))+((Besatzung!$B$20&lt;&gt;"")*IF(B148="",1,(IF(Besatzung!$C$20="",Besatzung!$B$5,Besatzung!$C$20)&lt;=B148)*(IF(Besatzung!$D$20="",Besatzung!$B$6,Besatzung!$D$20)&gt;=B148)))*(Besatzung!$F$20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$20&lt;&gt;"")*IF(B148="",1,(IF(Besatzung!$C$20="",Besatzung!$B$5,Besatzung!$C$20)&lt;=B148)*(IF(Besatzung!$D$20="",Besatzung!$B$6,Besatzung!$D$20)&gt;=B148)))*((G148-IFERROR(H148,0))/IFERROR(SUMPRODUCT((Besatzung!$B$11:$B$22&lt;&gt;"")*(IF(Besatzung!$C$11:$C$22="",Besatzung!$B$5,Besatzung!$C$11:$C$22)&lt;=B148)*(IF(Besatzung!$D$11:$D$22="",Besatzung!$B$6,Besatzung!$D$11:$D$22)&gt;=B148)),1)+(Besatzung!$F$20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S148="x")*((G148-IFERROR(H148,0))/IFERROR(COUNTIF(J148:U148,"x"),1)+(Besatzung!$F$20="x")*IFERROR(H148,0)/IFERROR(SUMPRODUCT((J148:U148="x")*(Besatzung!$F$11:$F$22="x")),1))),(IF(COUNTIF(J148:U148,"x")=0,IF(Besatzung!$B$20&lt;&gt;"",1,0),(S148="x"))*(G148-IFERROR(H148,0))/IFERROR(IF(COUNTIF(J148:U148,"x")=0,COUNTA(Besatzung!$B$11:$B$22),COUNTIF(J148:U148,"x")),1)+IF(COUNTIF(J148:U148,"x")=0,(Besatzung!$F$20="x"),(S148="x")*(Besatzung!$F$20="x"))*IFERROR(H148,0)/IFERROR(IF(COUNTIF(J148:U148,"x")=0,SUMPRODUCT((Besatzung!$B$11:$B$22&lt;&gt;"")*(Besatzung!$F$11:$F$22="x")),SUMPRODUCT((J148:U148="x")*(Besatzung!$F$11:$F$22="x"))),1))))),0))))</f>
        <v/>
      </c>
      <c r="AF148" s="106">
        <f>IF(C148="Gutschrift","",IF(G148="","",IF(Besatzung!$B$21="","",IFERROR(IF(I148="Zeitanteilig",(Besatzung!$G$21*(G148-IFERROR(H148,0))+((Besatzung!$B$21&lt;&gt;"")*IF(B148="",1,(IF(Besatzung!$C$21="",Besatzung!$B$5,Besatzung!$C$21)&lt;=B148)*(IF(Besatzung!$D$21="",Besatzung!$B$6,Besatzung!$D$21)&gt;=B148)))*(Besatzung!$F$21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$21&lt;&gt;"")*IF(B148="",1,(IF(Besatzung!$C$21="",Besatzung!$B$5,Besatzung!$C$21)&lt;=B148)*(IF(Besatzung!$D$21="",Besatzung!$B$6,Besatzung!$D$21)&gt;=B148)))*((G148-IFERROR(H148,0))/IFERROR(SUMPRODUCT((Besatzung!$B$11:$B$22&lt;&gt;"")*(IF(Besatzung!$C$11:$C$22="",Besatzung!$B$5,Besatzung!$C$11:$C$22)&lt;=B148)*(IF(Besatzung!$D$11:$D$22="",Besatzung!$B$6,Besatzung!$D$11:$D$22)&gt;=B148)),1)+(Besatzung!$F$21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T148="x")*((G148-IFERROR(H148,0))/IFERROR(COUNTIF(J148:U148,"x"),1)+(Besatzung!$F$21="x")*IFERROR(H148,0)/IFERROR(SUMPRODUCT((J148:U148="x")*(Besatzung!$F$11:$F$22="x")),1))),(IF(COUNTIF(J148:U148,"x")=0,IF(Besatzung!$B$21&lt;&gt;"",1,0),(T148="x"))*(G148-IFERROR(H148,0))/IFERROR(IF(COUNTIF(J148:U148,"x")=0,COUNTA(Besatzung!$B$11:$B$22),COUNTIF(J148:U148,"x")),1)+IF(COUNTIF(J148:U148,"x")=0,(Besatzung!$F$21="x"),(T148="x")*(Besatzung!$F$21="x"))*IFERROR(H148,0)/IFERROR(IF(COUNTIF(J148:U148,"x")=0,SUMPRODUCT((Besatzung!$B$11:$B$22&lt;&gt;"")*(Besatzung!$F$11:$F$22="x")),SUMPRODUCT((J148:U148="x")*(Besatzung!$F$11:$F$22="x"))),1))))),0))))</f>
        <v/>
      </c>
      <c r="AG148" s="106">
        <f>IF(C148="Gutschrift","",IF(G148="","",IF(Besatzung!$B$22="","",IFERROR(IF(I148="Zeitanteilig",(Besatzung!$G$22*(G148-IFERROR(H148,0))+((Besatzung!$B$22&lt;&gt;"")*IF(B148="",1,(IF(Besatzung!$C$22="",Besatzung!$B$5,Besatzung!$C$22)&lt;=B148)*(IF(Besatzung!$D$22="",Besatzung!$B$6,Besatzung!$D$22)&gt;=B148)))*(Besatzung!$F$22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$22&lt;&gt;"")*IF(B148="",1,(IF(Besatzung!$C$22="",Besatzung!$B$5,Besatzung!$C$22)&lt;=B148)*(IF(Besatzung!$D$22="",Besatzung!$B$6,Besatzung!$D$22)&gt;=B148)))*((G148-IFERROR(H148,0))/IFERROR(SUMPRODUCT((Besatzung!$B$11:$B$22&lt;&gt;"")*(IF(Besatzung!$C$11:$C$22="",Besatzung!$B$5,Besatzung!$C$11:$C$22)&lt;=B148)*(IF(Besatzung!$D$11:$D$22="",Besatzung!$B$6,Besatzung!$D$11:$D$22)&gt;=B148)),1)+(Besatzung!$F$22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U148="x")*((G148-IFERROR(H148,0))/IFERROR(COUNTIF(J148:U148,"x"),1)+(Besatzung!$F$22="x")*IFERROR(H148,0)/IFERROR(SUMPRODUCT((J148:U148="x")*(Besatzung!$F$11:$F$22="x")),1))),(IF(COUNTIF(J148:U148,"x")=0,IF(Besatzung!$B$22&lt;&gt;"",1,0),(U148="x"))*(G148-IFERROR(H148,0))/IFERROR(IF(COUNTIF(J148:U148,"x")=0,COUNTA(Besatzung!$B$11:$B$22),COUNTIF(J148:U148,"x")),1)+IF(COUNTIF(J148:U148,"x")=0,(Besatzung!$F$22="x"),(U148="x")*(Besatzung!$F$22="x"))*IFERROR(H148,0)/IFERROR(IF(COUNTIF(J148:U148,"x")=0,SUMPRODUCT((Besatzung!$B$11:$B$22&lt;&gt;"")*(Besatzung!$F$11:$F$22="x")),SUMPRODUCT((J148:U148="x")*(Besatzung!$F$11:$F$22="x"))),1))))),0))))</f>
        <v/>
      </c>
      <c r="AH148" s="107" t="n"/>
      <c r="AI148" s="107" t="n"/>
    </row>
    <row r="149" ht="21.75" customHeight="1" s="182">
      <c r="A149" s="97">
        <f>IF(AND(D149="",C149=""),"",146)</f>
        <v/>
      </c>
      <c r="B149" s="63" t="n"/>
      <c r="C149" s="108" t="n"/>
      <c r="D149" s="109" t="n"/>
      <c r="E149" s="110" t="n"/>
      <c r="F149" s="111" t="n"/>
      <c r="G149" s="112" t="n"/>
      <c r="H149" s="113" t="n"/>
      <c r="I149" s="114" t="n"/>
      <c r="J149" s="115" t="n"/>
      <c r="K149" s="115" t="n"/>
      <c r="L149" s="115" t="n"/>
      <c r="M149" s="115" t="n"/>
      <c r="N149" s="115" t="n"/>
      <c r="O149" s="115" t="n"/>
      <c r="P149" s="115" t="n"/>
      <c r="Q149" s="115" t="n"/>
      <c r="R149" s="115" t="n"/>
      <c r="S149" s="115" t="n"/>
      <c r="T149" s="115" t="n"/>
      <c r="U149" s="115" t="n"/>
      <c r="V149" s="106">
        <f>IF(C149="Gutschrift","",IF(G149="","",IF(Besatzung!$B$11="","",IFERROR(IF(I149="Zeitanteilig",(Besatzung!$G$11*(G149-IFERROR(H149,0))+((Besatzung!$B$11&lt;&gt;"")*IF(B149="",1,(IF(Besatzung!$C$11="",Besatzung!$B$5,Besatzung!$C$11)&lt;=B149)*(IF(Besatzung!$D$11="",Besatzung!$B$6,Besatzung!$D$11)&gt;=B149)))*(Besatzung!$F$11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$11&lt;&gt;"")*IF(B149="",1,(IF(Besatzung!$C$11="",Besatzung!$B$5,Besatzung!$C$11)&lt;=B149)*(IF(Besatzung!$D$11="",Besatzung!$B$6,Besatzung!$D$11)&gt;=B149)))*((G149-IFERROR(H149,0))/IFERROR(SUMPRODUCT((Besatzung!$B$11:$B$22&lt;&gt;"")*(IF(Besatzung!$C$11:$C$22="",Besatzung!$B$5,Besatzung!$C$11:$C$22)&lt;=B149)*(IF(Besatzung!$D$11:$D$22="",Besatzung!$B$6,Besatzung!$D$11:$D$22)&gt;=B149)),1)+(Besatzung!$F$11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J149="x")*((G149-IFERROR(H149,0))/IFERROR(COUNTIF(J149:U149,"x"),1)+(Besatzung!$F$11="x")*IFERROR(H149,0)/IFERROR(SUMPRODUCT((J149:U149="x")*(Besatzung!$F$11:$F$22="x")),1))),(IF(COUNTIF(J149:U149,"x")=0,IF(Besatzung!$B$11&lt;&gt;"",1,0),(J149="x"))*(G149-IFERROR(H149,0))/IFERROR(IF(COUNTIF(J149:U149,"x")=0,COUNTA(Besatzung!$B$11:$B$22),COUNTIF(J149:U149,"x")),1)+IF(COUNTIF(J149:U149,"x")=0,(Besatzung!$F$11="x"),(J149="x")*(Besatzung!$F$11="x"))*IFERROR(H149,0)/IFERROR(IF(COUNTIF(J149:U149,"x")=0,SUMPRODUCT((Besatzung!$B$11:$B$22&lt;&gt;"")*(Besatzung!$F$11:$F$22="x")),SUMPRODUCT((J149:U149="x")*(Besatzung!$F$11:$F$22="x"))),1))))),0))))</f>
        <v/>
      </c>
      <c r="W149" s="106">
        <f>IF(C149="Gutschrift","",IF(G149="","",IF(Besatzung!$B$12="","",IFERROR(IF(I149="Zeitanteilig",(Besatzung!$G$12*(G149-IFERROR(H149,0))+((Besatzung!$B$12&lt;&gt;"")*IF(B149="",1,(IF(Besatzung!$C$12="",Besatzung!$B$5,Besatzung!$C$12)&lt;=B149)*(IF(Besatzung!$D$12="",Besatzung!$B$6,Besatzung!$D$12)&gt;=B149)))*(Besatzung!$F$12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$12&lt;&gt;"")*IF(B149="",1,(IF(Besatzung!$C$12="",Besatzung!$B$5,Besatzung!$C$12)&lt;=B149)*(IF(Besatzung!$D$12="",Besatzung!$B$6,Besatzung!$D$12)&gt;=B149)))*((G149-IFERROR(H149,0))/IFERROR(SUMPRODUCT((Besatzung!$B$11:$B$22&lt;&gt;"")*(IF(Besatzung!$C$11:$C$22="",Besatzung!$B$5,Besatzung!$C$11:$C$22)&lt;=B149)*(IF(Besatzung!$D$11:$D$22="",Besatzung!$B$6,Besatzung!$D$11:$D$22)&gt;=B149)),1)+(Besatzung!$F$12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K149="x")*((G149-IFERROR(H149,0))/IFERROR(COUNTIF(J149:U149,"x"),1)+(Besatzung!$F$12="x")*IFERROR(H149,0)/IFERROR(SUMPRODUCT((J149:U149="x")*(Besatzung!$F$11:$F$22="x")),1))),(IF(COUNTIF(J149:U149,"x")=0,IF(Besatzung!$B$12&lt;&gt;"",1,0),(K149="x"))*(G149-IFERROR(H149,0))/IFERROR(IF(COUNTIF(J149:U149,"x")=0,COUNTA(Besatzung!$B$11:$B$22),COUNTIF(J149:U149,"x")),1)+IF(COUNTIF(J149:U149,"x")=0,(Besatzung!$F$12="x"),(K149="x")*(Besatzung!$F$12="x"))*IFERROR(H149,0)/IFERROR(IF(COUNTIF(J149:U149,"x")=0,SUMPRODUCT((Besatzung!$B$11:$B$22&lt;&gt;"")*(Besatzung!$F$11:$F$22="x")),SUMPRODUCT((J149:U149="x")*(Besatzung!$F$11:$F$22="x"))),1))))),0))))</f>
        <v/>
      </c>
      <c r="X149" s="106">
        <f>IF(C149="Gutschrift","",IF(G149="","",IF(Besatzung!$B$13="","",IFERROR(IF(I149="Zeitanteilig",(Besatzung!$G$13*(G149-IFERROR(H149,0))+((Besatzung!$B$13&lt;&gt;"")*IF(B149="",1,(IF(Besatzung!$C$13="",Besatzung!$B$5,Besatzung!$C$13)&lt;=B149)*(IF(Besatzung!$D$13="",Besatzung!$B$6,Besatzung!$D$13)&gt;=B149)))*(Besatzung!$F$13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$13&lt;&gt;"")*IF(B149="",1,(IF(Besatzung!$C$13="",Besatzung!$B$5,Besatzung!$C$13)&lt;=B149)*(IF(Besatzung!$D$13="",Besatzung!$B$6,Besatzung!$D$13)&gt;=B149)))*((G149-IFERROR(H149,0))/IFERROR(SUMPRODUCT((Besatzung!$B$11:$B$22&lt;&gt;"")*(IF(Besatzung!$C$11:$C$22="",Besatzung!$B$5,Besatzung!$C$11:$C$22)&lt;=B149)*(IF(Besatzung!$D$11:$D$22="",Besatzung!$B$6,Besatzung!$D$11:$D$22)&gt;=B149)),1)+(Besatzung!$F$13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K149="x")*((G149-IFERROR(H149,0))/IFERROR(COUNTIF(J149:U149,"x"),1)+(Besatzung!$F$13="x")*IFERROR(H149,0)/IFERROR(SUMPRODUCT((J149:U149="x")*(Besatzung!$F$11:$F$22="x")),1))),(IF(COUNTIF(J149:U149,"x")=0,IF(Besatzung!$B$13&lt;&gt;"",1,0),(K149="x"))*(G149-IFERROR(H149,0))/IFERROR(IF(COUNTIF(J149:U149,"x")=0,COUNTA(Besatzung!$B$11:$B$22),COUNTIF(J149:U149,"x")),1)+IF(COUNTIF(J149:U149,"x")=0,(Besatzung!$F$13="x"),(K149="x")*(Besatzung!$F$13="x"))*IFERROR(H149,0)/IFERROR(IF(COUNTIF(J149:U149,"x")=0,SUMPRODUCT((Besatzung!$B$11:$B$22&lt;&gt;"")*(Besatzung!$F$11:$F$22="x")),SUMPRODUCT((J149:U149="x")*(Besatzung!$F$11:$F$22="x"))),1))))),0))))</f>
        <v/>
      </c>
      <c r="Y149" s="106">
        <f>IF(C149="Gutschrift","",IF(G149="","",IF(Besatzung!$B$14="","",IFERROR(IF(I149="Zeitanteilig",(Besatzung!$G$14*(G149-IFERROR(H149,0))+((Besatzung!$B$14&lt;&gt;"")*IF(B149="",1,(IF(Besatzung!$C$14="",Besatzung!$B$5,Besatzung!$C$14)&lt;=B149)*(IF(Besatzung!$D$14="",Besatzung!$B$6,Besatzung!$D$14)&gt;=B149)))*(Besatzung!$F$14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$14&lt;&gt;"")*IF(B149="",1,(IF(Besatzung!$C$14="",Besatzung!$B$5,Besatzung!$C$14)&lt;=B149)*(IF(Besatzung!$D$14="",Besatzung!$B$6,Besatzung!$D$14)&gt;=B149)))*((G149-IFERROR(H149,0))/IFERROR(SUMPRODUCT((Besatzung!$B$11:$B$22&lt;&gt;"")*(IF(Besatzung!$C$11:$C$22="",Besatzung!$B$5,Besatzung!$C$11:$C$22)&lt;=B149)*(IF(Besatzung!$D$11:$D$22="",Besatzung!$B$6,Besatzung!$D$11:$D$22)&gt;=B149)),1)+(Besatzung!$F$14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M149="x")*((G149-IFERROR(H149,0))/IFERROR(COUNTIF(J149:U149,"x"),1)+(Besatzung!$F$14="x")*IFERROR(H149,0)/IFERROR(SUMPRODUCT((J149:U149="x")*(Besatzung!$F$11:$F$22="x")),1))),(IF(COUNTIF(J149:U149,"x")=0,IF(Besatzung!$B$14&lt;&gt;"",1,0),(M149="x"))*(G149-IFERROR(H149,0))/IFERROR(IF(COUNTIF(J149:U149,"x")=0,COUNTA(Besatzung!$B$11:$B$22),COUNTIF(J149:U149,"x")),1)+IF(COUNTIF(J149:U149,"x")=0,(Besatzung!$F$14="x"),(M149="x")*(Besatzung!$F$14="x"))*IFERROR(H149,0)/IFERROR(IF(COUNTIF(J149:U149,"x")=0,SUMPRODUCT((Besatzung!$B$11:$B$22&lt;&gt;"")*(Besatzung!$F$11:$F$22="x")),SUMPRODUCT((J149:U149="x")*(Besatzung!$F$11:$F$22="x"))),1))))),0))))</f>
        <v/>
      </c>
      <c r="Z149" s="106">
        <f>IF(C149="Gutschrift","",IF(G149="","",IF(Besatzung!$B$13="","",IFERROR(IF(I149="Zeitanteilig",(Besatzung!$G$15*(G149-IFERROR(H149,0))+((Besatzung!$B$13&lt;&gt;"")*IF(B149="",1,(IF(Besatzung!$C$15="",Besatzung!$B$5,Besatzung!$C$15)&lt;=B149)*(IF(Besatzung!$D$15="",Besatzung!$B$6,Besatzung!$D$15)&gt;=B149)))*(Besatzung!$F$15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$13&lt;&gt;"")*IF(B149="",1,(IF(Besatzung!$C$15="",Besatzung!$B$5,Besatzung!$C$15)&lt;=B149)*(IF(Besatzung!$D$15="",Besatzung!$B$6,Besatzung!$D$15)&gt;=B149)))*((G149-IFERROR(H149,0))/IFERROR(SUMPRODUCT((Besatzung!$B$11:$B$22&lt;&gt;"")*(IF(Besatzung!$C$11:$C$22="",Besatzung!$B$5,Besatzung!$C$11:$C$22)&lt;=B149)*(IF(Besatzung!$D$11:$D$22="",Besatzung!$B$6,Besatzung!$D$11:$D$22)&gt;=B149)),1)+(Besatzung!$F$15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N149="x")*((G149-IFERROR(H149,0))/IFERROR(COUNTIF(J149:U149,"x"),1)+(Besatzung!$F$15="x")*IFERROR(H149,0)/IFERROR(SUMPRODUCT((J149:U149="x")*(Besatzung!$F$11:$F$22="x")),1))),(IF(COUNTIF(J149:U149,"x")=0,IF(Besatzung!$B$13&lt;&gt;"",1,0),(N149="x"))*(G149-IFERROR(H149,0))/IFERROR(IF(COUNTIF(J149:U149,"x")=0,COUNTA(Besatzung!$B$11:$B$22),COUNTIF(J149:U149,"x")),1)+IF(COUNTIF(J149:U149,"x")=0,(Besatzung!$F$15="x"),(N149="x")*(Besatzung!$F$15="x"))*IFERROR(H149,0)/IFERROR(IF(COUNTIF(J149:U149,"x")=0,SUMPRODUCT((Besatzung!$B$11:$B$22&lt;&gt;"")*(Besatzung!$F$11:$F$22="x")),SUMPRODUCT((J149:U149="x")*(Besatzung!$F$11:$F$22="x"))),1))))),0))))</f>
        <v/>
      </c>
      <c r="AA149" s="106">
        <f>IF(C149="Gutschrift","",IF(G149="","",IF(Besatzung!$B$15="","",IFERROR(IF(I149="Zeitanteilig",(Besatzung!$G$16*(G149-IFERROR(H149,0))+((Besatzung!$B$15&lt;&gt;"")*IF(B149="",1,(IF(Besatzung!$C$16="",Besatzung!$B$5,Besatzung!$C$16)&lt;=B149)*(IF(Besatzung!$D$16="",Besatzung!$B$6,Besatzung!$D$16)&gt;=B149)))*(Besatzung!$F$16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$15&lt;&gt;"")*IF(B149="",1,(IF(Besatzung!$C$16="",Besatzung!$B$5,Besatzung!$C$16)&lt;=B149)*(IF(Besatzung!$D$16="",Besatzung!$B$6,Besatzung!$D$16)&gt;=B149)))*((G149-IFERROR(H149,0))/IFERROR(SUMPRODUCT((Besatzung!$B$11:$B$22&lt;&gt;"")*(IF(Besatzung!$C$11:$C$22="",Besatzung!$B$5,Besatzung!$C$11:$C$22)&lt;=B149)*(IF(Besatzung!$D$11:$D$22="",Besatzung!$B$6,Besatzung!$D$11:$D$22)&gt;=B149)),1)+(Besatzung!$F$16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O149="x")*((G149-IFERROR(H149,0))/IFERROR(COUNTIF(J149:U149,"x"),1)+(Besatzung!$F$16="x")*IFERROR(H149,0)/IFERROR(SUMPRODUCT((J149:U149="x")*(Besatzung!$F$11:$F$22="x")),1))),(IF(COUNTIF(J149:U149,"x")=0,IF(Besatzung!$B$15&lt;&gt;"",1,0),(O149="x"))*(G149-IFERROR(H149,0))/IFERROR(IF(COUNTIF(J149:U149,"x")=0,COUNTA(Besatzung!$B$11:$B$22),COUNTIF(J149:U149,"x")),1)+IF(COUNTIF(J149:U149,"x")=0,(Besatzung!$F$16="x"),(O149="x")*(Besatzung!$F$16="x"))*IFERROR(H149,0)/IFERROR(IF(COUNTIF(J149:U149,"x")=0,SUMPRODUCT((Besatzung!$B$11:$B$22&lt;&gt;"")*(Besatzung!$F$11:$F$22="x")),SUMPRODUCT((J149:U149="x")*(Besatzung!$F$11:$F$22="x"))),1))))),0))))</f>
        <v/>
      </c>
      <c r="AB149" s="106">
        <f>IF(C149="Gutschrift","",IF(G149="","",IF(Besatzung!$B$17="","",IFERROR(IF(I149="Zeitanteilig",(Besatzung!$G$17*(G149-IFERROR(H149,0))+((Besatzung!$B$17&lt;&gt;"")*IF(B149="",1,(IF(Besatzung!$C$17="",Besatzung!$B$5,Besatzung!$C$17)&lt;=B149)*(IF(Besatzung!$D$17="",Besatzung!$B$6,Besatzung!$D$17)&gt;=B149)))*(Besatzung!$F$17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$17&lt;&gt;"")*IF(B149="",1,(IF(Besatzung!$C$17="",Besatzung!$B$5,Besatzung!$C$17)&lt;=B149)*(IF(Besatzung!$D$17="",Besatzung!$B$6,Besatzung!$D$17)&gt;=B149)))*((G149-IFERROR(H149,0))/IFERROR(SUMPRODUCT((Besatzung!$B$11:$B$22&lt;&gt;"")*(IF(Besatzung!$C$11:$C$22="",Besatzung!$B$5,Besatzung!$C$11:$C$22)&lt;=B149)*(IF(Besatzung!$D$11:$D$22="",Besatzung!$B$6,Besatzung!$D$11:$D$22)&gt;=B149)),1)+(Besatzung!$F$17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P149="x")*((G149-IFERROR(H149,0))/IFERROR(COUNTIF(J149:U149,"x"),1)+(Besatzung!$F$17="x")*IFERROR(H149,0)/IFERROR(SUMPRODUCT((J149:U149="x")*(Besatzung!$F$11:$F$22="x")),1))),(IF(COUNTIF(J149:U149,"x")=0,IF(Besatzung!$B$17&lt;&gt;"",1,0),(P149="x"))*(G149-IFERROR(H149,0))/IFERROR(IF(COUNTIF(J149:U149,"x")=0,COUNTA(Besatzung!$B$11:$B$22),COUNTIF(J149:U149,"x")),1)+IF(COUNTIF(J149:U149,"x")=0,(Besatzung!$F$17="x"),(P149="x")*(Besatzung!$F$17="x"))*IFERROR(H149,0)/IFERROR(IF(COUNTIF(J149:U149,"x")=0,SUMPRODUCT((Besatzung!$B$11:$B$22&lt;&gt;"")*(Besatzung!$F$11:$F$22="x")),SUMPRODUCT((J149:U149="x")*(Besatzung!$F$11:$F$22="x"))),1))))),0))))</f>
        <v/>
      </c>
      <c r="AC149" s="106">
        <f>IF(C149="Gutschrift","",IF(G149="","",IF(Besatzung!$B$18="","",IFERROR(IF(I149="Zeitanteilig",(Besatzung!$G$18*(G149-IFERROR(H149,0))+((Besatzung!$B$18&lt;&gt;"")*IF(B149="",1,(IF(Besatzung!$C$18="",Besatzung!$B$5,Besatzung!$C$18)&lt;=B149)*(IF(Besatzung!$D$18="",Besatzung!$B$6,Besatzung!$D$18)&gt;=B149)))*(Besatzung!$F$18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$18&lt;&gt;"")*IF(B149="",1,(IF(Besatzung!$C$18="",Besatzung!$B$5,Besatzung!$C$18)&lt;=B149)*(IF(Besatzung!$D$18="",Besatzung!$B$6,Besatzung!$D$18)&gt;=B149)))*((G149-IFERROR(H149,0))/IFERROR(SUMPRODUCT((Besatzung!$B$11:$B$22&lt;&gt;"")*(IF(Besatzung!$C$11:$C$22="",Besatzung!$B$5,Besatzung!$C$11:$C$22)&lt;=B149)*(IF(Besatzung!$D$11:$D$22="",Besatzung!$B$6,Besatzung!$D$11:$D$22)&gt;=B149)),1)+(Besatzung!$F$18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Q149="x")*((G149-IFERROR(H149,0))/IFERROR(COUNTIF(J149:U149,"x"),1)+(Besatzung!$F$18="x")*IFERROR(H149,0)/IFERROR(SUMPRODUCT((J149:U149="x")*(Besatzung!$F$11:$F$22="x")),1))),(IF(COUNTIF(J149:U149,"x")=0,IF(Besatzung!$B$18&lt;&gt;"",1,0),(Q149="x"))*(G149-IFERROR(H149,0))/IFERROR(IF(COUNTIF(J149:U149,"x")=0,COUNTA(Besatzung!$B$11:$B$22),COUNTIF(J149:U149,"x")),1)+IF(COUNTIF(J149:U149,"x")=0,(Besatzung!$F$18="x"),(Q149="x")*(Besatzung!$F$18="x"))*IFERROR(H149,0)/IFERROR(IF(COUNTIF(J149:U149,"x")=0,SUMPRODUCT((Besatzung!$B$11:$B$22&lt;&gt;"")*(Besatzung!$F$11:$F$22="x")),SUMPRODUCT((J149:U149="x")*(Besatzung!$F$11:$F$22="x"))),1))))),0))))</f>
        <v/>
      </c>
      <c r="AD149" s="106">
        <f>IF(C149="Gutschrift","",IF(G149="","",IF(Besatzung!$B$19="","",IFERROR(IF(I149="Zeitanteilig",(Besatzung!$G$19*(G149-IFERROR(H149,0))+((Besatzung!$B$19&lt;&gt;"")*IF(B149="",1,(IF(Besatzung!$C$19="",Besatzung!$B$5,Besatzung!$C$19)&lt;=B149)*(IF(Besatzung!$D$19="",Besatzung!$B$6,Besatzung!$D$19)&gt;=B149)))*(Besatzung!$F$19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$19&lt;&gt;"")*IF(B149="",1,(IF(Besatzung!$C$19="",Besatzung!$B$5,Besatzung!$C$19)&lt;=B149)*(IF(Besatzung!$D$19="",Besatzung!$B$6,Besatzung!$D$19)&gt;=B149)))*((G149-IFERROR(H149,0))/IFERROR(SUMPRODUCT((Besatzung!$B$11:$B$22&lt;&gt;"")*(IF(Besatzung!$C$11:$C$22="",Besatzung!$B$5,Besatzung!$C$11:$C$22)&lt;=B149)*(IF(Besatzung!$D$11:$D$22="",Besatzung!$B$6,Besatzung!$D$11:$D$22)&gt;=B149)),1)+(Besatzung!$F$19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R149="x")*((G149-IFERROR(H149,0))/IFERROR(COUNTIF(J149:U149,"x"),1)+(Besatzung!$F$19="x")*IFERROR(H149,0)/IFERROR(SUMPRODUCT((J149:U149="x")*(Besatzung!$F$11:$F$22="x")),1))),(IF(COUNTIF(J149:U149,"x")=0,IF(Besatzung!$B$19&lt;&gt;"",1,0),(R149="x"))*(G149-IFERROR(H149,0))/IFERROR(IF(COUNTIF(J149:U149,"x")=0,COUNTA(Besatzung!$B$11:$B$22),COUNTIF(J149:U149,"x")),1)+IF(COUNTIF(J149:U149,"x")=0,(Besatzung!$F$19="x"),(R149="x")*(Besatzung!$F$19="x"))*IFERROR(H149,0)/IFERROR(IF(COUNTIF(J149:U149,"x")=0,SUMPRODUCT((Besatzung!$B$11:$B$22&lt;&gt;"")*(Besatzung!$F$11:$F$22="x")),SUMPRODUCT((J149:U149="x")*(Besatzung!$F$11:$F$22="x"))),1))))),0))))</f>
        <v/>
      </c>
      <c r="AE149" s="106">
        <f>IF(C149="Gutschrift","",IF(G149="","",IF(Besatzung!$B$20="","",IFERROR(IF(I149="Zeitanteilig",(Besatzung!$G$20*(G149-IFERROR(H149,0))+((Besatzung!$B$20&lt;&gt;"")*IF(B149="",1,(IF(Besatzung!$C$20="",Besatzung!$B$5,Besatzung!$C$20)&lt;=B149)*(IF(Besatzung!$D$20="",Besatzung!$B$6,Besatzung!$D$20)&gt;=B149)))*(Besatzung!$F$20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$20&lt;&gt;"")*IF(B149="",1,(IF(Besatzung!$C$20="",Besatzung!$B$5,Besatzung!$C$20)&lt;=B149)*(IF(Besatzung!$D$20="",Besatzung!$B$6,Besatzung!$D$20)&gt;=B149)))*((G149-IFERROR(H149,0))/IFERROR(SUMPRODUCT((Besatzung!$B$11:$B$22&lt;&gt;"")*(IF(Besatzung!$C$11:$C$22="",Besatzung!$B$5,Besatzung!$C$11:$C$22)&lt;=B149)*(IF(Besatzung!$D$11:$D$22="",Besatzung!$B$6,Besatzung!$D$11:$D$22)&gt;=B149)),1)+(Besatzung!$F$20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S149="x")*((G149-IFERROR(H149,0))/IFERROR(COUNTIF(J149:U149,"x"),1)+(Besatzung!$F$20="x")*IFERROR(H149,0)/IFERROR(SUMPRODUCT((J149:U149="x")*(Besatzung!$F$11:$F$22="x")),1))),(IF(COUNTIF(J149:U149,"x")=0,IF(Besatzung!$B$20&lt;&gt;"",1,0),(S149="x"))*(G149-IFERROR(H149,0))/IFERROR(IF(COUNTIF(J149:U149,"x")=0,COUNTA(Besatzung!$B$11:$B$22),COUNTIF(J149:U149,"x")),1)+IF(COUNTIF(J149:U149,"x")=0,(Besatzung!$F$20="x"),(S149="x")*(Besatzung!$F$20="x"))*IFERROR(H149,0)/IFERROR(IF(COUNTIF(J149:U149,"x")=0,SUMPRODUCT((Besatzung!$B$11:$B$22&lt;&gt;"")*(Besatzung!$F$11:$F$22="x")),SUMPRODUCT((J149:U149="x")*(Besatzung!$F$11:$F$22="x"))),1))))),0))))</f>
        <v/>
      </c>
      <c r="AF149" s="106">
        <f>IF(C149="Gutschrift","",IF(G149="","",IF(Besatzung!$B$21="","",IFERROR(IF(I149="Zeitanteilig",(Besatzung!$G$21*(G149-IFERROR(H149,0))+((Besatzung!$B$21&lt;&gt;"")*IF(B149="",1,(IF(Besatzung!$C$21="",Besatzung!$B$5,Besatzung!$C$21)&lt;=B149)*(IF(Besatzung!$D$21="",Besatzung!$B$6,Besatzung!$D$21)&gt;=B149)))*(Besatzung!$F$21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$21&lt;&gt;"")*IF(B149="",1,(IF(Besatzung!$C$21="",Besatzung!$B$5,Besatzung!$C$21)&lt;=B149)*(IF(Besatzung!$D$21="",Besatzung!$B$6,Besatzung!$D$21)&gt;=B149)))*((G149-IFERROR(H149,0))/IFERROR(SUMPRODUCT((Besatzung!$B$11:$B$22&lt;&gt;"")*(IF(Besatzung!$C$11:$C$22="",Besatzung!$B$5,Besatzung!$C$11:$C$22)&lt;=B149)*(IF(Besatzung!$D$11:$D$22="",Besatzung!$B$6,Besatzung!$D$11:$D$22)&gt;=B149)),1)+(Besatzung!$F$21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T149="x")*((G149-IFERROR(H149,0))/IFERROR(COUNTIF(J149:U149,"x"),1)+(Besatzung!$F$21="x")*IFERROR(H149,0)/IFERROR(SUMPRODUCT((J149:U149="x")*(Besatzung!$F$11:$F$22="x")),1))),(IF(COUNTIF(J149:U149,"x")=0,IF(Besatzung!$B$21&lt;&gt;"",1,0),(T149="x"))*(G149-IFERROR(H149,0))/IFERROR(IF(COUNTIF(J149:U149,"x")=0,COUNTA(Besatzung!$B$11:$B$22),COUNTIF(J149:U149,"x")),1)+IF(COUNTIF(J149:U149,"x")=0,(Besatzung!$F$21="x"),(T149="x")*(Besatzung!$F$21="x"))*IFERROR(H149,0)/IFERROR(IF(COUNTIF(J149:U149,"x")=0,SUMPRODUCT((Besatzung!$B$11:$B$22&lt;&gt;"")*(Besatzung!$F$11:$F$22="x")),SUMPRODUCT((J149:U149="x")*(Besatzung!$F$11:$F$22="x"))),1))))),0))))</f>
        <v/>
      </c>
      <c r="AG149" s="106">
        <f>IF(C149="Gutschrift","",IF(G149="","",IF(Besatzung!$B$22="","",IFERROR(IF(I149="Zeitanteilig",(Besatzung!$G$22*(G149-IFERROR(H149,0))+((Besatzung!$B$22&lt;&gt;"")*IF(B149="",1,(IF(Besatzung!$C$22="",Besatzung!$B$5,Besatzung!$C$22)&lt;=B149)*(IF(Besatzung!$D$22="",Besatzung!$B$6,Besatzung!$D$22)&gt;=B149)))*(Besatzung!$F$22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$22&lt;&gt;"")*IF(B149="",1,(IF(Besatzung!$C$22="",Besatzung!$B$5,Besatzung!$C$22)&lt;=B149)*(IF(Besatzung!$D$22="",Besatzung!$B$6,Besatzung!$D$22)&gt;=B149)))*((G149-IFERROR(H149,0))/IFERROR(SUMPRODUCT((Besatzung!$B$11:$B$22&lt;&gt;"")*(IF(Besatzung!$C$11:$C$22="",Besatzung!$B$5,Besatzung!$C$11:$C$22)&lt;=B149)*(IF(Besatzung!$D$11:$D$22="",Besatzung!$B$6,Besatzung!$D$11:$D$22)&gt;=B149)),1)+(Besatzung!$F$22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U149="x")*((G149-IFERROR(H149,0))/IFERROR(COUNTIF(J149:U149,"x"),1)+(Besatzung!$F$22="x")*IFERROR(H149,0)/IFERROR(SUMPRODUCT((J149:U149="x")*(Besatzung!$F$11:$F$22="x")),1))),(IF(COUNTIF(J149:U149,"x")=0,IF(Besatzung!$B$22&lt;&gt;"",1,0),(U149="x"))*(G149-IFERROR(H149,0))/IFERROR(IF(COUNTIF(J149:U149,"x")=0,COUNTA(Besatzung!$B$11:$B$22),COUNTIF(J149:U149,"x")),1)+IF(COUNTIF(J149:U149,"x")=0,(Besatzung!$F$22="x"),(U149="x")*(Besatzung!$F$22="x"))*IFERROR(H149,0)/IFERROR(IF(COUNTIF(J149:U149,"x")=0,SUMPRODUCT((Besatzung!$B$11:$B$22&lt;&gt;"")*(Besatzung!$F$11:$F$22="x")),SUMPRODUCT((J149:U149="x")*(Besatzung!$F$11:$F$22="x"))),1))))),0))))</f>
        <v/>
      </c>
      <c r="AH149" s="107" t="n"/>
      <c r="AI149" s="107" t="n"/>
    </row>
    <row r="150" ht="21.75" customHeight="1" s="182">
      <c r="A150" s="97">
        <f>IF(AND(D150="",C150=""),"",147)</f>
        <v/>
      </c>
      <c r="B150" s="56" t="n"/>
      <c r="C150" s="98" t="n"/>
      <c r="D150" s="99" t="n"/>
      <c r="E150" s="100" t="n"/>
      <c r="F150" s="101" t="n"/>
      <c r="G150" s="102" t="n"/>
      <c r="H150" s="103" t="n"/>
      <c r="I150" s="104" t="n"/>
      <c r="J150" s="105" t="n"/>
      <c r="K150" s="105" t="n"/>
      <c r="L150" s="105" t="n"/>
      <c r="M150" s="105" t="n"/>
      <c r="N150" s="105" t="n"/>
      <c r="O150" s="105" t="n"/>
      <c r="P150" s="105" t="n"/>
      <c r="Q150" s="105" t="n"/>
      <c r="R150" s="105" t="n"/>
      <c r="S150" s="105" t="n"/>
      <c r="T150" s="105" t="n"/>
      <c r="U150" s="105" t="n"/>
      <c r="V150" s="106">
        <f>IF(C150="Gutschrift","",IF(G150="","",IF(Besatzung!$B$11="","",IFERROR(IF(I150="Zeitanteilig",(Besatzung!$G$11*(G150-IFERROR(H150,0))+((Besatzung!$B$11&lt;&gt;"")*IF(B150="",1,(IF(Besatzung!$C$11="",Besatzung!$B$5,Besatzung!$C$11)&lt;=B150)*(IF(Besatzung!$D$11="",Besatzung!$B$6,Besatzung!$D$11)&gt;=B150)))*(Besatzung!$F$11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$11&lt;&gt;"")*IF(B150="",1,(IF(Besatzung!$C$11="",Besatzung!$B$5,Besatzung!$C$11)&lt;=B150)*(IF(Besatzung!$D$11="",Besatzung!$B$6,Besatzung!$D$11)&gt;=B150)))*((G150-IFERROR(H150,0))/IFERROR(SUMPRODUCT((Besatzung!$B$11:$B$22&lt;&gt;"")*(IF(Besatzung!$C$11:$C$22="",Besatzung!$B$5,Besatzung!$C$11:$C$22)&lt;=B150)*(IF(Besatzung!$D$11:$D$22="",Besatzung!$B$6,Besatzung!$D$11:$D$22)&gt;=B150)),1)+(Besatzung!$F$11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J150="x")*((G150-IFERROR(H150,0))/IFERROR(COUNTIF(J150:U150,"x"),1)+(Besatzung!$F$11="x")*IFERROR(H150,0)/IFERROR(SUMPRODUCT((J150:U150="x")*(Besatzung!$F$11:$F$22="x")),1))),(IF(COUNTIF(J150:U150,"x")=0,IF(Besatzung!$B$11&lt;&gt;"",1,0),(J150="x"))*(G150-IFERROR(H150,0))/IFERROR(IF(COUNTIF(J150:U150,"x")=0,COUNTA(Besatzung!$B$11:$B$22),COUNTIF(J150:U150,"x")),1)+IF(COUNTIF(J150:U150,"x")=0,(Besatzung!$F$11="x"),(J150="x")*(Besatzung!$F$11="x"))*IFERROR(H150,0)/IFERROR(IF(COUNTIF(J150:U150,"x")=0,SUMPRODUCT((Besatzung!$B$11:$B$22&lt;&gt;"")*(Besatzung!$F$11:$F$22="x")),SUMPRODUCT((J150:U150="x")*(Besatzung!$F$11:$F$22="x"))),1))))),0))))</f>
        <v/>
      </c>
      <c r="W150" s="106">
        <f>IF(C150="Gutschrift","",IF(G150="","",IF(Besatzung!$B$12="","",IFERROR(IF(I150="Zeitanteilig",(Besatzung!$G$12*(G150-IFERROR(H150,0))+((Besatzung!$B$12&lt;&gt;"")*IF(B150="",1,(IF(Besatzung!$C$12="",Besatzung!$B$5,Besatzung!$C$12)&lt;=B150)*(IF(Besatzung!$D$12="",Besatzung!$B$6,Besatzung!$D$12)&gt;=B150)))*(Besatzung!$F$12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$12&lt;&gt;"")*IF(B150="",1,(IF(Besatzung!$C$12="",Besatzung!$B$5,Besatzung!$C$12)&lt;=B150)*(IF(Besatzung!$D$12="",Besatzung!$B$6,Besatzung!$D$12)&gt;=B150)))*((G150-IFERROR(H150,0))/IFERROR(SUMPRODUCT((Besatzung!$B$11:$B$22&lt;&gt;"")*(IF(Besatzung!$C$11:$C$22="",Besatzung!$B$5,Besatzung!$C$11:$C$22)&lt;=B150)*(IF(Besatzung!$D$11:$D$22="",Besatzung!$B$6,Besatzung!$D$11:$D$22)&gt;=B150)),1)+(Besatzung!$F$12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K150="x")*((G150-IFERROR(H150,0))/IFERROR(COUNTIF(J150:U150,"x"),1)+(Besatzung!$F$12="x")*IFERROR(H150,0)/IFERROR(SUMPRODUCT((J150:U150="x")*(Besatzung!$F$11:$F$22="x")),1))),(IF(COUNTIF(J150:U150,"x")=0,IF(Besatzung!$B$12&lt;&gt;"",1,0),(K150="x"))*(G150-IFERROR(H150,0))/IFERROR(IF(COUNTIF(J150:U150,"x")=0,COUNTA(Besatzung!$B$11:$B$22),COUNTIF(J150:U150,"x")),1)+IF(COUNTIF(J150:U150,"x")=0,(Besatzung!$F$12="x"),(K150="x")*(Besatzung!$F$12="x"))*IFERROR(H150,0)/IFERROR(IF(COUNTIF(J150:U150,"x")=0,SUMPRODUCT((Besatzung!$B$11:$B$22&lt;&gt;"")*(Besatzung!$F$11:$F$22="x")),SUMPRODUCT((J150:U150="x")*(Besatzung!$F$11:$F$22="x"))),1))))),0))))</f>
        <v/>
      </c>
      <c r="X150" s="106">
        <f>IF(C150="Gutschrift","",IF(G150="","",IF(Besatzung!$B$13="","",IFERROR(IF(I150="Zeitanteilig",(Besatzung!$G$13*(G150-IFERROR(H150,0))+((Besatzung!$B$13&lt;&gt;"")*IF(B150="",1,(IF(Besatzung!$C$13="",Besatzung!$B$5,Besatzung!$C$13)&lt;=B150)*(IF(Besatzung!$D$13="",Besatzung!$B$6,Besatzung!$D$13)&gt;=B150)))*(Besatzung!$F$13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$13&lt;&gt;"")*IF(B150="",1,(IF(Besatzung!$C$13="",Besatzung!$B$5,Besatzung!$C$13)&lt;=B150)*(IF(Besatzung!$D$13="",Besatzung!$B$6,Besatzung!$D$13)&gt;=B150)))*((G150-IFERROR(H150,0))/IFERROR(SUMPRODUCT((Besatzung!$B$11:$B$22&lt;&gt;"")*(IF(Besatzung!$C$11:$C$22="",Besatzung!$B$5,Besatzung!$C$11:$C$22)&lt;=B150)*(IF(Besatzung!$D$11:$D$22="",Besatzung!$B$6,Besatzung!$D$11:$D$22)&gt;=B150)),1)+(Besatzung!$F$13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K150="x")*((G150-IFERROR(H150,0))/IFERROR(COUNTIF(J150:U150,"x"),1)+(Besatzung!$F$13="x")*IFERROR(H150,0)/IFERROR(SUMPRODUCT((J150:U150="x")*(Besatzung!$F$11:$F$22="x")),1))),(IF(COUNTIF(J150:U150,"x")=0,IF(Besatzung!$B$13&lt;&gt;"",1,0),(K150="x"))*(G150-IFERROR(H150,0))/IFERROR(IF(COUNTIF(J150:U150,"x")=0,COUNTA(Besatzung!$B$11:$B$22),COUNTIF(J150:U150,"x")),1)+IF(COUNTIF(J150:U150,"x")=0,(Besatzung!$F$13="x"),(K150="x")*(Besatzung!$F$13="x"))*IFERROR(H150,0)/IFERROR(IF(COUNTIF(J150:U150,"x")=0,SUMPRODUCT((Besatzung!$B$11:$B$22&lt;&gt;"")*(Besatzung!$F$11:$F$22="x")),SUMPRODUCT((J150:U150="x")*(Besatzung!$F$11:$F$22="x"))),1))))),0))))</f>
        <v/>
      </c>
      <c r="Y150" s="106">
        <f>IF(C150="Gutschrift","",IF(G150="","",IF(Besatzung!$B$14="","",IFERROR(IF(I150="Zeitanteilig",(Besatzung!$G$14*(G150-IFERROR(H150,0))+((Besatzung!$B$14&lt;&gt;"")*IF(B150="",1,(IF(Besatzung!$C$14="",Besatzung!$B$5,Besatzung!$C$14)&lt;=B150)*(IF(Besatzung!$D$14="",Besatzung!$B$6,Besatzung!$D$14)&gt;=B150)))*(Besatzung!$F$14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$14&lt;&gt;"")*IF(B150="",1,(IF(Besatzung!$C$14="",Besatzung!$B$5,Besatzung!$C$14)&lt;=B150)*(IF(Besatzung!$D$14="",Besatzung!$B$6,Besatzung!$D$14)&gt;=B150)))*((G150-IFERROR(H150,0))/IFERROR(SUMPRODUCT((Besatzung!$B$11:$B$22&lt;&gt;"")*(IF(Besatzung!$C$11:$C$22="",Besatzung!$B$5,Besatzung!$C$11:$C$22)&lt;=B150)*(IF(Besatzung!$D$11:$D$22="",Besatzung!$B$6,Besatzung!$D$11:$D$22)&gt;=B150)),1)+(Besatzung!$F$14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M150="x")*((G150-IFERROR(H150,0))/IFERROR(COUNTIF(J150:U150,"x"),1)+(Besatzung!$F$14="x")*IFERROR(H150,0)/IFERROR(SUMPRODUCT((J150:U150="x")*(Besatzung!$F$11:$F$22="x")),1))),(IF(COUNTIF(J150:U150,"x")=0,IF(Besatzung!$B$14&lt;&gt;"",1,0),(M150="x"))*(G150-IFERROR(H150,0))/IFERROR(IF(COUNTIF(J150:U150,"x")=0,COUNTA(Besatzung!$B$11:$B$22),COUNTIF(J150:U150,"x")),1)+IF(COUNTIF(J150:U150,"x")=0,(Besatzung!$F$14="x"),(M150="x")*(Besatzung!$F$14="x"))*IFERROR(H150,0)/IFERROR(IF(COUNTIF(J150:U150,"x")=0,SUMPRODUCT((Besatzung!$B$11:$B$22&lt;&gt;"")*(Besatzung!$F$11:$F$22="x")),SUMPRODUCT((J150:U150="x")*(Besatzung!$F$11:$F$22="x"))),1))))),0))))</f>
        <v/>
      </c>
      <c r="Z150" s="106">
        <f>IF(C150="Gutschrift","",IF(G150="","",IF(Besatzung!$B$13="","",IFERROR(IF(I150="Zeitanteilig",(Besatzung!$G$15*(G150-IFERROR(H150,0))+((Besatzung!$B$13&lt;&gt;"")*IF(B150="",1,(IF(Besatzung!$C$15="",Besatzung!$B$5,Besatzung!$C$15)&lt;=B150)*(IF(Besatzung!$D$15="",Besatzung!$B$6,Besatzung!$D$15)&gt;=B150)))*(Besatzung!$F$15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$13&lt;&gt;"")*IF(B150="",1,(IF(Besatzung!$C$15="",Besatzung!$B$5,Besatzung!$C$15)&lt;=B150)*(IF(Besatzung!$D$15="",Besatzung!$B$6,Besatzung!$D$15)&gt;=B150)))*((G150-IFERROR(H150,0))/IFERROR(SUMPRODUCT((Besatzung!$B$11:$B$22&lt;&gt;"")*(IF(Besatzung!$C$11:$C$22="",Besatzung!$B$5,Besatzung!$C$11:$C$22)&lt;=B150)*(IF(Besatzung!$D$11:$D$22="",Besatzung!$B$6,Besatzung!$D$11:$D$22)&gt;=B150)),1)+(Besatzung!$F$15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N150="x")*((G150-IFERROR(H150,0))/IFERROR(COUNTIF(J150:U150,"x"),1)+(Besatzung!$F$15="x")*IFERROR(H150,0)/IFERROR(SUMPRODUCT((J150:U150="x")*(Besatzung!$F$11:$F$22="x")),1))),(IF(COUNTIF(J150:U150,"x")=0,IF(Besatzung!$B$13&lt;&gt;"",1,0),(N150="x"))*(G150-IFERROR(H150,0))/IFERROR(IF(COUNTIF(J150:U150,"x")=0,COUNTA(Besatzung!$B$11:$B$22),COUNTIF(J150:U150,"x")),1)+IF(COUNTIF(J150:U150,"x")=0,(Besatzung!$F$15="x"),(N150="x")*(Besatzung!$F$15="x"))*IFERROR(H150,0)/IFERROR(IF(COUNTIF(J150:U150,"x")=0,SUMPRODUCT((Besatzung!$B$11:$B$22&lt;&gt;"")*(Besatzung!$F$11:$F$22="x")),SUMPRODUCT((J150:U150="x")*(Besatzung!$F$11:$F$22="x"))),1))))),0))))</f>
        <v/>
      </c>
      <c r="AA150" s="106">
        <f>IF(C150="Gutschrift","",IF(G150="","",IF(Besatzung!$B$15="","",IFERROR(IF(I150="Zeitanteilig",(Besatzung!$G$16*(G150-IFERROR(H150,0))+((Besatzung!$B$15&lt;&gt;"")*IF(B150="",1,(IF(Besatzung!$C$16="",Besatzung!$B$5,Besatzung!$C$16)&lt;=B150)*(IF(Besatzung!$D$16="",Besatzung!$B$6,Besatzung!$D$16)&gt;=B150)))*(Besatzung!$F$16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$15&lt;&gt;"")*IF(B150="",1,(IF(Besatzung!$C$16="",Besatzung!$B$5,Besatzung!$C$16)&lt;=B150)*(IF(Besatzung!$D$16="",Besatzung!$B$6,Besatzung!$D$16)&gt;=B150)))*((G150-IFERROR(H150,0))/IFERROR(SUMPRODUCT((Besatzung!$B$11:$B$22&lt;&gt;"")*(IF(Besatzung!$C$11:$C$22="",Besatzung!$B$5,Besatzung!$C$11:$C$22)&lt;=B150)*(IF(Besatzung!$D$11:$D$22="",Besatzung!$B$6,Besatzung!$D$11:$D$22)&gt;=B150)),1)+(Besatzung!$F$16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O150="x")*((G150-IFERROR(H150,0))/IFERROR(COUNTIF(J150:U150,"x"),1)+(Besatzung!$F$16="x")*IFERROR(H150,0)/IFERROR(SUMPRODUCT((J150:U150="x")*(Besatzung!$F$11:$F$22="x")),1))),(IF(COUNTIF(J150:U150,"x")=0,IF(Besatzung!$B$15&lt;&gt;"",1,0),(O150="x"))*(G150-IFERROR(H150,0))/IFERROR(IF(COUNTIF(J150:U150,"x")=0,COUNTA(Besatzung!$B$11:$B$22),COUNTIF(J150:U150,"x")),1)+IF(COUNTIF(J150:U150,"x")=0,(Besatzung!$F$16="x"),(O150="x")*(Besatzung!$F$16="x"))*IFERROR(H150,0)/IFERROR(IF(COUNTIF(J150:U150,"x")=0,SUMPRODUCT((Besatzung!$B$11:$B$22&lt;&gt;"")*(Besatzung!$F$11:$F$22="x")),SUMPRODUCT((J150:U150="x")*(Besatzung!$F$11:$F$22="x"))),1))))),0))))</f>
        <v/>
      </c>
      <c r="AB150" s="106">
        <f>IF(C150="Gutschrift","",IF(G150="","",IF(Besatzung!$B$17="","",IFERROR(IF(I150="Zeitanteilig",(Besatzung!$G$17*(G150-IFERROR(H150,0))+((Besatzung!$B$17&lt;&gt;"")*IF(B150="",1,(IF(Besatzung!$C$17="",Besatzung!$B$5,Besatzung!$C$17)&lt;=B150)*(IF(Besatzung!$D$17="",Besatzung!$B$6,Besatzung!$D$17)&gt;=B150)))*(Besatzung!$F$17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$17&lt;&gt;"")*IF(B150="",1,(IF(Besatzung!$C$17="",Besatzung!$B$5,Besatzung!$C$17)&lt;=B150)*(IF(Besatzung!$D$17="",Besatzung!$B$6,Besatzung!$D$17)&gt;=B150)))*((G150-IFERROR(H150,0))/IFERROR(SUMPRODUCT((Besatzung!$B$11:$B$22&lt;&gt;"")*(IF(Besatzung!$C$11:$C$22="",Besatzung!$B$5,Besatzung!$C$11:$C$22)&lt;=B150)*(IF(Besatzung!$D$11:$D$22="",Besatzung!$B$6,Besatzung!$D$11:$D$22)&gt;=B150)),1)+(Besatzung!$F$17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P150="x")*((G150-IFERROR(H150,0))/IFERROR(COUNTIF(J150:U150,"x"),1)+(Besatzung!$F$17="x")*IFERROR(H150,0)/IFERROR(SUMPRODUCT((J150:U150="x")*(Besatzung!$F$11:$F$22="x")),1))),(IF(COUNTIF(J150:U150,"x")=0,IF(Besatzung!$B$17&lt;&gt;"",1,0),(P150="x"))*(G150-IFERROR(H150,0))/IFERROR(IF(COUNTIF(J150:U150,"x")=0,COUNTA(Besatzung!$B$11:$B$22),COUNTIF(J150:U150,"x")),1)+IF(COUNTIF(J150:U150,"x")=0,(Besatzung!$F$17="x"),(P150="x")*(Besatzung!$F$17="x"))*IFERROR(H150,0)/IFERROR(IF(COUNTIF(J150:U150,"x")=0,SUMPRODUCT((Besatzung!$B$11:$B$22&lt;&gt;"")*(Besatzung!$F$11:$F$22="x")),SUMPRODUCT((J150:U150="x")*(Besatzung!$F$11:$F$22="x"))),1))))),0))))</f>
        <v/>
      </c>
      <c r="AC150" s="106">
        <f>IF(C150="Gutschrift","",IF(G150="","",IF(Besatzung!$B$18="","",IFERROR(IF(I150="Zeitanteilig",(Besatzung!$G$18*(G150-IFERROR(H150,0))+((Besatzung!$B$18&lt;&gt;"")*IF(B150="",1,(IF(Besatzung!$C$18="",Besatzung!$B$5,Besatzung!$C$18)&lt;=B150)*(IF(Besatzung!$D$18="",Besatzung!$B$6,Besatzung!$D$18)&gt;=B150)))*(Besatzung!$F$18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$18&lt;&gt;"")*IF(B150="",1,(IF(Besatzung!$C$18="",Besatzung!$B$5,Besatzung!$C$18)&lt;=B150)*(IF(Besatzung!$D$18="",Besatzung!$B$6,Besatzung!$D$18)&gt;=B150)))*((G150-IFERROR(H150,0))/IFERROR(SUMPRODUCT((Besatzung!$B$11:$B$22&lt;&gt;"")*(IF(Besatzung!$C$11:$C$22="",Besatzung!$B$5,Besatzung!$C$11:$C$22)&lt;=B150)*(IF(Besatzung!$D$11:$D$22="",Besatzung!$B$6,Besatzung!$D$11:$D$22)&gt;=B150)),1)+(Besatzung!$F$18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Q150="x")*((G150-IFERROR(H150,0))/IFERROR(COUNTIF(J150:U150,"x"),1)+(Besatzung!$F$18="x")*IFERROR(H150,0)/IFERROR(SUMPRODUCT((J150:U150="x")*(Besatzung!$F$11:$F$22="x")),1))),(IF(COUNTIF(J150:U150,"x")=0,IF(Besatzung!$B$18&lt;&gt;"",1,0),(Q150="x"))*(G150-IFERROR(H150,0))/IFERROR(IF(COUNTIF(J150:U150,"x")=0,COUNTA(Besatzung!$B$11:$B$22),COUNTIF(J150:U150,"x")),1)+IF(COUNTIF(J150:U150,"x")=0,(Besatzung!$F$18="x"),(Q150="x")*(Besatzung!$F$18="x"))*IFERROR(H150,0)/IFERROR(IF(COUNTIF(J150:U150,"x")=0,SUMPRODUCT((Besatzung!$B$11:$B$22&lt;&gt;"")*(Besatzung!$F$11:$F$22="x")),SUMPRODUCT((J150:U150="x")*(Besatzung!$F$11:$F$22="x"))),1))))),0))))</f>
        <v/>
      </c>
      <c r="AD150" s="106">
        <f>IF(C150="Gutschrift","",IF(G150="","",IF(Besatzung!$B$19="","",IFERROR(IF(I150="Zeitanteilig",(Besatzung!$G$19*(G150-IFERROR(H150,0))+((Besatzung!$B$19&lt;&gt;"")*IF(B150="",1,(IF(Besatzung!$C$19="",Besatzung!$B$5,Besatzung!$C$19)&lt;=B150)*(IF(Besatzung!$D$19="",Besatzung!$B$6,Besatzung!$D$19)&gt;=B150)))*(Besatzung!$F$19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$19&lt;&gt;"")*IF(B150="",1,(IF(Besatzung!$C$19="",Besatzung!$B$5,Besatzung!$C$19)&lt;=B150)*(IF(Besatzung!$D$19="",Besatzung!$B$6,Besatzung!$D$19)&gt;=B150)))*((G150-IFERROR(H150,0))/IFERROR(SUMPRODUCT((Besatzung!$B$11:$B$22&lt;&gt;"")*(IF(Besatzung!$C$11:$C$22="",Besatzung!$B$5,Besatzung!$C$11:$C$22)&lt;=B150)*(IF(Besatzung!$D$11:$D$22="",Besatzung!$B$6,Besatzung!$D$11:$D$22)&gt;=B150)),1)+(Besatzung!$F$19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R150="x")*((G150-IFERROR(H150,0))/IFERROR(COUNTIF(J150:U150,"x"),1)+(Besatzung!$F$19="x")*IFERROR(H150,0)/IFERROR(SUMPRODUCT((J150:U150="x")*(Besatzung!$F$11:$F$22="x")),1))),(IF(COUNTIF(J150:U150,"x")=0,IF(Besatzung!$B$19&lt;&gt;"",1,0),(R150="x"))*(G150-IFERROR(H150,0))/IFERROR(IF(COUNTIF(J150:U150,"x")=0,COUNTA(Besatzung!$B$11:$B$22),COUNTIF(J150:U150,"x")),1)+IF(COUNTIF(J150:U150,"x")=0,(Besatzung!$F$19="x"),(R150="x")*(Besatzung!$F$19="x"))*IFERROR(H150,0)/IFERROR(IF(COUNTIF(J150:U150,"x")=0,SUMPRODUCT((Besatzung!$B$11:$B$22&lt;&gt;"")*(Besatzung!$F$11:$F$22="x")),SUMPRODUCT((J150:U150="x")*(Besatzung!$F$11:$F$22="x"))),1))))),0))))</f>
        <v/>
      </c>
      <c r="AE150" s="106">
        <f>IF(C150="Gutschrift","",IF(G150="","",IF(Besatzung!$B$20="","",IFERROR(IF(I150="Zeitanteilig",(Besatzung!$G$20*(G150-IFERROR(H150,0))+((Besatzung!$B$20&lt;&gt;"")*IF(B150="",1,(IF(Besatzung!$C$20="",Besatzung!$B$5,Besatzung!$C$20)&lt;=B150)*(IF(Besatzung!$D$20="",Besatzung!$B$6,Besatzung!$D$20)&gt;=B150)))*(Besatzung!$F$20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$20&lt;&gt;"")*IF(B150="",1,(IF(Besatzung!$C$20="",Besatzung!$B$5,Besatzung!$C$20)&lt;=B150)*(IF(Besatzung!$D$20="",Besatzung!$B$6,Besatzung!$D$20)&gt;=B150)))*((G150-IFERROR(H150,0))/IFERROR(SUMPRODUCT((Besatzung!$B$11:$B$22&lt;&gt;"")*(IF(Besatzung!$C$11:$C$22="",Besatzung!$B$5,Besatzung!$C$11:$C$22)&lt;=B150)*(IF(Besatzung!$D$11:$D$22="",Besatzung!$B$6,Besatzung!$D$11:$D$22)&gt;=B150)),1)+(Besatzung!$F$20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S150="x")*((G150-IFERROR(H150,0))/IFERROR(COUNTIF(J150:U150,"x"),1)+(Besatzung!$F$20="x")*IFERROR(H150,0)/IFERROR(SUMPRODUCT((J150:U150="x")*(Besatzung!$F$11:$F$22="x")),1))),(IF(COUNTIF(J150:U150,"x")=0,IF(Besatzung!$B$20&lt;&gt;"",1,0),(S150="x"))*(G150-IFERROR(H150,0))/IFERROR(IF(COUNTIF(J150:U150,"x")=0,COUNTA(Besatzung!$B$11:$B$22),COUNTIF(J150:U150,"x")),1)+IF(COUNTIF(J150:U150,"x")=0,(Besatzung!$F$20="x"),(S150="x")*(Besatzung!$F$20="x"))*IFERROR(H150,0)/IFERROR(IF(COUNTIF(J150:U150,"x")=0,SUMPRODUCT((Besatzung!$B$11:$B$22&lt;&gt;"")*(Besatzung!$F$11:$F$22="x")),SUMPRODUCT((J150:U150="x")*(Besatzung!$F$11:$F$22="x"))),1))))),0))))</f>
        <v/>
      </c>
      <c r="AF150" s="106">
        <f>IF(C150="Gutschrift","",IF(G150="","",IF(Besatzung!$B$21="","",IFERROR(IF(I150="Zeitanteilig",(Besatzung!$G$21*(G150-IFERROR(H150,0))+((Besatzung!$B$21&lt;&gt;"")*IF(B150="",1,(IF(Besatzung!$C$21="",Besatzung!$B$5,Besatzung!$C$21)&lt;=B150)*(IF(Besatzung!$D$21="",Besatzung!$B$6,Besatzung!$D$21)&gt;=B150)))*(Besatzung!$F$21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$21&lt;&gt;"")*IF(B150="",1,(IF(Besatzung!$C$21="",Besatzung!$B$5,Besatzung!$C$21)&lt;=B150)*(IF(Besatzung!$D$21="",Besatzung!$B$6,Besatzung!$D$21)&gt;=B150)))*((G150-IFERROR(H150,0))/IFERROR(SUMPRODUCT((Besatzung!$B$11:$B$22&lt;&gt;"")*(IF(Besatzung!$C$11:$C$22="",Besatzung!$B$5,Besatzung!$C$11:$C$22)&lt;=B150)*(IF(Besatzung!$D$11:$D$22="",Besatzung!$B$6,Besatzung!$D$11:$D$22)&gt;=B150)),1)+(Besatzung!$F$21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T150="x")*((G150-IFERROR(H150,0))/IFERROR(COUNTIF(J150:U150,"x"),1)+(Besatzung!$F$21="x")*IFERROR(H150,0)/IFERROR(SUMPRODUCT((J150:U150="x")*(Besatzung!$F$11:$F$22="x")),1))),(IF(COUNTIF(J150:U150,"x")=0,IF(Besatzung!$B$21&lt;&gt;"",1,0),(T150="x"))*(G150-IFERROR(H150,0))/IFERROR(IF(COUNTIF(J150:U150,"x")=0,COUNTA(Besatzung!$B$11:$B$22),COUNTIF(J150:U150,"x")),1)+IF(COUNTIF(J150:U150,"x")=0,(Besatzung!$F$21="x"),(T150="x")*(Besatzung!$F$21="x"))*IFERROR(H150,0)/IFERROR(IF(COUNTIF(J150:U150,"x")=0,SUMPRODUCT((Besatzung!$B$11:$B$22&lt;&gt;"")*(Besatzung!$F$11:$F$22="x")),SUMPRODUCT((J150:U150="x")*(Besatzung!$F$11:$F$22="x"))),1))))),0))))</f>
        <v/>
      </c>
      <c r="AG150" s="106">
        <f>IF(C150="Gutschrift","",IF(G150="","",IF(Besatzung!$B$22="","",IFERROR(IF(I150="Zeitanteilig",(Besatzung!$G$22*(G150-IFERROR(H150,0))+((Besatzung!$B$22&lt;&gt;"")*IF(B150="",1,(IF(Besatzung!$C$22="",Besatzung!$B$5,Besatzung!$C$22)&lt;=B150)*(IF(Besatzung!$D$22="",Besatzung!$B$6,Besatzung!$D$22)&gt;=B150)))*(Besatzung!$F$22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$22&lt;&gt;"")*IF(B150="",1,(IF(Besatzung!$C$22="",Besatzung!$B$5,Besatzung!$C$22)&lt;=B150)*(IF(Besatzung!$D$22="",Besatzung!$B$6,Besatzung!$D$22)&gt;=B150)))*((G150-IFERROR(H150,0))/IFERROR(SUMPRODUCT((Besatzung!$B$11:$B$22&lt;&gt;"")*(IF(Besatzung!$C$11:$C$22="",Besatzung!$B$5,Besatzung!$C$11:$C$22)&lt;=B150)*(IF(Besatzung!$D$11:$D$22="",Besatzung!$B$6,Besatzung!$D$11:$D$22)&gt;=B150)),1)+(Besatzung!$F$22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U150="x")*((G150-IFERROR(H150,0))/IFERROR(COUNTIF(J150:U150,"x"),1)+(Besatzung!$F$22="x")*IFERROR(H150,0)/IFERROR(SUMPRODUCT((J150:U150="x")*(Besatzung!$F$11:$F$22="x")),1))),(IF(COUNTIF(J150:U150,"x")=0,IF(Besatzung!$B$22&lt;&gt;"",1,0),(U150="x"))*(G150-IFERROR(H150,0))/IFERROR(IF(COUNTIF(J150:U150,"x")=0,COUNTA(Besatzung!$B$11:$B$22),COUNTIF(J150:U150,"x")),1)+IF(COUNTIF(J150:U150,"x")=0,(Besatzung!$F$22="x"),(U150="x")*(Besatzung!$F$22="x"))*IFERROR(H150,0)/IFERROR(IF(COUNTIF(J150:U150,"x")=0,SUMPRODUCT((Besatzung!$B$11:$B$22&lt;&gt;"")*(Besatzung!$F$11:$F$22="x")),SUMPRODUCT((J150:U150="x")*(Besatzung!$F$11:$F$22="x"))),1))))),0))))</f>
        <v/>
      </c>
      <c r="AH150" s="107" t="n"/>
      <c r="AI150" s="107" t="n"/>
    </row>
    <row r="151" ht="21.75" customHeight="1" s="182">
      <c r="A151" s="97">
        <f>IF(AND(D151="",C151=""),"",148)</f>
        <v/>
      </c>
      <c r="B151" s="63" t="n"/>
      <c r="C151" s="108" t="n"/>
      <c r="D151" s="109" t="n"/>
      <c r="E151" s="110" t="n"/>
      <c r="F151" s="111" t="n"/>
      <c r="G151" s="112" t="n"/>
      <c r="H151" s="113" t="n"/>
      <c r="I151" s="114" t="n"/>
      <c r="J151" s="115" t="n"/>
      <c r="K151" s="115" t="n"/>
      <c r="L151" s="115" t="n"/>
      <c r="M151" s="115" t="n"/>
      <c r="N151" s="115" t="n"/>
      <c r="O151" s="115" t="n"/>
      <c r="P151" s="115" t="n"/>
      <c r="Q151" s="115" t="n"/>
      <c r="R151" s="115" t="n"/>
      <c r="S151" s="115" t="n"/>
      <c r="T151" s="115" t="n"/>
      <c r="U151" s="115" t="n"/>
      <c r="V151" s="106">
        <f>IF(C151="Gutschrift","",IF(G151="","",IF(Besatzung!$B$11="","",IFERROR(IF(I151="Zeitanteilig",(Besatzung!$G$11*(G151-IFERROR(H151,0))+((Besatzung!$B$11&lt;&gt;"")*IF(B151="",1,(IF(Besatzung!$C$11="",Besatzung!$B$5,Besatzung!$C$11)&lt;=B151)*(IF(Besatzung!$D$11="",Besatzung!$B$6,Besatzung!$D$11)&gt;=B151)))*(Besatzung!$F$11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$11&lt;&gt;"")*IF(B151="",1,(IF(Besatzung!$C$11="",Besatzung!$B$5,Besatzung!$C$11)&lt;=B151)*(IF(Besatzung!$D$11="",Besatzung!$B$6,Besatzung!$D$11)&gt;=B151)))*((G151-IFERROR(H151,0))/IFERROR(SUMPRODUCT((Besatzung!$B$11:$B$22&lt;&gt;"")*(IF(Besatzung!$C$11:$C$22="",Besatzung!$B$5,Besatzung!$C$11:$C$22)&lt;=B151)*(IF(Besatzung!$D$11:$D$22="",Besatzung!$B$6,Besatzung!$D$11:$D$22)&gt;=B151)),1)+(Besatzung!$F$11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J151="x")*((G151-IFERROR(H151,0))/IFERROR(COUNTIF(J151:U151,"x"),1)+(Besatzung!$F$11="x")*IFERROR(H151,0)/IFERROR(SUMPRODUCT((J151:U151="x")*(Besatzung!$F$11:$F$22="x")),1))),(IF(COUNTIF(J151:U151,"x")=0,IF(Besatzung!$B$11&lt;&gt;"",1,0),(J151="x"))*(G151-IFERROR(H151,0))/IFERROR(IF(COUNTIF(J151:U151,"x")=0,COUNTA(Besatzung!$B$11:$B$22),COUNTIF(J151:U151,"x")),1)+IF(COUNTIF(J151:U151,"x")=0,(Besatzung!$F$11="x"),(J151="x")*(Besatzung!$F$11="x"))*IFERROR(H151,0)/IFERROR(IF(COUNTIF(J151:U151,"x")=0,SUMPRODUCT((Besatzung!$B$11:$B$22&lt;&gt;"")*(Besatzung!$F$11:$F$22="x")),SUMPRODUCT((J151:U151="x")*(Besatzung!$F$11:$F$22="x"))),1))))),0))))</f>
        <v/>
      </c>
      <c r="W151" s="106">
        <f>IF(C151="Gutschrift","",IF(G151="","",IF(Besatzung!$B$12="","",IFERROR(IF(I151="Zeitanteilig",(Besatzung!$G$12*(G151-IFERROR(H151,0))+((Besatzung!$B$12&lt;&gt;"")*IF(B151="",1,(IF(Besatzung!$C$12="",Besatzung!$B$5,Besatzung!$C$12)&lt;=B151)*(IF(Besatzung!$D$12="",Besatzung!$B$6,Besatzung!$D$12)&gt;=B151)))*(Besatzung!$F$12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$12&lt;&gt;"")*IF(B151="",1,(IF(Besatzung!$C$12="",Besatzung!$B$5,Besatzung!$C$12)&lt;=B151)*(IF(Besatzung!$D$12="",Besatzung!$B$6,Besatzung!$D$12)&gt;=B151)))*((G151-IFERROR(H151,0))/IFERROR(SUMPRODUCT((Besatzung!$B$11:$B$22&lt;&gt;"")*(IF(Besatzung!$C$11:$C$22="",Besatzung!$B$5,Besatzung!$C$11:$C$22)&lt;=B151)*(IF(Besatzung!$D$11:$D$22="",Besatzung!$B$6,Besatzung!$D$11:$D$22)&gt;=B151)),1)+(Besatzung!$F$12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K151="x")*((G151-IFERROR(H151,0))/IFERROR(COUNTIF(J151:U151,"x"),1)+(Besatzung!$F$12="x")*IFERROR(H151,0)/IFERROR(SUMPRODUCT((J151:U151="x")*(Besatzung!$F$11:$F$22="x")),1))),(IF(COUNTIF(J151:U151,"x")=0,IF(Besatzung!$B$12&lt;&gt;"",1,0),(K151="x"))*(G151-IFERROR(H151,0))/IFERROR(IF(COUNTIF(J151:U151,"x")=0,COUNTA(Besatzung!$B$11:$B$22),COUNTIF(J151:U151,"x")),1)+IF(COUNTIF(J151:U151,"x")=0,(Besatzung!$F$12="x"),(K151="x")*(Besatzung!$F$12="x"))*IFERROR(H151,0)/IFERROR(IF(COUNTIF(J151:U151,"x")=0,SUMPRODUCT((Besatzung!$B$11:$B$22&lt;&gt;"")*(Besatzung!$F$11:$F$22="x")),SUMPRODUCT((J151:U151="x")*(Besatzung!$F$11:$F$22="x"))),1))))),0))))</f>
        <v/>
      </c>
      <c r="X151" s="106">
        <f>IF(C151="Gutschrift","",IF(G151="","",IF(Besatzung!$B$13="","",IFERROR(IF(I151="Zeitanteilig",(Besatzung!$G$13*(G151-IFERROR(H151,0))+((Besatzung!$B$13&lt;&gt;"")*IF(B151="",1,(IF(Besatzung!$C$13="",Besatzung!$B$5,Besatzung!$C$13)&lt;=B151)*(IF(Besatzung!$D$13="",Besatzung!$B$6,Besatzung!$D$13)&gt;=B151)))*(Besatzung!$F$13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$13&lt;&gt;"")*IF(B151="",1,(IF(Besatzung!$C$13="",Besatzung!$B$5,Besatzung!$C$13)&lt;=B151)*(IF(Besatzung!$D$13="",Besatzung!$B$6,Besatzung!$D$13)&gt;=B151)))*((G151-IFERROR(H151,0))/IFERROR(SUMPRODUCT((Besatzung!$B$11:$B$22&lt;&gt;"")*(IF(Besatzung!$C$11:$C$22="",Besatzung!$B$5,Besatzung!$C$11:$C$22)&lt;=B151)*(IF(Besatzung!$D$11:$D$22="",Besatzung!$B$6,Besatzung!$D$11:$D$22)&gt;=B151)),1)+(Besatzung!$F$13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K151="x")*((G151-IFERROR(H151,0))/IFERROR(COUNTIF(J151:U151,"x"),1)+(Besatzung!$F$13="x")*IFERROR(H151,0)/IFERROR(SUMPRODUCT((J151:U151="x")*(Besatzung!$F$11:$F$22="x")),1))),(IF(COUNTIF(J151:U151,"x")=0,IF(Besatzung!$B$13&lt;&gt;"",1,0),(K151="x"))*(G151-IFERROR(H151,0))/IFERROR(IF(COUNTIF(J151:U151,"x")=0,COUNTA(Besatzung!$B$11:$B$22),COUNTIF(J151:U151,"x")),1)+IF(COUNTIF(J151:U151,"x")=0,(Besatzung!$F$13="x"),(K151="x")*(Besatzung!$F$13="x"))*IFERROR(H151,0)/IFERROR(IF(COUNTIF(J151:U151,"x")=0,SUMPRODUCT((Besatzung!$B$11:$B$22&lt;&gt;"")*(Besatzung!$F$11:$F$22="x")),SUMPRODUCT((J151:U151="x")*(Besatzung!$F$11:$F$22="x"))),1))))),0))))</f>
        <v/>
      </c>
      <c r="Y151" s="106">
        <f>IF(C151="Gutschrift","",IF(G151="","",IF(Besatzung!$B$14="","",IFERROR(IF(I151="Zeitanteilig",(Besatzung!$G$14*(G151-IFERROR(H151,0))+((Besatzung!$B$14&lt;&gt;"")*IF(B151="",1,(IF(Besatzung!$C$14="",Besatzung!$B$5,Besatzung!$C$14)&lt;=B151)*(IF(Besatzung!$D$14="",Besatzung!$B$6,Besatzung!$D$14)&gt;=B151)))*(Besatzung!$F$14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$14&lt;&gt;"")*IF(B151="",1,(IF(Besatzung!$C$14="",Besatzung!$B$5,Besatzung!$C$14)&lt;=B151)*(IF(Besatzung!$D$14="",Besatzung!$B$6,Besatzung!$D$14)&gt;=B151)))*((G151-IFERROR(H151,0))/IFERROR(SUMPRODUCT((Besatzung!$B$11:$B$22&lt;&gt;"")*(IF(Besatzung!$C$11:$C$22="",Besatzung!$B$5,Besatzung!$C$11:$C$22)&lt;=B151)*(IF(Besatzung!$D$11:$D$22="",Besatzung!$B$6,Besatzung!$D$11:$D$22)&gt;=B151)),1)+(Besatzung!$F$14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M151="x")*((G151-IFERROR(H151,0))/IFERROR(COUNTIF(J151:U151,"x"),1)+(Besatzung!$F$14="x")*IFERROR(H151,0)/IFERROR(SUMPRODUCT((J151:U151="x")*(Besatzung!$F$11:$F$22="x")),1))),(IF(COUNTIF(J151:U151,"x")=0,IF(Besatzung!$B$14&lt;&gt;"",1,0),(M151="x"))*(G151-IFERROR(H151,0))/IFERROR(IF(COUNTIF(J151:U151,"x")=0,COUNTA(Besatzung!$B$11:$B$22),COUNTIF(J151:U151,"x")),1)+IF(COUNTIF(J151:U151,"x")=0,(Besatzung!$F$14="x"),(M151="x")*(Besatzung!$F$14="x"))*IFERROR(H151,0)/IFERROR(IF(COUNTIF(J151:U151,"x")=0,SUMPRODUCT((Besatzung!$B$11:$B$22&lt;&gt;"")*(Besatzung!$F$11:$F$22="x")),SUMPRODUCT((J151:U151="x")*(Besatzung!$F$11:$F$22="x"))),1))))),0))))</f>
        <v/>
      </c>
      <c r="Z151" s="106">
        <f>IF(C151="Gutschrift","",IF(G151="","",IF(Besatzung!$B$13="","",IFERROR(IF(I151="Zeitanteilig",(Besatzung!$G$15*(G151-IFERROR(H151,0))+((Besatzung!$B$13&lt;&gt;"")*IF(B151="",1,(IF(Besatzung!$C$15="",Besatzung!$B$5,Besatzung!$C$15)&lt;=B151)*(IF(Besatzung!$D$15="",Besatzung!$B$6,Besatzung!$D$15)&gt;=B151)))*(Besatzung!$F$15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$13&lt;&gt;"")*IF(B151="",1,(IF(Besatzung!$C$15="",Besatzung!$B$5,Besatzung!$C$15)&lt;=B151)*(IF(Besatzung!$D$15="",Besatzung!$B$6,Besatzung!$D$15)&gt;=B151)))*((G151-IFERROR(H151,0))/IFERROR(SUMPRODUCT((Besatzung!$B$11:$B$22&lt;&gt;"")*(IF(Besatzung!$C$11:$C$22="",Besatzung!$B$5,Besatzung!$C$11:$C$22)&lt;=B151)*(IF(Besatzung!$D$11:$D$22="",Besatzung!$B$6,Besatzung!$D$11:$D$22)&gt;=B151)),1)+(Besatzung!$F$15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N151="x")*((G151-IFERROR(H151,0))/IFERROR(COUNTIF(J151:U151,"x"),1)+(Besatzung!$F$15="x")*IFERROR(H151,0)/IFERROR(SUMPRODUCT((J151:U151="x")*(Besatzung!$F$11:$F$22="x")),1))),(IF(COUNTIF(J151:U151,"x")=0,IF(Besatzung!$B$13&lt;&gt;"",1,0),(N151="x"))*(G151-IFERROR(H151,0))/IFERROR(IF(COUNTIF(J151:U151,"x")=0,COUNTA(Besatzung!$B$11:$B$22),COUNTIF(J151:U151,"x")),1)+IF(COUNTIF(J151:U151,"x")=0,(Besatzung!$F$15="x"),(N151="x")*(Besatzung!$F$15="x"))*IFERROR(H151,0)/IFERROR(IF(COUNTIF(J151:U151,"x")=0,SUMPRODUCT((Besatzung!$B$11:$B$22&lt;&gt;"")*(Besatzung!$F$11:$F$22="x")),SUMPRODUCT((J151:U151="x")*(Besatzung!$F$11:$F$22="x"))),1))))),0))))</f>
        <v/>
      </c>
      <c r="AA151" s="106">
        <f>IF(C151="Gutschrift","",IF(G151="","",IF(Besatzung!$B$15="","",IFERROR(IF(I151="Zeitanteilig",(Besatzung!$G$16*(G151-IFERROR(H151,0))+((Besatzung!$B$15&lt;&gt;"")*IF(B151="",1,(IF(Besatzung!$C$16="",Besatzung!$B$5,Besatzung!$C$16)&lt;=B151)*(IF(Besatzung!$D$16="",Besatzung!$B$6,Besatzung!$D$16)&gt;=B151)))*(Besatzung!$F$16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$15&lt;&gt;"")*IF(B151="",1,(IF(Besatzung!$C$16="",Besatzung!$B$5,Besatzung!$C$16)&lt;=B151)*(IF(Besatzung!$D$16="",Besatzung!$B$6,Besatzung!$D$16)&gt;=B151)))*((G151-IFERROR(H151,0))/IFERROR(SUMPRODUCT((Besatzung!$B$11:$B$22&lt;&gt;"")*(IF(Besatzung!$C$11:$C$22="",Besatzung!$B$5,Besatzung!$C$11:$C$22)&lt;=B151)*(IF(Besatzung!$D$11:$D$22="",Besatzung!$B$6,Besatzung!$D$11:$D$22)&gt;=B151)),1)+(Besatzung!$F$16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O151="x")*((G151-IFERROR(H151,0))/IFERROR(COUNTIF(J151:U151,"x"),1)+(Besatzung!$F$16="x")*IFERROR(H151,0)/IFERROR(SUMPRODUCT((J151:U151="x")*(Besatzung!$F$11:$F$22="x")),1))),(IF(COUNTIF(J151:U151,"x")=0,IF(Besatzung!$B$15&lt;&gt;"",1,0),(O151="x"))*(G151-IFERROR(H151,0))/IFERROR(IF(COUNTIF(J151:U151,"x")=0,COUNTA(Besatzung!$B$11:$B$22),COUNTIF(J151:U151,"x")),1)+IF(COUNTIF(J151:U151,"x")=0,(Besatzung!$F$16="x"),(O151="x")*(Besatzung!$F$16="x"))*IFERROR(H151,0)/IFERROR(IF(COUNTIF(J151:U151,"x")=0,SUMPRODUCT((Besatzung!$B$11:$B$22&lt;&gt;"")*(Besatzung!$F$11:$F$22="x")),SUMPRODUCT((J151:U151="x")*(Besatzung!$F$11:$F$22="x"))),1))))),0))))</f>
        <v/>
      </c>
      <c r="AB151" s="106">
        <f>IF(C151="Gutschrift","",IF(G151="","",IF(Besatzung!$B$17="","",IFERROR(IF(I151="Zeitanteilig",(Besatzung!$G$17*(G151-IFERROR(H151,0))+((Besatzung!$B$17&lt;&gt;"")*IF(B151="",1,(IF(Besatzung!$C$17="",Besatzung!$B$5,Besatzung!$C$17)&lt;=B151)*(IF(Besatzung!$D$17="",Besatzung!$B$6,Besatzung!$D$17)&gt;=B151)))*(Besatzung!$F$17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$17&lt;&gt;"")*IF(B151="",1,(IF(Besatzung!$C$17="",Besatzung!$B$5,Besatzung!$C$17)&lt;=B151)*(IF(Besatzung!$D$17="",Besatzung!$B$6,Besatzung!$D$17)&gt;=B151)))*((G151-IFERROR(H151,0))/IFERROR(SUMPRODUCT((Besatzung!$B$11:$B$22&lt;&gt;"")*(IF(Besatzung!$C$11:$C$22="",Besatzung!$B$5,Besatzung!$C$11:$C$22)&lt;=B151)*(IF(Besatzung!$D$11:$D$22="",Besatzung!$B$6,Besatzung!$D$11:$D$22)&gt;=B151)),1)+(Besatzung!$F$17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P151="x")*((G151-IFERROR(H151,0))/IFERROR(COUNTIF(J151:U151,"x"),1)+(Besatzung!$F$17="x")*IFERROR(H151,0)/IFERROR(SUMPRODUCT((J151:U151="x")*(Besatzung!$F$11:$F$22="x")),1))),(IF(COUNTIF(J151:U151,"x")=0,IF(Besatzung!$B$17&lt;&gt;"",1,0),(P151="x"))*(G151-IFERROR(H151,0))/IFERROR(IF(COUNTIF(J151:U151,"x")=0,COUNTA(Besatzung!$B$11:$B$22),COUNTIF(J151:U151,"x")),1)+IF(COUNTIF(J151:U151,"x")=0,(Besatzung!$F$17="x"),(P151="x")*(Besatzung!$F$17="x"))*IFERROR(H151,0)/IFERROR(IF(COUNTIF(J151:U151,"x")=0,SUMPRODUCT((Besatzung!$B$11:$B$22&lt;&gt;"")*(Besatzung!$F$11:$F$22="x")),SUMPRODUCT((J151:U151="x")*(Besatzung!$F$11:$F$22="x"))),1))))),0))))</f>
        <v/>
      </c>
      <c r="AC151" s="106">
        <f>IF(C151="Gutschrift","",IF(G151="","",IF(Besatzung!$B$18="","",IFERROR(IF(I151="Zeitanteilig",(Besatzung!$G$18*(G151-IFERROR(H151,0))+((Besatzung!$B$18&lt;&gt;"")*IF(B151="",1,(IF(Besatzung!$C$18="",Besatzung!$B$5,Besatzung!$C$18)&lt;=B151)*(IF(Besatzung!$D$18="",Besatzung!$B$6,Besatzung!$D$18)&gt;=B151)))*(Besatzung!$F$18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$18&lt;&gt;"")*IF(B151="",1,(IF(Besatzung!$C$18="",Besatzung!$B$5,Besatzung!$C$18)&lt;=B151)*(IF(Besatzung!$D$18="",Besatzung!$B$6,Besatzung!$D$18)&gt;=B151)))*((G151-IFERROR(H151,0))/IFERROR(SUMPRODUCT((Besatzung!$B$11:$B$22&lt;&gt;"")*(IF(Besatzung!$C$11:$C$22="",Besatzung!$B$5,Besatzung!$C$11:$C$22)&lt;=B151)*(IF(Besatzung!$D$11:$D$22="",Besatzung!$B$6,Besatzung!$D$11:$D$22)&gt;=B151)),1)+(Besatzung!$F$18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Q151="x")*((G151-IFERROR(H151,0))/IFERROR(COUNTIF(J151:U151,"x"),1)+(Besatzung!$F$18="x")*IFERROR(H151,0)/IFERROR(SUMPRODUCT((J151:U151="x")*(Besatzung!$F$11:$F$22="x")),1))),(IF(COUNTIF(J151:U151,"x")=0,IF(Besatzung!$B$18&lt;&gt;"",1,0),(Q151="x"))*(G151-IFERROR(H151,0))/IFERROR(IF(COUNTIF(J151:U151,"x")=0,COUNTA(Besatzung!$B$11:$B$22),COUNTIF(J151:U151,"x")),1)+IF(COUNTIF(J151:U151,"x")=0,(Besatzung!$F$18="x"),(Q151="x")*(Besatzung!$F$18="x"))*IFERROR(H151,0)/IFERROR(IF(COUNTIF(J151:U151,"x")=0,SUMPRODUCT((Besatzung!$B$11:$B$22&lt;&gt;"")*(Besatzung!$F$11:$F$22="x")),SUMPRODUCT((J151:U151="x")*(Besatzung!$F$11:$F$22="x"))),1))))),0))))</f>
        <v/>
      </c>
      <c r="AD151" s="106">
        <f>IF(C151="Gutschrift","",IF(G151="","",IF(Besatzung!$B$19="","",IFERROR(IF(I151="Zeitanteilig",(Besatzung!$G$19*(G151-IFERROR(H151,0))+((Besatzung!$B$19&lt;&gt;"")*IF(B151="",1,(IF(Besatzung!$C$19="",Besatzung!$B$5,Besatzung!$C$19)&lt;=B151)*(IF(Besatzung!$D$19="",Besatzung!$B$6,Besatzung!$D$19)&gt;=B151)))*(Besatzung!$F$19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$19&lt;&gt;"")*IF(B151="",1,(IF(Besatzung!$C$19="",Besatzung!$B$5,Besatzung!$C$19)&lt;=B151)*(IF(Besatzung!$D$19="",Besatzung!$B$6,Besatzung!$D$19)&gt;=B151)))*((G151-IFERROR(H151,0))/IFERROR(SUMPRODUCT((Besatzung!$B$11:$B$22&lt;&gt;"")*(IF(Besatzung!$C$11:$C$22="",Besatzung!$B$5,Besatzung!$C$11:$C$22)&lt;=B151)*(IF(Besatzung!$D$11:$D$22="",Besatzung!$B$6,Besatzung!$D$11:$D$22)&gt;=B151)),1)+(Besatzung!$F$19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R151="x")*((G151-IFERROR(H151,0))/IFERROR(COUNTIF(J151:U151,"x"),1)+(Besatzung!$F$19="x")*IFERROR(H151,0)/IFERROR(SUMPRODUCT((J151:U151="x")*(Besatzung!$F$11:$F$22="x")),1))),(IF(COUNTIF(J151:U151,"x")=0,IF(Besatzung!$B$19&lt;&gt;"",1,0),(R151="x"))*(G151-IFERROR(H151,0))/IFERROR(IF(COUNTIF(J151:U151,"x")=0,COUNTA(Besatzung!$B$11:$B$22),COUNTIF(J151:U151,"x")),1)+IF(COUNTIF(J151:U151,"x")=0,(Besatzung!$F$19="x"),(R151="x")*(Besatzung!$F$19="x"))*IFERROR(H151,0)/IFERROR(IF(COUNTIF(J151:U151,"x")=0,SUMPRODUCT((Besatzung!$B$11:$B$22&lt;&gt;"")*(Besatzung!$F$11:$F$22="x")),SUMPRODUCT((J151:U151="x")*(Besatzung!$F$11:$F$22="x"))),1))))),0))))</f>
        <v/>
      </c>
      <c r="AE151" s="106">
        <f>IF(C151="Gutschrift","",IF(G151="","",IF(Besatzung!$B$20="","",IFERROR(IF(I151="Zeitanteilig",(Besatzung!$G$20*(G151-IFERROR(H151,0))+((Besatzung!$B$20&lt;&gt;"")*IF(B151="",1,(IF(Besatzung!$C$20="",Besatzung!$B$5,Besatzung!$C$20)&lt;=B151)*(IF(Besatzung!$D$20="",Besatzung!$B$6,Besatzung!$D$20)&gt;=B151)))*(Besatzung!$F$20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$20&lt;&gt;"")*IF(B151="",1,(IF(Besatzung!$C$20="",Besatzung!$B$5,Besatzung!$C$20)&lt;=B151)*(IF(Besatzung!$D$20="",Besatzung!$B$6,Besatzung!$D$20)&gt;=B151)))*((G151-IFERROR(H151,0))/IFERROR(SUMPRODUCT((Besatzung!$B$11:$B$22&lt;&gt;"")*(IF(Besatzung!$C$11:$C$22="",Besatzung!$B$5,Besatzung!$C$11:$C$22)&lt;=B151)*(IF(Besatzung!$D$11:$D$22="",Besatzung!$B$6,Besatzung!$D$11:$D$22)&gt;=B151)),1)+(Besatzung!$F$20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S151="x")*((G151-IFERROR(H151,0))/IFERROR(COUNTIF(J151:U151,"x"),1)+(Besatzung!$F$20="x")*IFERROR(H151,0)/IFERROR(SUMPRODUCT((J151:U151="x")*(Besatzung!$F$11:$F$22="x")),1))),(IF(COUNTIF(J151:U151,"x")=0,IF(Besatzung!$B$20&lt;&gt;"",1,0),(S151="x"))*(G151-IFERROR(H151,0))/IFERROR(IF(COUNTIF(J151:U151,"x")=0,COUNTA(Besatzung!$B$11:$B$22),COUNTIF(J151:U151,"x")),1)+IF(COUNTIF(J151:U151,"x")=0,(Besatzung!$F$20="x"),(S151="x")*(Besatzung!$F$20="x"))*IFERROR(H151,0)/IFERROR(IF(COUNTIF(J151:U151,"x")=0,SUMPRODUCT((Besatzung!$B$11:$B$22&lt;&gt;"")*(Besatzung!$F$11:$F$22="x")),SUMPRODUCT((J151:U151="x")*(Besatzung!$F$11:$F$22="x"))),1))))),0))))</f>
        <v/>
      </c>
      <c r="AF151" s="106">
        <f>IF(C151="Gutschrift","",IF(G151="","",IF(Besatzung!$B$21="","",IFERROR(IF(I151="Zeitanteilig",(Besatzung!$G$21*(G151-IFERROR(H151,0))+((Besatzung!$B$21&lt;&gt;"")*IF(B151="",1,(IF(Besatzung!$C$21="",Besatzung!$B$5,Besatzung!$C$21)&lt;=B151)*(IF(Besatzung!$D$21="",Besatzung!$B$6,Besatzung!$D$21)&gt;=B151)))*(Besatzung!$F$21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$21&lt;&gt;"")*IF(B151="",1,(IF(Besatzung!$C$21="",Besatzung!$B$5,Besatzung!$C$21)&lt;=B151)*(IF(Besatzung!$D$21="",Besatzung!$B$6,Besatzung!$D$21)&gt;=B151)))*((G151-IFERROR(H151,0))/IFERROR(SUMPRODUCT((Besatzung!$B$11:$B$22&lt;&gt;"")*(IF(Besatzung!$C$11:$C$22="",Besatzung!$B$5,Besatzung!$C$11:$C$22)&lt;=B151)*(IF(Besatzung!$D$11:$D$22="",Besatzung!$B$6,Besatzung!$D$11:$D$22)&gt;=B151)),1)+(Besatzung!$F$21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T151="x")*((G151-IFERROR(H151,0))/IFERROR(COUNTIF(J151:U151,"x"),1)+(Besatzung!$F$21="x")*IFERROR(H151,0)/IFERROR(SUMPRODUCT((J151:U151="x")*(Besatzung!$F$11:$F$22="x")),1))),(IF(COUNTIF(J151:U151,"x")=0,IF(Besatzung!$B$21&lt;&gt;"",1,0),(T151="x"))*(G151-IFERROR(H151,0))/IFERROR(IF(COUNTIF(J151:U151,"x")=0,COUNTA(Besatzung!$B$11:$B$22),COUNTIF(J151:U151,"x")),1)+IF(COUNTIF(J151:U151,"x")=0,(Besatzung!$F$21="x"),(T151="x")*(Besatzung!$F$21="x"))*IFERROR(H151,0)/IFERROR(IF(COUNTIF(J151:U151,"x")=0,SUMPRODUCT((Besatzung!$B$11:$B$22&lt;&gt;"")*(Besatzung!$F$11:$F$22="x")),SUMPRODUCT((J151:U151="x")*(Besatzung!$F$11:$F$22="x"))),1))))),0))))</f>
        <v/>
      </c>
      <c r="AG151" s="106">
        <f>IF(C151="Gutschrift","",IF(G151="","",IF(Besatzung!$B$22="","",IFERROR(IF(I151="Zeitanteilig",(Besatzung!$G$22*(G151-IFERROR(H151,0))+((Besatzung!$B$22&lt;&gt;"")*IF(B151="",1,(IF(Besatzung!$C$22="",Besatzung!$B$5,Besatzung!$C$22)&lt;=B151)*(IF(Besatzung!$D$22="",Besatzung!$B$6,Besatzung!$D$22)&gt;=B151)))*(Besatzung!$F$22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$22&lt;&gt;"")*IF(B151="",1,(IF(Besatzung!$C$22="",Besatzung!$B$5,Besatzung!$C$22)&lt;=B151)*(IF(Besatzung!$D$22="",Besatzung!$B$6,Besatzung!$D$22)&gt;=B151)))*((G151-IFERROR(H151,0))/IFERROR(SUMPRODUCT((Besatzung!$B$11:$B$22&lt;&gt;"")*(IF(Besatzung!$C$11:$C$22="",Besatzung!$B$5,Besatzung!$C$11:$C$22)&lt;=B151)*(IF(Besatzung!$D$11:$D$22="",Besatzung!$B$6,Besatzung!$D$11:$D$22)&gt;=B151)),1)+(Besatzung!$F$22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U151="x")*((G151-IFERROR(H151,0))/IFERROR(COUNTIF(J151:U151,"x"),1)+(Besatzung!$F$22="x")*IFERROR(H151,0)/IFERROR(SUMPRODUCT((J151:U151="x")*(Besatzung!$F$11:$F$22="x")),1))),(IF(COUNTIF(J151:U151,"x")=0,IF(Besatzung!$B$22&lt;&gt;"",1,0),(U151="x"))*(G151-IFERROR(H151,0))/IFERROR(IF(COUNTIF(J151:U151,"x")=0,COUNTA(Besatzung!$B$11:$B$22),COUNTIF(J151:U151,"x")),1)+IF(COUNTIF(J151:U151,"x")=0,(Besatzung!$F$22="x"),(U151="x")*(Besatzung!$F$22="x"))*IFERROR(H151,0)/IFERROR(IF(COUNTIF(J151:U151,"x")=0,SUMPRODUCT((Besatzung!$B$11:$B$22&lt;&gt;"")*(Besatzung!$F$11:$F$22="x")),SUMPRODUCT((J151:U151="x")*(Besatzung!$F$11:$F$22="x"))),1))))),0))))</f>
        <v/>
      </c>
      <c r="AH151" s="107" t="n"/>
      <c r="AI151" s="107" t="n"/>
    </row>
    <row r="152" ht="21.75" customHeight="1" s="182">
      <c r="A152" s="97">
        <f>IF(AND(D152="",C152=""),"",149)</f>
        <v/>
      </c>
      <c r="B152" s="56" t="n"/>
      <c r="C152" s="98" t="n"/>
      <c r="D152" s="99" t="n"/>
      <c r="E152" s="100" t="n"/>
      <c r="F152" s="101" t="n"/>
      <c r="G152" s="102" t="n"/>
      <c r="H152" s="103" t="n"/>
      <c r="I152" s="104" t="n"/>
      <c r="J152" s="105" t="n"/>
      <c r="K152" s="105" t="n"/>
      <c r="L152" s="105" t="n"/>
      <c r="M152" s="105" t="n"/>
      <c r="N152" s="105" t="n"/>
      <c r="O152" s="105" t="n"/>
      <c r="P152" s="105" t="n"/>
      <c r="Q152" s="105" t="n"/>
      <c r="R152" s="105" t="n"/>
      <c r="S152" s="105" t="n"/>
      <c r="T152" s="105" t="n"/>
      <c r="U152" s="105" t="n"/>
      <c r="V152" s="106">
        <f>IF(C152="Gutschrift","",IF(G152="","",IF(Besatzung!$B$11="","",IFERROR(IF(I152="Zeitanteilig",(Besatzung!$G$11*(G152-IFERROR(H152,0))+((Besatzung!$B$11&lt;&gt;"")*IF(B152="",1,(IF(Besatzung!$C$11="",Besatzung!$B$5,Besatzung!$C$11)&lt;=B152)*(IF(Besatzung!$D$11="",Besatzung!$B$6,Besatzung!$D$11)&gt;=B152)))*(Besatzung!$F$11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$11&lt;&gt;"")*IF(B152="",1,(IF(Besatzung!$C$11="",Besatzung!$B$5,Besatzung!$C$11)&lt;=B152)*(IF(Besatzung!$D$11="",Besatzung!$B$6,Besatzung!$D$11)&gt;=B152)))*((G152-IFERROR(H152,0))/IFERROR(SUMPRODUCT((Besatzung!$B$11:$B$22&lt;&gt;"")*(IF(Besatzung!$C$11:$C$22="",Besatzung!$B$5,Besatzung!$C$11:$C$22)&lt;=B152)*(IF(Besatzung!$D$11:$D$22="",Besatzung!$B$6,Besatzung!$D$11:$D$22)&gt;=B152)),1)+(Besatzung!$F$11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J152="x")*((G152-IFERROR(H152,0))/IFERROR(COUNTIF(J152:U152,"x"),1)+(Besatzung!$F$11="x")*IFERROR(H152,0)/IFERROR(SUMPRODUCT((J152:U152="x")*(Besatzung!$F$11:$F$22="x")),1))),(IF(COUNTIF(J152:U152,"x")=0,IF(Besatzung!$B$11&lt;&gt;"",1,0),(J152="x"))*(G152-IFERROR(H152,0))/IFERROR(IF(COUNTIF(J152:U152,"x")=0,COUNTA(Besatzung!$B$11:$B$22),COUNTIF(J152:U152,"x")),1)+IF(COUNTIF(J152:U152,"x")=0,(Besatzung!$F$11="x"),(J152="x")*(Besatzung!$F$11="x"))*IFERROR(H152,0)/IFERROR(IF(COUNTIF(J152:U152,"x")=0,SUMPRODUCT((Besatzung!$B$11:$B$22&lt;&gt;"")*(Besatzung!$F$11:$F$22="x")),SUMPRODUCT((J152:U152="x")*(Besatzung!$F$11:$F$22="x"))),1))))),0))))</f>
        <v/>
      </c>
      <c r="W152" s="106">
        <f>IF(C152="Gutschrift","",IF(G152="","",IF(Besatzung!$B$12="","",IFERROR(IF(I152="Zeitanteilig",(Besatzung!$G$12*(G152-IFERROR(H152,0))+((Besatzung!$B$12&lt;&gt;"")*IF(B152="",1,(IF(Besatzung!$C$12="",Besatzung!$B$5,Besatzung!$C$12)&lt;=B152)*(IF(Besatzung!$D$12="",Besatzung!$B$6,Besatzung!$D$12)&gt;=B152)))*(Besatzung!$F$12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$12&lt;&gt;"")*IF(B152="",1,(IF(Besatzung!$C$12="",Besatzung!$B$5,Besatzung!$C$12)&lt;=B152)*(IF(Besatzung!$D$12="",Besatzung!$B$6,Besatzung!$D$12)&gt;=B152)))*((G152-IFERROR(H152,0))/IFERROR(SUMPRODUCT((Besatzung!$B$11:$B$22&lt;&gt;"")*(IF(Besatzung!$C$11:$C$22="",Besatzung!$B$5,Besatzung!$C$11:$C$22)&lt;=B152)*(IF(Besatzung!$D$11:$D$22="",Besatzung!$B$6,Besatzung!$D$11:$D$22)&gt;=B152)),1)+(Besatzung!$F$12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K152="x")*((G152-IFERROR(H152,0))/IFERROR(COUNTIF(J152:U152,"x"),1)+(Besatzung!$F$12="x")*IFERROR(H152,0)/IFERROR(SUMPRODUCT((J152:U152="x")*(Besatzung!$F$11:$F$22="x")),1))),(IF(COUNTIF(J152:U152,"x")=0,IF(Besatzung!$B$12&lt;&gt;"",1,0),(K152="x"))*(G152-IFERROR(H152,0))/IFERROR(IF(COUNTIF(J152:U152,"x")=0,COUNTA(Besatzung!$B$11:$B$22),COUNTIF(J152:U152,"x")),1)+IF(COUNTIF(J152:U152,"x")=0,(Besatzung!$F$12="x"),(K152="x")*(Besatzung!$F$12="x"))*IFERROR(H152,0)/IFERROR(IF(COUNTIF(J152:U152,"x")=0,SUMPRODUCT((Besatzung!$B$11:$B$22&lt;&gt;"")*(Besatzung!$F$11:$F$22="x")),SUMPRODUCT((J152:U152="x")*(Besatzung!$F$11:$F$22="x"))),1))))),0))))</f>
        <v/>
      </c>
      <c r="X152" s="106">
        <f>IF(C152="Gutschrift","",IF(G152="","",IF(Besatzung!$B$13="","",IFERROR(IF(I152="Zeitanteilig",(Besatzung!$G$13*(G152-IFERROR(H152,0))+((Besatzung!$B$13&lt;&gt;"")*IF(B152="",1,(IF(Besatzung!$C$13="",Besatzung!$B$5,Besatzung!$C$13)&lt;=B152)*(IF(Besatzung!$D$13="",Besatzung!$B$6,Besatzung!$D$13)&gt;=B152)))*(Besatzung!$F$13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$13&lt;&gt;"")*IF(B152="",1,(IF(Besatzung!$C$13="",Besatzung!$B$5,Besatzung!$C$13)&lt;=B152)*(IF(Besatzung!$D$13="",Besatzung!$B$6,Besatzung!$D$13)&gt;=B152)))*((G152-IFERROR(H152,0))/IFERROR(SUMPRODUCT((Besatzung!$B$11:$B$22&lt;&gt;"")*(IF(Besatzung!$C$11:$C$22="",Besatzung!$B$5,Besatzung!$C$11:$C$22)&lt;=B152)*(IF(Besatzung!$D$11:$D$22="",Besatzung!$B$6,Besatzung!$D$11:$D$22)&gt;=B152)),1)+(Besatzung!$F$13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K152="x")*((G152-IFERROR(H152,0))/IFERROR(COUNTIF(J152:U152,"x"),1)+(Besatzung!$F$13="x")*IFERROR(H152,0)/IFERROR(SUMPRODUCT((J152:U152="x")*(Besatzung!$F$11:$F$22="x")),1))),(IF(COUNTIF(J152:U152,"x")=0,IF(Besatzung!$B$13&lt;&gt;"",1,0),(K152="x"))*(G152-IFERROR(H152,0))/IFERROR(IF(COUNTIF(J152:U152,"x")=0,COUNTA(Besatzung!$B$11:$B$22),COUNTIF(J152:U152,"x")),1)+IF(COUNTIF(J152:U152,"x")=0,(Besatzung!$F$13="x"),(K152="x")*(Besatzung!$F$13="x"))*IFERROR(H152,0)/IFERROR(IF(COUNTIF(J152:U152,"x")=0,SUMPRODUCT((Besatzung!$B$11:$B$22&lt;&gt;"")*(Besatzung!$F$11:$F$22="x")),SUMPRODUCT((J152:U152="x")*(Besatzung!$F$11:$F$22="x"))),1))))),0))))</f>
        <v/>
      </c>
      <c r="Y152" s="106">
        <f>IF(C152="Gutschrift","",IF(G152="","",IF(Besatzung!$B$14="","",IFERROR(IF(I152="Zeitanteilig",(Besatzung!$G$14*(G152-IFERROR(H152,0))+((Besatzung!$B$14&lt;&gt;"")*IF(B152="",1,(IF(Besatzung!$C$14="",Besatzung!$B$5,Besatzung!$C$14)&lt;=B152)*(IF(Besatzung!$D$14="",Besatzung!$B$6,Besatzung!$D$14)&gt;=B152)))*(Besatzung!$F$14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$14&lt;&gt;"")*IF(B152="",1,(IF(Besatzung!$C$14="",Besatzung!$B$5,Besatzung!$C$14)&lt;=B152)*(IF(Besatzung!$D$14="",Besatzung!$B$6,Besatzung!$D$14)&gt;=B152)))*((G152-IFERROR(H152,0))/IFERROR(SUMPRODUCT((Besatzung!$B$11:$B$22&lt;&gt;"")*(IF(Besatzung!$C$11:$C$22="",Besatzung!$B$5,Besatzung!$C$11:$C$22)&lt;=B152)*(IF(Besatzung!$D$11:$D$22="",Besatzung!$B$6,Besatzung!$D$11:$D$22)&gt;=B152)),1)+(Besatzung!$F$14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M152="x")*((G152-IFERROR(H152,0))/IFERROR(COUNTIF(J152:U152,"x"),1)+(Besatzung!$F$14="x")*IFERROR(H152,0)/IFERROR(SUMPRODUCT((J152:U152="x")*(Besatzung!$F$11:$F$22="x")),1))),(IF(COUNTIF(J152:U152,"x")=0,IF(Besatzung!$B$14&lt;&gt;"",1,0),(M152="x"))*(G152-IFERROR(H152,0))/IFERROR(IF(COUNTIF(J152:U152,"x")=0,COUNTA(Besatzung!$B$11:$B$22),COUNTIF(J152:U152,"x")),1)+IF(COUNTIF(J152:U152,"x")=0,(Besatzung!$F$14="x"),(M152="x")*(Besatzung!$F$14="x"))*IFERROR(H152,0)/IFERROR(IF(COUNTIF(J152:U152,"x")=0,SUMPRODUCT((Besatzung!$B$11:$B$22&lt;&gt;"")*(Besatzung!$F$11:$F$22="x")),SUMPRODUCT((J152:U152="x")*(Besatzung!$F$11:$F$22="x"))),1))))),0))))</f>
        <v/>
      </c>
      <c r="Z152" s="106">
        <f>IF(C152="Gutschrift","",IF(G152="","",IF(Besatzung!$B$13="","",IFERROR(IF(I152="Zeitanteilig",(Besatzung!$G$15*(G152-IFERROR(H152,0))+((Besatzung!$B$13&lt;&gt;"")*IF(B152="",1,(IF(Besatzung!$C$15="",Besatzung!$B$5,Besatzung!$C$15)&lt;=B152)*(IF(Besatzung!$D$15="",Besatzung!$B$6,Besatzung!$D$15)&gt;=B152)))*(Besatzung!$F$15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$13&lt;&gt;"")*IF(B152="",1,(IF(Besatzung!$C$15="",Besatzung!$B$5,Besatzung!$C$15)&lt;=B152)*(IF(Besatzung!$D$15="",Besatzung!$B$6,Besatzung!$D$15)&gt;=B152)))*((G152-IFERROR(H152,0))/IFERROR(SUMPRODUCT((Besatzung!$B$11:$B$22&lt;&gt;"")*(IF(Besatzung!$C$11:$C$22="",Besatzung!$B$5,Besatzung!$C$11:$C$22)&lt;=B152)*(IF(Besatzung!$D$11:$D$22="",Besatzung!$B$6,Besatzung!$D$11:$D$22)&gt;=B152)),1)+(Besatzung!$F$15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N152="x")*((G152-IFERROR(H152,0))/IFERROR(COUNTIF(J152:U152,"x"),1)+(Besatzung!$F$15="x")*IFERROR(H152,0)/IFERROR(SUMPRODUCT((J152:U152="x")*(Besatzung!$F$11:$F$22="x")),1))),(IF(COUNTIF(J152:U152,"x")=0,IF(Besatzung!$B$13&lt;&gt;"",1,0),(N152="x"))*(G152-IFERROR(H152,0))/IFERROR(IF(COUNTIF(J152:U152,"x")=0,COUNTA(Besatzung!$B$11:$B$22),COUNTIF(J152:U152,"x")),1)+IF(COUNTIF(J152:U152,"x")=0,(Besatzung!$F$15="x"),(N152="x")*(Besatzung!$F$15="x"))*IFERROR(H152,0)/IFERROR(IF(COUNTIF(J152:U152,"x")=0,SUMPRODUCT((Besatzung!$B$11:$B$22&lt;&gt;"")*(Besatzung!$F$11:$F$22="x")),SUMPRODUCT((J152:U152="x")*(Besatzung!$F$11:$F$22="x"))),1))))),0))))</f>
        <v/>
      </c>
      <c r="AA152" s="106">
        <f>IF(C152="Gutschrift","",IF(G152="","",IF(Besatzung!$B$15="","",IFERROR(IF(I152="Zeitanteilig",(Besatzung!$G$16*(G152-IFERROR(H152,0))+((Besatzung!$B$15&lt;&gt;"")*IF(B152="",1,(IF(Besatzung!$C$16="",Besatzung!$B$5,Besatzung!$C$16)&lt;=B152)*(IF(Besatzung!$D$16="",Besatzung!$B$6,Besatzung!$D$16)&gt;=B152)))*(Besatzung!$F$16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$15&lt;&gt;"")*IF(B152="",1,(IF(Besatzung!$C$16="",Besatzung!$B$5,Besatzung!$C$16)&lt;=B152)*(IF(Besatzung!$D$16="",Besatzung!$B$6,Besatzung!$D$16)&gt;=B152)))*((G152-IFERROR(H152,0))/IFERROR(SUMPRODUCT((Besatzung!$B$11:$B$22&lt;&gt;"")*(IF(Besatzung!$C$11:$C$22="",Besatzung!$B$5,Besatzung!$C$11:$C$22)&lt;=B152)*(IF(Besatzung!$D$11:$D$22="",Besatzung!$B$6,Besatzung!$D$11:$D$22)&gt;=B152)),1)+(Besatzung!$F$16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O152="x")*((G152-IFERROR(H152,0))/IFERROR(COUNTIF(J152:U152,"x"),1)+(Besatzung!$F$16="x")*IFERROR(H152,0)/IFERROR(SUMPRODUCT((J152:U152="x")*(Besatzung!$F$11:$F$22="x")),1))),(IF(COUNTIF(J152:U152,"x")=0,IF(Besatzung!$B$15&lt;&gt;"",1,0),(O152="x"))*(G152-IFERROR(H152,0))/IFERROR(IF(COUNTIF(J152:U152,"x")=0,COUNTA(Besatzung!$B$11:$B$22),COUNTIF(J152:U152,"x")),1)+IF(COUNTIF(J152:U152,"x")=0,(Besatzung!$F$16="x"),(O152="x")*(Besatzung!$F$16="x"))*IFERROR(H152,0)/IFERROR(IF(COUNTIF(J152:U152,"x")=0,SUMPRODUCT((Besatzung!$B$11:$B$22&lt;&gt;"")*(Besatzung!$F$11:$F$22="x")),SUMPRODUCT((J152:U152="x")*(Besatzung!$F$11:$F$22="x"))),1))))),0))))</f>
        <v/>
      </c>
      <c r="AB152" s="106">
        <f>IF(C152="Gutschrift","",IF(G152="","",IF(Besatzung!$B$17="","",IFERROR(IF(I152="Zeitanteilig",(Besatzung!$G$17*(G152-IFERROR(H152,0))+((Besatzung!$B$17&lt;&gt;"")*IF(B152="",1,(IF(Besatzung!$C$17="",Besatzung!$B$5,Besatzung!$C$17)&lt;=B152)*(IF(Besatzung!$D$17="",Besatzung!$B$6,Besatzung!$D$17)&gt;=B152)))*(Besatzung!$F$17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$17&lt;&gt;"")*IF(B152="",1,(IF(Besatzung!$C$17="",Besatzung!$B$5,Besatzung!$C$17)&lt;=B152)*(IF(Besatzung!$D$17="",Besatzung!$B$6,Besatzung!$D$17)&gt;=B152)))*((G152-IFERROR(H152,0))/IFERROR(SUMPRODUCT((Besatzung!$B$11:$B$22&lt;&gt;"")*(IF(Besatzung!$C$11:$C$22="",Besatzung!$B$5,Besatzung!$C$11:$C$22)&lt;=B152)*(IF(Besatzung!$D$11:$D$22="",Besatzung!$B$6,Besatzung!$D$11:$D$22)&gt;=B152)),1)+(Besatzung!$F$17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P152="x")*((G152-IFERROR(H152,0))/IFERROR(COUNTIF(J152:U152,"x"),1)+(Besatzung!$F$17="x")*IFERROR(H152,0)/IFERROR(SUMPRODUCT((J152:U152="x")*(Besatzung!$F$11:$F$22="x")),1))),(IF(COUNTIF(J152:U152,"x")=0,IF(Besatzung!$B$17&lt;&gt;"",1,0),(P152="x"))*(G152-IFERROR(H152,0))/IFERROR(IF(COUNTIF(J152:U152,"x")=0,COUNTA(Besatzung!$B$11:$B$22),COUNTIF(J152:U152,"x")),1)+IF(COUNTIF(J152:U152,"x")=0,(Besatzung!$F$17="x"),(P152="x")*(Besatzung!$F$17="x"))*IFERROR(H152,0)/IFERROR(IF(COUNTIF(J152:U152,"x")=0,SUMPRODUCT((Besatzung!$B$11:$B$22&lt;&gt;"")*(Besatzung!$F$11:$F$22="x")),SUMPRODUCT((J152:U152="x")*(Besatzung!$F$11:$F$22="x"))),1))))),0))))</f>
        <v/>
      </c>
      <c r="AC152" s="106">
        <f>IF(C152="Gutschrift","",IF(G152="","",IF(Besatzung!$B$18="","",IFERROR(IF(I152="Zeitanteilig",(Besatzung!$G$18*(G152-IFERROR(H152,0))+((Besatzung!$B$18&lt;&gt;"")*IF(B152="",1,(IF(Besatzung!$C$18="",Besatzung!$B$5,Besatzung!$C$18)&lt;=B152)*(IF(Besatzung!$D$18="",Besatzung!$B$6,Besatzung!$D$18)&gt;=B152)))*(Besatzung!$F$18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$18&lt;&gt;"")*IF(B152="",1,(IF(Besatzung!$C$18="",Besatzung!$B$5,Besatzung!$C$18)&lt;=B152)*(IF(Besatzung!$D$18="",Besatzung!$B$6,Besatzung!$D$18)&gt;=B152)))*((G152-IFERROR(H152,0))/IFERROR(SUMPRODUCT((Besatzung!$B$11:$B$22&lt;&gt;"")*(IF(Besatzung!$C$11:$C$22="",Besatzung!$B$5,Besatzung!$C$11:$C$22)&lt;=B152)*(IF(Besatzung!$D$11:$D$22="",Besatzung!$B$6,Besatzung!$D$11:$D$22)&gt;=B152)),1)+(Besatzung!$F$18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Q152="x")*((G152-IFERROR(H152,0))/IFERROR(COUNTIF(J152:U152,"x"),1)+(Besatzung!$F$18="x")*IFERROR(H152,0)/IFERROR(SUMPRODUCT((J152:U152="x")*(Besatzung!$F$11:$F$22="x")),1))),(IF(COUNTIF(J152:U152,"x")=0,IF(Besatzung!$B$18&lt;&gt;"",1,0),(Q152="x"))*(G152-IFERROR(H152,0))/IFERROR(IF(COUNTIF(J152:U152,"x")=0,COUNTA(Besatzung!$B$11:$B$22),COUNTIF(J152:U152,"x")),1)+IF(COUNTIF(J152:U152,"x")=0,(Besatzung!$F$18="x"),(Q152="x")*(Besatzung!$F$18="x"))*IFERROR(H152,0)/IFERROR(IF(COUNTIF(J152:U152,"x")=0,SUMPRODUCT((Besatzung!$B$11:$B$22&lt;&gt;"")*(Besatzung!$F$11:$F$22="x")),SUMPRODUCT((J152:U152="x")*(Besatzung!$F$11:$F$22="x"))),1))))),0))))</f>
        <v/>
      </c>
      <c r="AD152" s="106">
        <f>IF(C152="Gutschrift","",IF(G152="","",IF(Besatzung!$B$19="","",IFERROR(IF(I152="Zeitanteilig",(Besatzung!$G$19*(G152-IFERROR(H152,0))+((Besatzung!$B$19&lt;&gt;"")*IF(B152="",1,(IF(Besatzung!$C$19="",Besatzung!$B$5,Besatzung!$C$19)&lt;=B152)*(IF(Besatzung!$D$19="",Besatzung!$B$6,Besatzung!$D$19)&gt;=B152)))*(Besatzung!$F$19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$19&lt;&gt;"")*IF(B152="",1,(IF(Besatzung!$C$19="",Besatzung!$B$5,Besatzung!$C$19)&lt;=B152)*(IF(Besatzung!$D$19="",Besatzung!$B$6,Besatzung!$D$19)&gt;=B152)))*((G152-IFERROR(H152,0))/IFERROR(SUMPRODUCT((Besatzung!$B$11:$B$22&lt;&gt;"")*(IF(Besatzung!$C$11:$C$22="",Besatzung!$B$5,Besatzung!$C$11:$C$22)&lt;=B152)*(IF(Besatzung!$D$11:$D$22="",Besatzung!$B$6,Besatzung!$D$11:$D$22)&gt;=B152)),1)+(Besatzung!$F$19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R152="x")*((G152-IFERROR(H152,0))/IFERROR(COUNTIF(J152:U152,"x"),1)+(Besatzung!$F$19="x")*IFERROR(H152,0)/IFERROR(SUMPRODUCT((J152:U152="x")*(Besatzung!$F$11:$F$22="x")),1))),(IF(COUNTIF(J152:U152,"x")=0,IF(Besatzung!$B$19&lt;&gt;"",1,0),(R152="x"))*(G152-IFERROR(H152,0))/IFERROR(IF(COUNTIF(J152:U152,"x")=0,COUNTA(Besatzung!$B$11:$B$22),COUNTIF(J152:U152,"x")),1)+IF(COUNTIF(J152:U152,"x")=0,(Besatzung!$F$19="x"),(R152="x")*(Besatzung!$F$19="x"))*IFERROR(H152,0)/IFERROR(IF(COUNTIF(J152:U152,"x")=0,SUMPRODUCT((Besatzung!$B$11:$B$22&lt;&gt;"")*(Besatzung!$F$11:$F$22="x")),SUMPRODUCT((J152:U152="x")*(Besatzung!$F$11:$F$22="x"))),1))))),0))))</f>
        <v/>
      </c>
      <c r="AE152" s="106">
        <f>IF(C152="Gutschrift","",IF(G152="","",IF(Besatzung!$B$20="","",IFERROR(IF(I152="Zeitanteilig",(Besatzung!$G$20*(G152-IFERROR(H152,0))+((Besatzung!$B$20&lt;&gt;"")*IF(B152="",1,(IF(Besatzung!$C$20="",Besatzung!$B$5,Besatzung!$C$20)&lt;=B152)*(IF(Besatzung!$D$20="",Besatzung!$B$6,Besatzung!$D$20)&gt;=B152)))*(Besatzung!$F$20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$20&lt;&gt;"")*IF(B152="",1,(IF(Besatzung!$C$20="",Besatzung!$B$5,Besatzung!$C$20)&lt;=B152)*(IF(Besatzung!$D$20="",Besatzung!$B$6,Besatzung!$D$20)&gt;=B152)))*((G152-IFERROR(H152,0))/IFERROR(SUMPRODUCT((Besatzung!$B$11:$B$22&lt;&gt;"")*(IF(Besatzung!$C$11:$C$22="",Besatzung!$B$5,Besatzung!$C$11:$C$22)&lt;=B152)*(IF(Besatzung!$D$11:$D$22="",Besatzung!$B$6,Besatzung!$D$11:$D$22)&gt;=B152)),1)+(Besatzung!$F$20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S152="x")*((G152-IFERROR(H152,0))/IFERROR(COUNTIF(J152:U152,"x"),1)+(Besatzung!$F$20="x")*IFERROR(H152,0)/IFERROR(SUMPRODUCT((J152:U152="x")*(Besatzung!$F$11:$F$22="x")),1))),(IF(COUNTIF(J152:U152,"x")=0,IF(Besatzung!$B$20&lt;&gt;"",1,0),(S152="x"))*(G152-IFERROR(H152,0))/IFERROR(IF(COUNTIF(J152:U152,"x")=0,COUNTA(Besatzung!$B$11:$B$22),COUNTIF(J152:U152,"x")),1)+IF(COUNTIF(J152:U152,"x")=0,(Besatzung!$F$20="x"),(S152="x")*(Besatzung!$F$20="x"))*IFERROR(H152,0)/IFERROR(IF(COUNTIF(J152:U152,"x")=0,SUMPRODUCT((Besatzung!$B$11:$B$22&lt;&gt;"")*(Besatzung!$F$11:$F$22="x")),SUMPRODUCT((J152:U152="x")*(Besatzung!$F$11:$F$22="x"))),1))))),0))))</f>
        <v/>
      </c>
      <c r="AF152" s="106">
        <f>IF(C152="Gutschrift","",IF(G152="","",IF(Besatzung!$B$21="","",IFERROR(IF(I152="Zeitanteilig",(Besatzung!$G$21*(G152-IFERROR(H152,0))+((Besatzung!$B$21&lt;&gt;"")*IF(B152="",1,(IF(Besatzung!$C$21="",Besatzung!$B$5,Besatzung!$C$21)&lt;=B152)*(IF(Besatzung!$D$21="",Besatzung!$B$6,Besatzung!$D$21)&gt;=B152)))*(Besatzung!$F$21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$21&lt;&gt;"")*IF(B152="",1,(IF(Besatzung!$C$21="",Besatzung!$B$5,Besatzung!$C$21)&lt;=B152)*(IF(Besatzung!$D$21="",Besatzung!$B$6,Besatzung!$D$21)&gt;=B152)))*((G152-IFERROR(H152,0))/IFERROR(SUMPRODUCT((Besatzung!$B$11:$B$22&lt;&gt;"")*(IF(Besatzung!$C$11:$C$22="",Besatzung!$B$5,Besatzung!$C$11:$C$22)&lt;=B152)*(IF(Besatzung!$D$11:$D$22="",Besatzung!$B$6,Besatzung!$D$11:$D$22)&gt;=B152)),1)+(Besatzung!$F$21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T152="x")*((G152-IFERROR(H152,0))/IFERROR(COUNTIF(J152:U152,"x"),1)+(Besatzung!$F$21="x")*IFERROR(H152,0)/IFERROR(SUMPRODUCT((J152:U152="x")*(Besatzung!$F$11:$F$22="x")),1))),(IF(COUNTIF(J152:U152,"x")=0,IF(Besatzung!$B$21&lt;&gt;"",1,0),(T152="x"))*(G152-IFERROR(H152,0))/IFERROR(IF(COUNTIF(J152:U152,"x")=0,COUNTA(Besatzung!$B$11:$B$22),COUNTIF(J152:U152,"x")),1)+IF(COUNTIF(J152:U152,"x")=0,(Besatzung!$F$21="x"),(T152="x")*(Besatzung!$F$21="x"))*IFERROR(H152,0)/IFERROR(IF(COUNTIF(J152:U152,"x")=0,SUMPRODUCT((Besatzung!$B$11:$B$22&lt;&gt;"")*(Besatzung!$F$11:$F$22="x")),SUMPRODUCT((J152:U152="x")*(Besatzung!$F$11:$F$22="x"))),1))))),0))))</f>
        <v/>
      </c>
      <c r="AG152" s="106">
        <f>IF(C152="Gutschrift","",IF(G152="","",IF(Besatzung!$B$22="","",IFERROR(IF(I152="Zeitanteilig",(Besatzung!$G$22*(G152-IFERROR(H152,0))+((Besatzung!$B$22&lt;&gt;"")*IF(B152="",1,(IF(Besatzung!$C$22="",Besatzung!$B$5,Besatzung!$C$22)&lt;=B152)*(IF(Besatzung!$D$22="",Besatzung!$B$6,Besatzung!$D$22)&gt;=B152)))*(Besatzung!$F$22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$22&lt;&gt;"")*IF(B152="",1,(IF(Besatzung!$C$22="",Besatzung!$B$5,Besatzung!$C$22)&lt;=B152)*(IF(Besatzung!$D$22="",Besatzung!$B$6,Besatzung!$D$22)&gt;=B152)))*((G152-IFERROR(H152,0))/IFERROR(SUMPRODUCT((Besatzung!$B$11:$B$22&lt;&gt;"")*(IF(Besatzung!$C$11:$C$22="",Besatzung!$B$5,Besatzung!$C$11:$C$22)&lt;=B152)*(IF(Besatzung!$D$11:$D$22="",Besatzung!$B$6,Besatzung!$D$11:$D$22)&gt;=B152)),1)+(Besatzung!$F$22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U152="x")*((G152-IFERROR(H152,0))/IFERROR(COUNTIF(J152:U152,"x"),1)+(Besatzung!$F$22="x")*IFERROR(H152,0)/IFERROR(SUMPRODUCT((J152:U152="x")*(Besatzung!$F$11:$F$22="x")),1))),(IF(COUNTIF(J152:U152,"x")=0,IF(Besatzung!$B$22&lt;&gt;"",1,0),(U152="x"))*(G152-IFERROR(H152,0))/IFERROR(IF(COUNTIF(J152:U152,"x")=0,COUNTA(Besatzung!$B$11:$B$22),COUNTIF(J152:U152,"x")),1)+IF(COUNTIF(J152:U152,"x")=0,(Besatzung!$F$22="x"),(U152="x")*(Besatzung!$F$22="x"))*IFERROR(H152,0)/IFERROR(IF(COUNTIF(J152:U152,"x")=0,SUMPRODUCT((Besatzung!$B$11:$B$22&lt;&gt;"")*(Besatzung!$F$11:$F$22="x")),SUMPRODUCT((J152:U152="x")*(Besatzung!$F$11:$F$22="x"))),1))))),0))))</f>
        <v/>
      </c>
      <c r="AH152" s="107" t="n"/>
      <c r="AI152" s="107" t="n"/>
    </row>
    <row r="153" ht="21.75" customHeight="1" s="182">
      <c r="A153" s="97">
        <f>IF(AND(D153="",C153=""),"",150)</f>
        <v/>
      </c>
      <c r="B153" s="63" t="n"/>
      <c r="C153" s="108" t="n"/>
      <c r="D153" s="109" t="n"/>
      <c r="E153" s="110" t="n"/>
      <c r="F153" s="111" t="n"/>
      <c r="G153" s="112" t="n"/>
      <c r="H153" s="113" t="n"/>
      <c r="I153" s="114" t="n"/>
      <c r="J153" s="115" t="n"/>
      <c r="K153" s="115" t="n"/>
      <c r="L153" s="115" t="n"/>
      <c r="M153" s="115" t="n"/>
      <c r="N153" s="115" t="n"/>
      <c r="O153" s="115" t="n"/>
      <c r="P153" s="115" t="n"/>
      <c r="Q153" s="115" t="n"/>
      <c r="R153" s="115" t="n"/>
      <c r="S153" s="115" t="n"/>
      <c r="T153" s="115" t="n"/>
      <c r="U153" s="115" t="n"/>
      <c r="V153" s="106">
        <f>IF(C153="Gutschrift","",IF(G153="","",IF(Besatzung!$B$11="","",IFERROR(IF(I153="Zeitanteilig",(Besatzung!$G$11*(G153-IFERROR(H153,0))+((Besatzung!$B$11&lt;&gt;"")*IF(B153="",1,(IF(Besatzung!$C$11="",Besatzung!$B$5,Besatzung!$C$11)&lt;=B153)*(IF(Besatzung!$D$11="",Besatzung!$B$6,Besatzung!$D$11)&gt;=B153)))*(Besatzung!$F$11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$11&lt;&gt;"")*IF(B153="",1,(IF(Besatzung!$C$11="",Besatzung!$B$5,Besatzung!$C$11)&lt;=B153)*(IF(Besatzung!$D$11="",Besatzung!$B$6,Besatzung!$D$11)&gt;=B153)))*((G153-IFERROR(H153,0))/IFERROR(SUMPRODUCT((Besatzung!$B$11:$B$22&lt;&gt;"")*(IF(Besatzung!$C$11:$C$22="",Besatzung!$B$5,Besatzung!$C$11:$C$22)&lt;=B153)*(IF(Besatzung!$D$11:$D$22="",Besatzung!$B$6,Besatzung!$D$11:$D$22)&gt;=B153)),1)+(Besatzung!$F$11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J153="x")*((G153-IFERROR(H153,0))/IFERROR(COUNTIF(J153:U153,"x"),1)+(Besatzung!$F$11="x")*IFERROR(H153,0)/IFERROR(SUMPRODUCT((J153:U153="x")*(Besatzung!$F$11:$F$22="x")),1))),(IF(COUNTIF(J153:U153,"x")=0,IF(Besatzung!$B$11&lt;&gt;"",1,0),(J153="x"))*(G153-IFERROR(H153,0))/IFERROR(IF(COUNTIF(J153:U153,"x")=0,COUNTA(Besatzung!$B$11:$B$22),COUNTIF(J153:U153,"x")),1)+IF(COUNTIF(J153:U153,"x")=0,(Besatzung!$F$11="x"),(J153="x")*(Besatzung!$F$11="x"))*IFERROR(H153,0)/IFERROR(IF(COUNTIF(J153:U153,"x")=0,SUMPRODUCT((Besatzung!$B$11:$B$22&lt;&gt;"")*(Besatzung!$F$11:$F$22="x")),SUMPRODUCT((J153:U153="x")*(Besatzung!$F$11:$F$22="x"))),1))))),0))))</f>
        <v/>
      </c>
      <c r="W153" s="106">
        <f>IF(C153="Gutschrift","",IF(G153="","",IF(Besatzung!$B$12="","",IFERROR(IF(I153="Zeitanteilig",(Besatzung!$G$12*(G153-IFERROR(H153,0))+((Besatzung!$B$12&lt;&gt;"")*IF(B153="",1,(IF(Besatzung!$C$12="",Besatzung!$B$5,Besatzung!$C$12)&lt;=B153)*(IF(Besatzung!$D$12="",Besatzung!$B$6,Besatzung!$D$12)&gt;=B153)))*(Besatzung!$F$12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$12&lt;&gt;"")*IF(B153="",1,(IF(Besatzung!$C$12="",Besatzung!$B$5,Besatzung!$C$12)&lt;=B153)*(IF(Besatzung!$D$12="",Besatzung!$B$6,Besatzung!$D$12)&gt;=B153)))*((G153-IFERROR(H153,0))/IFERROR(SUMPRODUCT((Besatzung!$B$11:$B$22&lt;&gt;"")*(IF(Besatzung!$C$11:$C$22="",Besatzung!$B$5,Besatzung!$C$11:$C$22)&lt;=B153)*(IF(Besatzung!$D$11:$D$22="",Besatzung!$B$6,Besatzung!$D$11:$D$22)&gt;=B153)),1)+(Besatzung!$F$12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K153="x")*((G153-IFERROR(H153,0))/IFERROR(COUNTIF(J153:U153,"x"),1)+(Besatzung!$F$12="x")*IFERROR(H153,0)/IFERROR(SUMPRODUCT((J153:U153="x")*(Besatzung!$F$11:$F$22="x")),1))),(IF(COUNTIF(J153:U153,"x")=0,IF(Besatzung!$B$12&lt;&gt;"",1,0),(K153="x"))*(G153-IFERROR(H153,0))/IFERROR(IF(COUNTIF(J153:U153,"x")=0,COUNTA(Besatzung!$B$11:$B$22),COUNTIF(J153:U153,"x")),1)+IF(COUNTIF(J153:U153,"x")=0,(Besatzung!$F$12="x"),(K153="x")*(Besatzung!$F$12="x"))*IFERROR(H153,0)/IFERROR(IF(COUNTIF(J153:U153,"x")=0,SUMPRODUCT((Besatzung!$B$11:$B$22&lt;&gt;"")*(Besatzung!$F$11:$F$22="x")),SUMPRODUCT((J153:U153="x")*(Besatzung!$F$11:$F$22="x"))),1))))),0))))</f>
        <v/>
      </c>
      <c r="X153" s="106">
        <f>IF(C153="Gutschrift","",IF(G153="","",IF(Besatzung!$B$13="","",IFERROR(IF(I153="Zeitanteilig",(Besatzung!$G$13*(G153-IFERROR(H153,0))+((Besatzung!$B$13&lt;&gt;"")*IF(B153="",1,(IF(Besatzung!$C$13="",Besatzung!$B$5,Besatzung!$C$13)&lt;=B153)*(IF(Besatzung!$D$13="",Besatzung!$B$6,Besatzung!$D$13)&gt;=B153)))*(Besatzung!$F$13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$13&lt;&gt;"")*IF(B153="",1,(IF(Besatzung!$C$13="",Besatzung!$B$5,Besatzung!$C$13)&lt;=B153)*(IF(Besatzung!$D$13="",Besatzung!$B$6,Besatzung!$D$13)&gt;=B153)))*((G153-IFERROR(H153,0))/IFERROR(SUMPRODUCT((Besatzung!$B$11:$B$22&lt;&gt;"")*(IF(Besatzung!$C$11:$C$22="",Besatzung!$B$5,Besatzung!$C$11:$C$22)&lt;=B153)*(IF(Besatzung!$D$11:$D$22="",Besatzung!$B$6,Besatzung!$D$11:$D$22)&gt;=B153)),1)+(Besatzung!$F$13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K153="x")*((G153-IFERROR(H153,0))/IFERROR(COUNTIF(J153:U153,"x"),1)+(Besatzung!$F$13="x")*IFERROR(H153,0)/IFERROR(SUMPRODUCT((J153:U153="x")*(Besatzung!$F$11:$F$22="x")),1))),(IF(COUNTIF(J153:U153,"x")=0,IF(Besatzung!$B$13&lt;&gt;"",1,0),(K153="x"))*(G153-IFERROR(H153,0))/IFERROR(IF(COUNTIF(J153:U153,"x")=0,COUNTA(Besatzung!$B$11:$B$22),COUNTIF(J153:U153,"x")),1)+IF(COUNTIF(J153:U153,"x")=0,(Besatzung!$F$13="x"),(K153="x")*(Besatzung!$F$13="x"))*IFERROR(H153,0)/IFERROR(IF(COUNTIF(J153:U153,"x")=0,SUMPRODUCT((Besatzung!$B$11:$B$22&lt;&gt;"")*(Besatzung!$F$11:$F$22="x")),SUMPRODUCT((J153:U153="x")*(Besatzung!$F$11:$F$22="x"))),1))))),0))))</f>
        <v/>
      </c>
      <c r="Y153" s="106">
        <f>IF(C153="Gutschrift","",IF(G153="","",IF(Besatzung!$B$14="","",IFERROR(IF(I153="Zeitanteilig",(Besatzung!$G$14*(G153-IFERROR(H153,0))+((Besatzung!$B$14&lt;&gt;"")*IF(B153="",1,(IF(Besatzung!$C$14="",Besatzung!$B$5,Besatzung!$C$14)&lt;=B153)*(IF(Besatzung!$D$14="",Besatzung!$B$6,Besatzung!$D$14)&gt;=B153)))*(Besatzung!$F$14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$14&lt;&gt;"")*IF(B153="",1,(IF(Besatzung!$C$14="",Besatzung!$B$5,Besatzung!$C$14)&lt;=B153)*(IF(Besatzung!$D$14="",Besatzung!$B$6,Besatzung!$D$14)&gt;=B153)))*((G153-IFERROR(H153,0))/IFERROR(SUMPRODUCT((Besatzung!$B$11:$B$22&lt;&gt;"")*(IF(Besatzung!$C$11:$C$22="",Besatzung!$B$5,Besatzung!$C$11:$C$22)&lt;=B153)*(IF(Besatzung!$D$11:$D$22="",Besatzung!$B$6,Besatzung!$D$11:$D$22)&gt;=B153)),1)+(Besatzung!$F$14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M153="x")*((G153-IFERROR(H153,0))/IFERROR(COUNTIF(J153:U153,"x"),1)+(Besatzung!$F$14="x")*IFERROR(H153,0)/IFERROR(SUMPRODUCT((J153:U153="x")*(Besatzung!$F$11:$F$22="x")),1))),(IF(COUNTIF(J153:U153,"x")=0,IF(Besatzung!$B$14&lt;&gt;"",1,0),(M153="x"))*(G153-IFERROR(H153,0))/IFERROR(IF(COUNTIF(J153:U153,"x")=0,COUNTA(Besatzung!$B$11:$B$22),COUNTIF(J153:U153,"x")),1)+IF(COUNTIF(J153:U153,"x")=0,(Besatzung!$F$14="x"),(M153="x")*(Besatzung!$F$14="x"))*IFERROR(H153,0)/IFERROR(IF(COUNTIF(J153:U153,"x")=0,SUMPRODUCT((Besatzung!$B$11:$B$22&lt;&gt;"")*(Besatzung!$F$11:$F$22="x")),SUMPRODUCT((J153:U153="x")*(Besatzung!$F$11:$F$22="x"))),1))))),0))))</f>
        <v/>
      </c>
      <c r="Z153" s="106">
        <f>IF(C153="Gutschrift","",IF(G153="","",IF(Besatzung!$B$13="","",IFERROR(IF(I153="Zeitanteilig",(Besatzung!$G$15*(G153-IFERROR(H153,0))+((Besatzung!$B$13&lt;&gt;"")*IF(B153="",1,(IF(Besatzung!$C$15="",Besatzung!$B$5,Besatzung!$C$15)&lt;=B153)*(IF(Besatzung!$D$15="",Besatzung!$B$6,Besatzung!$D$15)&gt;=B153)))*(Besatzung!$F$15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$13&lt;&gt;"")*IF(B153="",1,(IF(Besatzung!$C$15="",Besatzung!$B$5,Besatzung!$C$15)&lt;=B153)*(IF(Besatzung!$D$15="",Besatzung!$B$6,Besatzung!$D$15)&gt;=B153)))*((G153-IFERROR(H153,0))/IFERROR(SUMPRODUCT((Besatzung!$B$11:$B$22&lt;&gt;"")*(IF(Besatzung!$C$11:$C$22="",Besatzung!$B$5,Besatzung!$C$11:$C$22)&lt;=B153)*(IF(Besatzung!$D$11:$D$22="",Besatzung!$B$6,Besatzung!$D$11:$D$22)&gt;=B153)),1)+(Besatzung!$F$15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N153="x")*((G153-IFERROR(H153,0))/IFERROR(COUNTIF(J153:U153,"x"),1)+(Besatzung!$F$15="x")*IFERROR(H153,0)/IFERROR(SUMPRODUCT((J153:U153="x")*(Besatzung!$F$11:$F$22="x")),1))),(IF(COUNTIF(J153:U153,"x")=0,IF(Besatzung!$B$13&lt;&gt;"",1,0),(N153="x"))*(G153-IFERROR(H153,0))/IFERROR(IF(COUNTIF(J153:U153,"x")=0,COUNTA(Besatzung!$B$11:$B$22),COUNTIF(J153:U153,"x")),1)+IF(COUNTIF(J153:U153,"x")=0,(Besatzung!$F$15="x"),(N153="x")*(Besatzung!$F$15="x"))*IFERROR(H153,0)/IFERROR(IF(COUNTIF(J153:U153,"x")=0,SUMPRODUCT((Besatzung!$B$11:$B$22&lt;&gt;"")*(Besatzung!$F$11:$F$22="x")),SUMPRODUCT((J153:U153="x")*(Besatzung!$F$11:$F$22="x"))),1))))),0))))</f>
        <v/>
      </c>
      <c r="AA153" s="106">
        <f>IF(C153="Gutschrift","",IF(G153="","",IF(Besatzung!$B$15="","",IFERROR(IF(I153="Zeitanteilig",(Besatzung!$G$16*(G153-IFERROR(H153,0))+((Besatzung!$B$15&lt;&gt;"")*IF(B153="",1,(IF(Besatzung!$C$16="",Besatzung!$B$5,Besatzung!$C$16)&lt;=B153)*(IF(Besatzung!$D$16="",Besatzung!$B$6,Besatzung!$D$16)&gt;=B153)))*(Besatzung!$F$16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$15&lt;&gt;"")*IF(B153="",1,(IF(Besatzung!$C$16="",Besatzung!$B$5,Besatzung!$C$16)&lt;=B153)*(IF(Besatzung!$D$16="",Besatzung!$B$6,Besatzung!$D$16)&gt;=B153)))*((G153-IFERROR(H153,0))/IFERROR(SUMPRODUCT((Besatzung!$B$11:$B$22&lt;&gt;"")*(IF(Besatzung!$C$11:$C$22="",Besatzung!$B$5,Besatzung!$C$11:$C$22)&lt;=B153)*(IF(Besatzung!$D$11:$D$22="",Besatzung!$B$6,Besatzung!$D$11:$D$22)&gt;=B153)),1)+(Besatzung!$F$16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O153="x")*((G153-IFERROR(H153,0))/IFERROR(COUNTIF(J153:U153,"x"),1)+(Besatzung!$F$16="x")*IFERROR(H153,0)/IFERROR(SUMPRODUCT((J153:U153="x")*(Besatzung!$F$11:$F$22="x")),1))),(IF(COUNTIF(J153:U153,"x")=0,IF(Besatzung!$B$15&lt;&gt;"",1,0),(O153="x"))*(G153-IFERROR(H153,0))/IFERROR(IF(COUNTIF(J153:U153,"x")=0,COUNTA(Besatzung!$B$11:$B$22),COUNTIF(J153:U153,"x")),1)+IF(COUNTIF(J153:U153,"x")=0,(Besatzung!$F$16="x"),(O153="x")*(Besatzung!$F$16="x"))*IFERROR(H153,0)/IFERROR(IF(COUNTIF(J153:U153,"x")=0,SUMPRODUCT((Besatzung!$B$11:$B$22&lt;&gt;"")*(Besatzung!$F$11:$F$22="x")),SUMPRODUCT((J153:U153="x")*(Besatzung!$F$11:$F$22="x"))),1))))),0))))</f>
        <v/>
      </c>
      <c r="AB153" s="106">
        <f>IF(C153="Gutschrift","",IF(G153="","",IF(Besatzung!$B$17="","",IFERROR(IF(I153="Zeitanteilig",(Besatzung!$G$17*(G153-IFERROR(H153,0))+((Besatzung!$B$17&lt;&gt;"")*IF(B153="",1,(IF(Besatzung!$C$17="",Besatzung!$B$5,Besatzung!$C$17)&lt;=B153)*(IF(Besatzung!$D$17="",Besatzung!$B$6,Besatzung!$D$17)&gt;=B153)))*(Besatzung!$F$17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$17&lt;&gt;"")*IF(B153="",1,(IF(Besatzung!$C$17="",Besatzung!$B$5,Besatzung!$C$17)&lt;=B153)*(IF(Besatzung!$D$17="",Besatzung!$B$6,Besatzung!$D$17)&gt;=B153)))*((G153-IFERROR(H153,0))/IFERROR(SUMPRODUCT((Besatzung!$B$11:$B$22&lt;&gt;"")*(IF(Besatzung!$C$11:$C$22="",Besatzung!$B$5,Besatzung!$C$11:$C$22)&lt;=B153)*(IF(Besatzung!$D$11:$D$22="",Besatzung!$B$6,Besatzung!$D$11:$D$22)&gt;=B153)),1)+(Besatzung!$F$17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P153="x")*((G153-IFERROR(H153,0))/IFERROR(COUNTIF(J153:U153,"x"),1)+(Besatzung!$F$17="x")*IFERROR(H153,0)/IFERROR(SUMPRODUCT((J153:U153="x")*(Besatzung!$F$11:$F$22="x")),1))),(IF(COUNTIF(J153:U153,"x")=0,IF(Besatzung!$B$17&lt;&gt;"",1,0),(P153="x"))*(G153-IFERROR(H153,0))/IFERROR(IF(COUNTIF(J153:U153,"x")=0,COUNTA(Besatzung!$B$11:$B$22),COUNTIF(J153:U153,"x")),1)+IF(COUNTIF(J153:U153,"x")=0,(Besatzung!$F$17="x"),(P153="x")*(Besatzung!$F$17="x"))*IFERROR(H153,0)/IFERROR(IF(COUNTIF(J153:U153,"x")=0,SUMPRODUCT((Besatzung!$B$11:$B$22&lt;&gt;"")*(Besatzung!$F$11:$F$22="x")),SUMPRODUCT((J153:U153="x")*(Besatzung!$F$11:$F$22="x"))),1))))),0))))</f>
        <v/>
      </c>
      <c r="AC153" s="106">
        <f>IF(C153="Gutschrift","",IF(G153="","",IF(Besatzung!$B$18="","",IFERROR(IF(I153="Zeitanteilig",(Besatzung!$G$18*(G153-IFERROR(H153,0))+((Besatzung!$B$18&lt;&gt;"")*IF(B153="",1,(IF(Besatzung!$C$18="",Besatzung!$B$5,Besatzung!$C$18)&lt;=B153)*(IF(Besatzung!$D$18="",Besatzung!$B$6,Besatzung!$D$18)&gt;=B153)))*(Besatzung!$F$18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$18&lt;&gt;"")*IF(B153="",1,(IF(Besatzung!$C$18="",Besatzung!$B$5,Besatzung!$C$18)&lt;=B153)*(IF(Besatzung!$D$18="",Besatzung!$B$6,Besatzung!$D$18)&gt;=B153)))*((G153-IFERROR(H153,0))/IFERROR(SUMPRODUCT((Besatzung!$B$11:$B$22&lt;&gt;"")*(IF(Besatzung!$C$11:$C$22="",Besatzung!$B$5,Besatzung!$C$11:$C$22)&lt;=B153)*(IF(Besatzung!$D$11:$D$22="",Besatzung!$B$6,Besatzung!$D$11:$D$22)&gt;=B153)),1)+(Besatzung!$F$18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Q153="x")*((G153-IFERROR(H153,0))/IFERROR(COUNTIF(J153:U153,"x"),1)+(Besatzung!$F$18="x")*IFERROR(H153,0)/IFERROR(SUMPRODUCT((J153:U153="x")*(Besatzung!$F$11:$F$22="x")),1))),(IF(COUNTIF(J153:U153,"x")=0,IF(Besatzung!$B$18&lt;&gt;"",1,0),(Q153="x"))*(G153-IFERROR(H153,0))/IFERROR(IF(COUNTIF(J153:U153,"x")=0,COUNTA(Besatzung!$B$11:$B$22),COUNTIF(J153:U153,"x")),1)+IF(COUNTIF(J153:U153,"x")=0,(Besatzung!$F$18="x"),(Q153="x")*(Besatzung!$F$18="x"))*IFERROR(H153,0)/IFERROR(IF(COUNTIF(J153:U153,"x")=0,SUMPRODUCT((Besatzung!$B$11:$B$22&lt;&gt;"")*(Besatzung!$F$11:$F$22="x")),SUMPRODUCT((J153:U153="x")*(Besatzung!$F$11:$F$22="x"))),1))))),0))))</f>
        <v/>
      </c>
      <c r="AD153" s="106">
        <f>IF(C153="Gutschrift","",IF(G153="","",IF(Besatzung!$B$19="","",IFERROR(IF(I153="Zeitanteilig",(Besatzung!$G$19*(G153-IFERROR(H153,0))+((Besatzung!$B$19&lt;&gt;"")*IF(B153="",1,(IF(Besatzung!$C$19="",Besatzung!$B$5,Besatzung!$C$19)&lt;=B153)*(IF(Besatzung!$D$19="",Besatzung!$B$6,Besatzung!$D$19)&gt;=B153)))*(Besatzung!$F$19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$19&lt;&gt;"")*IF(B153="",1,(IF(Besatzung!$C$19="",Besatzung!$B$5,Besatzung!$C$19)&lt;=B153)*(IF(Besatzung!$D$19="",Besatzung!$B$6,Besatzung!$D$19)&gt;=B153)))*((G153-IFERROR(H153,0))/IFERROR(SUMPRODUCT((Besatzung!$B$11:$B$22&lt;&gt;"")*(IF(Besatzung!$C$11:$C$22="",Besatzung!$B$5,Besatzung!$C$11:$C$22)&lt;=B153)*(IF(Besatzung!$D$11:$D$22="",Besatzung!$B$6,Besatzung!$D$11:$D$22)&gt;=B153)),1)+(Besatzung!$F$19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R153="x")*((G153-IFERROR(H153,0))/IFERROR(COUNTIF(J153:U153,"x"),1)+(Besatzung!$F$19="x")*IFERROR(H153,0)/IFERROR(SUMPRODUCT((J153:U153="x")*(Besatzung!$F$11:$F$22="x")),1))),(IF(COUNTIF(J153:U153,"x")=0,IF(Besatzung!$B$19&lt;&gt;"",1,0),(R153="x"))*(G153-IFERROR(H153,0))/IFERROR(IF(COUNTIF(J153:U153,"x")=0,COUNTA(Besatzung!$B$11:$B$22),COUNTIF(J153:U153,"x")),1)+IF(COUNTIF(J153:U153,"x")=0,(Besatzung!$F$19="x"),(R153="x")*(Besatzung!$F$19="x"))*IFERROR(H153,0)/IFERROR(IF(COUNTIF(J153:U153,"x")=0,SUMPRODUCT((Besatzung!$B$11:$B$22&lt;&gt;"")*(Besatzung!$F$11:$F$22="x")),SUMPRODUCT((J153:U153="x")*(Besatzung!$F$11:$F$22="x"))),1))))),0))))</f>
        <v/>
      </c>
      <c r="AE153" s="106">
        <f>IF(C153="Gutschrift","",IF(G153="","",IF(Besatzung!$B$20="","",IFERROR(IF(I153="Zeitanteilig",(Besatzung!$G$20*(G153-IFERROR(H153,0))+((Besatzung!$B$20&lt;&gt;"")*IF(B153="",1,(IF(Besatzung!$C$20="",Besatzung!$B$5,Besatzung!$C$20)&lt;=B153)*(IF(Besatzung!$D$20="",Besatzung!$B$6,Besatzung!$D$20)&gt;=B153)))*(Besatzung!$F$20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$20&lt;&gt;"")*IF(B153="",1,(IF(Besatzung!$C$20="",Besatzung!$B$5,Besatzung!$C$20)&lt;=B153)*(IF(Besatzung!$D$20="",Besatzung!$B$6,Besatzung!$D$20)&gt;=B153)))*((G153-IFERROR(H153,0))/IFERROR(SUMPRODUCT((Besatzung!$B$11:$B$22&lt;&gt;"")*(IF(Besatzung!$C$11:$C$22="",Besatzung!$B$5,Besatzung!$C$11:$C$22)&lt;=B153)*(IF(Besatzung!$D$11:$D$22="",Besatzung!$B$6,Besatzung!$D$11:$D$22)&gt;=B153)),1)+(Besatzung!$F$20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S153="x")*((G153-IFERROR(H153,0))/IFERROR(COUNTIF(J153:U153,"x"),1)+(Besatzung!$F$20="x")*IFERROR(H153,0)/IFERROR(SUMPRODUCT((J153:U153="x")*(Besatzung!$F$11:$F$22="x")),1))),(IF(COUNTIF(J153:U153,"x")=0,IF(Besatzung!$B$20&lt;&gt;"",1,0),(S153="x"))*(G153-IFERROR(H153,0))/IFERROR(IF(COUNTIF(J153:U153,"x")=0,COUNTA(Besatzung!$B$11:$B$22),COUNTIF(J153:U153,"x")),1)+IF(COUNTIF(J153:U153,"x")=0,(Besatzung!$F$20="x"),(S153="x")*(Besatzung!$F$20="x"))*IFERROR(H153,0)/IFERROR(IF(COUNTIF(J153:U153,"x")=0,SUMPRODUCT((Besatzung!$B$11:$B$22&lt;&gt;"")*(Besatzung!$F$11:$F$22="x")),SUMPRODUCT((J153:U153="x")*(Besatzung!$F$11:$F$22="x"))),1))))),0))))</f>
        <v/>
      </c>
      <c r="AF153" s="106">
        <f>IF(C153="Gutschrift","",IF(G153="","",IF(Besatzung!$B$21="","",IFERROR(IF(I153="Zeitanteilig",(Besatzung!$G$21*(G153-IFERROR(H153,0))+((Besatzung!$B$21&lt;&gt;"")*IF(B153="",1,(IF(Besatzung!$C$21="",Besatzung!$B$5,Besatzung!$C$21)&lt;=B153)*(IF(Besatzung!$D$21="",Besatzung!$B$6,Besatzung!$D$21)&gt;=B153)))*(Besatzung!$F$21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$21&lt;&gt;"")*IF(B153="",1,(IF(Besatzung!$C$21="",Besatzung!$B$5,Besatzung!$C$21)&lt;=B153)*(IF(Besatzung!$D$21="",Besatzung!$B$6,Besatzung!$D$21)&gt;=B153)))*((G153-IFERROR(H153,0))/IFERROR(SUMPRODUCT((Besatzung!$B$11:$B$22&lt;&gt;"")*(IF(Besatzung!$C$11:$C$22="",Besatzung!$B$5,Besatzung!$C$11:$C$22)&lt;=B153)*(IF(Besatzung!$D$11:$D$22="",Besatzung!$B$6,Besatzung!$D$11:$D$22)&gt;=B153)),1)+(Besatzung!$F$21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T153="x")*((G153-IFERROR(H153,0))/IFERROR(COUNTIF(J153:U153,"x"),1)+(Besatzung!$F$21="x")*IFERROR(H153,0)/IFERROR(SUMPRODUCT((J153:U153="x")*(Besatzung!$F$11:$F$22="x")),1))),(IF(COUNTIF(J153:U153,"x")=0,IF(Besatzung!$B$21&lt;&gt;"",1,0),(T153="x"))*(G153-IFERROR(H153,0))/IFERROR(IF(COUNTIF(J153:U153,"x")=0,COUNTA(Besatzung!$B$11:$B$22),COUNTIF(J153:U153,"x")),1)+IF(COUNTIF(J153:U153,"x")=0,(Besatzung!$F$21="x"),(T153="x")*(Besatzung!$F$21="x"))*IFERROR(H153,0)/IFERROR(IF(COUNTIF(J153:U153,"x")=0,SUMPRODUCT((Besatzung!$B$11:$B$22&lt;&gt;"")*(Besatzung!$F$11:$F$22="x")),SUMPRODUCT((J153:U153="x")*(Besatzung!$F$11:$F$22="x"))),1))))),0))))</f>
        <v/>
      </c>
      <c r="AG153" s="106">
        <f>IF(C153="Gutschrift","",IF(G153="","",IF(Besatzung!$B$22="","",IFERROR(IF(I153="Zeitanteilig",(Besatzung!$G$22*(G153-IFERROR(H153,0))+((Besatzung!$B$22&lt;&gt;"")*IF(B153="",1,(IF(Besatzung!$C$22="",Besatzung!$B$5,Besatzung!$C$22)&lt;=B153)*(IF(Besatzung!$D$22="",Besatzung!$B$6,Besatzung!$D$22)&gt;=B153)))*(Besatzung!$F$22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$22&lt;&gt;"")*IF(B153="",1,(IF(Besatzung!$C$22="",Besatzung!$B$5,Besatzung!$C$22)&lt;=B153)*(IF(Besatzung!$D$22="",Besatzung!$B$6,Besatzung!$D$22)&gt;=B153)))*((G153-IFERROR(H153,0))/IFERROR(SUMPRODUCT((Besatzung!$B$11:$B$22&lt;&gt;"")*(IF(Besatzung!$C$11:$C$22="",Besatzung!$B$5,Besatzung!$C$11:$C$22)&lt;=B153)*(IF(Besatzung!$D$11:$D$22="",Besatzung!$B$6,Besatzung!$D$11:$D$22)&gt;=B153)),1)+(Besatzung!$F$22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U153="x")*((G153-IFERROR(H153,0))/IFERROR(COUNTIF(J153:U153,"x"),1)+(Besatzung!$F$22="x")*IFERROR(H153,0)/IFERROR(SUMPRODUCT((J153:U153="x")*(Besatzung!$F$11:$F$22="x")),1))),(IF(COUNTIF(J153:U153,"x")=0,IF(Besatzung!$B$22&lt;&gt;"",1,0),(U153="x"))*(G153-IFERROR(H153,0))/IFERROR(IF(COUNTIF(J153:U153,"x")=0,COUNTA(Besatzung!$B$11:$B$22),COUNTIF(J153:U153,"x")),1)+IF(COUNTIF(J153:U153,"x")=0,(Besatzung!$F$22="x"),(U153="x")*(Besatzung!$F$22="x"))*IFERROR(H153,0)/IFERROR(IF(COUNTIF(J153:U153,"x")=0,SUMPRODUCT((Besatzung!$B$11:$B$22&lt;&gt;"")*(Besatzung!$F$11:$F$22="x")),SUMPRODUCT((J153:U153="x")*(Besatzung!$F$11:$F$22="x"))),1))))),0))))</f>
        <v/>
      </c>
      <c r="AH153" s="107" t="n"/>
      <c r="AI153" s="107" t="n"/>
    </row>
    <row r="154" ht="21.75" customHeight="1" s="182">
      <c r="A154" s="97">
        <f>IF(AND(D154="",C154=""),"",151)</f>
        <v/>
      </c>
      <c r="B154" s="56" t="n"/>
      <c r="C154" s="98" t="n"/>
      <c r="D154" s="99" t="n"/>
      <c r="E154" s="100" t="n"/>
      <c r="F154" s="101" t="n"/>
      <c r="G154" s="102" t="n"/>
      <c r="H154" s="103" t="n"/>
      <c r="I154" s="104" t="n"/>
      <c r="J154" s="105" t="n"/>
      <c r="K154" s="105" t="n"/>
      <c r="L154" s="105" t="n"/>
      <c r="M154" s="105" t="n"/>
      <c r="N154" s="105" t="n"/>
      <c r="O154" s="105" t="n"/>
      <c r="P154" s="105" t="n"/>
      <c r="Q154" s="105" t="n"/>
      <c r="R154" s="105" t="n"/>
      <c r="S154" s="105" t="n"/>
      <c r="T154" s="105" t="n"/>
      <c r="U154" s="105" t="n"/>
      <c r="V154" s="106">
        <f>IF(C154="Gutschrift","",IF(G154="","",IF(Besatzung!$B$11="","",IFERROR(IF(I154="Zeitanteilig",(Besatzung!$G$11*(G154-IFERROR(H154,0))+((Besatzung!$B$11&lt;&gt;"")*IF(B154="",1,(IF(Besatzung!$C$11="",Besatzung!$B$5,Besatzung!$C$11)&lt;=B154)*(IF(Besatzung!$D$11="",Besatzung!$B$6,Besatzung!$D$11)&gt;=B154)))*(Besatzung!$F$11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$11&lt;&gt;"")*IF(B154="",1,(IF(Besatzung!$C$11="",Besatzung!$B$5,Besatzung!$C$11)&lt;=B154)*(IF(Besatzung!$D$11="",Besatzung!$B$6,Besatzung!$D$11)&gt;=B154)))*((G154-IFERROR(H154,0))/IFERROR(SUMPRODUCT((Besatzung!$B$11:$B$22&lt;&gt;"")*(IF(Besatzung!$C$11:$C$22="",Besatzung!$B$5,Besatzung!$C$11:$C$22)&lt;=B154)*(IF(Besatzung!$D$11:$D$22="",Besatzung!$B$6,Besatzung!$D$11:$D$22)&gt;=B154)),1)+(Besatzung!$F$11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J154="x")*((G154-IFERROR(H154,0))/IFERROR(COUNTIF(J154:U154,"x"),1)+(Besatzung!$F$11="x")*IFERROR(H154,0)/IFERROR(SUMPRODUCT((J154:U154="x")*(Besatzung!$F$11:$F$22="x")),1))),(IF(COUNTIF(J154:U154,"x")=0,IF(Besatzung!$B$11&lt;&gt;"",1,0),(J154="x"))*(G154-IFERROR(H154,0))/IFERROR(IF(COUNTIF(J154:U154,"x")=0,COUNTA(Besatzung!$B$11:$B$22),COUNTIF(J154:U154,"x")),1)+IF(COUNTIF(J154:U154,"x")=0,(Besatzung!$F$11="x"),(J154="x")*(Besatzung!$F$11="x"))*IFERROR(H154,0)/IFERROR(IF(COUNTIF(J154:U154,"x")=0,SUMPRODUCT((Besatzung!$B$11:$B$22&lt;&gt;"")*(Besatzung!$F$11:$F$22="x")),SUMPRODUCT((J154:U154="x")*(Besatzung!$F$11:$F$22="x"))),1))))),0))))</f>
        <v/>
      </c>
      <c r="W154" s="106">
        <f>IF(C154="Gutschrift","",IF(G154="","",IF(Besatzung!$B$12="","",IFERROR(IF(I154="Zeitanteilig",(Besatzung!$G$12*(G154-IFERROR(H154,0))+((Besatzung!$B$12&lt;&gt;"")*IF(B154="",1,(IF(Besatzung!$C$12="",Besatzung!$B$5,Besatzung!$C$12)&lt;=B154)*(IF(Besatzung!$D$12="",Besatzung!$B$6,Besatzung!$D$12)&gt;=B154)))*(Besatzung!$F$12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$12&lt;&gt;"")*IF(B154="",1,(IF(Besatzung!$C$12="",Besatzung!$B$5,Besatzung!$C$12)&lt;=B154)*(IF(Besatzung!$D$12="",Besatzung!$B$6,Besatzung!$D$12)&gt;=B154)))*((G154-IFERROR(H154,0))/IFERROR(SUMPRODUCT((Besatzung!$B$11:$B$22&lt;&gt;"")*(IF(Besatzung!$C$11:$C$22="",Besatzung!$B$5,Besatzung!$C$11:$C$22)&lt;=B154)*(IF(Besatzung!$D$11:$D$22="",Besatzung!$B$6,Besatzung!$D$11:$D$22)&gt;=B154)),1)+(Besatzung!$F$12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K154="x")*((G154-IFERROR(H154,0))/IFERROR(COUNTIF(J154:U154,"x"),1)+(Besatzung!$F$12="x")*IFERROR(H154,0)/IFERROR(SUMPRODUCT((J154:U154="x")*(Besatzung!$F$11:$F$22="x")),1))),(IF(COUNTIF(J154:U154,"x")=0,IF(Besatzung!$B$12&lt;&gt;"",1,0),(K154="x"))*(G154-IFERROR(H154,0))/IFERROR(IF(COUNTIF(J154:U154,"x")=0,COUNTA(Besatzung!$B$11:$B$22),COUNTIF(J154:U154,"x")),1)+IF(COUNTIF(J154:U154,"x")=0,(Besatzung!$F$12="x"),(K154="x")*(Besatzung!$F$12="x"))*IFERROR(H154,0)/IFERROR(IF(COUNTIF(J154:U154,"x")=0,SUMPRODUCT((Besatzung!$B$11:$B$22&lt;&gt;"")*(Besatzung!$F$11:$F$22="x")),SUMPRODUCT((J154:U154="x")*(Besatzung!$F$11:$F$22="x"))),1))))),0))))</f>
        <v/>
      </c>
      <c r="X154" s="106">
        <f>IF(C154="Gutschrift","",IF(G154="","",IF(Besatzung!$B$13="","",IFERROR(IF(I154="Zeitanteilig",(Besatzung!$G$13*(G154-IFERROR(H154,0))+((Besatzung!$B$13&lt;&gt;"")*IF(B154="",1,(IF(Besatzung!$C$13="",Besatzung!$B$5,Besatzung!$C$13)&lt;=B154)*(IF(Besatzung!$D$13="",Besatzung!$B$6,Besatzung!$D$13)&gt;=B154)))*(Besatzung!$F$13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$13&lt;&gt;"")*IF(B154="",1,(IF(Besatzung!$C$13="",Besatzung!$B$5,Besatzung!$C$13)&lt;=B154)*(IF(Besatzung!$D$13="",Besatzung!$B$6,Besatzung!$D$13)&gt;=B154)))*((G154-IFERROR(H154,0))/IFERROR(SUMPRODUCT((Besatzung!$B$11:$B$22&lt;&gt;"")*(IF(Besatzung!$C$11:$C$22="",Besatzung!$B$5,Besatzung!$C$11:$C$22)&lt;=B154)*(IF(Besatzung!$D$11:$D$22="",Besatzung!$B$6,Besatzung!$D$11:$D$22)&gt;=B154)),1)+(Besatzung!$F$13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K154="x")*((G154-IFERROR(H154,0))/IFERROR(COUNTIF(J154:U154,"x"),1)+(Besatzung!$F$13="x")*IFERROR(H154,0)/IFERROR(SUMPRODUCT((J154:U154="x")*(Besatzung!$F$11:$F$22="x")),1))),(IF(COUNTIF(J154:U154,"x")=0,IF(Besatzung!$B$13&lt;&gt;"",1,0),(K154="x"))*(G154-IFERROR(H154,0))/IFERROR(IF(COUNTIF(J154:U154,"x")=0,COUNTA(Besatzung!$B$11:$B$22),COUNTIF(J154:U154,"x")),1)+IF(COUNTIF(J154:U154,"x")=0,(Besatzung!$F$13="x"),(K154="x")*(Besatzung!$F$13="x"))*IFERROR(H154,0)/IFERROR(IF(COUNTIF(J154:U154,"x")=0,SUMPRODUCT((Besatzung!$B$11:$B$22&lt;&gt;"")*(Besatzung!$F$11:$F$22="x")),SUMPRODUCT((J154:U154="x")*(Besatzung!$F$11:$F$22="x"))),1))))),0))))</f>
        <v/>
      </c>
      <c r="Y154" s="106">
        <f>IF(C154="Gutschrift","",IF(G154="","",IF(Besatzung!$B$14="","",IFERROR(IF(I154="Zeitanteilig",(Besatzung!$G$14*(G154-IFERROR(H154,0))+((Besatzung!$B$14&lt;&gt;"")*IF(B154="",1,(IF(Besatzung!$C$14="",Besatzung!$B$5,Besatzung!$C$14)&lt;=B154)*(IF(Besatzung!$D$14="",Besatzung!$B$6,Besatzung!$D$14)&gt;=B154)))*(Besatzung!$F$14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$14&lt;&gt;"")*IF(B154="",1,(IF(Besatzung!$C$14="",Besatzung!$B$5,Besatzung!$C$14)&lt;=B154)*(IF(Besatzung!$D$14="",Besatzung!$B$6,Besatzung!$D$14)&gt;=B154)))*((G154-IFERROR(H154,0))/IFERROR(SUMPRODUCT((Besatzung!$B$11:$B$22&lt;&gt;"")*(IF(Besatzung!$C$11:$C$22="",Besatzung!$B$5,Besatzung!$C$11:$C$22)&lt;=B154)*(IF(Besatzung!$D$11:$D$22="",Besatzung!$B$6,Besatzung!$D$11:$D$22)&gt;=B154)),1)+(Besatzung!$F$14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M154="x")*((G154-IFERROR(H154,0))/IFERROR(COUNTIF(J154:U154,"x"),1)+(Besatzung!$F$14="x")*IFERROR(H154,0)/IFERROR(SUMPRODUCT((J154:U154="x")*(Besatzung!$F$11:$F$22="x")),1))),(IF(COUNTIF(J154:U154,"x")=0,IF(Besatzung!$B$14&lt;&gt;"",1,0),(M154="x"))*(G154-IFERROR(H154,0))/IFERROR(IF(COUNTIF(J154:U154,"x")=0,COUNTA(Besatzung!$B$11:$B$22),COUNTIF(J154:U154,"x")),1)+IF(COUNTIF(J154:U154,"x")=0,(Besatzung!$F$14="x"),(M154="x")*(Besatzung!$F$14="x"))*IFERROR(H154,0)/IFERROR(IF(COUNTIF(J154:U154,"x")=0,SUMPRODUCT((Besatzung!$B$11:$B$22&lt;&gt;"")*(Besatzung!$F$11:$F$22="x")),SUMPRODUCT((J154:U154="x")*(Besatzung!$F$11:$F$22="x"))),1))))),0))))</f>
        <v/>
      </c>
      <c r="Z154" s="106">
        <f>IF(C154="Gutschrift","",IF(G154="","",IF(Besatzung!$B$13="","",IFERROR(IF(I154="Zeitanteilig",(Besatzung!$G$15*(G154-IFERROR(H154,0))+((Besatzung!$B$13&lt;&gt;"")*IF(B154="",1,(IF(Besatzung!$C$15="",Besatzung!$B$5,Besatzung!$C$15)&lt;=B154)*(IF(Besatzung!$D$15="",Besatzung!$B$6,Besatzung!$D$15)&gt;=B154)))*(Besatzung!$F$15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$13&lt;&gt;"")*IF(B154="",1,(IF(Besatzung!$C$15="",Besatzung!$B$5,Besatzung!$C$15)&lt;=B154)*(IF(Besatzung!$D$15="",Besatzung!$B$6,Besatzung!$D$15)&gt;=B154)))*((G154-IFERROR(H154,0))/IFERROR(SUMPRODUCT((Besatzung!$B$11:$B$22&lt;&gt;"")*(IF(Besatzung!$C$11:$C$22="",Besatzung!$B$5,Besatzung!$C$11:$C$22)&lt;=B154)*(IF(Besatzung!$D$11:$D$22="",Besatzung!$B$6,Besatzung!$D$11:$D$22)&gt;=B154)),1)+(Besatzung!$F$15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N154="x")*((G154-IFERROR(H154,0))/IFERROR(COUNTIF(J154:U154,"x"),1)+(Besatzung!$F$15="x")*IFERROR(H154,0)/IFERROR(SUMPRODUCT((J154:U154="x")*(Besatzung!$F$11:$F$22="x")),1))),(IF(COUNTIF(J154:U154,"x")=0,IF(Besatzung!$B$13&lt;&gt;"",1,0),(N154="x"))*(G154-IFERROR(H154,0))/IFERROR(IF(COUNTIF(J154:U154,"x")=0,COUNTA(Besatzung!$B$11:$B$22),COUNTIF(J154:U154,"x")),1)+IF(COUNTIF(J154:U154,"x")=0,(Besatzung!$F$15="x"),(N154="x")*(Besatzung!$F$15="x"))*IFERROR(H154,0)/IFERROR(IF(COUNTIF(J154:U154,"x")=0,SUMPRODUCT((Besatzung!$B$11:$B$22&lt;&gt;"")*(Besatzung!$F$11:$F$22="x")),SUMPRODUCT((J154:U154="x")*(Besatzung!$F$11:$F$22="x"))),1))))),0))))</f>
        <v/>
      </c>
      <c r="AA154" s="106">
        <f>IF(C154="Gutschrift","",IF(G154="","",IF(Besatzung!$B$15="","",IFERROR(IF(I154="Zeitanteilig",(Besatzung!$G$16*(G154-IFERROR(H154,0))+((Besatzung!$B$15&lt;&gt;"")*IF(B154="",1,(IF(Besatzung!$C$16="",Besatzung!$B$5,Besatzung!$C$16)&lt;=B154)*(IF(Besatzung!$D$16="",Besatzung!$B$6,Besatzung!$D$16)&gt;=B154)))*(Besatzung!$F$16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$15&lt;&gt;"")*IF(B154="",1,(IF(Besatzung!$C$16="",Besatzung!$B$5,Besatzung!$C$16)&lt;=B154)*(IF(Besatzung!$D$16="",Besatzung!$B$6,Besatzung!$D$16)&gt;=B154)))*((G154-IFERROR(H154,0))/IFERROR(SUMPRODUCT((Besatzung!$B$11:$B$22&lt;&gt;"")*(IF(Besatzung!$C$11:$C$22="",Besatzung!$B$5,Besatzung!$C$11:$C$22)&lt;=B154)*(IF(Besatzung!$D$11:$D$22="",Besatzung!$B$6,Besatzung!$D$11:$D$22)&gt;=B154)),1)+(Besatzung!$F$16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O154="x")*((G154-IFERROR(H154,0))/IFERROR(COUNTIF(J154:U154,"x"),1)+(Besatzung!$F$16="x")*IFERROR(H154,0)/IFERROR(SUMPRODUCT((J154:U154="x")*(Besatzung!$F$11:$F$22="x")),1))),(IF(COUNTIF(J154:U154,"x")=0,IF(Besatzung!$B$15&lt;&gt;"",1,0),(O154="x"))*(G154-IFERROR(H154,0))/IFERROR(IF(COUNTIF(J154:U154,"x")=0,COUNTA(Besatzung!$B$11:$B$22),COUNTIF(J154:U154,"x")),1)+IF(COUNTIF(J154:U154,"x")=0,(Besatzung!$F$16="x"),(O154="x")*(Besatzung!$F$16="x"))*IFERROR(H154,0)/IFERROR(IF(COUNTIF(J154:U154,"x")=0,SUMPRODUCT((Besatzung!$B$11:$B$22&lt;&gt;"")*(Besatzung!$F$11:$F$22="x")),SUMPRODUCT((J154:U154="x")*(Besatzung!$F$11:$F$22="x"))),1))))),0))))</f>
        <v/>
      </c>
      <c r="AB154" s="106">
        <f>IF(C154="Gutschrift","",IF(G154="","",IF(Besatzung!$B$17="","",IFERROR(IF(I154="Zeitanteilig",(Besatzung!$G$17*(G154-IFERROR(H154,0))+((Besatzung!$B$17&lt;&gt;"")*IF(B154="",1,(IF(Besatzung!$C$17="",Besatzung!$B$5,Besatzung!$C$17)&lt;=B154)*(IF(Besatzung!$D$17="",Besatzung!$B$6,Besatzung!$D$17)&gt;=B154)))*(Besatzung!$F$17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$17&lt;&gt;"")*IF(B154="",1,(IF(Besatzung!$C$17="",Besatzung!$B$5,Besatzung!$C$17)&lt;=B154)*(IF(Besatzung!$D$17="",Besatzung!$B$6,Besatzung!$D$17)&gt;=B154)))*((G154-IFERROR(H154,0))/IFERROR(SUMPRODUCT((Besatzung!$B$11:$B$22&lt;&gt;"")*(IF(Besatzung!$C$11:$C$22="",Besatzung!$B$5,Besatzung!$C$11:$C$22)&lt;=B154)*(IF(Besatzung!$D$11:$D$22="",Besatzung!$B$6,Besatzung!$D$11:$D$22)&gt;=B154)),1)+(Besatzung!$F$17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P154="x")*((G154-IFERROR(H154,0))/IFERROR(COUNTIF(J154:U154,"x"),1)+(Besatzung!$F$17="x")*IFERROR(H154,0)/IFERROR(SUMPRODUCT((J154:U154="x")*(Besatzung!$F$11:$F$22="x")),1))),(IF(COUNTIF(J154:U154,"x")=0,IF(Besatzung!$B$17&lt;&gt;"",1,0),(P154="x"))*(G154-IFERROR(H154,0))/IFERROR(IF(COUNTIF(J154:U154,"x")=0,COUNTA(Besatzung!$B$11:$B$22),COUNTIF(J154:U154,"x")),1)+IF(COUNTIF(J154:U154,"x")=0,(Besatzung!$F$17="x"),(P154="x")*(Besatzung!$F$17="x"))*IFERROR(H154,0)/IFERROR(IF(COUNTIF(J154:U154,"x")=0,SUMPRODUCT((Besatzung!$B$11:$B$22&lt;&gt;"")*(Besatzung!$F$11:$F$22="x")),SUMPRODUCT((J154:U154="x")*(Besatzung!$F$11:$F$22="x"))),1))))),0))))</f>
        <v/>
      </c>
      <c r="AC154" s="106">
        <f>IF(C154="Gutschrift","",IF(G154="","",IF(Besatzung!$B$18="","",IFERROR(IF(I154="Zeitanteilig",(Besatzung!$G$18*(G154-IFERROR(H154,0))+((Besatzung!$B$18&lt;&gt;"")*IF(B154="",1,(IF(Besatzung!$C$18="",Besatzung!$B$5,Besatzung!$C$18)&lt;=B154)*(IF(Besatzung!$D$18="",Besatzung!$B$6,Besatzung!$D$18)&gt;=B154)))*(Besatzung!$F$18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$18&lt;&gt;"")*IF(B154="",1,(IF(Besatzung!$C$18="",Besatzung!$B$5,Besatzung!$C$18)&lt;=B154)*(IF(Besatzung!$D$18="",Besatzung!$B$6,Besatzung!$D$18)&gt;=B154)))*((G154-IFERROR(H154,0))/IFERROR(SUMPRODUCT((Besatzung!$B$11:$B$22&lt;&gt;"")*(IF(Besatzung!$C$11:$C$22="",Besatzung!$B$5,Besatzung!$C$11:$C$22)&lt;=B154)*(IF(Besatzung!$D$11:$D$22="",Besatzung!$B$6,Besatzung!$D$11:$D$22)&gt;=B154)),1)+(Besatzung!$F$18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Q154="x")*((G154-IFERROR(H154,0))/IFERROR(COUNTIF(J154:U154,"x"),1)+(Besatzung!$F$18="x")*IFERROR(H154,0)/IFERROR(SUMPRODUCT((J154:U154="x")*(Besatzung!$F$11:$F$22="x")),1))),(IF(COUNTIF(J154:U154,"x")=0,IF(Besatzung!$B$18&lt;&gt;"",1,0),(Q154="x"))*(G154-IFERROR(H154,0))/IFERROR(IF(COUNTIF(J154:U154,"x")=0,COUNTA(Besatzung!$B$11:$B$22),COUNTIF(J154:U154,"x")),1)+IF(COUNTIF(J154:U154,"x")=0,(Besatzung!$F$18="x"),(Q154="x")*(Besatzung!$F$18="x"))*IFERROR(H154,0)/IFERROR(IF(COUNTIF(J154:U154,"x")=0,SUMPRODUCT((Besatzung!$B$11:$B$22&lt;&gt;"")*(Besatzung!$F$11:$F$22="x")),SUMPRODUCT((J154:U154="x")*(Besatzung!$F$11:$F$22="x"))),1))))),0))))</f>
        <v/>
      </c>
      <c r="AD154" s="106">
        <f>IF(C154="Gutschrift","",IF(G154="","",IF(Besatzung!$B$19="","",IFERROR(IF(I154="Zeitanteilig",(Besatzung!$G$19*(G154-IFERROR(H154,0))+((Besatzung!$B$19&lt;&gt;"")*IF(B154="",1,(IF(Besatzung!$C$19="",Besatzung!$B$5,Besatzung!$C$19)&lt;=B154)*(IF(Besatzung!$D$19="",Besatzung!$B$6,Besatzung!$D$19)&gt;=B154)))*(Besatzung!$F$19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$19&lt;&gt;"")*IF(B154="",1,(IF(Besatzung!$C$19="",Besatzung!$B$5,Besatzung!$C$19)&lt;=B154)*(IF(Besatzung!$D$19="",Besatzung!$B$6,Besatzung!$D$19)&gt;=B154)))*((G154-IFERROR(H154,0))/IFERROR(SUMPRODUCT((Besatzung!$B$11:$B$22&lt;&gt;"")*(IF(Besatzung!$C$11:$C$22="",Besatzung!$B$5,Besatzung!$C$11:$C$22)&lt;=B154)*(IF(Besatzung!$D$11:$D$22="",Besatzung!$B$6,Besatzung!$D$11:$D$22)&gt;=B154)),1)+(Besatzung!$F$19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R154="x")*((G154-IFERROR(H154,0))/IFERROR(COUNTIF(J154:U154,"x"),1)+(Besatzung!$F$19="x")*IFERROR(H154,0)/IFERROR(SUMPRODUCT((J154:U154="x")*(Besatzung!$F$11:$F$22="x")),1))),(IF(COUNTIF(J154:U154,"x")=0,IF(Besatzung!$B$19&lt;&gt;"",1,0),(R154="x"))*(G154-IFERROR(H154,0))/IFERROR(IF(COUNTIF(J154:U154,"x")=0,COUNTA(Besatzung!$B$11:$B$22),COUNTIF(J154:U154,"x")),1)+IF(COUNTIF(J154:U154,"x")=0,(Besatzung!$F$19="x"),(R154="x")*(Besatzung!$F$19="x"))*IFERROR(H154,0)/IFERROR(IF(COUNTIF(J154:U154,"x")=0,SUMPRODUCT((Besatzung!$B$11:$B$22&lt;&gt;"")*(Besatzung!$F$11:$F$22="x")),SUMPRODUCT((J154:U154="x")*(Besatzung!$F$11:$F$22="x"))),1))))),0))))</f>
        <v/>
      </c>
      <c r="AE154" s="106">
        <f>IF(C154="Gutschrift","",IF(G154="","",IF(Besatzung!$B$20="","",IFERROR(IF(I154="Zeitanteilig",(Besatzung!$G$20*(G154-IFERROR(H154,0))+((Besatzung!$B$20&lt;&gt;"")*IF(B154="",1,(IF(Besatzung!$C$20="",Besatzung!$B$5,Besatzung!$C$20)&lt;=B154)*(IF(Besatzung!$D$20="",Besatzung!$B$6,Besatzung!$D$20)&gt;=B154)))*(Besatzung!$F$20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$20&lt;&gt;"")*IF(B154="",1,(IF(Besatzung!$C$20="",Besatzung!$B$5,Besatzung!$C$20)&lt;=B154)*(IF(Besatzung!$D$20="",Besatzung!$B$6,Besatzung!$D$20)&gt;=B154)))*((G154-IFERROR(H154,0))/IFERROR(SUMPRODUCT((Besatzung!$B$11:$B$22&lt;&gt;"")*(IF(Besatzung!$C$11:$C$22="",Besatzung!$B$5,Besatzung!$C$11:$C$22)&lt;=B154)*(IF(Besatzung!$D$11:$D$22="",Besatzung!$B$6,Besatzung!$D$11:$D$22)&gt;=B154)),1)+(Besatzung!$F$20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S154="x")*((G154-IFERROR(H154,0))/IFERROR(COUNTIF(J154:U154,"x"),1)+(Besatzung!$F$20="x")*IFERROR(H154,0)/IFERROR(SUMPRODUCT((J154:U154="x")*(Besatzung!$F$11:$F$22="x")),1))),(IF(COUNTIF(J154:U154,"x")=0,IF(Besatzung!$B$20&lt;&gt;"",1,0),(S154="x"))*(G154-IFERROR(H154,0))/IFERROR(IF(COUNTIF(J154:U154,"x")=0,COUNTA(Besatzung!$B$11:$B$22),COUNTIF(J154:U154,"x")),1)+IF(COUNTIF(J154:U154,"x")=0,(Besatzung!$F$20="x"),(S154="x")*(Besatzung!$F$20="x"))*IFERROR(H154,0)/IFERROR(IF(COUNTIF(J154:U154,"x")=0,SUMPRODUCT((Besatzung!$B$11:$B$22&lt;&gt;"")*(Besatzung!$F$11:$F$22="x")),SUMPRODUCT((J154:U154="x")*(Besatzung!$F$11:$F$22="x"))),1))))),0))))</f>
        <v/>
      </c>
      <c r="AF154" s="106">
        <f>IF(C154="Gutschrift","",IF(G154="","",IF(Besatzung!$B$21="","",IFERROR(IF(I154="Zeitanteilig",(Besatzung!$G$21*(G154-IFERROR(H154,0))+((Besatzung!$B$21&lt;&gt;"")*IF(B154="",1,(IF(Besatzung!$C$21="",Besatzung!$B$5,Besatzung!$C$21)&lt;=B154)*(IF(Besatzung!$D$21="",Besatzung!$B$6,Besatzung!$D$21)&gt;=B154)))*(Besatzung!$F$21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$21&lt;&gt;"")*IF(B154="",1,(IF(Besatzung!$C$21="",Besatzung!$B$5,Besatzung!$C$21)&lt;=B154)*(IF(Besatzung!$D$21="",Besatzung!$B$6,Besatzung!$D$21)&gt;=B154)))*((G154-IFERROR(H154,0))/IFERROR(SUMPRODUCT((Besatzung!$B$11:$B$22&lt;&gt;"")*(IF(Besatzung!$C$11:$C$22="",Besatzung!$B$5,Besatzung!$C$11:$C$22)&lt;=B154)*(IF(Besatzung!$D$11:$D$22="",Besatzung!$B$6,Besatzung!$D$11:$D$22)&gt;=B154)),1)+(Besatzung!$F$21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T154="x")*((G154-IFERROR(H154,0))/IFERROR(COUNTIF(J154:U154,"x"),1)+(Besatzung!$F$21="x")*IFERROR(H154,0)/IFERROR(SUMPRODUCT((J154:U154="x")*(Besatzung!$F$11:$F$22="x")),1))),(IF(COUNTIF(J154:U154,"x")=0,IF(Besatzung!$B$21&lt;&gt;"",1,0),(T154="x"))*(G154-IFERROR(H154,0))/IFERROR(IF(COUNTIF(J154:U154,"x")=0,COUNTA(Besatzung!$B$11:$B$22),COUNTIF(J154:U154,"x")),1)+IF(COUNTIF(J154:U154,"x")=0,(Besatzung!$F$21="x"),(T154="x")*(Besatzung!$F$21="x"))*IFERROR(H154,0)/IFERROR(IF(COUNTIF(J154:U154,"x")=0,SUMPRODUCT((Besatzung!$B$11:$B$22&lt;&gt;"")*(Besatzung!$F$11:$F$22="x")),SUMPRODUCT((J154:U154="x")*(Besatzung!$F$11:$F$22="x"))),1))))),0))))</f>
        <v/>
      </c>
      <c r="AG154" s="106">
        <f>IF(C154="Gutschrift","",IF(G154="","",IF(Besatzung!$B$22="","",IFERROR(IF(I154="Zeitanteilig",(Besatzung!$G$22*(G154-IFERROR(H154,0))+((Besatzung!$B$22&lt;&gt;"")*IF(B154="",1,(IF(Besatzung!$C$22="",Besatzung!$B$5,Besatzung!$C$22)&lt;=B154)*(IF(Besatzung!$D$22="",Besatzung!$B$6,Besatzung!$D$22)&gt;=B154)))*(Besatzung!$F$22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$22&lt;&gt;"")*IF(B154="",1,(IF(Besatzung!$C$22="",Besatzung!$B$5,Besatzung!$C$22)&lt;=B154)*(IF(Besatzung!$D$22="",Besatzung!$B$6,Besatzung!$D$22)&gt;=B154)))*((G154-IFERROR(H154,0))/IFERROR(SUMPRODUCT((Besatzung!$B$11:$B$22&lt;&gt;"")*(IF(Besatzung!$C$11:$C$22="",Besatzung!$B$5,Besatzung!$C$11:$C$22)&lt;=B154)*(IF(Besatzung!$D$11:$D$22="",Besatzung!$B$6,Besatzung!$D$11:$D$22)&gt;=B154)),1)+(Besatzung!$F$22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U154="x")*((G154-IFERROR(H154,0))/IFERROR(COUNTIF(J154:U154,"x"),1)+(Besatzung!$F$22="x")*IFERROR(H154,0)/IFERROR(SUMPRODUCT((J154:U154="x")*(Besatzung!$F$11:$F$22="x")),1))),(IF(COUNTIF(J154:U154,"x")=0,IF(Besatzung!$B$22&lt;&gt;"",1,0),(U154="x"))*(G154-IFERROR(H154,0))/IFERROR(IF(COUNTIF(J154:U154,"x")=0,COUNTA(Besatzung!$B$11:$B$22),COUNTIF(J154:U154,"x")),1)+IF(COUNTIF(J154:U154,"x")=0,(Besatzung!$F$22="x"),(U154="x")*(Besatzung!$F$22="x"))*IFERROR(H154,0)/IFERROR(IF(COUNTIF(J154:U154,"x")=0,SUMPRODUCT((Besatzung!$B$11:$B$22&lt;&gt;"")*(Besatzung!$F$11:$F$22="x")),SUMPRODUCT((J154:U154="x")*(Besatzung!$F$11:$F$22="x"))),1))))),0))))</f>
        <v/>
      </c>
      <c r="AH154" s="107" t="n"/>
      <c r="AI154" s="107" t="n"/>
    </row>
    <row r="155" ht="21.75" customHeight="1" s="182">
      <c r="A155" s="97">
        <f>IF(AND(D155="",C155=""),"",152)</f>
        <v/>
      </c>
      <c r="B155" s="63" t="n"/>
      <c r="C155" s="108" t="n"/>
      <c r="D155" s="109" t="n"/>
      <c r="E155" s="110" t="n"/>
      <c r="F155" s="111" t="n"/>
      <c r="G155" s="112" t="n"/>
      <c r="H155" s="113" t="n"/>
      <c r="I155" s="114" t="n"/>
      <c r="J155" s="115" t="n"/>
      <c r="K155" s="115" t="n"/>
      <c r="L155" s="115" t="n"/>
      <c r="M155" s="115" t="n"/>
      <c r="N155" s="115" t="n"/>
      <c r="O155" s="115" t="n"/>
      <c r="P155" s="115" t="n"/>
      <c r="Q155" s="115" t="n"/>
      <c r="R155" s="115" t="n"/>
      <c r="S155" s="115" t="n"/>
      <c r="T155" s="115" t="n"/>
      <c r="U155" s="115" t="n"/>
      <c r="V155" s="106">
        <f>IF(C155="Gutschrift","",IF(G155="","",IF(Besatzung!$B$11="","",IFERROR(IF(I155="Zeitanteilig",(Besatzung!$G$11*(G155-IFERROR(H155,0))+((Besatzung!$B$11&lt;&gt;"")*IF(B155="",1,(IF(Besatzung!$C$11="",Besatzung!$B$5,Besatzung!$C$11)&lt;=B155)*(IF(Besatzung!$D$11="",Besatzung!$B$6,Besatzung!$D$11)&gt;=B155)))*(Besatzung!$F$11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$11&lt;&gt;"")*IF(B155="",1,(IF(Besatzung!$C$11="",Besatzung!$B$5,Besatzung!$C$11)&lt;=B155)*(IF(Besatzung!$D$11="",Besatzung!$B$6,Besatzung!$D$11)&gt;=B155)))*((G155-IFERROR(H155,0))/IFERROR(SUMPRODUCT((Besatzung!$B$11:$B$22&lt;&gt;"")*(IF(Besatzung!$C$11:$C$22="",Besatzung!$B$5,Besatzung!$C$11:$C$22)&lt;=B155)*(IF(Besatzung!$D$11:$D$22="",Besatzung!$B$6,Besatzung!$D$11:$D$22)&gt;=B155)),1)+(Besatzung!$F$11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J155="x")*((G155-IFERROR(H155,0))/IFERROR(COUNTIF(J155:U155,"x"),1)+(Besatzung!$F$11="x")*IFERROR(H155,0)/IFERROR(SUMPRODUCT((J155:U155="x")*(Besatzung!$F$11:$F$22="x")),1))),(IF(COUNTIF(J155:U155,"x")=0,IF(Besatzung!$B$11&lt;&gt;"",1,0),(J155="x"))*(G155-IFERROR(H155,0))/IFERROR(IF(COUNTIF(J155:U155,"x")=0,COUNTA(Besatzung!$B$11:$B$22),COUNTIF(J155:U155,"x")),1)+IF(COUNTIF(J155:U155,"x")=0,(Besatzung!$F$11="x"),(J155="x")*(Besatzung!$F$11="x"))*IFERROR(H155,0)/IFERROR(IF(COUNTIF(J155:U155,"x")=0,SUMPRODUCT((Besatzung!$B$11:$B$22&lt;&gt;"")*(Besatzung!$F$11:$F$22="x")),SUMPRODUCT((J155:U155="x")*(Besatzung!$F$11:$F$22="x"))),1))))),0))))</f>
        <v/>
      </c>
      <c r="W155" s="106">
        <f>IF(C155="Gutschrift","",IF(G155="","",IF(Besatzung!$B$12="","",IFERROR(IF(I155="Zeitanteilig",(Besatzung!$G$12*(G155-IFERROR(H155,0))+((Besatzung!$B$12&lt;&gt;"")*IF(B155="",1,(IF(Besatzung!$C$12="",Besatzung!$B$5,Besatzung!$C$12)&lt;=B155)*(IF(Besatzung!$D$12="",Besatzung!$B$6,Besatzung!$D$12)&gt;=B155)))*(Besatzung!$F$12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$12&lt;&gt;"")*IF(B155="",1,(IF(Besatzung!$C$12="",Besatzung!$B$5,Besatzung!$C$12)&lt;=B155)*(IF(Besatzung!$D$12="",Besatzung!$B$6,Besatzung!$D$12)&gt;=B155)))*((G155-IFERROR(H155,0))/IFERROR(SUMPRODUCT((Besatzung!$B$11:$B$22&lt;&gt;"")*(IF(Besatzung!$C$11:$C$22="",Besatzung!$B$5,Besatzung!$C$11:$C$22)&lt;=B155)*(IF(Besatzung!$D$11:$D$22="",Besatzung!$B$6,Besatzung!$D$11:$D$22)&gt;=B155)),1)+(Besatzung!$F$12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K155="x")*((G155-IFERROR(H155,0))/IFERROR(COUNTIF(J155:U155,"x"),1)+(Besatzung!$F$12="x")*IFERROR(H155,0)/IFERROR(SUMPRODUCT((J155:U155="x")*(Besatzung!$F$11:$F$22="x")),1))),(IF(COUNTIF(J155:U155,"x")=0,IF(Besatzung!$B$12&lt;&gt;"",1,0),(K155="x"))*(G155-IFERROR(H155,0))/IFERROR(IF(COUNTIF(J155:U155,"x")=0,COUNTA(Besatzung!$B$11:$B$22),COUNTIF(J155:U155,"x")),1)+IF(COUNTIF(J155:U155,"x")=0,(Besatzung!$F$12="x"),(K155="x")*(Besatzung!$F$12="x"))*IFERROR(H155,0)/IFERROR(IF(COUNTIF(J155:U155,"x")=0,SUMPRODUCT((Besatzung!$B$11:$B$22&lt;&gt;"")*(Besatzung!$F$11:$F$22="x")),SUMPRODUCT((J155:U155="x")*(Besatzung!$F$11:$F$22="x"))),1))))),0))))</f>
        <v/>
      </c>
      <c r="X155" s="106">
        <f>IF(C155="Gutschrift","",IF(G155="","",IF(Besatzung!$B$13="","",IFERROR(IF(I155="Zeitanteilig",(Besatzung!$G$13*(G155-IFERROR(H155,0))+((Besatzung!$B$13&lt;&gt;"")*IF(B155="",1,(IF(Besatzung!$C$13="",Besatzung!$B$5,Besatzung!$C$13)&lt;=B155)*(IF(Besatzung!$D$13="",Besatzung!$B$6,Besatzung!$D$13)&gt;=B155)))*(Besatzung!$F$13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$13&lt;&gt;"")*IF(B155="",1,(IF(Besatzung!$C$13="",Besatzung!$B$5,Besatzung!$C$13)&lt;=B155)*(IF(Besatzung!$D$13="",Besatzung!$B$6,Besatzung!$D$13)&gt;=B155)))*((G155-IFERROR(H155,0))/IFERROR(SUMPRODUCT((Besatzung!$B$11:$B$22&lt;&gt;"")*(IF(Besatzung!$C$11:$C$22="",Besatzung!$B$5,Besatzung!$C$11:$C$22)&lt;=B155)*(IF(Besatzung!$D$11:$D$22="",Besatzung!$B$6,Besatzung!$D$11:$D$22)&gt;=B155)),1)+(Besatzung!$F$13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K155="x")*((G155-IFERROR(H155,0))/IFERROR(COUNTIF(J155:U155,"x"),1)+(Besatzung!$F$13="x")*IFERROR(H155,0)/IFERROR(SUMPRODUCT((J155:U155="x")*(Besatzung!$F$11:$F$22="x")),1))),(IF(COUNTIF(J155:U155,"x")=0,IF(Besatzung!$B$13&lt;&gt;"",1,0),(K155="x"))*(G155-IFERROR(H155,0))/IFERROR(IF(COUNTIF(J155:U155,"x")=0,COUNTA(Besatzung!$B$11:$B$22),COUNTIF(J155:U155,"x")),1)+IF(COUNTIF(J155:U155,"x")=0,(Besatzung!$F$13="x"),(K155="x")*(Besatzung!$F$13="x"))*IFERROR(H155,0)/IFERROR(IF(COUNTIF(J155:U155,"x")=0,SUMPRODUCT((Besatzung!$B$11:$B$22&lt;&gt;"")*(Besatzung!$F$11:$F$22="x")),SUMPRODUCT((J155:U155="x")*(Besatzung!$F$11:$F$22="x"))),1))))),0))))</f>
        <v/>
      </c>
      <c r="Y155" s="106">
        <f>IF(C155="Gutschrift","",IF(G155="","",IF(Besatzung!$B$14="","",IFERROR(IF(I155="Zeitanteilig",(Besatzung!$G$14*(G155-IFERROR(H155,0))+((Besatzung!$B$14&lt;&gt;"")*IF(B155="",1,(IF(Besatzung!$C$14="",Besatzung!$B$5,Besatzung!$C$14)&lt;=B155)*(IF(Besatzung!$D$14="",Besatzung!$B$6,Besatzung!$D$14)&gt;=B155)))*(Besatzung!$F$14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$14&lt;&gt;"")*IF(B155="",1,(IF(Besatzung!$C$14="",Besatzung!$B$5,Besatzung!$C$14)&lt;=B155)*(IF(Besatzung!$D$14="",Besatzung!$B$6,Besatzung!$D$14)&gt;=B155)))*((G155-IFERROR(H155,0))/IFERROR(SUMPRODUCT((Besatzung!$B$11:$B$22&lt;&gt;"")*(IF(Besatzung!$C$11:$C$22="",Besatzung!$B$5,Besatzung!$C$11:$C$22)&lt;=B155)*(IF(Besatzung!$D$11:$D$22="",Besatzung!$B$6,Besatzung!$D$11:$D$22)&gt;=B155)),1)+(Besatzung!$F$14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M155="x")*((G155-IFERROR(H155,0))/IFERROR(COUNTIF(J155:U155,"x"),1)+(Besatzung!$F$14="x")*IFERROR(H155,0)/IFERROR(SUMPRODUCT((J155:U155="x")*(Besatzung!$F$11:$F$22="x")),1))),(IF(COUNTIF(J155:U155,"x")=0,IF(Besatzung!$B$14&lt;&gt;"",1,0),(M155="x"))*(G155-IFERROR(H155,0))/IFERROR(IF(COUNTIF(J155:U155,"x")=0,COUNTA(Besatzung!$B$11:$B$22),COUNTIF(J155:U155,"x")),1)+IF(COUNTIF(J155:U155,"x")=0,(Besatzung!$F$14="x"),(M155="x")*(Besatzung!$F$14="x"))*IFERROR(H155,0)/IFERROR(IF(COUNTIF(J155:U155,"x")=0,SUMPRODUCT((Besatzung!$B$11:$B$22&lt;&gt;"")*(Besatzung!$F$11:$F$22="x")),SUMPRODUCT((J155:U155="x")*(Besatzung!$F$11:$F$22="x"))),1))))),0))))</f>
        <v/>
      </c>
      <c r="Z155" s="106">
        <f>IF(C155="Gutschrift","",IF(G155="","",IF(Besatzung!$B$13="","",IFERROR(IF(I155="Zeitanteilig",(Besatzung!$G$15*(G155-IFERROR(H155,0))+((Besatzung!$B$13&lt;&gt;"")*IF(B155="",1,(IF(Besatzung!$C$15="",Besatzung!$B$5,Besatzung!$C$15)&lt;=B155)*(IF(Besatzung!$D$15="",Besatzung!$B$6,Besatzung!$D$15)&gt;=B155)))*(Besatzung!$F$15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$13&lt;&gt;"")*IF(B155="",1,(IF(Besatzung!$C$15="",Besatzung!$B$5,Besatzung!$C$15)&lt;=B155)*(IF(Besatzung!$D$15="",Besatzung!$B$6,Besatzung!$D$15)&gt;=B155)))*((G155-IFERROR(H155,0))/IFERROR(SUMPRODUCT((Besatzung!$B$11:$B$22&lt;&gt;"")*(IF(Besatzung!$C$11:$C$22="",Besatzung!$B$5,Besatzung!$C$11:$C$22)&lt;=B155)*(IF(Besatzung!$D$11:$D$22="",Besatzung!$B$6,Besatzung!$D$11:$D$22)&gt;=B155)),1)+(Besatzung!$F$15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N155="x")*((G155-IFERROR(H155,0))/IFERROR(COUNTIF(J155:U155,"x"),1)+(Besatzung!$F$15="x")*IFERROR(H155,0)/IFERROR(SUMPRODUCT((J155:U155="x")*(Besatzung!$F$11:$F$22="x")),1))),(IF(COUNTIF(J155:U155,"x")=0,IF(Besatzung!$B$13&lt;&gt;"",1,0),(N155="x"))*(G155-IFERROR(H155,0))/IFERROR(IF(COUNTIF(J155:U155,"x")=0,COUNTA(Besatzung!$B$11:$B$22),COUNTIF(J155:U155,"x")),1)+IF(COUNTIF(J155:U155,"x")=0,(Besatzung!$F$15="x"),(N155="x")*(Besatzung!$F$15="x"))*IFERROR(H155,0)/IFERROR(IF(COUNTIF(J155:U155,"x")=0,SUMPRODUCT((Besatzung!$B$11:$B$22&lt;&gt;"")*(Besatzung!$F$11:$F$22="x")),SUMPRODUCT((J155:U155="x")*(Besatzung!$F$11:$F$22="x"))),1))))),0))))</f>
        <v/>
      </c>
      <c r="AA155" s="106">
        <f>IF(C155="Gutschrift","",IF(G155="","",IF(Besatzung!$B$15="","",IFERROR(IF(I155="Zeitanteilig",(Besatzung!$G$16*(G155-IFERROR(H155,0))+((Besatzung!$B$15&lt;&gt;"")*IF(B155="",1,(IF(Besatzung!$C$16="",Besatzung!$B$5,Besatzung!$C$16)&lt;=B155)*(IF(Besatzung!$D$16="",Besatzung!$B$6,Besatzung!$D$16)&gt;=B155)))*(Besatzung!$F$16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$15&lt;&gt;"")*IF(B155="",1,(IF(Besatzung!$C$16="",Besatzung!$B$5,Besatzung!$C$16)&lt;=B155)*(IF(Besatzung!$D$16="",Besatzung!$B$6,Besatzung!$D$16)&gt;=B155)))*((G155-IFERROR(H155,0))/IFERROR(SUMPRODUCT((Besatzung!$B$11:$B$22&lt;&gt;"")*(IF(Besatzung!$C$11:$C$22="",Besatzung!$B$5,Besatzung!$C$11:$C$22)&lt;=B155)*(IF(Besatzung!$D$11:$D$22="",Besatzung!$B$6,Besatzung!$D$11:$D$22)&gt;=B155)),1)+(Besatzung!$F$16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O155="x")*((G155-IFERROR(H155,0))/IFERROR(COUNTIF(J155:U155,"x"),1)+(Besatzung!$F$16="x")*IFERROR(H155,0)/IFERROR(SUMPRODUCT((J155:U155="x")*(Besatzung!$F$11:$F$22="x")),1))),(IF(COUNTIF(J155:U155,"x")=0,IF(Besatzung!$B$15&lt;&gt;"",1,0),(O155="x"))*(G155-IFERROR(H155,0))/IFERROR(IF(COUNTIF(J155:U155,"x")=0,COUNTA(Besatzung!$B$11:$B$22),COUNTIF(J155:U155,"x")),1)+IF(COUNTIF(J155:U155,"x")=0,(Besatzung!$F$16="x"),(O155="x")*(Besatzung!$F$16="x"))*IFERROR(H155,0)/IFERROR(IF(COUNTIF(J155:U155,"x")=0,SUMPRODUCT((Besatzung!$B$11:$B$22&lt;&gt;"")*(Besatzung!$F$11:$F$22="x")),SUMPRODUCT((J155:U155="x")*(Besatzung!$F$11:$F$22="x"))),1))))),0))))</f>
        <v/>
      </c>
      <c r="AB155" s="106">
        <f>IF(C155="Gutschrift","",IF(G155="","",IF(Besatzung!$B$17="","",IFERROR(IF(I155="Zeitanteilig",(Besatzung!$G$17*(G155-IFERROR(H155,0))+((Besatzung!$B$17&lt;&gt;"")*IF(B155="",1,(IF(Besatzung!$C$17="",Besatzung!$B$5,Besatzung!$C$17)&lt;=B155)*(IF(Besatzung!$D$17="",Besatzung!$B$6,Besatzung!$D$17)&gt;=B155)))*(Besatzung!$F$17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$17&lt;&gt;"")*IF(B155="",1,(IF(Besatzung!$C$17="",Besatzung!$B$5,Besatzung!$C$17)&lt;=B155)*(IF(Besatzung!$D$17="",Besatzung!$B$6,Besatzung!$D$17)&gt;=B155)))*((G155-IFERROR(H155,0))/IFERROR(SUMPRODUCT((Besatzung!$B$11:$B$22&lt;&gt;"")*(IF(Besatzung!$C$11:$C$22="",Besatzung!$B$5,Besatzung!$C$11:$C$22)&lt;=B155)*(IF(Besatzung!$D$11:$D$22="",Besatzung!$B$6,Besatzung!$D$11:$D$22)&gt;=B155)),1)+(Besatzung!$F$17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P155="x")*((G155-IFERROR(H155,0))/IFERROR(COUNTIF(J155:U155,"x"),1)+(Besatzung!$F$17="x")*IFERROR(H155,0)/IFERROR(SUMPRODUCT((J155:U155="x")*(Besatzung!$F$11:$F$22="x")),1))),(IF(COUNTIF(J155:U155,"x")=0,IF(Besatzung!$B$17&lt;&gt;"",1,0),(P155="x"))*(G155-IFERROR(H155,0))/IFERROR(IF(COUNTIF(J155:U155,"x")=0,COUNTA(Besatzung!$B$11:$B$22),COUNTIF(J155:U155,"x")),1)+IF(COUNTIF(J155:U155,"x")=0,(Besatzung!$F$17="x"),(P155="x")*(Besatzung!$F$17="x"))*IFERROR(H155,0)/IFERROR(IF(COUNTIF(J155:U155,"x")=0,SUMPRODUCT((Besatzung!$B$11:$B$22&lt;&gt;"")*(Besatzung!$F$11:$F$22="x")),SUMPRODUCT((J155:U155="x")*(Besatzung!$F$11:$F$22="x"))),1))))),0))))</f>
        <v/>
      </c>
      <c r="AC155" s="106">
        <f>IF(C155="Gutschrift","",IF(G155="","",IF(Besatzung!$B$18="","",IFERROR(IF(I155="Zeitanteilig",(Besatzung!$G$18*(G155-IFERROR(H155,0))+((Besatzung!$B$18&lt;&gt;"")*IF(B155="",1,(IF(Besatzung!$C$18="",Besatzung!$B$5,Besatzung!$C$18)&lt;=B155)*(IF(Besatzung!$D$18="",Besatzung!$B$6,Besatzung!$D$18)&gt;=B155)))*(Besatzung!$F$18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$18&lt;&gt;"")*IF(B155="",1,(IF(Besatzung!$C$18="",Besatzung!$B$5,Besatzung!$C$18)&lt;=B155)*(IF(Besatzung!$D$18="",Besatzung!$B$6,Besatzung!$D$18)&gt;=B155)))*((G155-IFERROR(H155,0))/IFERROR(SUMPRODUCT((Besatzung!$B$11:$B$22&lt;&gt;"")*(IF(Besatzung!$C$11:$C$22="",Besatzung!$B$5,Besatzung!$C$11:$C$22)&lt;=B155)*(IF(Besatzung!$D$11:$D$22="",Besatzung!$B$6,Besatzung!$D$11:$D$22)&gt;=B155)),1)+(Besatzung!$F$18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Q155="x")*((G155-IFERROR(H155,0))/IFERROR(COUNTIF(J155:U155,"x"),1)+(Besatzung!$F$18="x")*IFERROR(H155,0)/IFERROR(SUMPRODUCT((J155:U155="x")*(Besatzung!$F$11:$F$22="x")),1))),(IF(COUNTIF(J155:U155,"x")=0,IF(Besatzung!$B$18&lt;&gt;"",1,0),(Q155="x"))*(G155-IFERROR(H155,0))/IFERROR(IF(COUNTIF(J155:U155,"x")=0,COUNTA(Besatzung!$B$11:$B$22),COUNTIF(J155:U155,"x")),1)+IF(COUNTIF(J155:U155,"x")=0,(Besatzung!$F$18="x"),(Q155="x")*(Besatzung!$F$18="x"))*IFERROR(H155,0)/IFERROR(IF(COUNTIF(J155:U155,"x")=0,SUMPRODUCT((Besatzung!$B$11:$B$22&lt;&gt;"")*(Besatzung!$F$11:$F$22="x")),SUMPRODUCT((J155:U155="x")*(Besatzung!$F$11:$F$22="x"))),1))))),0))))</f>
        <v/>
      </c>
      <c r="AD155" s="106">
        <f>IF(C155="Gutschrift","",IF(G155="","",IF(Besatzung!$B$19="","",IFERROR(IF(I155="Zeitanteilig",(Besatzung!$G$19*(G155-IFERROR(H155,0))+((Besatzung!$B$19&lt;&gt;"")*IF(B155="",1,(IF(Besatzung!$C$19="",Besatzung!$B$5,Besatzung!$C$19)&lt;=B155)*(IF(Besatzung!$D$19="",Besatzung!$B$6,Besatzung!$D$19)&gt;=B155)))*(Besatzung!$F$19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$19&lt;&gt;"")*IF(B155="",1,(IF(Besatzung!$C$19="",Besatzung!$B$5,Besatzung!$C$19)&lt;=B155)*(IF(Besatzung!$D$19="",Besatzung!$B$6,Besatzung!$D$19)&gt;=B155)))*((G155-IFERROR(H155,0))/IFERROR(SUMPRODUCT((Besatzung!$B$11:$B$22&lt;&gt;"")*(IF(Besatzung!$C$11:$C$22="",Besatzung!$B$5,Besatzung!$C$11:$C$22)&lt;=B155)*(IF(Besatzung!$D$11:$D$22="",Besatzung!$B$6,Besatzung!$D$11:$D$22)&gt;=B155)),1)+(Besatzung!$F$19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R155="x")*((G155-IFERROR(H155,0))/IFERROR(COUNTIF(J155:U155,"x"),1)+(Besatzung!$F$19="x")*IFERROR(H155,0)/IFERROR(SUMPRODUCT((J155:U155="x")*(Besatzung!$F$11:$F$22="x")),1))),(IF(COUNTIF(J155:U155,"x")=0,IF(Besatzung!$B$19&lt;&gt;"",1,0),(R155="x"))*(G155-IFERROR(H155,0))/IFERROR(IF(COUNTIF(J155:U155,"x")=0,COUNTA(Besatzung!$B$11:$B$22),COUNTIF(J155:U155,"x")),1)+IF(COUNTIF(J155:U155,"x")=0,(Besatzung!$F$19="x"),(R155="x")*(Besatzung!$F$19="x"))*IFERROR(H155,0)/IFERROR(IF(COUNTIF(J155:U155,"x")=0,SUMPRODUCT((Besatzung!$B$11:$B$22&lt;&gt;"")*(Besatzung!$F$11:$F$22="x")),SUMPRODUCT((J155:U155="x")*(Besatzung!$F$11:$F$22="x"))),1))))),0))))</f>
        <v/>
      </c>
      <c r="AE155" s="106">
        <f>IF(C155="Gutschrift","",IF(G155="","",IF(Besatzung!$B$20="","",IFERROR(IF(I155="Zeitanteilig",(Besatzung!$G$20*(G155-IFERROR(H155,0))+((Besatzung!$B$20&lt;&gt;"")*IF(B155="",1,(IF(Besatzung!$C$20="",Besatzung!$B$5,Besatzung!$C$20)&lt;=B155)*(IF(Besatzung!$D$20="",Besatzung!$B$6,Besatzung!$D$20)&gt;=B155)))*(Besatzung!$F$20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$20&lt;&gt;"")*IF(B155="",1,(IF(Besatzung!$C$20="",Besatzung!$B$5,Besatzung!$C$20)&lt;=B155)*(IF(Besatzung!$D$20="",Besatzung!$B$6,Besatzung!$D$20)&gt;=B155)))*((G155-IFERROR(H155,0))/IFERROR(SUMPRODUCT((Besatzung!$B$11:$B$22&lt;&gt;"")*(IF(Besatzung!$C$11:$C$22="",Besatzung!$B$5,Besatzung!$C$11:$C$22)&lt;=B155)*(IF(Besatzung!$D$11:$D$22="",Besatzung!$B$6,Besatzung!$D$11:$D$22)&gt;=B155)),1)+(Besatzung!$F$20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S155="x")*((G155-IFERROR(H155,0))/IFERROR(COUNTIF(J155:U155,"x"),1)+(Besatzung!$F$20="x")*IFERROR(H155,0)/IFERROR(SUMPRODUCT((J155:U155="x")*(Besatzung!$F$11:$F$22="x")),1))),(IF(COUNTIF(J155:U155,"x")=0,IF(Besatzung!$B$20&lt;&gt;"",1,0),(S155="x"))*(G155-IFERROR(H155,0))/IFERROR(IF(COUNTIF(J155:U155,"x")=0,COUNTA(Besatzung!$B$11:$B$22),COUNTIF(J155:U155,"x")),1)+IF(COUNTIF(J155:U155,"x")=0,(Besatzung!$F$20="x"),(S155="x")*(Besatzung!$F$20="x"))*IFERROR(H155,0)/IFERROR(IF(COUNTIF(J155:U155,"x")=0,SUMPRODUCT((Besatzung!$B$11:$B$22&lt;&gt;"")*(Besatzung!$F$11:$F$22="x")),SUMPRODUCT((J155:U155="x")*(Besatzung!$F$11:$F$22="x"))),1))))),0))))</f>
        <v/>
      </c>
      <c r="AF155" s="106">
        <f>IF(C155="Gutschrift","",IF(G155="","",IF(Besatzung!$B$21="","",IFERROR(IF(I155="Zeitanteilig",(Besatzung!$G$21*(G155-IFERROR(H155,0))+((Besatzung!$B$21&lt;&gt;"")*IF(B155="",1,(IF(Besatzung!$C$21="",Besatzung!$B$5,Besatzung!$C$21)&lt;=B155)*(IF(Besatzung!$D$21="",Besatzung!$B$6,Besatzung!$D$21)&gt;=B155)))*(Besatzung!$F$21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$21&lt;&gt;"")*IF(B155="",1,(IF(Besatzung!$C$21="",Besatzung!$B$5,Besatzung!$C$21)&lt;=B155)*(IF(Besatzung!$D$21="",Besatzung!$B$6,Besatzung!$D$21)&gt;=B155)))*((G155-IFERROR(H155,0))/IFERROR(SUMPRODUCT((Besatzung!$B$11:$B$22&lt;&gt;"")*(IF(Besatzung!$C$11:$C$22="",Besatzung!$B$5,Besatzung!$C$11:$C$22)&lt;=B155)*(IF(Besatzung!$D$11:$D$22="",Besatzung!$B$6,Besatzung!$D$11:$D$22)&gt;=B155)),1)+(Besatzung!$F$21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T155="x")*((G155-IFERROR(H155,0))/IFERROR(COUNTIF(J155:U155,"x"),1)+(Besatzung!$F$21="x")*IFERROR(H155,0)/IFERROR(SUMPRODUCT((J155:U155="x")*(Besatzung!$F$11:$F$22="x")),1))),(IF(COUNTIF(J155:U155,"x")=0,IF(Besatzung!$B$21&lt;&gt;"",1,0),(T155="x"))*(G155-IFERROR(H155,0))/IFERROR(IF(COUNTIF(J155:U155,"x")=0,COUNTA(Besatzung!$B$11:$B$22),COUNTIF(J155:U155,"x")),1)+IF(COUNTIF(J155:U155,"x")=0,(Besatzung!$F$21="x"),(T155="x")*(Besatzung!$F$21="x"))*IFERROR(H155,0)/IFERROR(IF(COUNTIF(J155:U155,"x")=0,SUMPRODUCT((Besatzung!$B$11:$B$22&lt;&gt;"")*(Besatzung!$F$11:$F$22="x")),SUMPRODUCT((J155:U155="x")*(Besatzung!$F$11:$F$22="x"))),1))))),0))))</f>
        <v/>
      </c>
      <c r="AG155" s="106">
        <f>IF(C155="Gutschrift","",IF(G155="","",IF(Besatzung!$B$22="","",IFERROR(IF(I155="Zeitanteilig",(Besatzung!$G$22*(G155-IFERROR(H155,0))+((Besatzung!$B$22&lt;&gt;"")*IF(B155="",1,(IF(Besatzung!$C$22="",Besatzung!$B$5,Besatzung!$C$22)&lt;=B155)*(IF(Besatzung!$D$22="",Besatzung!$B$6,Besatzung!$D$22)&gt;=B155)))*(Besatzung!$F$22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$22&lt;&gt;"")*IF(B155="",1,(IF(Besatzung!$C$22="",Besatzung!$B$5,Besatzung!$C$22)&lt;=B155)*(IF(Besatzung!$D$22="",Besatzung!$B$6,Besatzung!$D$22)&gt;=B155)))*((G155-IFERROR(H155,0))/IFERROR(SUMPRODUCT((Besatzung!$B$11:$B$22&lt;&gt;"")*(IF(Besatzung!$C$11:$C$22="",Besatzung!$B$5,Besatzung!$C$11:$C$22)&lt;=B155)*(IF(Besatzung!$D$11:$D$22="",Besatzung!$B$6,Besatzung!$D$11:$D$22)&gt;=B155)),1)+(Besatzung!$F$22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U155="x")*((G155-IFERROR(H155,0))/IFERROR(COUNTIF(J155:U155,"x"),1)+(Besatzung!$F$22="x")*IFERROR(H155,0)/IFERROR(SUMPRODUCT((J155:U155="x")*(Besatzung!$F$11:$F$22="x")),1))),(IF(COUNTIF(J155:U155,"x")=0,IF(Besatzung!$B$22&lt;&gt;"",1,0),(U155="x"))*(G155-IFERROR(H155,0))/IFERROR(IF(COUNTIF(J155:U155,"x")=0,COUNTA(Besatzung!$B$11:$B$22),COUNTIF(J155:U155,"x")),1)+IF(COUNTIF(J155:U155,"x")=0,(Besatzung!$F$22="x"),(U155="x")*(Besatzung!$F$22="x"))*IFERROR(H155,0)/IFERROR(IF(COUNTIF(J155:U155,"x")=0,SUMPRODUCT((Besatzung!$B$11:$B$22&lt;&gt;"")*(Besatzung!$F$11:$F$22="x")),SUMPRODUCT((J155:U155="x")*(Besatzung!$F$11:$F$22="x"))),1))))),0))))</f>
        <v/>
      </c>
      <c r="AH155" s="107" t="n"/>
      <c r="AI155" s="107" t="n"/>
    </row>
    <row r="156" ht="21.75" customHeight="1" s="182">
      <c r="A156" s="97">
        <f>IF(AND(D156="",C156=""),"",153)</f>
        <v/>
      </c>
      <c r="B156" s="56" t="n"/>
      <c r="C156" s="98" t="n"/>
      <c r="D156" s="99" t="n"/>
      <c r="E156" s="100" t="n"/>
      <c r="F156" s="101" t="n"/>
      <c r="G156" s="102" t="n"/>
      <c r="H156" s="103" t="n"/>
      <c r="I156" s="104" t="n"/>
      <c r="J156" s="105" t="n"/>
      <c r="K156" s="105" t="n"/>
      <c r="L156" s="105" t="n"/>
      <c r="M156" s="105" t="n"/>
      <c r="N156" s="105" t="n"/>
      <c r="O156" s="105" t="n"/>
      <c r="P156" s="105" t="n"/>
      <c r="Q156" s="105" t="n"/>
      <c r="R156" s="105" t="n"/>
      <c r="S156" s="105" t="n"/>
      <c r="T156" s="105" t="n"/>
      <c r="U156" s="105" t="n"/>
      <c r="V156" s="106">
        <f>IF(C156="Gutschrift","",IF(G156="","",IF(Besatzung!$B$11="","",IFERROR(IF(I156="Zeitanteilig",(Besatzung!$G$11*(G156-IFERROR(H156,0))+((Besatzung!$B$11&lt;&gt;"")*IF(B156="",1,(IF(Besatzung!$C$11="",Besatzung!$B$5,Besatzung!$C$11)&lt;=B156)*(IF(Besatzung!$D$11="",Besatzung!$B$6,Besatzung!$D$11)&gt;=B156)))*(Besatzung!$F$11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$11&lt;&gt;"")*IF(B156="",1,(IF(Besatzung!$C$11="",Besatzung!$B$5,Besatzung!$C$11)&lt;=B156)*(IF(Besatzung!$D$11="",Besatzung!$B$6,Besatzung!$D$11)&gt;=B156)))*((G156-IFERROR(H156,0))/IFERROR(SUMPRODUCT((Besatzung!$B$11:$B$22&lt;&gt;"")*(IF(Besatzung!$C$11:$C$22="",Besatzung!$B$5,Besatzung!$C$11:$C$22)&lt;=B156)*(IF(Besatzung!$D$11:$D$22="",Besatzung!$B$6,Besatzung!$D$11:$D$22)&gt;=B156)),1)+(Besatzung!$F$11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J156="x")*((G156-IFERROR(H156,0))/IFERROR(COUNTIF(J156:U156,"x"),1)+(Besatzung!$F$11="x")*IFERROR(H156,0)/IFERROR(SUMPRODUCT((J156:U156="x")*(Besatzung!$F$11:$F$22="x")),1))),(IF(COUNTIF(J156:U156,"x")=0,IF(Besatzung!$B$11&lt;&gt;"",1,0),(J156="x"))*(G156-IFERROR(H156,0))/IFERROR(IF(COUNTIF(J156:U156,"x")=0,COUNTA(Besatzung!$B$11:$B$22),COUNTIF(J156:U156,"x")),1)+IF(COUNTIF(J156:U156,"x")=0,(Besatzung!$F$11="x"),(J156="x")*(Besatzung!$F$11="x"))*IFERROR(H156,0)/IFERROR(IF(COUNTIF(J156:U156,"x")=0,SUMPRODUCT((Besatzung!$B$11:$B$22&lt;&gt;"")*(Besatzung!$F$11:$F$22="x")),SUMPRODUCT((J156:U156="x")*(Besatzung!$F$11:$F$22="x"))),1))))),0))))</f>
        <v/>
      </c>
      <c r="W156" s="106">
        <f>IF(C156="Gutschrift","",IF(G156="","",IF(Besatzung!$B$12="","",IFERROR(IF(I156="Zeitanteilig",(Besatzung!$G$12*(G156-IFERROR(H156,0))+((Besatzung!$B$12&lt;&gt;"")*IF(B156="",1,(IF(Besatzung!$C$12="",Besatzung!$B$5,Besatzung!$C$12)&lt;=B156)*(IF(Besatzung!$D$12="",Besatzung!$B$6,Besatzung!$D$12)&gt;=B156)))*(Besatzung!$F$12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$12&lt;&gt;"")*IF(B156="",1,(IF(Besatzung!$C$12="",Besatzung!$B$5,Besatzung!$C$12)&lt;=B156)*(IF(Besatzung!$D$12="",Besatzung!$B$6,Besatzung!$D$12)&gt;=B156)))*((G156-IFERROR(H156,0))/IFERROR(SUMPRODUCT((Besatzung!$B$11:$B$22&lt;&gt;"")*(IF(Besatzung!$C$11:$C$22="",Besatzung!$B$5,Besatzung!$C$11:$C$22)&lt;=B156)*(IF(Besatzung!$D$11:$D$22="",Besatzung!$B$6,Besatzung!$D$11:$D$22)&gt;=B156)),1)+(Besatzung!$F$12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K156="x")*((G156-IFERROR(H156,0))/IFERROR(COUNTIF(J156:U156,"x"),1)+(Besatzung!$F$12="x")*IFERROR(H156,0)/IFERROR(SUMPRODUCT((J156:U156="x")*(Besatzung!$F$11:$F$22="x")),1))),(IF(COUNTIF(J156:U156,"x")=0,IF(Besatzung!$B$12&lt;&gt;"",1,0),(K156="x"))*(G156-IFERROR(H156,0))/IFERROR(IF(COUNTIF(J156:U156,"x")=0,COUNTA(Besatzung!$B$11:$B$22),COUNTIF(J156:U156,"x")),1)+IF(COUNTIF(J156:U156,"x")=0,(Besatzung!$F$12="x"),(K156="x")*(Besatzung!$F$12="x"))*IFERROR(H156,0)/IFERROR(IF(COUNTIF(J156:U156,"x")=0,SUMPRODUCT((Besatzung!$B$11:$B$22&lt;&gt;"")*(Besatzung!$F$11:$F$22="x")),SUMPRODUCT((J156:U156="x")*(Besatzung!$F$11:$F$22="x"))),1))))),0))))</f>
        <v/>
      </c>
      <c r="X156" s="106">
        <f>IF(C156="Gutschrift","",IF(G156="","",IF(Besatzung!$B$13="","",IFERROR(IF(I156="Zeitanteilig",(Besatzung!$G$13*(G156-IFERROR(H156,0))+((Besatzung!$B$13&lt;&gt;"")*IF(B156="",1,(IF(Besatzung!$C$13="",Besatzung!$B$5,Besatzung!$C$13)&lt;=B156)*(IF(Besatzung!$D$13="",Besatzung!$B$6,Besatzung!$D$13)&gt;=B156)))*(Besatzung!$F$13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$13&lt;&gt;"")*IF(B156="",1,(IF(Besatzung!$C$13="",Besatzung!$B$5,Besatzung!$C$13)&lt;=B156)*(IF(Besatzung!$D$13="",Besatzung!$B$6,Besatzung!$D$13)&gt;=B156)))*((G156-IFERROR(H156,0))/IFERROR(SUMPRODUCT((Besatzung!$B$11:$B$22&lt;&gt;"")*(IF(Besatzung!$C$11:$C$22="",Besatzung!$B$5,Besatzung!$C$11:$C$22)&lt;=B156)*(IF(Besatzung!$D$11:$D$22="",Besatzung!$B$6,Besatzung!$D$11:$D$22)&gt;=B156)),1)+(Besatzung!$F$13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K156="x")*((G156-IFERROR(H156,0))/IFERROR(COUNTIF(J156:U156,"x"),1)+(Besatzung!$F$13="x")*IFERROR(H156,0)/IFERROR(SUMPRODUCT((J156:U156="x")*(Besatzung!$F$11:$F$22="x")),1))),(IF(COUNTIF(J156:U156,"x")=0,IF(Besatzung!$B$13&lt;&gt;"",1,0),(K156="x"))*(G156-IFERROR(H156,0))/IFERROR(IF(COUNTIF(J156:U156,"x")=0,COUNTA(Besatzung!$B$11:$B$22),COUNTIF(J156:U156,"x")),1)+IF(COUNTIF(J156:U156,"x")=0,(Besatzung!$F$13="x"),(K156="x")*(Besatzung!$F$13="x"))*IFERROR(H156,0)/IFERROR(IF(COUNTIF(J156:U156,"x")=0,SUMPRODUCT((Besatzung!$B$11:$B$22&lt;&gt;"")*(Besatzung!$F$11:$F$22="x")),SUMPRODUCT((J156:U156="x")*(Besatzung!$F$11:$F$22="x"))),1))))),0))))</f>
        <v/>
      </c>
      <c r="Y156" s="106">
        <f>IF(C156="Gutschrift","",IF(G156="","",IF(Besatzung!$B$14="","",IFERROR(IF(I156="Zeitanteilig",(Besatzung!$G$14*(G156-IFERROR(H156,0))+((Besatzung!$B$14&lt;&gt;"")*IF(B156="",1,(IF(Besatzung!$C$14="",Besatzung!$B$5,Besatzung!$C$14)&lt;=B156)*(IF(Besatzung!$D$14="",Besatzung!$B$6,Besatzung!$D$14)&gt;=B156)))*(Besatzung!$F$14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$14&lt;&gt;"")*IF(B156="",1,(IF(Besatzung!$C$14="",Besatzung!$B$5,Besatzung!$C$14)&lt;=B156)*(IF(Besatzung!$D$14="",Besatzung!$B$6,Besatzung!$D$14)&gt;=B156)))*((G156-IFERROR(H156,0))/IFERROR(SUMPRODUCT((Besatzung!$B$11:$B$22&lt;&gt;"")*(IF(Besatzung!$C$11:$C$22="",Besatzung!$B$5,Besatzung!$C$11:$C$22)&lt;=B156)*(IF(Besatzung!$D$11:$D$22="",Besatzung!$B$6,Besatzung!$D$11:$D$22)&gt;=B156)),1)+(Besatzung!$F$14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M156="x")*((G156-IFERROR(H156,0))/IFERROR(COUNTIF(J156:U156,"x"),1)+(Besatzung!$F$14="x")*IFERROR(H156,0)/IFERROR(SUMPRODUCT((J156:U156="x")*(Besatzung!$F$11:$F$22="x")),1))),(IF(COUNTIF(J156:U156,"x")=0,IF(Besatzung!$B$14&lt;&gt;"",1,0),(M156="x"))*(G156-IFERROR(H156,0))/IFERROR(IF(COUNTIF(J156:U156,"x")=0,COUNTA(Besatzung!$B$11:$B$22),COUNTIF(J156:U156,"x")),1)+IF(COUNTIF(J156:U156,"x")=0,(Besatzung!$F$14="x"),(M156="x")*(Besatzung!$F$14="x"))*IFERROR(H156,0)/IFERROR(IF(COUNTIF(J156:U156,"x")=0,SUMPRODUCT((Besatzung!$B$11:$B$22&lt;&gt;"")*(Besatzung!$F$11:$F$22="x")),SUMPRODUCT((J156:U156="x")*(Besatzung!$F$11:$F$22="x"))),1))))),0))))</f>
        <v/>
      </c>
      <c r="Z156" s="106">
        <f>IF(C156="Gutschrift","",IF(G156="","",IF(Besatzung!$B$13="","",IFERROR(IF(I156="Zeitanteilig",(Besatzung!$G$15*(G156-IFERROR(H156,0))+((Besatzung!$B$13&lt;&gt;"")*IF(B156="",1,(IF(Besatzung!$C$15="",Besatzung!$B$5,Besatzung!$C$15)&lt;=B156)*(IF(Besatzung!$D$15="",Besatzung!$B$6,Besatzung!$D$15)&gt;=B156)))*(Besatzung!$F$15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$13&lt;&gt;"")*IF(B156="",1,(IF(Besatzung!$C$15="",Besatzung!$B$5,Besatzung!$C$15)&lt;=B156)*(IF(Besatzung!$D$15="",Besatzung!$B$6,Besatzung!$D$15)&gt;=B156)))*((G156-IFERROR(H156,0))/IFERROR(SUMPRODUCT((Besatzung!$B$11:$B$22&lt;&gt;"")*(IF(Besatzung!$C$11:$C$22="",Besatzung!$B$5,Besatzung!$C$11:$C$22)&lt;=B156)*(IF(Besatzung!$D$11:$D$22="",Besatzung!$B$6,Besatzung!$D$11:$D$22)&gt;=B156)),1)+(Besatzung!$F$15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N156="x")*((G156-IFERROR(H156,0))/IFERROR(COUNTIF(J156:U156,"x"),1)+(Besatzung!$F$15="x")*IFERROR(H156,0)/IFERROR(SUMPRODUCT((J156:U156="x")*(Besatzung!$F$11:$F$22="x")),1))),(IF(COUNTIF(J156:U156,"x")=0,IF(Besatzung!$B$13&lt;&gt;"",1,0),(N156="x"))*(G156-IFERROR(H156,0))/IFERROR(IF(COUNTIF(J156:U156,"x")=0,COUNTA(Besatzung!$B$11:$B$22),COUNTIF(J156:U156,"x")),1)+IF(COUNTIF(J156:U156,"x")=0,(Besatzung!$F$15="x"),(N156="x")*(Besatzung!$F$15="x"))*IFERROR(H156,0)/IFERROR(IF(COUNTIF(J156:U156,"x")=0,SUMPRODUCT((Besatzung!$B$11:$B$22&lt;&gt;"")*(Besatzung!$F$11:$F$22="x")),SUMPRODUCT((J156:U156="x")*(Besatzung!$F$11:$F$22="x"))),1))))),0))))</f>
        <v/>
      </c>
      <c r="AA156" s="106">
        <f>IF(C156="Gutschrift","",IF(G156="","",IF(Besatzung!$B$15="","",IFERROR(IF(I156="Zeitanteilig",(Besatzung!$G$16*(G156-IFERROR(H156,0))+((Besatzung!$B$15&lt;&gt;"")*IF(B156="",1,(IF(Besatzung!$C$16="",Besatzung!$B$5,Besatzung!$C$16)&lt;=B156)*(IF(Besatzung!$D$16="",Besatzung!$B$6,Besatzung!$D$16)&gt;=B156)))*(Besatzung!$F$16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$15&lt;&gt;"")*IF(B156="",1,(IF(Besatzung!$C$16="",Besatzung!$B$5,Besatzung!$C$16)&lt;=B156)*(IF(Besatzung!$D$16="",Besatzung!$B$6,Besatzung!$D$16)&gt;=B156)))*((G156-IFERROR(H156,0))/IFERROR(SUMPRODUCT((Besatzung!$B$11:$B$22&lt;&gt;"")*(IF(Besatzung!$C$11:$C$22="",Besatzung!$B$5,Besatzung!$C$11:$C$22)&lt;=B156)*(IF(Besatzung!$D$11:$D$22="",Besatzung!$B$6,Besatzung!$D$11:$D$22)&gt;=B156)),1)+(Besatzung!$F$16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O156="x")*((G156-IFERROR(H156,0))/IFERROR(COUNTIF(J156:U156,"x"),1)+(Besatzung!$F$16="x")*IFERROR(H156,0)/IFERROR(SUMPRODUCT((J156:U156="x")*(Besatzung!$F$11:$F$22="x")),1))),(IF(COUNTIF(J156:U156,"x")=0,IF(Besatzung!$B$15&lt;&gt;"",1,0),(O156="x"))*(G156-IFERROR(H156,0))/IFERROR(IF(COUNTIF(J156:U156,"x")=0,COUNTA(Besatzung!$B$11:$B$22),COUNTIF(J156:U156,"x")),1)+IF(COUNTIF(J156:U156,"x")=0,(Besatzung!$F$16="x"),(O156="x")*(Besatzung!$F$16="x"))*IFERROR(H156,0)/IFERROR(IF(COUNTIF(J156:U156,"x")=0,SUMPRODUCT((Besatzung!$B$11:$B$22&lt;&gt;"")*(Besatzung!$F$11:$F$22="x")),SUMPRODUCT((J156:U156="x")*(Besatzung!$F$11:$F$22="x"))),1))))),0))))</f>
        <v/>
      </c>
      <c r="AB156" s="106">
        <f>IF(C156="Gutschrift","",IF(G156="","",IF(Besatzung!$B$17="","",IFERROR(IF(I156="Zeitanteilig",(Besatzung!$G$17*(G156-IFERROR(H156,0))+((Besatzung!$B$17&lt;&gt;"")*IF(B156="",1,(IF(Besatzung!$C$17="",Besatzung!$B$5,Besatzung!$C$17)&lt;=B156)*(IF(Besatzung!$D$17="",Besatzung!$B$6,Besatzung!$D$17)&gt;=B156)))*(Besatzung!$F$17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$17&lt;&gt;"")*IF(B156="",1,(IF(Besatzung!$C$17="",Besatzung!$B$5,Besatzung!$C$17)&lt;=B156)*(IF(Besatzung!$D$17="",Besatzung!$B$6,Besatzung!$D$17)&gt;=B156)))*((G156-IFERROR(H156,0))/IFERROR(SUMPRODUCT((Besatzung!$B$11:$B$22&lt;&gt;"")*(IF(Besatzung!$C$11:$C$22="",Besatzung!$B$5,Besatzung!$C$11:$C$22)&lt;=B156)*(IF(Besatzung!$D$11:$D$22="",Besatzung!$B$6,Besatzung!$D$11:$D$22)&gt;=B156)),1)+(Besatzung!$F$17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P156="x")*((G156-IFERROR(H156,0))/IFERROR(COUNTIF(J156:U156,"x"),1)+(Besatzung!$F$17="x")*IFERROR(H156,0)/IFERROR(SUMPRODUCT((J156:U156="x")*(Besatzung!$F$11:$F$22="x")),1))),(IF(COUNTIF(J156:U156,"x")=0,IF(Besatzung!$B$17&lt;&gt;"",1,0),(P156="x"))*(G156-IFERROR(H156,0))/IFERROR(IF(COUNTIF(J156:U156,"x")=0,COUNTA(Besatzung!$B$11:$B$22),COUNTIF(J156:U156,"x")),1)+IF(COUNTIF(J156:U156,"x")=0,(Besatzung!$F$17="x"),(P156="x")*(Besatzung!$F$17="x"))*IFERROR(H156,0)/IFERROR(IF(COUNTIF(J156:U156,"x")=0,SUMPRODUCT((Besatzung!$B$11:$B$22&lt;&gt;"")*(Besatzung!$F$11:$F$22="x")),SUMPRODUCT((J156:U156="x")*(Besatzung!$F$11:$F$22="x"))),1))))),0))))</f>
        <v/>
      </c>
      <c r="AC156" s="106">
        <f>IF(C156="Gutschrift","",IF(G156="","",IF(Besatzung!$B$18="","",IFERROR(IF(I156="Zeitanteilig",(Besatzung!$G$18*(G156-IFERROR(H156,0))+((Besatzung!$B$18&lt;&gt;"")*IF(B156="",1,(IF(Besatzung!$C$18="",Besatzung!$B$5,Besatzung!$C$18)&lt;=B156)*(IF(Besatzung!$D$18="",Besatzung!$B$6,Besatzung!$D$18)&gt;=B156)))*(Besatzung!$F$18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$18&lt;&gt;"")*IF(B156="",1,(IF(Besatzung!$C$18="",Besatzung!$B$5,Besatzung!$C$18)&lt;=B156)*(IF(Besatzung!$D$18="",Besatzung!$B$6,Besatzung!$D$18)&gt;=B156)))*((G156-IFERROR(H156,0))/IFERROR(SUMPRODUCT((Besatzung!$B$11:$B$22&lt;&gt;"")*(IF(Besatzung!$C$11:$C$22="",Besatzung!$B$5,Besatzung!$C$11:$C$22)&lt;=B156)*(IF(Besatzung!$D$11:$D$22="",Besatzung!$B$6,Besatzung!$D$11:$D$22)&gt;=B156)),1)+(Besatzung!$F$18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Q156="x")*((G156-IFERROR(H156,0))/IFERROR(COUNTIF(J156:U156,"x"),1)+(Besatzung!$F$18="x")*IFERROR(H156,0)/IFERROR(SUMPRODUCT((J156:U156="x")*(Besatzung!$F$11:$F$22="x")),1))),(IF(COUNTIF(J156:U156,"x")=0,IF(Besatzung!$B$18&lt;&gt;"",1,0),(Q156="x"))*(G156-IFERROR(H156,0))/IFERROR(IF(COUNTIF(J156:U156,"x")=0,COUNTA(Besatzung!$B$11:$B$22),COUNTIF(J156:U156,"x")),1)+IF(COUNTIF(J156:U156,"x")=0,(Besatzung!$F$18="x"),(Q156="x")*(Besatzung!$F$18="x"))*IFERROR(H156,0)/IFERROR(IF(COUNTIF(J156:U156,"x")=0,SUMPRODUCT((Besatzung!$B$11:$B$22&lt;&gt;"")*(Besatzung!$F$11:$F$22="x")),SUMPRODUCT((J156:U156="x")*(Besatzung!$F$11:$F$22="x"))),1))))),0))))</f>
        <v/>
      </c>
      <c r="AD156" s="106">
        <f>IF(C156="Gutschrift","",IF(G156="","",IF(Besatzung!$B$19="","",IFERROR(IF(I156="Zeitanteilig",(Besatzung!$G$19*(G156-IFERROR(H156,0))+((Besatzung!$B$19&lt;&gt;"")*IF(B156="",1,(IF(Besatzung!$C$19="",Besatzung!$B$5,Besatzung!$C$19)&lt;=B156)*(IF(Besatzung!$D$19="",Besatzung!$B$6,Besatzung!$D$19)&gt;=B156)))*(Besatzung!$F$19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$19&lt;&gt;"")*IF(B156="",1,(IF(Besatzung!$C$19="",Besatzung!$B$5,Besatzung!$C$19)&lt;=B156)*(IF(Besatzung!$D$19="",Besatzung!$B$6,Besatzung!$D$19)&gt;=B156)))*((G156-IFERROR(H156,0))/IFERROR(SUMPRODUCT((Besatzung!$B$11:$B$22&lt;&gt;"")*(IF(Besatzung!$C$11:$C$22="",Besatzung!$B$5,Besatzung!$C$11:$C$22)&lt;=B156)*(IF(Besatzung!$D$11:$D$22="",Besatzung!$B$6,Besatzung!$D$11:$D$22)&gt;=B156)),1)+(Besatzung!$F$19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R156="x")*((G156-IFERROR(H156,0))/IFERROR(COUNTIF(J156:U156,"x"),1)+(Besatzung!$F$19="x")*IFERROR(H156,0)/IFERROR(SUMPRODUCT((J156:U156="x")*(Besatzung!$F$11:$F$22="x")),1))),(IF(COUNTIF(J156:U156,"x")=0,IF(Besatzung!$B$19&lt;&gt;"",1,0),(R156="x"))*(G156-IFERROR(H156,0))/IFERROR(IF(COUNTIF(J156:U156,"x")=0,COUNTA(Besatzung!$B$11:$B$22),COUNTIF(J156:U156,"x")),1)+IF(COUNTIF(J156:U156,"x")=0,(Besatzung!$F$19="x"),(R156="x")*(Besatzung!$F$19="x"))*IFERROR(H156,0)/IFERROR(IF(COUNTIF(J156:U156,"x")=0,SUMPRODUCT((Besatzung!$B$11:$B$22&lt;&gt;"")*(Besatzung!$F$11:$F$22="x")),SUMPRODUCT((J156:U156="x")*(Besatzung!$F$11:$F$22="x"))),1))))),0))))</f>
        <v/>
      </c>
      <c r="AE156" s="106">
        <f>IF(C156="Gutschrift","",IF(G156="","",IF(Besatzung!$B$20="","",IFERROR(IF(I156="Zeitanteilig",(Besatzung!$G$20*(G156-IFERROR(H156,0))+((Besatzung!$B$20&lt;&gt;"")*IF(B156="",1,(IF(Besatzung!$C$20="",Besatzung!$B$5,Besatzung!$C$20)&lt;=B156)*(IF(Besatzung!$D$20="",Besatzung!$B$6,Besatzung!$D$20)&gt;=B156)))*(Besatzung!$F$20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$20&lt;&gt;"")*IF(B156="",1,(IF(Besatzung!$C$20="",Besatzung!$B$5,Besatzung!$C$20)&lt;=B156)*(IF(Besatzung!$D$20="",Besatzung!$B$6,Besatzung!$D$20)&gt;=B156)))*((G156-IFERROR(H156,0))/IFERROR(SUMPRODUCT((Besatzung!$B$11:$B$22&lt;&gt;"")*(IF(Besatzung!$C$11:$C$22="",Besatzung!$B$5,Besatzung!$C$11:$C$22)&lt;=B156)*(IF(Besatzung!$D$11:$D$22="",Besatzung!$B$6,Besatzung!$D$11:$D$22)&gt;=B156)),1)+(Besatzung!$F$20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S156="x")*((G156-IFERROR(H156,0))/IFERROR(COUNTIF(J156:U156,"x"),1)+(Besatzung!$F$20="x")*IFERROR(H156,0)/IFERROR(SUMPRODUCT((J156:U156="x")*(Besatzung!$F$11:$F$22="x")),1))),(IF(COUNTIF(J156:U156,"x")=0,IF(Besatzung!$B$20&lt;&gt;"",1,0),(S156="x"))*(G156-IFERROR(H156,0))/IFERROR(IF(COUNTIF(J156:U156,"x")=0,COUNTA(Besatzung!$B$11:$B$22),COUNTIF(J156:U156,"x")),1)+IF(COUNTIF(J156:U156,"x")=0,(Besatzung!$F$20="x"),(S156="x")*(Besatzung!$F$20="x"))*IFERROR(H156,0)/IFERROR(IF(COUNTIF(J156:U156,"x")=0,SUMPRODUCT((Besatzung!$B$11:$B$22&lt;&gt;"")*(Besatzung!$F$11:$F$22="x")),SUMPRODUCT((J156:U156="x")*(Besatzung!$F$11:$F$22="x"))),1))))),0))))</f>
        <v/>
      </c>
      <c r="AF156" s="106">
        <f>IF(C156="Gutschrift","",IF(G156="","",IF(Besatzung!$B$21="","",IFERROR(IF(I156="Zeitanteilig",(Besatzung!$G$21*(G156-IFERROR(H156,0))+((Besatzung!$B$21&lt;&gt;"")*IF(B156="",1,(IF(Besatzung!$C$21="",Besatzung!$B$5,Besatzung!$C$21)&lt;=B156)*(IF(Besatzung!$D$21="",Besatzung!$B$6,Besatzung!$D$21)&gt;=B156)))*(Besatzung!$F$21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$21&lt;&gt;"")*IF(B156="",1,(IF(Besatzung!$C$21="",Besatzung!$B$5,Besatzung!$C$21)&lt;=B156)*(IF(Besatzung!$D$21="",Besatzung!$B$6,Besatzung!$D$21)&gt;=B156)))*((G156-IFERROR(H156,0))/IFERROR(SUMPRODUCT((Besatzung!$B$11:$B$22&lt;&gt;"")*(IF(Besatzung!$C$11:$C$22="",Besatzung!$B$5,Besatzung!$C$11:$C$22)&lt;=B156)*(IF(Besatzung!$D$11:$D$22="",Besatzung!$B$6,Besatzung!$D$11:$D$22)&gt;=B156)),1)+(Besatzung!$F$21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T156="x")*((G156-IFERROR(H156,0))/IFERROR(COUNTIF(J156:U156,"x"),1)+(Besatzung!$F$21="x")*IFERROR(H156,0)/IFERROR(SUMPRODUCT((J156:U156="x")*(Besatzung!$F$11:$F$22="x")),1))),(IF(COUNTIF(J156:U156,"x")=0,IF(Besatzung!$B$21&lt;&gt;"",1,0),(T156="x"))*(G156-IFERROR(H156,0))/IFERROR(IF(COUNTIF(J156:U156,"x")=0,COUNTA(Besatzung!$B$11:$B$22),COUNTIF(J156:U156,"x")),1)+IF(COUNTIF(J156:U156,"x")=0,(Besatzung!$F$21="x"),(T156="x")*(Besatzung!$F$21="x"))*IFERROR(H156,0)/IFERROR(IF(COUNTIF(J156:U156,"x")=0,SUMPRODUCT((Besatzung!$B$11:$B$22&lt;&gt;"")*(Besatzung!$F$11:$F$22="x")),SUMPRODUCT((J156:U156="x")*(Besatzung!$F$11:$F$22="x"))),1))))),0))))</f>
        <v/>
      </c>
      <c r="AG156" s="106">
        <f>IF(C156="Gutschrift","",IF(G156="","",IF(Besatzung!$B$22="","",IFERROR(IF(I156="Zeitanteilig",(Besatzung!$G$22*(G156-IFERROR(H156,0))+((Besatzung!$B$22&lt;&gt;"")*IF(B156="",1,(IF(Besatzung!$C$22="",Besatzung!$B$5,Besatzung!$C$22)&lt;=B156)*(IF(Besatzung!$D$22="",Besatzung!$B$6,Besatzung!$D$22)&gt;=B156)))*(Besatzung!$F$22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$22&lt;&gt;"")*IF(B156="",1,(IF(Besatzung!$C$22="",Besatzung!$B$5,Besatzung!$C$22)&lt;=B156)*(IF(Besatzung!$D$22="",Besatzung!$B$6,Besatzung!$D$22)&gt;=B156)))*((G156-IFERROR(H156,0))/IFERROR(SUMPRODUCT((Besatzung!$B$11:$B$22&lt;&gt;"")*(IF(Besatzung!$C$11:$C$22="",Besatzung!$B$5,Besatzung!$C$11:$C$22)&lt;=B156)*(IF(Besatzung!$D$11:$D$22="",Besatzung!$B$6,Besatzung!$D$11:$D$22)&gt;=B156)),1)+(Besatzung!$F$22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U156="x")*((G156-IFERROR(H156,0))/IFERROR(COUNTIF(J156:U156,"x"),1)+(Besatzung!$F$22="x")*IFERROR(H156,0)/IFERROR(SUMPRODUCT((J156:U156="x")*(Besatzung!$F$11:$F$22="x")),1))),(IF(COUNTIF(J156:U156,"x")=0,IF(Besatzung!$B$22&lt;&gt;"",1,0),(U156="x"))*(G156-IFERROR(H156,0))/IFERROR(IF(COUNTIF(J156:U156,"x")=0,COUNTA(Besatzung!$B$11:$B$22),COUNTIF(J156:U156,"x")),1)+IF(COUNTIF(J156:U156,"x")=0,(Besatzung!$F$22="x"),(U156="x")*(Besatzung!$F$22="x"))*IFERROR(H156,0)/IFERROR(IF(COUNTIF(J156:U156,"x")=0,SUMPRODUCT((Besatzung!$B$11:$B$22&lt;&gt;"")*(Besatzung!$F$11:$F$22="x")),SUMPRODUCT((J156:U156="x")*(Besatzung!$F$11:$F$22="x"))),1))))),0))))</f>
        <v/>
      </c>
      <c r="AH156" s="107" t="n"/>
      <c r="AI156" s="107" t="n"/>
    </row>
    <row r="157" ht="21.75" customHeight="1" s="182">
      <c r="A157" s="97">
        <f>IF(AND(D157="",C157=""),"",154)</f>
        <v/>
      </c>
      <c r="B157" s="63" t="n"/>
      <c r="C157" s="108" t="n"/>
      <c r="D157" s="109" t="n"/>
      <c r="E157" s="110" t="n"/>
      <c r="F157" s="111" t="n"/>
      <c r="G157" s="112" t="n"/>
      <c r="H157" s="113" t="n"/>
      <c r="I157" s="114" t="n"/>
      <c r="J157" s="115" t="n"/>
      <c r="K157" s="115" t="n"/>
      <c r="L157" s="115" t="n"/>
      <c r="M157" s="115" t="n"/>
      <c r="N157" s="115" t="n"/>
      <c r="O157" s="115" t="n"/>
      <c r="P157" s="115" t="n"/>
      <c r="Q157" s="115" t="n"/>
      <c r="R157" s="115" t="n"/>
      <c r="S157" s="115" t="n"/>
      <c r="T157" s="115" t="n"/>
      <c r="U157" s="115" t="n"/>
      <c r="V157" s="106">
        <f>IF(C157="Gutschrift","",IF(G157="","",IF(Besatzung!$B$11="","",IFERROR(IF(I157="Zeitanteilig",(Besatzung!$G$11*(G157-IFERROR(H157,0))+((Besatzung!$B$11&lt;&gt;"")*IF(B157="",1,(IF(Besatzung!$C$11="",Besatzung!$B$5,Besatzung!$C$11)&lt;=B157)*(IF(Besatzung!$D$11="",Besatzung!$B$6,Besatzung!$D$11)&gt;=B157)))*(Besatzung!$F$11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$11&lt;&gt;"")*IF(B157="",1,(IF(Besatzung!$C$11="",Besatzung!$B$5,Besatzung!$C$11)&lt;=B157)*(IF(Besatzung!$D$11="",Besatzung!$B$6,Besatzung!$D$11)&gt;=B157)))*((G157-IFERROR(H157,0))/IFERROR(SUMPRODUCT((Besatzung!$B$11:$B$22&lt;&gt;"")*(IF(Besatzung!$C$11:$C$22="",Besatzung!$B$5,Besatzung!$C$11:$C$22)&lt;=B157)*(IF(Besatzung!$D$11:$D$22="",Besatzung!$B$6,Besatzung!$D$11:$D$22)&gt;=B157)),1)+(Besatzung!$F$11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J157="x")*((G157-IFERROR(H157,0))/IFERROR(COUNTIF(J157:U157,"x"),1)+(Besatzung!$F$11="x")*IFERROR(H157,0)/IFERROR(SUMPRODUCT((J157:U157="x")*(Besatzung!$F$11:$F$22="x")),1))),(IF(COUNTIF(J157:U157,"x")=0,IF(Besatzung!$B$11&lt;&gt;"",1,0),(J157="x"))*(G157-IFERROR(H157,0))/IFERROR(IF(COUNTIF(J157:U157,"x")=0,COUNTA(Besatzung!$B$11:$B$22),COUNTIF(J157:U157,"x")),1)+IF(COUNTIF(J157:U157,"x")=0,(Besatzung!$F$11="x"),(J157="x")*(Besatzung!$F$11="x"))*IFERROR(H157,0)/IFERROR(IF(COUNTIF(J157:U157,"x")=0,SUMPRODUCT((Besatzung!$B$11:$B$22&lt;&gt;"")*(Besatzung!$F$11:$F$22="x")),SUMPRODUCT((J157:U157="x")*(Besatzung!$F$11:$F$22="x"))),1))))),0))))</f>
        <v/>
      </c>
      <c r="W157" s="106">
        <f>IF(C157="Gutschrift","",IF(G157="","",IF(Besatzung!$B$12="","",IFERROR(IF(I157="Zeitanteilig",(Besatzung!$G$12*(G157-IFERROR(H157,0))+((Besatzung!$B$12&lt;&gt;"")*IF(B157="",1,(IF(Besatzung!$C$12="",Besatzung!$B$5,Besatzung!$C$12)&lt;=B157)*(IF(Besatzung!$D$12="",Besatzung!$B$6,Besatzung!$D$12)&gt;=B157)))*(Besatzung!$F$12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$12&lt;&gt;"")*IF(B157="",1,(IF(Besatzung!$C$12="",Besatzung!$B$5,Besatzung!$C$12)&lt;=B157)*(IF(Besatzung!$D$12="",Besatzung!$B$6,Besatzung!$D$12)&gt;=B157)))*((G157-IFERROR(H157,0))/IFERROR(SUMPRODUCT((Besatzung!$B$11:$B$22&lt;&gt;"")*(IF(Besatzung!$C$11:$C$22="",Besatzung!$B$5,Besatzung!$C$11:$C$22)&lt;=B157)*(IF(Besatzung!$D$11:$D$22="",Besatzung!$B$6,Besatzung!$D$11:$D$22)&gt;=B157)),1)+(Besatzung!$F$12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K157="x")*((G157-IFERROR(H157,0))/IFERROR(COUNTIF(J157:U157,"x"),1)+(Besatzung!$F$12="x")*IFERROR(H157,0)/IFERROR(SUMPRODUCT((J157:U157="x")*(Besatzung!$F$11:$F$22="x")),1))),(IF(COUNTIF(J157:U157,"x")=0,IF(Besatzung!$B$12&lt;&gt;"",1,0),(K157="x"))*(G157-IFERROR(H157,0))/IFERROR(IF(COUNTIF(J157:U157,"x")=0,COUNTA(Besatzung!$B$11:$B$22),COUNTIF(J157:U157,"x")),1)+IF(COUNTIF(J157:U157,"x")=0,(Besatzung!$F$12="x"),(K157="x")*(Besatzung!$F$12="x"))*IFERROR(H157,0)/IFERROR(IF(COUNTIF(J157:U157,"x")=0,SUMPRODUCT((Besatzung!$B$11:$B$22&lt;&gt;"")*(Besatzung!$F$11:$F$22="x")),SUMPRODUCT((J157:U157="x")*(Besatzung!$F$11:$F$22="x"))),1))))),0))))</f>
        <v/>
      </c>
      <c r="X157" s="106">
        <f>IF(C157="Gutschrift","",IF(G157="","",IF(Besatzung!$B$13="","",IFERROR(IF(I157="Zeitanteilig",(Besatzung!$G$13*(G157-IFERROR(H157,0))+((Besatzung!$B$13&lt;&gt;"")*IF(B157="",1,(IF(Besatzung!$C$13="",Besatzung!$B$5,Besatzung!$C$13)&lt;=B157)*(IF(Besatzung!$D$13="",Besatzung!$B$6,Besatzung!$D$13)&gt;=B157)))*(Besatzung!$F$13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$13&lt;&gt;"")*IF(B157="",1,(IF(Besatzung!$C$13="",Besatzung!$B$5,Besatzung!$C$13)&lt;=B157)*(IF(Besatzung!$D$13="",Besatzung!$B$6,Besatzung!$D$13)&gt;=B157)))*((G157-IFERROR(H157,0))/IFERROR(SUMPRODUCT((Besatzung!$B$11:$B$22&lt;&gt;"")*(IF(Besatzung!$C$11:$C$22="",Besatzung!$B$5,Besatzung!$C$11:$C$22)&lt;=B157)*(IF(Besatzung!$D$11:$D$22="",Besatzung!$B$6,Besatzung!$D$11:$D$22)&gt;=B157)),1)+(Besatzung!$F$13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K157="x")*((G157-IFERROR(H157,0))/IFERROR(COUNTIF(J157:U157,"x"),1)+(Besatzung!$F$13="x")*IFERROR(H157,0)/IFERROR(SUMPRODUCT((J157:U157="x")*(Besatzung!$F$11:$F$22="x")),1))),(IF(COUNTIF(J157:U157,"x")=0,IF(Besatzung!$B$13&lt;&gt;"",1,0),(K157="x"))*(G157-IFERROR(H157,0))/IFERROR(IF(COUNTIF(J157:U157,"x")=0,COUNTA(Besatzung!$B$11:$B$22),COUNTIF(J157:U157,"x")),1)+IF(COUNTIF(J157:U157,"x")=0,(Besatzung!$F$13="x"),(K157="x")*(Besatzung!$F$13="x"))*IFERROR(H157,0)/IFERROR(IF(COUNTIF(J157:U157,"x")=0,SUMPRODUCT((Besatzung!$B$11:$B$22&lt;&gt;"")*(Besatzung!$F$11:$F$22="x")),SUMPRODUCT((J157:U157="x")*(Besatzung!$F$11:$F$22="x"))),1))))),0))))</f>
        <v/>
      </c>
      <c r="Y157" s="106">
        <f>IF(C157="Gutschrift","",IF(G157="","",IF(Besatzung!$B$14="","",IFERROR(IF(I157="Zeitanteilig",(Besatzung!$G$14*(G157-IFERROR(H157,0))+((Besatzung!$B$14&lt;&gt;"")*IF(B157="",1,(IF(Besatzung!$C$14="",Besatzung!$B$5,Besatzung!$C$14)&lt;=B157)*(IF(Besatzung!$D$14="",Besatzung!$B$6,Besatzung!$D$14)&gt;=B157)))*(Besatzung!$F$14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$14&lt;&gt;"")*IF(B157="",1,(IF(Besatzung!$C$14="",Besatzung!$B$5,Besatzung!$C$14)&lt;=B157)*(IF(Besatzung!$D$14="",Besatzung!$B$6,Besatzung!$D$14)&gt;=B157)))*((G157-IFERROR(H157,0))/IFERROR(SUMPRODUCT((Besatzung!$B$11:$B$22&lt;&gt;"")*(IF(Besatzung!$C$11:$C$22="",Besatzung!$B$5,Besatzung!$C$11:$C$22)&lt;=B157)*(IF(Besatzung!$D$11:$D$22="",Besatzung!$B$6,Besatzung!$D$11:$D$22)&gt;=B157)),1)+(Besatzung!$F$14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M157="x")*((G157-IFERROR(H157,0))/IFERROR(COUNTIF(J157:U157,"x"),1)+(Besatzung!$F$14="x")*IFERROR(H157,0)/IFERROR(SUMPRODUCT((J157:U157="x")*(Besatzung!$F$11:$F$22="x")),1))),(IF(COUNTIF(J157:U157,"x")=0,IF(Besatzung!$B$14&lt;&gt;"",1,0),(M157="x"))*(G157-IFERROR(H157,0))/IFERROR(IF(COUNTIF(J157:U157,"x")=0,COUNTA(Besatzung!$B$11:$B$22),COUNTIF(J157:U157,"x")),1)+IF(COUNTIF(J157:U157,"x")=0,(Besatzung!$F$14="x"),(M157="x")*(Besatzung!$F$14="x"))*IFERROR(H157,0)/IFERROR(IF(COUNTIF(J157:U157,"x")=0,SUMPRODUCT((Besatzung!$B$11:$B$22&lt;&gt;"")*(Besatzung!$F$11:$F$22="x")),SUMPRODUCT((J157:U157="x")*(Besatzung!$F$11:$F$22="x"))),1))))),0))))</f>
        <v/>
      </c>
      <c r="Z157" s="106">
        <f>IF(C157="Gutschrift","",IF(G157="","",IF(Besatzung!$B$13="","",IFERROR(IF(I157="Zeitanteilig",(Besatzung!$G$15*(G157-IFERROR(H157,0))+((Besatzung!$B$13&lt;&gt;"")*IF(B157="",1,(IF(Besatzung!$C$15="",Besatzung!$B$5,Besatzung!$C$15)&lt;=B157)*(IF(Besatzung!$D$15="",Besatzung!$B$6,Besatzung!$D$15)&gt;=B157)))*(Besatzung!$F$15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$13&lt;&gt;"")*IF(B157="",1,(IF(Besatzung!$C$15="",Besatzung!$B$5,Besatzung!$C$15)&lt;=B157)*(IF(Besatzung!$D$15="",Besatzung!$B$6,Besatzung!$D$15)&gt;=B157)))*((G157-IFERROR(H157,0))/IFERROR(SUMPRODUCT((Besatzung!$B$11:$B$22&lt;&gt;"")*(IF(Besatzung!$C$11:$C$22="",Besatzung!$B$5,Besatzung!$C$11:$C$22)&lt;=B157)*(IF(Besatzung!$D$11:$D$22="",Besatzung!$B$6,Besatzung!$D$11:$D$22)&gt;=B157)),1)+(Besatzung!$F$15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N157="x")*((G157-IFERROR(H157,0))/IFERROR(COUNTIF(J157:U157,"x"),1)+(Besatzung!$F$15="x")*IFERROR(H157,0)/IFERROR(SUMPRODUCT((J157:U157="x")*(Besatzung!$F$11:$F$22="x")),1))),(IF(COUNTIF(J157:U157,"x")=0,IF(Besatzung!$B$13&lt;&gt;"",1,0),(N157="x"))*(G157-IFERROR(H157,0))/IFERROR(IF(COUNTIF(J157:U157,"x")=0,COUNTA(Besatzung!$B$11:$B$22),COUNTIF(J157:U157,"x")),1)+IF(COUNTIF(J157:U157,"x")=0,(Besatzung!$F$15="x"),(N157="x")*(Besatzung!$F$15="x"))*IFERROR(H157,0)/IFERROR(IF(COUNTIF(J157:U157,"x")=0,SUMPRODUCT((Besatzung!$B$11:$B$22&lt;&gt;"")*(Besatzung!$F$11:$F$22="x")),SUMPRODUCT((J157:U157="x")*(Besatzung!$F$11:$F$22="x"))),1))))),0))))</f>
        <v/>
      </c>
      <c r="AA157" s="106">
        <f>IF(C157="Gutschrift","",IF(G157="","",IF(Besatzung!$B$15="","",IFERROR(IF(I157="Zeitanteilig",(Besatzung!$G$16*(G157-IFERROR(H157,0))+((Besatzung!$B$15&lt;&gt;"")*IF(B157="",1,(IF(Besatzung!$C$16="",Besatzung!$B$5,Besatzung!$C$16)&lt;=B157)*(IF(Besatzung!$D$16="",Besatzung!$B$6,Besatzung!$D$16)&gt;=B157)))*(Besatzung!$F$16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$15&lt;&gt;"")*IF(B157="",1,(IF(Besatzung!$C$16="",Besatzung!$B$5,Besatzung!$C$16)&lt;=B157)*(IF(Besatzung!$D$16="",Besatzung!$B$6,Besatzung!$D$16)&gt;=B157)))*((G157-IFERROR(H157,0))/IFERROR(SUMPRODUCT((Besatzung!$B$11:$B$22&lt;&gt;"")*(IF(Besatzung!$C$11:$C$22="",Besatzung!$B$5,Besatzung!$C$11:$C$22)&lt;=B157)*(IF(Besatzung!$D$11:$D$22="",Besatzung!$B$6,Besatzung!$D$11:$D$22)&gt;=B157)),1)+(Besatzung!$F$16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O157="x")*((G157-IFERROR(H157,0))/IFERROR(COUNTIF(J157:U157,"x"),1)+(Besatzung!$F$16="x")*IFERROR(H157,0)/IFERROR(SUMPRODUCT((J157:U157="x")*(Besatzung!$F$11:$F$22="x")),1))),(IF(COUNTIF(J157:U157,"x")=0,IF(Besatzung!$B$15&lt;&gt;"",1,0),(O157="x"))*(G157-IFERROR(H157,0))/IFERROR(IF(COUNTIF(J157:U157,"x")=0,COUNTA(Besatzung!$B$11:$B$22),COUNTIF(J157:U157,"x")),1)+IF(COUNTIF(J157:U157,"x")=0,(Besatzung!$F$16="x"),(O157="x")*(Besatzung!$F$16="x"))*IFERROR(H157,0)/IFERROR(IF(COUNTIF(J157:U157,"x")=0,SUMPRODUCT((Besatzung!$B$11:$B$22&lt;&gt;"")*(Besatzung!$F$11:$F$22="x")),SUMPRODUCT((J157:U157="x")*(Besatzung!$F$11:$F$22="x"))),1))))),0))))</f>
        <v/>
      </c>
      <c r="AB157" s="106">
        <f>IF(C157="Gutschrift","",IF(G157="","",IF(Besatzung!$B$17="","",IFERROR(IF(I157="Zeitanteilig",(Besatzung!$G$17*(G157-IFERROR(H157,0))+((Besatzung!$B$17&lt;&gt;"")*IF(B157="",1,(IF(Besatzung!$C$17="",Besatzung!$B$5,Besatzung!$C$17)&lt;=B157)*(IF(Besatzung!$D$17="",Besatzung!$B$6,Besatzung!$D$17)&gt;=B157)))*(Besatzung!$F$17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$17&lt;&gt;"")*IF(B157="",1,(IF(Besatzung!$C$17="",Besatzung!$B$5,Besatzung!$C$17)&lt;=B157)*(IF(Besatzung!$D$17="",Besatzung!$B$6,Besatzung!$D$17)&gt;=B157)))*((G157-IFERROR(H157,0))/IFERROR(SUMPRODUCT((Besatzung!$B$11:$B$22&lt;&gt;"")*(IF(Besatzung!$C$11:$C$22="",Besatzung!$B$5,Besatzung!$C$11:$C$22)&lt;=B157)*(IF(Besatzung!$D$11:$D$22="",Besatzung!$B$6,Besatzung!$D$11:$D$22)&gt;=B157)),1)+(Besatzung!$F$17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P157="x")*((G157-IFERROR(H157,0))/IFERROR(COUNTIF(J157:U157,"x"),1)+(Besatzung!$F$17="x")*IFERROR(H157,0)/IFERROR(SUMPRODUCT((J157:U157="x")*(Besatzung!$F$11:$F$22="x")),1))),(IF(COUNTIF(J157:U157,"x")=0,IF(Besatzung!$B$17&lt;&gt;"",1,0),(P157="x"))*(G157-IFERROR(H157,0))/IFERROR(IF(COUNTIF(J157:U157,"x")=0,COUNTA(Besatzung!$B$11:$B$22),COUNTIF(J157:U157,"x")),1)+IF(COUNTIF(J157:U157,"x")=0,(Besatzung!$F$17="x"),(P157="x")*(Besatzung!$F$17="x"))*IFERROR(H157,0)/IFERROR(IF(COUNTIF(J157:U157,"x")=0,SUMPRODUCT((Besatzung!$B$11:$B$22&lt;&gt;"")*(Besatzung!$F$11:$F$22="x")),SUMPRODUCT((J157:U157="x")*(Besatzung!$F$11:$F$22="x"))),1))))),0))))</f>
        <v/>
      </c>
      <c r="AC157" s="106">
        <f>IF(C157="Gutschrift","",IF(G157="","",IF(Besatzung!$B$18="","",IFERROR(IF(I157="Zeitanteilig",(Besatzung!$G$18*(G157-IFERROR(H157,0))+((Besatzung!$B$18&lt;&gt;"")*IF(B157="",1,(IF(Besatzung!$C$18="",Besatzung!$B$5,Besatzung!$C$18)&lt;=B157)*(IF(Besatzung!$D$18="",Besatzung!$B$6,Besatzung!$D$18)&gt;=B157)))*(Besatzung!$F$18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$18&lt;&gt;"")*IF(B157="",1,(IF(Besatzung!$C$18="",Besatzung!$B$5,Besatzung!$C$18)&lt;=B157)*(IF(Besatzung!$D$18="",Besatzung!$B$6,Besatzung!$D$18)&gt;=B157)))*((G157-IFERROR(H157,0))/IFERROR(SUMPRODUCT((Besatzung!$B$11:$B$22&lt;&gt;"")*(IF(Besatzung!$C$11:$C$22="",Besatzung!$B$5,Besatzung!$C$11:$C$22)&lt;=B157)*(IF(Besatzung!$D$11:$D$22="",Besatzung!$B$6,Besatzung!$D$11:$D$22)&gt;=B157)),1)+(Besatzung!$F$18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Q157="x")*((G157-IFERROR(H157,0))/IFERROR(COUNTIF(J157:U157,"x"),1)+(Besatzung!$F$18="x")*IFERROR(H157,0)/IFERROR(SUMPRODUCT((J157:U157="x")*(Besatzung!$F$11:$F$22="x")),1))),(IF(COUNTIF(J157:U157,"x")=0,IF(Besatzung!$B$18&lt;&gt;"",1,0),(Q157="x"))*(G157-IFERROR(H157,0))/IFERROR(IF(COUNTIF(J157:U157,"x")=0,COUNTA(Besatzung!$B$11:$B$22),COUNTIF(J157:U157,"x")),1)+IF(COUNTIF(J157:U157,"x")=0,(Besatzung!$F$18="x"),(Q157="x")*(Besatzung!$F$18="x"))*IFERROR(H157,0)/IFERROR(IF(COUNTIF(J157:U157,"x")=0,SUMPRODUCT((Besatzung!$B$11:$B$22&lt;&gt;"")*(Besatzung!$F$11:$F$22="x")),SUMPRODUCT((J157:U157="x")*(Besatzung!$F$11:$F$22="x"))),1))))),0))))</f>
        <v/>
      </c>
      <c r="AD157" s="106">
        <f>IF(C157="Gutschrift","",IF(G157="","",IF(Besatzung!$B$19="","",IFERROR(IF(I157="Zeitanteilig",(Besatzung!$G$19*(G157-IFERROR(H157,0))+((Besatzung!$B$19&lt;&gt;"")*IF(B157="",1,(IF(Besatzung!$C$19="",Besatzung!$B$5,Besatzung!$C$19)&lt;=B157)*(IF(Besatzung!$D$19="",Besatzung!$B$6,Besatzung!$D$19)&gt;=B157)))*(Besatzung!$F$19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$19&lt;&gt;"")*IF(B157="",1,(IF(Besatzung!$C$19="",Besatzung!$B$5,Besatzung!$C$19)&lt;=B157)*(IF(Besatzung!$D$19="",Besatzung!$B$6,Besatzung!$D$19)&gt;=B157)))*((G157-IFERROR(H157,0))/IFERROR(SUMPRODUCT((Besatzung!$B$11:$B$22&lt;&gt;"")*(IF(Besatzung!$C$11:$C$22="",Besatzung!$B$5,Besatzung!$C$11:$C$22)&lt;=B157)*(IF(Besatzung!$D$11:$D$22="",Besatzung!$B$6,Besatzung!$D$11:$D$22)&gt;=B157)),1)+(Besatzung!$F$19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R157="x")*((G157-IFERROR(H157,0))/IFERROR(COUNTIF(J157:U157,"x"),1)+(Besatzung!$F$19="x")*IFERROR(H157,0)/IFERROR(SUMPRODUCT((J157:U157="x")*(Besatzung!$F$11:$F$22="x")),1))),(IF(COUNTIF(J157:U157,"x")=0,IF(Besatzung!$B$19&lt;&gt;"",1,0),(R157="x"))*(G157-IFERROR(H157,0))/IFERROR(IF(COUNTIF(J157:U157,"x")=0,COUNTA(Besatzung!$B$11:$B$22),COUNTIF(J157:U157,"x")),1)+IF(COUNTIF(J157:U157,"x")=0,(Besatzung!$F$19="x"),(R157="x")*(Besatzung!$F$19="x"))*IFERROR(H157,0)/IFERROR(IF(COUNTIF(J157:U157,"x")=0,SUMPRODUCT((Besatzung!$B$11:$B$22&lt;&gt;"")*(Besatzung!$F$11:$F$22="x")),SUMPRODUCT((J157:U157="x")*(Besatzung!$F$11:$F$22="x"))),1))))),0))))</f>
        <v/>
      </c>
      <c r="AE157" s="106">
        <f>IF(C157="Gutschrift","",IF(G157="","",IF(Besatzung!$B$20="","",IFERROR(IF(I157="Zeitanteilig",(Besatzung!$G$20*(G157-IFERROR(H157,0))+((Besatzung!$B$20&lt;&gt;"")*IF(B157="",1,(IF(Besatzung!$C$20="",Besatzung!$B$5,Besatzung!$C$20)&lt;=B157)*(IF(Besatzung!$D$20="",Besatzung!$B$6,Besatzung!$D$20)&gt;=B157)))*(Besatzung!$F$20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$20&lt;&gt;"")*IF(B157="",1,(IF(Besatzung!$C$20="",Besatzung!$B$5,Besatzung!$C$20)&lt;=B157)*(IF(Besatzung!$D$20="",Besatzung!$B$6,Besatzung!$D$20)&gt;=B157)))*((G157-IFERROR(H157,0))/IFERROR(SUMPRODUCT((Besatzung!$B$11:$B$22&lt;&gt;"")*(IF(Besatzung!$C$11:$C$22="",Besatzung!$B$5,Besatzung!$C$11:$C$22)&lt;=B157)*(IF(Besatzung!$D$11:$D$22="",Besatzung!$B$6,Besatzung!$D$11:$D$22)&gt;=B157)),1)+(Besatzung!$F$20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S157="x")*((G157-IFERROR(H157,0))/IFERROR(COUNTIF(J157:U157,"x"),1)+(Besatzung!$F$20="x")*IFERROR(H157,0)/IFERROR(SUMPRODUCT((J157:U157="x")*(Besatzung!$F$11:$F$22="x")),1))),(IF(COUNTIF(J157:U157,"x")=0,IF(Besatzung!$B$20&lt;&gt;"",1,0),(S157="x"))*(G157-IFERROR(H157,0))/IFERROR(IF(COUNTIF(J157:U157,"x")=0,COUNTA(Besatzung!$B$11:$B$22),COUNTIF(J157:U157,"x")),1)+IF(COUNTIF(J157:U157,"x")=0,(Besatzung!$F$20="x"),(S157="x")*(Besatzung!$F$20="x"))*IFERROR(H157,0)/IFERROR(IF(COUNTIF(J157:U157,"x")=0,SUMPRODUCT((Besatzung!$B$11:$B$22&lt;&gt;"")*(Besatzung!$F$11:$F$22="x")),SUMPRODUCT((J157:U157="x")*(Besatzung!$F$11:$F$22="x"))),1))))),0))))</f>
        <v/>
      </c>
      <c r="AF157" s="106">
        <f>IF(C157="Gutschrift","",IF(G157="","",IF(Besatzung!$B$21="","",IFERROR(IF(I157="Zeitanteilig",(Besatzung!$G$21*(G157-IFERROR(H157,0))+((Besatzung!$B$21&lt;&gt;"")*IF(B157="",1,(IF(Besatzung!$C$21="",Besatzung!$B$5,Besatzung!$C$21)&lt;=B157)*(IF(Besatzung!$D$21="",Besatzung!$B$6,Besatzung!$D$21)&gt;=B157)))*(Besatzung!$F$21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$21&lt;&gt;"")*IF(B157="",1,(IF(Besatzung!$C$21="",Besatzung!$B$5,Besatzung!$C$21)&lt;=B157)*(IF(Besatzung!$D$21="",Besatzung!$B$6,Besatzung!$D$21)&gt;=B157)))*((G157-IFERROR(H157,0))/IFERROR(SUMPRODUCT((Besatzung!$B$11:$B$22&lt;&gt;"")*(IF(Besatzung!$C$11:$C$22="",Besatzung!$B$5,Besatzung!$C$11:$C$22)&lt;=B157)*(IF(Besatzung!$D$11:$D$22="",Besatzung!$B$6,Besatzung!$D$11:$D$22)&gt;=B157)),1)+(Besatzung!$F$21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T157="x")*((G157-IFERROR(H157,0))/IFERROR(COUNTIF(J157:U157,"x"),1)+(Besatzung!$F$21="x")*IFERROR(H157,0)/IFERROR(SUMPRODUCT((J157:U157="x")*(Besatzung!$F$11:$F$22="x")),1))),(IF(COUNTIF(J157:U157,"x")=0,IF(Besatzung!$B$21&lt;&gt;"",1,0),(T157="x"))*(G157-IFERROR(H157,0))/IFERROR(IF(COUNTIF(J157:U157,"x")=0,COUNTA(Besatzung!$B$11:$B$22),COUNTIF(J157:U157,"x")),1)+IF(COUNTIF(J157:U157,"x")=0,(Besatzung!$F$21="x"),(T157="x")*(Besatzung!$F$21="x"))*IFERROR(H157,0)/IFERROR(IF(COUNTIF(J157:U157,"x")=0,SUMPRODUCT((Besatzung!$B$11:$B$22&lt;&gt;"")*(Besatzung!$F$11:$F$22="x")),SUMPRODUCT((J157:U157="x")*(Besatzung!$F$11:$F$22="x"))),1))))),0))))</f>
        <v/>
      </c>
      <c r="AG157" s="106">
        <f>IF(C157="Gutschrift","",IF(G157="","",IF(Besatzung!$B$22="","",IFERROR(IF(I157="Zeitanteilig",(Besatzung!$G$22*(G157-IFERROR(H157,0))+((Besatzung!$B$22&lt;&gt;"")*IF(B157="",1,(IF(Besatzung!$C$22="",Besatzung!$B$5,Besatzung!$C$22)&lt;=B157)*(IF(Besatzung!$D$22="",Besatzung!$B$6,Besatzung!$D$22)&gt;=B157)))*(Besatzung!$F$22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$22&lt;&gt;"")*IF(B157="",1,(IF(Besatzung!$C$22="",Besatzung!$B$5,Besatzung!$C$22)&lt;=B157)*(IF(Besatzung!$D$22="",Besatzung!$B$6,Besatzung!$D$22)&gt;=B157)))*((G157-IFERROR(H157,0))/IFERROR(SUMPRODUCT((Besatzung!$B$11:$B$22&lt;&gt;"")*(IF(Besatzung!$C$11:$C$22="",Besatzung!$B$5,Besatzung!$C$11:$C$22)&lt;=B157)*(IF(Besatzung!$D$11:$D$22="",Besatzung!$B$6,Besatzung!$D$11:$D$22)&gt;=B157)),1)+(Besatzung!$F$22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U157="x")*((G157-IFERROR(H157,0))/IFERROR(COUNTIF(J157:U157,"x"),1)+(Besatzung!$F$22="x")*IFERROR(H157,0)/IFERROR(SUMPRODUCT((J157:U157="x")*(Besatzung!$F$11:$F$22="x")),1))),(IF(COUNTIF(J157:U157,"x")=0,IF(Besatzung!$B$22&lt;&gt;"",1,0),(U157="x"))*(G157-IFERROR(H157,0))/IFERROR(IF(COUNTIF(J157:U157,"x")=0,COUNTA(Besatzung!$B$11:$B$22),COUNTIF(J157:U157,"x")),1)+IF(COUNTIF(J157:U157,"x")=0,(Besatzung!$F$22="x"),(U157="x")*(Besatzung!$F$22="x"))*IFERROR(H157,0)/IFERROR(IF(COUNTIF(J157:U157,"x")=0,SUMPRODUCT((Besatzung!$B$11:$B$22&lt;&gt;"")*(Besatzung!$F$11:$F$22="x")),SUMPRODUCT((J157:U157="x")*(Besatzung!$F$11:$F$22="x"))),1))))),0))))</f>
        <v/>
      </c>
      <c r="AH157" s="107" t="n"/>
      <c r="AI157" s="107" t="n"/>
    </row>
    <row r="158" ht="21.75" customHeight="1" s="182">
      <c r="A158" s="97">
        <f>IF(AND(D158="",C158=""),"",155)</f>
        <v/>
      </c>
      <c r="B158" s="56" t="n"/>
      <c r="C158" s="98" t="n"/>
      <c r="D158" s="99" t="n"/>
      <c r="E158" s="100" t="n"/>
      <c r="F158" s="101" t="n"/>
      <c r="G158" s="102" t="n"/>
      <c r="H158" s="103" t="n"/>
      <c r="I158" s="104" t="n"/>
      <c r="J158" s="105" t="n"/>
      <c r="K158" s="105" t="n"/>
      <c r="L158" s="105" t="n"/>
      <c r="M158" s="105" t="n"/>
      <c r="N158" s="105" t="n"/>
      <c r="O158" s="105" t="n"/>
      <c r="P158" s="105" t="n"/>
      <c r="Q158" s="105" t="n"/>
      <c r="R158" s="105" t="n"/>
      <c r="S158" s="105" t="n"/>
      <c r="T158" s="105" t="n"/>
      <c r="U158" s="105" t="n"/>
      <c r="V158" s="106">
        <f>IF(C158="Gutschrift","",IF(G158="","",IF(Besatzung!$B$11="","",IFERROR(IF(I158="Zeitanteilig",(Besatzung!$G$11*(G158-IFERROR(H158,0))+((Besatzung!$B$11&lt;&gt;"")*IF(B158="",1,(IF(Besatzung!$C$11="",Besatzung!$B$5,Besatzung!$C$11)&lt;=B158)*(IF(Besatzung!$D$11="",Besatzung!$B$6,Besatzung!$D$11)&gt;=B158)))*(Besatzung!$F$11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$11&lt;&gt;"")*IF(B158="",1,(IF(Besatzung!$C$11="",Besatzung!$B$5,Besatzung!$C$11)&lt;=B158)*(IF(Besatzung!$D$11="",Besatzung!$B$6,Besatzung!$D$11)&gt;=B158)))*((G158-IFERROR(H158,0))/IFERROR(SUMPRODUCT((Besatzung!$B$11:$B$22&lt;&gt;"")*(IF(Besatzung!$C$11:$C$22="",Besatzung!$B$5,Besatzung!$C$11:$C$22)&lt;=B158)*(IF(Besatzung!$D$11:$D$22="",Besatzung!$B$6,Besatzung!$D$11:$D$22)&gt;=B158)),1)+(Besatzung!$F$11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J158="x")*((G158-IFERROR(H158,0))/IFERROR(COUNTIF(J158:U158,"x"),1)+(Besatzung!$F$11="x")*IFERROR(H158,0)/IFERROR(SUMPRODUCT((J158:U158="x")*(Besatzung!$F$11:$F$22="x")),1))),(IF(COUNTIF(J158:U158,"x")=0,IF(Besatzung!$B$11&lt;&gt;"",1,0),(J158="x"))*(G158-IFERROR(H158,0))/IFERROR(IF(COUNTIF(J158:U158,"x")=0,COUNTA(Besatzung!$B$11:$B$22),COUNTIF(J158:U158,"x")),1)+IF(COUNTIF(J158:U158,"x")=0,(Besatzung!$F$11="x"),(J158="x")*(Besatzung!$F$11="x"))*IFERROR(H158,0)/IFERROR(IF(COUNTIF(J158:U158,"x")=0,SUMPRODUCT((Besatzung!$B$11:$B$22&lt;&gt;"")*(Besatzung!$F$11:$F$22="x")),SUMPRODUCT((J158:U158="x")*(Besatzung!$F$11:$F$22="x"))),1))))),0))))</f>
        <v/>
      </c>
      <c r="W158" s="106">
        <f>IF(C158="Gutschrift","",IF(G158="","",IF(Besatzung!$B$12="","",IFERROR(IF(I158="Zeitanteilig",(Besatzung!$G$12*(G158-IFERROR(H158,0))+((Besatzung!$B$12&lt;&gt;"")*IF(B158="",1,(IF(Besatzung!$C$12="",Besatzung!$B$5,Besatzung!$C$12)&lt;=B158)*(IF(Besatzung!$D$12="",Besatzung!$B$6,Besatzung!$D$12)&gt;=B158)))*(Besatzung!$F$12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$12&lt;&gt;"")*IF(B158="",1,(IF(Besatzung!$C$12="",Besatzung!$B$5,Besatzung!$C$12)&lt;=B158)*(IF(Besatzung!$D$12="",Besatzung!$B$6,Besatzung!$D$12)&gt;=B158)))*((G158-IFERROR(H158,0))/IFERROR(SUMPRODUCT((Besatzung!$B$11:$B$22&lt;&gt;"")*(IF(Besatzung!$C$11:$C$22="",Besatzung!$B$5,Besatzung!$C$11:$C$22)&lt;=B158)*(IF(Besatzung!$D$11:$D$22="",Besatzung!$B$6,Besatzung!$D$11:$D$22)&gt;=B158)),1)+(Besatzung!$F$12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K158="x")*((G158-IFERROR(H158,0))/IFERROR(COUNTIF(J158:U158,"x"),1)+(Besatzung!$F$12="x")*IFERROR(H158,0)/IFERROR(SUMPRODUCT((J158:U158="x")*(Besatzung!$F$11:$F$22="x")),1))),(IF(COUNTIF(J158:U158,"x")=0,IF(Besatzung!$B$12&lt;&gt;"",1,0),(K158="x"))*(G158-IFERROR(H158,0))/IFERROR(IF(COUNTIF(J158:U158,"x")=0,COUNTA(Besatzung!$B$11:$B$22),COUNTIF(J158:U158,"x")),1)+IF(COUNTIF(J158:U158,"x")=0,(Besatzung!$F$12="x"),(K158="x")*(Besatzung!$F$12="x"))*IFERROR(H158,0)/IFERROR(IF(COUNTIF(J158:U158,"x")=0,SUMPRODUCT((Besatzung!$B$11:$B$22&lt;&gt;"")*(Besatzung!$F$11:$F$22="x")),SUMPRODUCT((J158:U158="x")*(Besatzung!$F$11:$F$22="x"))),1))))),0))))</f>
        <v/>
      </c>
      <c r="X158" s="106">
        <f>IF(C158="Gutschrift","",IF(G158="","",IF(Besatzung!$B$13="","",IFERROR(IF(I158="Zeitanteilig",(Besatzung!$G$13*(G158-IFERROR(H158,0))+((Besatzung!$B$13&lt;&gt;"")*IF(B158="",1,(IF(Besatzung!$C$13="",Besatzung!$B$5,Besatzung!$C$13)&lt;=B158)*(IF(Besatzung!$D$13="",Besatzung!$B$6,Besatzung!$D$13)&gt;=B158)))*(Besatzung!$F$13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$13&lt;&gt;"")*IF(B158="",1,(IF(Besatzung!$C$13="",Besatzung!$B$5,Besatzung!$C$13)&lt;=B158)*(IF(Besatzung!$D$13="",Besatzung!$B$6,Besatzung!$D$13)&gt;=B158)))*((G158-IFERROR(H158,0))/IFERROR(SUMPRODUCT((Besatzung!$B$11:$B$22&lt;&gt;"")*(IF(Besatzung!$C$11:$C$22="",Besatzung!$B$5,Besatzung!$C$11:$C$22)&lt;=B158)*(IF(Besatzung!$D$11:$D$22="",Besatzung!$B$6,Besatzung!$D$11:$D$22)&gt;=B158)),1)+(Besatzung!$F$13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K158="x")*((G158-IFERROR(H158,0))/IFERROR(COUNTIF(J158:U158,"x"),1)+(Besatzung!$F$13="x")*IFERROR(H158,0)/IFERROR(SUMPRODUCT((J158:U158="x")*(Besatzung!$F$11:$F$22="x")),1))),(IF(COUNTIF(J158:U158,"x")=0,IF(Besatzung!$B$13&lt;&gt;"",1,0),(K158="x"))*(G158-IFERROR(H158,0))/IFERROR(IF(COUNTIF(J158:U158,"x")=0,COUNTA(Besatzung!$B$11:$B$22),COUNTIF(J158:U158,"x")),1)+IF(COUNTIF(J158:U158,"x")=0,(Besatzung!$F$13="x"),(K158="x")*(Besatzung!$F$13="x"))*IFERROR(H158,0)/IFERROR(IF(COUNTIF(J158:U158,"x")=0,SUMPRODUCT((Besatzung!$B$11:$B$22&lt;&gt;"")*(Besatzung!$F$11:$F$22="x")),SUMPRODUCT((J158:U158="x")*(Besatzung!$F$11:$F$22="x"))),1))))),0))))</f>
        <v/>
      </c>
      <c r="Y158" s="106">
        <f>IF(C158="Gutschrift","",IF(G158="","",IF(Besatzung!$B$14="","",IFERROR(IF(I158="Zeitanteilig",(Besatzung!$G$14*(G158-IFERROR(H158,0))+((Besatzung!$B$14&lt;&gt;"")*IF(B158="",1,(IF(Besatzung!$C$14="",Besatzung!$B$5,Besatzung!$C$14)&lt;=B158)*(IF(Besatzung!$D$14="",Besatzung!$B$6,Besatzung!$D$14)&gt;=B158)))*(Besatzung!$F$14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$14&lt;&gt;"")*IF(B158="",1,(IF(Besatzung!$C$14="",Besatzung!$B$5,Besatzung!$C$14)&lt;=B158)*(IF(Besatzung!$D$14="",Besatzung!$B$6,Besatzung!$D$14)&gt;=B158)))*((G158-IFERROR(H158,0))/IFERROR(SUMPRODUCT((Besatzung!$B$11:$B$22&lt;&gt;"")*(IF(Besatzung!$C$11:$C$22="",Besatzung!$B$5,Besatzung!$C$11:$C$22)&lt;=B158)*(IF(Besatzung!$D$11:$D$22="",Besatzung!$B$6,Besatzung!$D$11:$D$22)&gt;=B158)),1)+(Besatzung!$F$14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M158="x")*((G158-IFERROR(H158,0))/IFERROR(COUNTIF(J158:U158,"x"),1)+(Besatzung!$F$14="x")*IFERROR(H158,0)/IFERROR(SUMPRODUCT((J158:U158="x")*(Besatzung!$F$11:$F$22="x")),1))),(IF(COUNTIF(J158:U158,"x")=0,IF(Besatzung!$B$14&lt;&gt;"",1,0),(M158="x"))*(G158-IFERROR(H158,0))/IFERROR(IF(COUNTIF(J158:U158,"x")=0,COUNTA(Besatzung!$B$11:$B$22),COUNTIF(J158:U158,"x")),1)+IF(COUNTIF(J158:U158,"x")=0,(Besatzung!$F$14="x"),(M158="x")*(Besatzung!$F$14="x"))*IFERROR(H158,0)/IFERROR(IF(COUNTIF(J158:U158,"x")=0,SUMPRODUCT((Besatzung!$B$11:$B$22&lt;&gt;"")*(Besatzung!$F$11:$F$22="x")),SUMPRODUCT((J158:U158="x")*(Besatzung!$F$11:$F$22="x"))),1))))),0))))</f>
        <v/>
      </c>
      <c r="Z158" s="106">
        <f>IF(C158="Gutschrift","",IF(G158="","",IF(Besatzung!$B$13="","",IFERROR(IF(I158="Zeitanteilig",(Besatzung!$G$15*(G158-IFERROR(H158,0))+((Besatzung!$B$13&lt;&gt;"")*IF(B158="",1,(IF(Besatzung!$C$15="",Besatzung!$B$5,Besatzung!$C$15)&lt;=B158)*(IF(Besatzung!$D$15="",Besatzung!$B$6,Besatzung!$D$15)&gt;=B158)))*(Besatzung!$F$15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$13&lt;&gt;"")*IF(B158="",1,(IF(Besatzung!$C$15="",Besatzung!$B$5,Besatzung!$C$15)&lt;=B158)*(IF(Besatzung!$D$15="",Besatzung!$B$6,Besatzung!$D$15)&gt;=B158)))*((G158-IFERROR(H158,0))/IFERROR(SUMPRODUCT((Besatzung!$B$11:$B$22&lt;&gt;"")*(IF(Besatzung!$C$11:$C$22="",Besatzung!$B$5,Besatzung!$C$11:$C$22)&lt;=B158)*(IF(Besatzung!$D$11:$D$22="",Besatzung!$B$6,Besatzung!$D$11:$D$22)&gt;=B158)),1)+(Besatzung!$F$15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N158="x")*((G158-IFERROR(H158,0))/IFERROR(COUNTIF(J158:U158,"x"),1)+(Besatzung!$F$15="x")*IFERROR(H158,0)/IFERROR(SUMPRODUCT((J158:U158="x")*(Besatzung!$F$11:$F$22="x")),1))),(IF(COUNTIF(J158:U158,"x")=0,IF(Besatzung!$B$13&lt;&gt;"",1,0),(N158="x"))*(G158-IFERROR(H158,0))/IFERROR(IF(COUNTIF(J158:U158,"x")=0,COUNTA(Besatzung!$B$11:$B$22),COUNTIF(J158:U158,"x")),1)+IF(COUNTIF(J158:U158,"x")=0,(Besatzung!$F$15="x"),(N158="x")*(Besatzung!$F$15="x"))*IFERROR(H158,0)/IFERROR(IF(COUNTIF(J158:U158,"x")=0,SUMPRODUCT((Besatzung!$B$11:$B$22&lt;&gt;"")*(Besatzung!$F$11:$F$22="x")),SUMPRODUCT((J158:U158="x")*(Besatzung!$F$11:$F$22="x"))),1))))),0))))</f>
        <v/>
      </c>
      <c r="AA158" s="106">
        <f>IF(C158="Gutschrift","",IF(G158="","",IF(Besatzung!$B$15="","",IFERROR(IF(I158="Zeitanteilig",(Besatzung!$G$16*(G158-IFERROR(H158,0))+((Besatzung!$B$15&lt;&gt;"")*IF(B158="",1,(IF(Besatzung!$C$16="",Besatzung!$B$5,Besatzung!$C$16)&lt;=B158)*(IF(Besatzung!$D$16="",Besatzung!$B$6,Besatzung!$D$16)&gt;=B158)))*(Besatzung!$F$16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$15&lt;&gt;"")*IF(B158="",1,(IF(Besatzung!$C$16="",Besatzung!$B$5,Besatzung!$C$16)&lt;=B158)*(IF(Besatzung!$D$16="",Besatzung!$B$6,Besatzung!$D$16)&gt;=B158)))*((G158-IFERROR(H158,0))/IFERROR(SUMPRODUCT((Besatzung!$B$11:$B$22&lt;&gt;"")*(IF(Besatzung!$C$11:$C$22="",Besatzung!$B$5,Besatzung!$C$11:$C$22)&lt;=B158)*(IF(Besatzung!$D$11:$D$22="",Besatzung!$B$6,Besatzung!$D$11:$D$22)&gt;=B158)),1)+(Besatzung!$F$16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O158="x")*((G158-IFERROR(H158,0))/IFERROR(COUNTIF(J158:U158,"x"),1)+(Besatzung!$F$16="x")*IFERROR(H158,0)/IFERROR(SUMPRODUCT((J158:U158="x")*(Besatzung!$F$11:$F$22="x")),1))),(IF(COUNTIF(J158:U158,"x")=0,IF(Besatzung!$B$15&lt;&gt;"",1,0),(O158="x"))*(G158-IFERROR(H158,0))/IFERROR(IF(COUNTIF(J158:U158,"x")=0,COUNTA(Besatzung!$B$11:$B$22),COUNTIF(J158:U158,"x")),1)+IF(COUNTIF(J158:U158,"x")=0,(Besatzung!$F$16="x"),(O158="x")*(Besatzung!$F$16="x"))*IFERROR(H158,0)/IFERROR(IF(COUNTIF(J158:U158,"x")=0,SUMPRODUCT((Besatzung!$B$11:$B$22&lt;&gt;"")*(Besatzung!$F$11:$F$22="x")),SUMPRODUCT((J158:U158="x")*(Besatzung!$F$11:$F$22="x"))),1))))),0))))</f>
        <v/>
      </c>
      <c r="AB158" s="106">
        <f>IF(C158="Gutschrift","",IF(G158="","",IF(Besatzung!$B$17="","",IFERROR(IF(I158="Zeitanteilig",(Besatzung!$G$17*(G158-IFERROR(H158,0))+((Besatzung!$B$17&lt;&gt;"")*IF(B158="",1,(IF(Besatzung!$C$17="",Besatzung!$B$5,Besatzung!$C$17)&lt;=B158)*(IF(Besatzung!$D$17="",Besatzung!$B$6,Besatzung!$D$17)&gt;=B158)))*(Besatzung!$F$17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$17&lt;&gt;"")*IF(B158="",1,(IF(Besatzung!$C$17="",Besatzung!$B$5,Besatzung!$C$17)&lt;=B158)*(IF(Besatzung!$D$17="",Besatzung!$B$6,Besatzung!$D$17)&gt;=B158)))*((G158-IFERROR(H158,0))/IFERROR(SUMPRODUCT((Besatzung!$B$11:$B$22&lt;&gt;"")*(IF(Besatzung!$C$11:$C$22="",Besatzung!$B$5,Besatzung!$C$11:$C$22)&lt;=B158)*(IF(Besatzung!$D$11:$D$22="",Besatzung!$B$6,Besatzung!$D$11:$D$22)&gt;=B158)),1)+(Besatzung!$F$17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P158="x")*((G158-IFERROR(H158,0))/IFERROR(COUNTIF(J158:U158,"x"),1)+(Besatzung!$F$17="x")*IFERROR(H158,0)/IFERROR(SUMPRODUCT((J158:U158="x")*(Besatzung!$F$11:$F$22="x")),1))),(IF(COUNTIF(J158:U158,"x")=0,IF(Besatzung!$B$17&lt;&gt;"",1,0),(P158="x"))*(G158-IFERROR(H158,0))/IFERROR(IF(COUNTIF(J158:U158,"x")=0,COUNTA(Besatzung!$B$11:$B$22),COUNTIF(J158:U158,"x")),1)+IF(COUNTIF(J158:U158,"x")=0,(Besatzung!$F$17="x"),(P158="x")*(Besatzung!$F$17="x"))*IFERROR(H158,0)/IFERROR(IF(COUNTIF(J158:U158,"x")=0,SUMPRODUCT((Besatzung!$B$11:$B$22&lt;&gt;"")*(Besatzung!$F$11:$F$22="x")),SUMPRODUCT((J158:U158="x")*(Besatzung!$F$11:$F$22="x"))),1))))),0))))</f>
        <v/>
      </c>
      <c r="AC158" s="106">
        <f>IF(C158="Gutschrift","",IF(G158="","",IF(Besatzung!$B$18="","",IFERROR(IF(I158="Zeitanteilig",(Besatzung!$G$18*(G158-IFERROR(H158,0))+((Besatzung!$B$18&lt;&gt;"")*IF(B158="",1,(IF(Besatzung!$C$18="",Besatzung!$B$5,Besatzung!$C$18)&lt;=B158)*(IF(Besatzung!$D$18="",Besatzung!$B$6,Besatzung!$D$18)&gt;=B158)))*(Besatzung!$F$18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$18&lt;&gt;"")*IF(B158="",1,(IF(Besatzung!$C$18="",Besatzung!$B$5,Besatzung!$C$18)&lt;=B158)*(IF(Besatzung!$D$18="",Besatzung!$B$6,Besatzung!$D$18)&gt;=B158)))*((G158-IFERROR(H158,0))/IFERROR(SUMPRODUCT((Besatzung!$B$11:$B$22&lt;&gt;"")*(IF(Besatzung!$C$11:$C$22="",Besatzung!$B$5,Besatzung!$C$11:$C$22)&lt;=B158)*(IF(Besatzung!$D$11:$D$22="",Besatzung!$B$6,Besatzung!$D$11:$D$22)&gt;=B158)),1)+(Besatzung!$F$18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Q158="x")*((G158-IFERROR(H158,0))/IFERROR(COUNTIF(J158:U158,"x"),1)+(Besatzung!$F$18="x")*IFERROR(H158,0)/IFERROR(SUMPRODUCT((J158:U158="x")*(Besatzung!$F$11:$F$22="x")),1))),(IF(COUNTIF(J158:U158,"x")=0,IF(Besatzung!$B$18&lt;&gt;"",1,0),(Q158="x"))*(G158-IFERROR(H158,0))/IFERROR(IF(COUNTIF(J158:U158,"x")=0,COUNTA(Besatzung!$B$11:$B$22),COUNTIF(J158:U158,"x")),1)+IF(COUNTIF(J158:U158,"x")=0,(Besatzung!$F$18="x"),(Q158="x")*(Besatzung!$F$18="x"))*IFERROR(H158,0)/IFERROR(IF(COUNTIF(J158:U158,"x")=0,SUMPRODUCT((Besatzung!$B$11:$B$22&lt;&gt;"")*(Besatzung!$F$11:$F$22="x")),SUMPRODUCT((J158:U158="x")*(Besatzung!$F$11:$F$22="x"))),1))))),0))))</f>
        <v/>
      </c>
      <c r="AD158" s="106">
        <f>IF(C158="Gutschrift","",IF(G158="","",IF(Besatzung!$B$19="","",IFERROR(IF(I158="Zeitanteilig",(Besatzung!$G$19*(G158-IFERROR(H158,0))+((Besatzung!$B$19&lt;&gt;"")*IF(B158="",1,(IF(Besatzung!$C$19="",Besatzung!$B$5,Besatzung!$C$19)&lt;=B158)*(IF(Besatzung!$D$19="",Besatzung!$B$6,Besatzung!$D$19)&gt;=B158)))*(Besatzung!$F$19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$19&lt;&gt;"")*IF(B158="",1,(IF(Besatzung!$C$19="",Besatzung!$B$5,Besatzung!$C$19)&lt;=B158)*(IF(Besatzung!$D$19="",Besatzung!$B$6,Besatzung!$D$19)&gt;=B158)))*((G158-IFERROR(H158,0))/IFERROR(SUMPRODUCT((Besatzung!$B$11:$B$22&lt;&gt;"")*(IF(Besatzung!$C$11:$C$22="",Besatzung!$B$5,Besatzung!$C$11:$C$22)&lt;=B158)*(IF(Besatzung!$D$11:$D$22="",Besatzung!$B$6,Besatzung!$D$11:$D$22)&gt;=B158)),1)+(Besatzung!$F$19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R158="x")*((G158-IFERROR(H158,0))/IFERROR(COUNTIF(J158:U158,"x"),1)+(Besatzung!$F$19="x")*IFERROR(H158,0)/IFERROR(SUMPRODUCT((J158:U158="x")*(Besatzung!$F$11:$F$22="x")),1))),(IF(COUNTIF(J158:U158,"x")=0,IF(Besatzung!$B$19&lt;&gt;"",1,0),(R158="x"))*(G158-IFERROR(H158,0))/IFERROR(IF(COUNTIF(J158:U158,"x")=0,COUNTA(Besatzung!$B$11:$B$22),COUNTIF(J158:U158,"x")),1)+IF(COUNTIF(J158:U158,"x")=0,(Besatzung!$F$19="x"),(R158="x")*(Besatzung!$F$19="x"))*IFERROR(H158,0)/IFERROR(IF(COUNTIF(J158:U158,"x")=0,SUMPRODUCT((Besatzung!$B$11:$B$22&lt;&gt;"")*(Besatzung!$F$11:$F$22="x")),SUMPRODUCT((J158:U158="x")*(Besatzung!$F$11:$F$22="x"))),1))))),0))))</f>
        <v/>
      </c>
      <c r="AE158" s="106">
        <f>IF(C158="Gutschrift","",IF(G158="","",IF(Besatzung!$B$20="","",IFERROR(IF(I158="Zeitanteilig",(Besatzung!$G$20*(G158-IFERROR(H158,0))+((Besatzung!$B$20&lt;&gt;"")*IF(B158="",1,(IF(Besatzung!$C$20="",Besatzung!$B$5,Besatzung!$C$20)&lt;=B158)*(IF(Besatzung!$D$20="",Besatzung!$B$6,Besatzung!$D$20)&gt;=B158)))*(Besatzung!$F$20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$20&lt;&gt;"")*IF(B158="",1,(IF(Besatzung!$C$20="",Besatzung!$B$5,Besatzung!$C$20)&lt;=B158)*(IF(Besatzung!$D$20="",Besatzung!$B$6,Besatzung!$D$20)&gt;=B158)))*((G158-IFERROR(H158,0))/IFERROR(SUMPRODUCT((Besatzung!$B$11:$B$22&lt;&gt;"")*(IF(Besatzung!$C$11:$C$22="",Besatzung!$B$5,Besatzung!$C$11:$C$22)&lt;=B158)*(IF(Besatzung!$D$11:$D$22="",Besatzung!$B$6,Besatzung!$D$11:$D$22)&gt;=B158)),1)+(Besatzung!$F$20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S158="x")*((G158-IFERROR(H158,0))/IFERROR(COUNTIF(J158:U158,"x"),1)+(Besatzung!$F$20="x")*IFERROR(H158,0)/IFERROR(SUMPRODUCT((J158:U158="x")*(Besatzung!$F$11:$F$22="x")),1))),(IF(COUNTIF(J158:U158,"x")=0,IF(Besatzung!$B$20&lt;&gt;"",1,0),(S158="x"))*(G158-IFERROR(H158,0))/IFERROR(IF(COUNTIF(J158:U158,"x")=0,COUNTA(Besatzung!$B$11:$B$22),COUNTIF(J158:U158,"x")),1)+IF(COUNTIF(J158:U158,"x")=0,(Besatzung!$F$20="x"),(S158="x")*(Besatzung!$F$20="x"))*IFERROR(H158,0)/IFERROR(IF(COUNTIF(J158:U158,"x")=0,SUMPRODUCT((Besatzung!$B$11:$B$22&lt;&gt;"")*(Besatzung!$F$11:$F$22="x")),SUMPRODUCT((J158:U158="x")*(Besatzung!$F$11:$F$22="x"))),1))))),0))))</f>
        <v/>
      </c>
      <c r="AF158" s="106">
        <f>IF(C158="Gutschrift","",IF(G158="","",IF(Besatzung!$B$21="","",IFERROR(IF(I158="Zeitanteilig",(Besatzung!$G$21*(G158-IFERROR(H158,0))+((Besatzung!$B$21&lt;&gt;"")*IF(B158="",1,(IF(Besatzung!$C$21="",Besatzung!$B$5,Besatzung!$C$21)&lt;=B158)*(IF(Besatzung!$D$21="",Besatzung!$B$6,Besatzung!$D$21)&gt;=B158)))*(Besatzung!$F$21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$21&lt;&gt;"")*IF(B158="",1,(IF(Besatzung!$C$21="",Besatzung!$B$5,Besatzung!$C$21)&lt;=B158)*(IF(Besatzung!$D$21="",Besatzung!$B$6,Besatzung!$D$21)&gt;=B158)))*((G158-IFERROR(H158,0))/IFERROR(SUMPRODUCT((Besatzung!$B$11:$B$22&lt;&gt;"")*(IF(Besatzung!$C$11:$C$22="",Besatzung!$B$5,Besatzung!$C$11:$C$22)&lt;=B158)*(IF(Besatzung!$D$11:$D$22="",Besatzung!$B$6,Besatzung!$D$11:$D$22)&gt;=B158)),1)+(Besatzung!$F$21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T158="x")*((G158-IFERROR(H158,0))/IFERROR(COUNTIF(J158:U158,"x"),1)+(Besatzung!$F$21="x")*IFERROR(H158,0)/IFERROR(SUMPRODUCT((J158:U158="x")*(Besatzung!$F$11:$F$22="x")),1))),(IF(COUNTIF(J158:U158,"x")=0,IF(Besatzung!$B$21&lt;&gt;"",1,0),(T158="x"))*(G158-IFERROR(H158,0))/IFERROR(IF(COUNTIF(J158:U158,"x")=0,COUNTA(Besatzung!$B$11:$B$22),COUNTIF(J158:U158,"x")),1)+IF(COUNTIF(J158:U158,"x")=0,(Besatzung!$F$21="x"),(T158="x")*(Besatzung!$F$21="x"))*IFERROR(H158,0)/IFERROR(IF(COUNTIF(J158:U158,"x")=0,SUMPRODUCT((Besatzung!$B$11:$B$22&lt;&gt;"")*(Besatzung!$F$11:$F$22="x")),SUMPRODUCT((J158:U158="x")*(Besatzung!$F$11:$F$22="x"))),1))))),0))))</f>
        <v/>
      </c>
      <c r="AG158" s="106">
        <f>IF(C158="Gutschrift","",IF(G158="","",IF(Besatzung!$B$22="","",IFERROR(IF(I158="Zeitanteilig",(Besatzung!$G$22*(G158-IFERROR(H158,0))+((Besatzung!$B$22&lt;&gt;"")*IF(B158="",1,(IF(Besatzung!$C$22="",Besatzung!$B$5,Besatzung!$C$22)&lt;=B158)*(IF(Besatzung!$D$22="",Besatzung!$B$6,Besatzung!$D$22)&gt;=B158)))*(Besatzung!$F$22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$22&lt;&gt;"")*IF(B158="",1,(IF(Besatzung!$C$22="",Besatzung!$B$5,Besatzung!$C$22)&lt;=B158)*(IF(Besatzung!$D$22="",Besatzung!$B$6,Besatzung!$D$22)&gt;=B158)))*((G158-IFERROR(H158,0))/IFERROR(SUMPRODUCT((Besatzung!$B$11:$B$22&lt;&gt;"")*(IF(Besatzung!$C$11:$C$22="",Besatzung!$B$5,Besatzung!$C$11:$C$22)&lt;=B158)*(IF(Besatzung!$D$11:$D$22="",Besatzung!$B$6,Besatzung!$D$11:$D$22)&gt;=B158)),1)+(Besatzung!$F$22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U158="x")*((G158-IFERROR(H158,0))/IFERROR(COUNTIF(J158:U158,"x"),1)+(Besatzung!$F$22="x")*IFERROR(H158,0)/IFERROR(SUMPRODUCT((J158:U158="x")*(Besatzung!$F$11:$F$22="x")),1))),(IF(COUNTIF(J158:U158,"x")=0,IF(Besatzung!$B$22&lt;&gt;"",1,0),(U158="x"))*(G158-IFERROR(H158,0))/IFERROR(IF(COUNTIF(J158:U158,"x")=0,COUNTA(Besatzung!$B$11:$B$22),COUNTIF(J158:U158,"x")),1)+IF(COUNTIF(J158:U158,"x")=0,(Besatzung!$F$22="x"),(U158="x")*(Besatzung!$F$22="x"))*IFERROR(H158,0)/IFERROR(IF(COUNTIF(J158:U158,"x")=0,SUMPRODUCT((Besatzung!$B$11:$B$22&lt;&gt;"")*(Besatzung!$F$11:$F$22="x")),SUMPRODUCT((J158:U158="x")*(Besatzung!$F$11:$F$22="x"))),1))))),0))))</f>
        <v/>
      </c>
      <c r="AH158" s="107" t="n"/>
      <c r="AI158" s="107" t="n"/>
    </row>
    <row r="159" ht="21.75" customHeight="1" s="182">
      <c r="A159" s="97">
        <f>IF(AND(D159="",C159=""),"",156)</f>
        <v/>
      </c>
      <c r="B159" s="63" t="n"/>
      <c r="C159" s="108" t="n"/>
      <c r="D159" s="109" t="n"/>
      <c r="E159" s="110" t="n"/>
      <c r="F159" s="111" t="n"/>
      <c r="G159" s="112" t="n"/>
      <c r="H159" s="113" t="n"/>
      <c r="I159" s="114" t="n"/>
      <c r="J159" s="115" t="n"/>
      <c r="K159" s="115" t="n"/>
      <c r="L159" s="115" t="n"/>
      <c r="M159" s="115" t="n"/>
      <c r="N159" s="115" t="n"/>
      <c r="O159" s="115" t="n"/>
      <c r="P159" s="115" t="n"/>
      <c r="Q159" s="115" t="n"/>
      <c r="R159" s="115" t="n"/>
      <c r="S159" s="115" t="n"/>
      <c r="T159" s="115" t="n"/>
      <c r="U159" s="115" t="n"/>
      <c r="V159" s="106">
        <f>IF(C159="Gutschrift","",IF(G159="","",IF(Besatzung!$B$11="","",IFERROR(IF(I159="Zeitanteilig",(Besatzung!$G$11*(G159-IFERROR(H159,0))+((Besatzung!$B$11&lt;&gt;"")*IF(B159="",1,(IF(Besatzung!$C$11="",Besatzung!$B$5,Besatzung!$C$11)&lt;=B159)*(IF(Besatzung!$D$11="",Besatzung!$B$6,Besatzung!$D$11)&gt;=B159)))*(Besatzung!$F$11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$11&lt;&gt;"")*IF(B159="",1,(IF(Besatzung!$C$11="",Besatzung!$B$5,Besatzung!$C$11)&lt;=B159)*(IF(Besatzung!$D$11="",Besatzung!$B$6,Besatzung!$D$11)&gt;=B159)))*((G159-IFERROR(H159,0))/IFERROR(SUMPRODUCT((Besatzung!$B$11:$B$22&lt;&gt;"")*(IF(Besatzung!$C$11:$C$22="",Besatzung!$B$5,Besatzung!$C$11:$C$22)&lt;=B159)*(IF(Besatzung!$D$11:$D$22="",Besatzung!$B$6,Besatzung!$D$11:$D$22)&gt;=B159)),1)+(Besatzung!$F$11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J159="x")*((G159-IFERROR(H159,0))/IFERROR(COUNTIF(J159:U159,"x"),1)+(Besatzung!$F$11="x")*IFERROR(H159,0)/IFERROR(SUMPRODUCT((J159:U159="x")*(Besatzung!$F$11:$F$22="x")),1))),(IF(COUNTIF(J159:U159,"x")=0,IF(Besatzung!$B$11&lt;&gt;"",1,0),(J159="x"))*(G159-IFERROR(H159,0))/IFERROR(IF(COUNTIF(J159:U159,"x")=0,COUNTA(Besatzung!$B$11:$B$22),COUNTIF(J159:U159,"x")),1)+IF(COUNTIF(J159:U159,"x")=0,(Besatzung!$F$11="x"),(J159="x")*(Besatzung!$F$11="x"))*IFERROR(H159,0)/IFERROR(IF(COUNTIF(J159:U159,"x")=0,SUMPRODUCT((Besatzung!$B$11:$B$22&lt;&gt;"")*(Besatzung!$F$11:$F$22="x")),SUMPRODUCT((J159:U159="x")*(Besatzung!$F$11:$F$22="x"))),1))))),0))))</f>
        <v/>
      </c>
      <c r="W159" s="106">
        <f>IF(C159="Gutschrift","",IF(G159="","",IF(Besatzung!$B$12="","",IFERROR(IF(I159="Zeitanteilig",(Besatzung!$G$12*(G159-IFERROR(H159,0))+((Besatzung!$B$12&lt;&gt;"")*IF(B159="",1,(IF(Besatzung!$C$12="",Besatzung!$B$5,Besatzung!$C$12)&lt;=B159)*(IF(Besatzung!$D$12="",Besatzung!$B$6,Besatzung!$D$12)&gt;=B159)))*(Besatzung!$F$12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$12&lt;&gt;"")*IF(B159="",1,(IF(Besatzung!$C$12="",Besatzung!$B$5,Besatzung!$C$12)&lt;=B159)*(IF(Besatzung!$D$12="",Besatzung!$B$6,Besatzung!$D$12)&gt;=B159)))*((G159-IFERROR(H159,0))/IFERROR(SUMPRODUCT((Besatzung!$B$11:$B$22&lt;&gt;"")*(IF(Besatzung!$C$11:$C$22="",Besatzung!$B$5,Besatzung!$C$11:$C$22)&lt;=B159)*(IF(Besatzung!$D$11:$D$22="",Besatzung!$B$6,Besatzung!$D$11:$D$22)&gt;=B159)),1)+(Besatzung!$F$12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K159="x")*((G159-IFERROR(H159,0))/IFERROR(COUNTIF(J159:U159,"x"),1)+(Besatzung!$F$12="x")*IFERROR(H159,0)/IFERROR(SUMPRODUCT((J159:U159="x")*(Besatzung!$F$11:$F$22="x")),1))),(IF(COUNTIF(J159:U159,"x")=0,IF(Besatzung!$B$12&lt;&gt;"",1,0),(K159="x"))*(G159-IFERROR(H159,0))/IFERROR(IF(COUNTIF(J159:U159,"x")=0,COUNTA(Besatzung!$B$11:$B$22),COUNTIF(J159:U159,"x")),1)+IF(COUNTIF(J159:U159,"x")=0,(Besatzung!$F$12="x"),(K159="x")*(Besatzung!$F$12="x"))*IFERROR(H159,0)/IFERROR(IF(COUNTIF(J159:U159,"x")=0,SUMPRODUCT((Besatzung!$B$11:$B$22&lt;&gt;"")*(Besatzung!$F$11:$F$22="x")),SUMPRODUCT((J159:U159="x")*(Besatzung!$F$11:$F$22="x"))),1))))),0))))</f>
        <v/>
      </c>
      <c r="X159" s="106">
        <f>IF(C159="Gutschrift","",IF(G159="","",IF(Besatzung!$B$13="","",IFERROR(IF(I159="Zeitanteilig",(Besatzung!$G$13*(G159-IFERROR(H159,0))+((Besatzung!$B$13&lt;&gt;"")*IF(B159="",1,(IF(Besatzung!$C$13="",Besatzung!$B$5,Besatzung!$C$13)&lt;=B159)*(IF(Besatzung!$D$13="",Besatzung!$B$6,Besatzung!$D$13)&gt;=B159)))*(Besatzung!$F$13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$13&lt;&gt;"")*IF(B159="",1,(IF(Besatzung!$C$13="",Besatzung!$B$5,Besatzung!$C$13)&lt;=B159)*(IF(Besatzung!$D$13="",Besatzung!$B$6,Besatzung!$D$13)&gt;=B159)))*((G159-IFERROR(H159,0))/IFERROR(SUMPRODUCT((Besatzung!$B$11:$B$22&lt;&gt;"")*(IF(Besatzung!$C$11:$C$22="",Besatzung!$B$5,Besatzung!$C$11:$C$22)&lt;=B159)*(IF(Besatzung!$D$11:$D$22="",Besatzung!$B$6,Besatzung!$D$11:$D$22)&gt;=B159)),1)+(Besatzung!$F$13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K159="x")*((G159-IFERROR(H159,0))/IFERROR(COUNTIF(J159:U159,"x"),1)+(Besatzung!$F$13="x")*IFERROR(H159,0)/IFERROR(SUMPRODUCT((J159:U159="x")*(Besatzung!$F$11:$F$22="x")),1))),(IF(COUNTIF(J159:U159,"x")=0,IF(Besatzung!$B$13&lt;&gt;"",1,0),(K159="x"))*(G159-IFERROR(H159,0))/IFERROR(IF(COUNTIF(J159:U159,"x")=0,COUNTA(Besatzung!$B$11:$B$22),COUNTIF(J159:U159,"x")),1)+IF(COUNTIF(J159:U159,"x")=0,(Besatzung!$F$13="x"),(K159="x")*(Besatzung!$F$13="x"))*IFERROR(H159,0)/IFERROR(IF(COUNTIF(J159:U159,"x")=0,SUMPRODUCT((Besatzung!$B$11:$B$22&lt;&gt;"")*(Besatzung!$F$11:$F$22="x")),SUMPRODUCT((J159:U159="x")*(Besatzung!$F$11:$F$22="x"))),1))))),0))))</f>
        <v/>
      </c>
      <c r="Y159" s="106">
        <f>IF(C159="Gutschrift","",IF(G159="","",IF(Besatzung!$B$14="","",IFERROR(IF(I159="Zeitanteilig",(Besatzung!$G$14*(G159-IFERROR(H159,0))+((Besatzung!$B$14&lt;&gt;"")*IF(B159="",1,(IF(Besatzung!$C$14="",Besatzung!$B$5,Besatzung!$C$14)&lt;=B159)*(IF(Besatzung!$D$14="",Besatzung!$B$6,Besatzung!$D$14)&gt;=B159)))*(Besatzung!$F$14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$14&lt;&gt;"")*IF(B159="",1,(IF(Besatzung!$C$14="",Besatzung!$B$5,Besatzung!$C$14)&lt;=B159)*(IF(Besatzung!$D$14="",Besatzung!$B$6,Besatzung!$D$14)&gt;=B159)))*((G159-IFERROR(H159,0))/IFERROR(SUMPRODUCT((Besatzung!$B$11:$B$22&lt;&gt;"")*(IF(Besatzung!$C$11:$C$22="",Besatzung!$B$5,Besatzung!$C$11:$C$22)&lt;=B159)*(IF(Besatzung!$D$11:$D$22="",Besatzung!$B$6,Besatzung!$D$11:$D$22)&gt;=B159)),1)+(Besatzung!$F$14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M159="x")*((G159-IFERROR(H159,0))/IFERROR(COUNTIF(J159:U159,"x"),1)+(Besatzung!$F$14="x")*IFERROR(H159,0)/IFERROR(SUMPRODUCT((J159:U159="x")*(Besatzung!$F$11:$F$22="x")),1))),(IF(COUNTIF(J159:U159,"x")=0,IF(Besatzung!$B$14&lt;&gt;"",1,0),(M159="x"))*(G159-IFERROR(H159,0))/IFERROR(IF(COUNTIF(J159:U159,"x")=0,COUNTA(Besatzung!$B$11:$B$22),COUNTIF(J159:U159,"x")),1)+IF(COUNTIF(J159:U159,"x")=0,(Besatzung!$F$14="x"),(M159="x")*(Besatzung!$F$14="x"))*IFERROR(H159,0)/IFERROR(IF(COUNTIF(J159:U159,"x")=0,SUMPRODUCT((Besatzung!$B$11:$B$22&lt;&gt;"")*(Besatzung!$F$11:$F$22="x")),SUMPRODUCT((J159:U159="x")*(Besatzung!$F$11:$F$22="x"))),1))))),0))))</f>
        <v/>
      </c>
      <c r="Z159" s="106">
        <f>IF(C159="Gutschrift","",IF(G159="","",IF(Besatzung!$B$13="","",IFERROR(IF(I159="Zeitanteilig",(Besatzung!$G$15*(G159-IFERROR(H159,0))+((Besatzung!$B$13&lt;&gt;"")*IF(B159="",1,(IF(Besatzung!$C$15="",Besatzung!$B$5,Besatzung!$C$15)&lt;=B159)*(IF(Besatzung!$D$15="",Besatzung!$B$6,Besatzung!$D$15)&gt;=B159)))*(Besatzung!$F$15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$13&lt;&gt;"")*IF(B159="",1,(IF(Besatzung!$C$15="",Besatzung!$B$5,Besatzung!$C$15)&lt;=B159)*(IF(Besatzung!$D$15="",Besatzung!$B$6,Besatzung!$D$15)&gt;=B159)))*((G159-IFERROR(H159,0))/IFERROR(SUMPRODUCT((Besatzung!$B$11:$B$22&lt;&gt;"")*(IF(Besatzung!$C$11:$C$22="",Besatzung!$B$5,Besatzung!$C$11:$C$22)&lt;=B159)*(IF(Besatzung!$D$11:$D$22="",Besatzung!$B$6,Besatzung!$D$11:$D$22)&gt;=B159)),1)+(Besatzung!$F$15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N159="x")*((G159-IFERROR(H159,0))/IFERROR(COUNTIF(J159:U159,"x"),1)+(Besatzung!$F$15="x")*IFERROR(H159,0)/IFERROR(SUMPRODUCT((J159:U159="x")*(Besatzung!$F$11:$F$22="x")),1))),(IF(COUNTIF(J159:U159,"x")=0,IF(Besatzung!$B$13&lt;&gt;"",1,0),(N159="x"))*(G159-IFERROR(H159,0))/IFERROR(IF(COUNTIF(J159:U159,"x")=0,COUNTA(Besatzung!$B$11:$B$22),COUNTIF(J159:U159,"x")),1)+IF(COUNTIF(J159:U159,"x")=0,(Besatzung!$F$15="x"),(N159="x")*(Besatzung!$F$15="x"))*IFERROR(H159,0)/IFERROR(IF(COUNTIF(J159:U159,"x")=0,SUMPRODUCT((Besatzung!$B$11:$B$22&lt;&gt;"")*(Besatzung!$F$11:$F$22="x")),SUMPRODUCT((J159:U159="x")*(Besatzung!$F$11:$F$22="x"))),1))))),0))))</f>
        <v/>
      </c>
      <c r="AA159" s="106">
        <f>IF(C159="Gutschrift","",IF(G159="","",IF(Besatzung!$B$15="","",IFERROR(IF(I159="Zeitanteilig",(Besatzung!$G$16*(G159-IFERROR(H159,0))+((Besatzung!$B$15&lt;&gt;"")*IF(B159="",1,(IF(Besatzung!$C$16="",Besatzung!$B$5,Besatzung!$C$16)&lt;=B159)*(IF(Besatzung!$D$16="",Besatzung!$B$6,Besatzung!$D$16)&gt;=B159)))*(Besatzung!$F$16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$15&lt;&gt;"")*IF(B159="",1,(IF(Besatzung!$C$16="",Besatzung!$B$5,Besatzung!$C$16)&lt;=B159)*(IF(Besatzung!$D$16="",Besatzung!$B$6,Besatzung!$D$16)&gt;=B159)))*((G159-IFERROR(H159,0))/IFERROR(SUMPRODUCT((Besatzung!$B$11:$B$22&lt;&gt;"")*(IF(Besatzung!$C$11:$C$22="",Besatzung!$B$5,Besatzung!$C$11:$C$22)&lt;=B159)*(IF(Besatzung!$D$11:$D$22="",Besatzung!$B$6,Besatzung!$D$11:$D$22)&gt;=B159)),1)+(Besatzung!$F$16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O159="x")*((G159-IFERROR(H159,0))/IFERROR(COUNTIF(J159:U159,"x"),1)+(Besatzung!$F$16="x")*IFERROR(H159,0)/IFERROR(SUMPRODUCT((J159:U159="x")*(Besatzung!$F$11:$F$22="x")),1))),(IF(COUNTIF(J159:U159,"x")=0,IF(Besatzung!$B$15&lt;&gt;"",1,0),(O159="x"))*(G159-IFERROR(H159,0))/IFERROR(IF(COUNTIF(J159:U159,"x")=0,COUNTA(Besatzung!$B$11:$B$22),COUNTIF(J159:U159,"x")),1)+IF(COUNTIF(J159:U159,"x")=0,(Besatzung!$F$16="x"),(O159="x")*(Besatzung!$F$16="x"))*IFERROR(H159,0)/IFERROR(IF(COUNTIF(J159:U159,"x")=0,SUMPRODUCT((Besatzung!$B$11:$B$22&lt;&gt;"")*(Besatzung!$F$11:$F$22="x")),SUMPRODUCT((J159:U159="x")*(Besatzung!$F$11:$F$22="x"))),1))))),0))))</f>
        <v/>
      </c>
      <c r="AB159" s="106">
        <f>IF(C159="Gutschrift","",IF(G159="","",IF(Besatzung!$B$17="","",IFERROR(IF(I159="Zeitanteilig",(Besatzung!$G$17*(G159-IFERROR(H159,0))+((Besatzung!$B$17&lt;&gt;"")*IF(B159="",1,(IF(Besatzung!$C$17="",Besatzung!$B$5,Besatzung!$C$17)&lt;=B159)*(IF(Besatzung!$D$17="",Besatzung!$B$6,Besatzung!$D$17)&gt;=B159)))*(Besatzung!$F$17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$17&lt;&gt;"")*IF(B159="",1,(IF(Besatzung!$C$17="",Besatzung!$B$5,Besatzung!$C$17)&lt;=B159)*(IF(Besatzung!$D$17="",Besatzung!$B$6,Besatzung!$D$17)&gt;=B159)))*((G159-IFERROR(H159,0))/IFERROR(SUMPRODUCT((Besatzung!$B$11:$B$22&lt;&gt;"")*(IF(Besatzung!$C$11:$C$22="",Besatzung!$B$5,Besatzung!$C$11:$C$22)&lt;=B159)*(IF(Besatzung!$D$11:$D$22="",Besatzung!$B$6,Besatzung!$D$11:$D$22)&gt;=B159)),1)+(Besatzung!$F$17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P159="x")*((G159-IFERROR(H159,0))/IFERROR(COUNTIF(J159:U159,"x"),1)+(Besatzung!$F$17="x")*IFERROR(H159,0)/IFERROR(SUMPRODUCT((J159:U159="x")*(Besatzung!$F$11:$F$22="x")),1))),(IF(COUNTIF(J159:U159,"x")=0,IF(Besatzung!$B$17&lt;&gt;"",1,0),(P159="x"))*(G159-IFERROR(H159,0))/IFERROR(IF(COUNTIF(J159:U159,"x")=0,COUNTA(Besatzung!$B$11:$B$22),COUNTIF(J159:U159,"x")),1)+IF(COUNTIF(J159:U159,"x")=0,(Besatzung!$F$17="x"),(P159="x")*(Besatzung!$F$17="x"))*IFERROR(H159,0)/IFERROR(IF(COUNTIF(J159:U159,"x")=0,SUMPRODUCT((Besatzung!$B$11:$B$22&lt;&gt;"")*(Besatzung!$F$11:$F$22="x")),SUMPRODUCT((J159:U159="x")*(Besatzung!$F$11:$F$22="x"))),1))))),0))))</f>
        <v/>
      </c>
      <c r="AC159" s="106">
        <f>IF(C159="Gutschrift","",IF(G159="","",IF(Besatzung!$B$18="","",IFERROR(IF(I159="Zeitanteilig",(Besatzung!$G$18*(G159-IFERROR(H159,0))+((Besatzung!$B$18&lt;&gt;"")*IF(B159="",1,(IF(Besatzung!$C$18="",Besatzung!$B$5,Besatzung!$C$18)&lt;=B159)*(IF(Besatzung!$D$18="",Besatzung!$B$6,Besatzung!$D$18)&gt;=B159)))*(Besatzung!$F$18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$18&lt;&gt;"")*IF(B159="",1,(IF(Besatzung!$C$18="",Besatzung!$B$5,Besatzung!$C$18)&lt;=B159)*(IF(Besatzung!$D$18="",Besatzung!$B$6,Besatzung!$D$18)&gt;=B159)))*((G159-IFERROR(H159,0))/IFERROR(SUMPRODUCT((Besatzung!$B$11:$B$22&lt;&gt;"")*(IF(Besatzung!$C$11:$C$22="",Besatzung!$B$5,Besatzung!$C$11:$C$22)&lt;=B159)*(IF(Besatzung!$D$11:$D$22="",Besatzung!$B$6,Besatzung!$D$11:$D$22)&gt;=B159)),1)+(Besatzung!$F$18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Q159="x")*((G159-IFERROR(H159,0))/IFERROR(COUNTIF(J159:U159,"x"),1)+(Besatzung!$F$18="x")*IFERROR(H159,0)/IFERROR(SUMPRODUCT((J159:U159="x")*(Besatzung!$F$11:$F$22="x")),1))),(IF(COUNTIF(J159:U159,"x")=0,IF(Besatzung!$B$18&lt;&gt;"",1,0),(Q159="x"))*(G159-IFERROR(H159,0))/IFERROR(IF(COUNTIF(J159:U159,"x")=0,COUNTA(Besatzung!$B$11:$B$22),COUNTIF(J159:U159,"x")),1)+IF(COUNTIF(J159:U159,"x")=0,(Besatzung!$F$18="x"),(Q159="x")*(Besatzung!$F$18="x"))*IFERROR(H159,0)/IFERROR(IF(COUNTIF(J159:U159,"x")=0,SUMPRODUCT((Besatzung!$B$11:$B$22&lt;&gt;"")*(Besatzung!$F$11:$F$22="x")),SUMPRODUCT((J159:U159="x")*(Besatzung!$F$11:$F$22="x"))),1))))),0))))</f>
        <v/>
      </c>
      <c r="AD159" s="106">
        <f>IF(C159="Gutschrift","",IF(G159="","",IF(Besatzung!$B$19="","",IFERROR(IF(I159="Zeitanteilig",(Besatzung!$G$19*(G159-IFERROR(H159,0))+((Besatzung!$B$19&lt;&gt;"")*IF(B159="",1,(IF(Besatzung!$C$19="",Besatzung!$B$5,Besatzung!$C$19)&lt;=B159)*(IF(Besatzung!$D$19="",Besatzung!$B$6,Besatzung!$D$19)&gt;=B159)))*(Besatzung!$F$19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$19&lt;&gt;"")*IF(B159="",1,(IF(Besatzung!$C$19="",Besatzung!$B$5,Besatzung!$C$19)&lt;=B159)*(IF(Besatzung!$D$19="",Besatzung!$B$6,Besatzung!$D$19)&gt;=B159)))*((G159-IFERROR(H159,0))/IFERROR(SUMPRODUCT((Besatzung!$B$11:$B$22&lt;&gt;"")*(IF(Besatzung!$C$11:$C$22="",Besatzung!$B$5,Besatzung!$C$11:$C$22)&lt;=B159)*(IF(Besatzung!$D$11:$D$22="",Besatzung!$B$6,Besatzung!$D$11:$D$22)&gt;=B159)),1)+(Besatzung!$F$19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R159="x")*((G159-IFERROR(H159,0))/IFERROR(COUNTIF(J159:U159,"x"),1)+(Besatzung!$F$19="x")*IFERROR(H159,0)/IFERROR(SUMPRODUCT((J159:U159="x")*(Besatzung!$F$11:$F$22="x")),1))),(IF(COUNTIF(J159:U159,"x")=0,IF(Besatzung!$B$19&lt;&gt;"",1,0),(R159="x"))*(G159-IFERROR(H159,0))/IFERROR(IF(COUNTIF(J159:U159,"x")=0,COUNTA(Besatzung!$B$11:$B$22),COUNTIF(J159:U159,"x")),1)+IF(COUNTIF(J159:U159,"x")=0,(Besatzung!$F$19="x"),(R159="x")*(Besatzung!$F$19="x"))*IFERROR(H159,0)/IFERROR(IF(COUNTIF(J159:U159,"x")=0,SUMPRODUCT((Besatzung!$B$11:$B$22&lt;&gt;"")*(Besatzung!$F$11:$F$22="x")),SUMPRODUCT((J159:U159="x")*(Besatzung!$F$11:$F$22="x"))),1))))),0))))</f>
        <v/>
      </c>
      <c r="AE159" s="106">
        <f>IF(C159="Gutschrift","",IF(G159="","",IF(Besatzung!$B$20="","",IFERROR(IF(I159="Zeitanteilig",(Besatzung!$G$20*(G159-IFERROR(H159,0))+((Besatzung!$B$20&lt;&gt;"")*IF(B159="",1,(IF(Besatzung!$C$20="",Besatzung!$B$5,Besatzung!$C$20)&lt;=B159)*(IF(Besatzung!$D$20="",Besatzung!$B$6,Besatzung!$D$20)&gt;=B159)))*(Besatzung!$F$20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$20&lt;&gt;"")*IF(B159="",1,(IF(Besatzung!$C$20="",Besatzung!$B$5,Besatzung!$C$20)&lt;=B159)*(IF(Besatzung!$D$20="",Besatzung!$B$6,Besatzung!$D$20)&gt;=B159)))*((G159-IFERROR(H159,0))/IFERROR(SUMPRODUCT((Besatzung!$B$11:$B$22&lt;&gt;"")*(IF(Besatzung!$C$11:$C$22="",Besatzung!$B$5,Besatzung!$C$11:$C$22)&lt;=B159)*(IF(Besatzung!$D$11:$D$22="",Besatzung!$B$6,Besatzung!$D$11:$D$22)&gt;=B159)),1)+(Besatzung!$F$20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S159="x")*((G159-IFERROR(H159,0))/IFERROR(COUNTIF(J159:U159,"x"),1)+(Besatzung!$F$20="x")*IFERROR(H159,0)/IFERROR(SUMPRODUCT((J159:U159="x")*(Besatzung!$F$11:$F$22="x")),1))),(IF(COUNTIF(J159:U159,"x")=0,IF(Besatzung!$B$20&lt;&gt;"",1,0),(S159="x"))*(G159-IFERROR(H159,0))/IFERROR(IF(COUNTIF(J159:U159,"x")=0,COUNTA(Besatzung!$B$11:$B$22),COUNTIF(J159:U159,"x")),1)+IF(COUNTIF(J159:U159,"x")=0,(Besatzung!$F$20="x"),(S159="x")*(Besatzung!$F$20="x"))*IFERROR(H159,0)/IFERROR(IF(COUNTIF(J159:U159,"x")=0,SUMPRODUCT((Besatzung!$B$11:$B$22&lt;&gt;"")*(Besatzung!$F$11:$F$22="x")),SUMPRODUCT((J159:U159="x")*(Besatzung!$F$11:$F$22="x"))),1))))),0))))</f>
        <v/>
      </c>
      <c r="AF159" s="106">
        <f>IF(C159="Gutschrift","",IF(G159="","",IF(Besatzung!$B$21="","",IFERROR(IF(I159="Zeitanteilig",(Besatzung!$G$21*(G159-IFERROR(H159,0))+((Besatzung!$B$21&lt;&gt;"")*IF(B159="",1,(IF(Besatzung!$C$21="",Besatzung!$B$5,Besatzung!$C$21)&lt;=B159)*(IF(Besatzung!$D$21="",Besatzung!$B$6,Besatzung!$D$21)&gt;=B159)))*(Besatzung!$F$21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$21&lt;&gt;"")*IF(B159="",1,(IF(Besatzung!$C$21="",Besatzung!$B$5,Besatzung!$C$21)&lt;=B159)*(IF(Besatzung!$D$21="",Besatzung!$B$6,Besatzung!$D$21)&gt;=B159)))*((G159-IFERROR(H159,0))/IFERROR(SUMPRODUCT((Besatzung!$B$11:$B$22&lt;&gt;"")*(IF(Besatzung!$C$11:$C$22="",Besatzung!$B$5,Besatzung!$C$11:$C$22)&lt;=B159)*(IF(Besatzung!$D$11:$D$22="",Besatzung!$B$6,Besatzung!$D$11:$D$22)&gt;=B159)),1)+(Besatzung!$F$21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T159="x")*((G159-IFERROR(H159,0))/IFERROR(COUNTIF(J159:U159,"x"),1)+(Besatzung!$F$21="x")*IFERROR(H159,0)/IFERROR(SUMPRODUCT((J159:U159="x")*(Besatzung!$F$11:$F$22="x")),1))),(IF(COUNTIF(J159:U159,"x")=0,IF(Besatzung!$B$21&lt;&gt;"",1,0),(T159="x"))*(G159-IFERROR(H159,0))/IFERROR(IF(COUNTIF(J159:U159,"x")=0,COUNTA(Besatzung!$B$11:$B$22),COUNTIF(J159:U159,"x")),1)+IF(COUNTIF(J159:U159,"x")=0,(Besatzung!$F$21="x"),(T159="x")*(Besatzung!$F$21="x"))*IFERROR(H159,0)/IFERROR(IF(COUNTIF(J159:U159,"x")=0,SUMPRODUCT((Besatzung!$B$11:$B$22&lt;&gt;"")*(Besatzung!$F$11:$F$22="x")),SUMPRODUCT((J159:U159="x")*(Besatzung!$F$11:$F$22="x"))),1))))),0))))</f>
        <v/>
      </c>
      <c r="AG159" s="106">
        <f>IF(C159="Gutschrift","",IF(G159="","",IF(Besatzung!$B$22="","",IFERROR(IF(I159="Zeitanteilig",(Besatzung!$G$22*(G159-IFERROR(H159,0))+((Besatzung!$B$22&lt;&gt;"")*IF(B159="",1,(IF(Besatzung!$C$22="",Besatzung!$B$5,Besatzung!$C$22)&lt;=B159)*(IF(Besatzung!$D$22="",Besatzung!$B$6,Besatzung!$D$22)&gt;=B159)))*(Besatzung!$F$22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$22&lt;&gt;"")*IF(B159="",1,(IF(Besatzung!$C$22="",Besatzung!$B$5,Besatzung!$C$22)&lt;=B159)*(IF(Besatzung!$D$22="",Besatzung!$B$6,Besatzung!$D$22)&gt;=B159)))*((G159-IFERROR(H159,0))/IFERROR(SUMPRODUCT((Besatzung!$B$11:$B$22&lt;&gt;"")*(IF(Besatzung!$C$11:$C$22="",Besatzung!$B$5,Besatzung!$C$11:$C$22)&lt;=B159)*(IF(Besatzung!$D$11:$D$22="",Besatzung!$B$6,Besatzung!$D$11:$D$22)&gt;=B159)),1)+(Besatzung!$F$22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U159="x")*((G159-IFERROR(H159,0))/IFERROR(COUNTIF(J159:U159,"x"),1)+(Besatzung!$F$22="x")*IFERROR(H159,0)/IFERROR(SUMPRODUCT((J159:U159="x")*(Besatzung!$F$11:$F$22="x")),1))),(IF(COUNTIF(J159:U159,"x")=0,IF(Besatzung!$B$22&lt;&gt;"",1,0),(U159="x"))*(G159-IFERROR(H159,0))/IFERROR(IF(COUNTIF(J159:U159,"x")=0,COUNTA(Besatzung!$B$11:$B$22),COUNTIF(J159:U159,"x")),1)+IF(COUNTIF(J159:U159,"x")=0,(Besatzung!$F$22="x"),(U159="x")*(Besatzung!$F$22="x"))*IFERROR(H159,0)/IFERROR(IF(COUNTIF(J159:U159,"x")=0,SUMPRODUCT((Besatzung!$B$11:$B$22&lt;&gt;"")*(Besatzung!$F$11:$F$22="x")),SUMPRODUCT((J159:U159="x")*(Besatzung!$F$11:$F$22="x"))),1))))),0))))</f>
        <v/>
      </c>
      <c r="AH159" s="107" t="n"/>
      <c r="AI159" s="107" t="n"/>
    </row>
    <row r="160" ht="21.75" customHeight="1" s="182">
      <c r="A160" s="97">
        <f>IF(AND(D160="",C160=""),"",157)</f>
        <v/>
      </c>
      <c r="B160" s="56" t="n"/>
      <c r="C160" s="98" t="n"/>
      <c r="D160" s="99" t="n"/>
      <c r="E160" s="100" t="n"/>
      <c r="F160" s="101" t="n"/>
      <c r="G160" s="102" t="n"/>
      <c r="H160" s="103" t="n"/>
      <c r="I160" s="104" t="n"/>
      <c r="J160" s="105" t="n"/>
      <c r="K160" s="105" t="n"/>
      <c r="L160" s="105" t="n"/>
      <c r="M160" s="105" t="n"/>
      <c r="N160" s="105" t="n"/>
      <c r="O160" s="105" t="n"/>
      <c r="P160" s="105" t="n"/>
      <c r="Q160" s="105" t="n"/>
      <c r="R160" s="105" t="n"/>
      <c r="S160" s="105" t="n"/>
      <c r="T160" s="105" t="n"/>
      <c r="U160" s="105" t="n"/>
      <c r="V160" s="106">
        <f>IF(C160="Gutschrift","",IF(G160="","",IF(Besatzung!$B$11="","",IFERROR(IF(I160="Zeitanteilig",(Besatzung!$G$11*(G160-IFERROR(H160,0))+((Besatzung!$B$11&lt;&gt;"")*IF(B160="",1,(IF(Besatzung!$C$11="",Besatzung!$B$5,Besatzung!$C$11)&lt;=B160)*(IF(Besatzung!$D$11="",Besatzung!$B$6,Besatzung!$D$11)&gt;=B160)))*(Besatzung!$F$11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$11&lt;&gt;"")*IF(B160="",1,(IF(Besatzung!$C$11="",Besatzung!$B$5,Besatzung!$C$11)&lt;=B160)*(IF(Besatzung!$D$11="",Besatzung!$B$6,Besatzung!$D$11)&gt;=B160)))*((G160-IFERROR(H160,0))/IFERROR(SUMPRODUCT((Besatzung!$B$11:$B$22&lt;&gt;"")*(IF(Besatzung!$C$11:$C$22="",Besatzung!$B$5,Besatzung!$C$11:$C$22)&lt;=B160)*(IF(Besatzung!$D$11:$D$22="",Besatzung!$B$6,Besatzung!$D$11:$D$22)&gt;=B160)),1)+(Besatzung!$F$11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J160="x")*((G160-IFERROR(H160,0))/IFERROR(COUNTIF(J160:U160,"x"),1)+(Besatzung!$F$11="x")*IFERROR(H160,0)/IFERROR(SUMPRODUCT((J160:U160="x")*(Besatzung!$F$11:$F$22="x")),1))),(IF(COUNTIF(J160:U160,"x")=0,IF(Besatzung!$B$11&lt;&gt;"",1,0),(J160="x"))*(G160-IFERROR(H160,0))/IFERROR(IF(COUNTIF(J160:U160,"x")=0,COUNTA(Besatzung!$B$11:$B$22),COUNTIF(J160:U160,"x")),1)+IF(COUNTIF(J160:U160,"x")=0,(Besatzung!$F$11="x"),(J160="x")*(Besatzung!$F$11="x"))*IFERROR(H160,0)/IFERROR(IF(COUNTIF(J160:U160,"x")=0,SUMPRODUCT((Besatzung!$B$11:$B$22&lt;&gt;"")*(Besatzung!$F$11:$F$22="x")),SUMPRODUCT((J160:U160="x")*(Besatzung!$F$11:$F$22="x"))),1))))),0))))</f>
        <v/>
      </c>
      <c r="W160" s="106">
        <f>IF(C160="Gutschrift","",IF(G160="","",IF(Besatzung!$B$12="","",IFERROR(IF(I160="Zeitanteilig",(Besatzung!$G$12*(G160-IFERROR(H160,0))+((Besatzung!$B$12&lt;&gt;"")*IF(B160="",1,(IF(Besatzung!$C$12="",Besatzung!$B$5,Besatzung!$C$12)&lt;=B160)*(IF(Besatzung!$D$12="",Besatzung!$B$6,Besatzung!$D$12)&gt;=B160)))*(Besatzung!$F$12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$12&lt;&gt;"")*IF(B160="",1,(IF(Besatzung!$C$12="",Besatzung!$B$5,Besatzung!$C$12)&lt;=B160)*(IF(Besatzung!$D$12="",Besatzung!$B$6,Besatzung!$D$12)&gt;=B160)))*((G160-IFERROR(H160,0))/IFERROR(SUMPRODUCT((Besatzung!$B$11:$B$22&lt;&gt;"")*(IF(Besatzung!$C$11:$C$22="",Besatzung!$B$5,Besatzung!$C$11:$C$22)&lt;=B160)*(IF(Besatzung!$D$11:$D$22="",Besatzung!$B$6,Besatzung!$D$11:$D$22)&gt;=B160)),1)+(Besatzung!$F$12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K160="x")*((G160-IFERROR(H160,0))/IFERROR(COUNTIF(J160:U160,"x"),1)+(Besatzung!$F$12="x")*IFERROR(H160,0)/IFERROR(SUMPRODUCT((J160:U160="x")*(Besatzung!$F$11:$F$22="x")),1))),(IF(COUNTIF(J160:U160,"x")=0,IF(Besatzung!$B$12&lt;&gt;"",1,0),(K160="x"))*(G160-IFERROR(H160,0))/IFERROR(IF(COUNTIF(J160:U160,"x")=0,COUNTA(Besatzung!$B$11:$B$22),COUNTIF(J160:U160,"x")),1)+IF(COUNTIF(J160:U160,"x")=0,(Besatzung!$F$12="x"),(K160="x")*(Besatzung!$F$12="x"))*IFERROR(H160,0)/IFERROR(IF(COUNTIF(J160:U160,"x")=0,SUMPRODUCT((Besatzung!$B$11:$B$22&lt;&gt;"")*(Besatzung!$F$11:$F$22="x")),SUMPRODUCT((J160:U160="x")*(Besatzung!$F$11:$F$22="x"))),1))))),0))))</f>
        <v/>
      </c>
      <c r="X160" s="106">
        <f>IF(C160="Gutschrift","",IF(G160="","",IF(Besatzung!$B$13="","",IFERROR(IF(I160="Zeitanteilig",(Besatzung!$G$13*(G160-IFERROR(H160,0))+((Besatzung!$B$13&lt;&gt;"")*IF(B160="",1,(IF(Besatzung!$C$13="",Besatzung!$B$5,Besatzung!$C$13)&lt;=B160)*(IF(Besatzung!$D$13="",Besatzung!$B$6,Besatzung!$D$13)&gt;=B160)))*(Besatzung!$F$13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$13&lt;&gt;"")*IF(B160="",1,(IF(Besatzung!$C$13="",Besatzung!$B$5,Besatzung!$C$13)&lt;=B160)*(IF(Besatzung!$D$13="",Besatzung!$B$6,Besatzung!$D$13)&gt;=B160)))*((G160-IFERROR(H160,0))/IFERROR(SUMPRODUCT((Besatzung!$B$11:$B$22&lt;&gt;"")*(IF(Besatzung!$C$11:$C$22="",Besatzung!$B$5,Besatzung!$C$11:$C$22)&lt;=B160)*(IF(Besatzung!$D$11:$D$22="",Besatzung!$B$6,Besatzung!$D$11:$D$22)&gt;=B160)),1)+(Besatzung!$F$13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K160="x")*((G160-IFERROR(H160,0))/IFERROR(COUNTIF(J160:U160,"x"),1)+(Besatzung!$F$13="x")*IFERROR(H160,0)/IFERROR(SUMPRODUCT((J160:U160="x")*(Besatzung!$F$11:$F$22="x")),1))),(IF(COUNTIF(J160:U160,"x")=0,IF(Besatzung!$B$13&lt;&gt;"",1,0),(K160="x"))*(G160-IFERROR(H160,0))/IFERROR(IF(COUNTIF(J160:U160,"x")=0,COUNTA(Besatzung!$B$11:$B$22),COUNTIF(J160:U160,"x")),1)+IF(COUNTIF(J160:U160,"x")=0,(Besatzung!$F$13="x"),(K160="x")*(Besatzung!$F$13="x"))*IFERROR(H160,0)/IFERROR(IF(COUNTIF(J160:U160,"x")=0,SUMPRODUCT((Besatzung!$B$11:$B$22&lt;&gt;"")*(Besatzung!$F$11:$F$22="x")),SUMPRODUCT((J160:U160="x")*(Besatzung!$F$11:$F$22="x"))),1))))),0))))</f>
        <v/>
      </c>
      <c r="Y160" s="106">
        <f>IF(C160="Gutschrift","",IF(G160="","",IF(Besatzung!$B$14="","",IFERROR(IF(I160="Zeitanteilig",(Besatzung!$G$14*(G160-IFERROR(H160,0))+((Besatzung!$B$14&lt;&gt;"")*IF(B160="",1,(IF(Besatzung!$C$14="",Besatzung!$B$5,Besatzung!$C$14)&lt;=B160)*(IF(Besatzung!$D$14="",Besatzung!$B$6,Besatzung!$D$14)&gt;=B160)))*(Besatzung!$F$14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$14&lt;&gt;"")*IF(B160="",1,(IF(Besatzung!$C$14="",Besatzung!$B$5,Besatzung!$C$14)&lt;=B160)*(IF(Besatzung!$D$14="",Besatzung!$B$6,Besatzung!$D$14)&gt;=B160)))*((G160-IFERROR(H160,0))/IFERROR(SUMPRODUCT((Besatzung!$B$11:$B$22&lt;&gt;"")*(IF(Besatzung!$C$11:$C$22="",Besatzung!$B$5,Besatzung!$C$11:$C$22)&lt;=B160)*(IF(Besatzung!$D$11:$D$22="",Besatzung!$B$6,Besatzung!$D$11:$D$22)&gt;=B160)),1)+(Besatzung!$F$14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M160="x")*((G160-IFERROR(H160,0))/IFERROR(COUNTIF(J160:U160,"x"),1)+(Besatzung!$F$14="x")*IFERROR(H160,0)/IFERROR(SUMPRODUCT((J160:U160="x")*(Besatzung!$F$11:$F$22="x")),1))),(IF(COUNTIF(J160:U160,"x")=0,IF(Besatzung!$B$14&lt;&gt;"",1,0),(M160="x"))*(G160-IFERROR(H160,0))/IFERROR(IF(COUNTIF(J160:U160,"x")=0,COUNTA(Besatzung!$B$11:$B$22),COUNTIF(J160:U160,"x")),1)+IF(COUNTIF(J160:U160,"x")=0,(Besatzung!$F$14="x"),(M160="x")*(Besatzung!$F$14="x"))*IFERROR(H160,0)/IFERROR(IF(COUNTIF(J160:U160,"x")=0,SUMPRODUCT((Besatzung!$B$11:$B$22&lt;&gt;"")*(Besatzung!$F$11:$F$22="x")),SUMPRODUCT((J160:U160="x")*(Besatzung!$F$11:$F$22="x"))),1))))),0))))</f>
        <v/>
      </c>
      <c r="Z160" s="106">
        <f>IF(C160="Gutschrift","",IF(G160="","",IF(Besatzung!$B$13="","",IFERROR(IF(I160="Zeitanteilig",(Besatzung!$G$15*(G160-IFERROR(H160,0))+((Besatzung!$B$13&lt;&gt;"")*IF(B160="",1,(IF(Besatzung!$C$15="",Besatzung!$B$5,Besatzung!$C$15)&lt;=B160)*(IF(Besatzung!$D$15="",Besatzung!$B$6,Besatzung!$D$15)&gt;=B160)))*(Besatzung!$F$15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$13&lt;&gt;"")*IF(B160="",1,(IF(Besatzung!$C$15="",Besatzung!$B$5,Besatzung!$C$15)&lt;=B160)*(IF(Besatzung!$D$15="",Besatzung!$B$6,Besatzung!$D$15)&gt;=B160)))*((G160-IFERROR(H160,0))/IFERROR(SUMPRODUCT((Besatzung!$B$11:$B$22&lt;&gt;"")*(IF(Besatzung!$C$11:$C$22="",Besatzung!$B$5,Besatzung!$C$11:$C$22)&lt;=B160)*(IF(Besatzung!$D$11:$D$22="",Besatzung!$B$6,Besatzung!$D$11:$D$22)&gt;=B160)),1)+(Besatzung!$F$15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N160="x")*((G160-IFERROR(H160,0))/IFERROR(COUNTIF(J160:U160,"x"),1)+(Besatzung!$F$15="x")*IFERROR(H160,0)/IFERROR(SUMPRODUCT((J160:U160="x")*(Besatzung!$F$11:$F$22="x")),1))),(IF(COUNTIF(J160:U160,"x")=0,IF(Besatzung!$B$13&lt;&gt;"",1,0),(N160="x"))*(G160-IFERROR(H160,0))/IFERROR(IF(COUNTIF(J160:U160,"x")=0,COUNTA(Besatzung!$B$11:$B$22),COUNTIF(J160:U160,"x")),1)+IF(COUNTIF(J160:U160,"x")=0,(Besatzung!$F$15="x"),(N160="x")*(Besatzung!$F$15="x"))*IFERROR(H160,0)/IFERROR(IF(COUNTIF(J160:U160,"x")=0,SUMPRODUCT((Besatzung!$B$11:$B$22&lt;&gt;"")*(Besatzung!$F$11:$F$22="x")),SUMPRODUCT((J160:U160="x")*(Besatzung!$F$11:$F$22="x"))),1))))),0))))</f>
        <v/>
      </c>
      <c r="AA160" s="106">
        <f>IF(C160="Gutschrift","",IF(G160="","",IF(Besatzung!$B$15="","",IFERROR(IF(I160="Zeitanteilig",(Besatzung!$G$16*(G160-IFERROR(H160,0))+((Besatzung!$B$15&lt;&gt;"")*IF(B160="",1,(IF(Besatzung!$C$16="",Besatzung!$B$5,Besatzung!$C$16)&lt;=B160)*(IF(Besatzung!$D$16="",Besatzung!$B$6,Besatzung!$D$16)&gt;=B160)))*(Besatzung!$F$16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$15&lt;&gt;"")*IF(B160="",1,(IF(Besatzung!$C$16="",Besatzung!$B$5,Besatzung!$C$16)&lt;=B160)*(IF(Besatzung!$D$16="",Besatzung!$B$6,Besatzung!$D$16)&gt;=B160)))*((G160-IFERROR(H160,0))/IFERROR(SUMPRODUCT((Besatzung!$B$11:$B$22&lt;&gt;"")*(IF(Besatzung!$C$11:$C$22="",Besatzung!$B$5,Besatzung!$C$11:$C$22)&lt;=B160)*(IF(Besatzung!$D$11:$D$22="",Besatzung!$B$6,Besatzung!$D$11:$D$22)&gt;=B160)),1)+(Besatzung!$F$16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O160="x")*((G160-IFERROR(H160,0))/IFERROR(COUNTIF(J160:U160,"x"),1)+(Besatzung!$F$16="x")*IFERROR(H160,0)/IFERROR(SUMPRODUCT((J160:U160="x")*(Besatzung!$F$11:$F$22="x")),1))),(IF(COUNTIF(J160:U160,"x")=0,IF(Besatzung!$B$15&lt;&gt;"",1,0),(O160="x"))*(G160-IFERROR(H160,0))/IFERROR(IF(COUNTIF(J160:U160,"x")=0,COUNTA(Besatzung!$B$11:$B$22),COUNTIF(J160:U160,"x")),1)+IF(COUNTIF(J160:U160,"x")=0,(Besatzung!$F$16="x"),(O160="x")*(Besatzung!$F$16="x"))*IFERROR(H160,0)/IFERROR(IF(COUNTIF(J160:U160,"x")=0,SUMPRODUCT((Besatzung!$B$11:$B$22&lt;&gt;"")*(Besatzung!$F$11:$F$22="x")),SUMPRODUCT((J160:U160="x")*(Besatzung!$F$11:$F$22="x"))),1))))),0))))</f>
        <v/>
      </c>
      <c r="AB160" s="106">
        <f>IF(C160="Gutschrift","",IF(G160="","",IF(Besatzung!$B$17="","",IFERROR(IF(I160="Zeitanteilig",(Besatzung!$G$17*(G160-IFERROR(H160,0))+((Besatzung!$B$17&lt;&gt;"")*IF(B160="",1,(IF(Besatzung!$C$17="",Besatzung!$B$5,Besatzung!$C$17)&lt;=B160)*(IF(Besatzung!$D$17="",Besatzung!$B$6,Besatzung!$D$17)&gt;=B160)))*(Besatzung!$F$17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$17&lt;&gt;"")*IF(B160="",1,(IF(Besatzung!$C$17="",Besatzung!$B$5,Besatzung!$C$17)&lt;=B160)*(IF(Besatzung!$D$17="",Besatzung!$B$6,Besatzung!$D$17)&gt;=B160)))*((G160-IFERROR(H160,0))/IFERROR(SUMPRODUCT((Besatzung!$B$11:$B$22&lt;&gt;"")*(IF(Besatzung!$C$11:$C$22="",Besatzung!$B$5,Besatzung!$C$11:$C$22)&lt;=B160)*(IF(Besatzung!$D$11:$D$22="",Besatzung!$B$6,Besatzung!$D$11:$D$22)&gt;=B160)),1)+(Besatzung!$F$17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P160="x")*((G160-IFERROR(H160,0))/IFERROR(COUNTIF(J160:U160,"x"),1)+(Besatzung!$F$17="x")*IFERROR(H160,0)/IFERROR(SUMPRODUCT((J160:U160="x")*(Besatzung!$F$11:$F$22="x")),1))),(IF(COUNTIF(J160:U160,"x")=0,IF(Besatzung!$B$17&lt;&gt;"",1,0),(P160="x"))*(G160-IFERROR(H160,0))/IFERROR(IF(COUNTIF(J160:U160,"x")=0,COUNTA(Besatzung!$B$11:$B$22),COUNTIF(J160:U160,"x")),1)+IF(COUNTIF(J160:U160,"x")=0,(Besatzung!$F$17="x"),(P160="x")*(Besatzung!$F$17="x"))*IFERROR(H160,0)/IFERROR(IF(COUNTIF(J160:U160,"x")=0,SUMPRODUCT((Besatzung!$B$11:$B$22&lt;&gt;"")*(Besatzung!$F$11:$F$22="x")),SUMPRODUCT((J160:U160="x")*(Besatzung!$F$11:$F$22="x"))),1))))),0))))</f>
        <v/>
      </c>
      <c r="AC160" s="106">
        <f>IF(C160="Gutschrift","",IF(G160="","",IF(Besatzung!$B$18="","",IFERROR(IF(I160="Zeitanteilig",(Besatzung!$G$18*(G160-IFERROR(H160,0))+((Besatzung!$B$18&lt;&gt;"")*IF(B160="",1,(IF(Besatzung!$C$18="",Besatzung!$B$5,Besatzung!$C$18)&lt;=B160)*(IF(Besatzung!$D$18="",Besatzung!$B$6,Besatzung!$D$18)&gt;=B160)))*(Besatzung!$F$18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$18&lt;&gt;"")*IF(B160="",1,(IF(Besatzung!$C$18="",Besatzung!$B$5,Besatzung!$C$18)&lt;=B160)*(IF(Besatzung!$D$18="",Besatzung!$B$6,Besatzung!$D$18)&gt;=B160)))*((G160-IFERROR(H160,0))/IFERROR(SUMPRODUCT((Besatzung!$B$11:$B$22&lt;&gt;"")*(IF(Besatzung!$C$11:$C$22="",Besatzung!$B$5,Besatzung!$C$11:$C$22)&lt;=B160)*(IF(Besatzung!$D$11:$D$22="",Besatzung!$B$6,Besatzung!$D$11:$D$22)&gt;=B160)),1)+(Besatzung!$F$18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Q160="x")*((G160-IFERROR(H160,0))/IFERROR(COUNTIF(J160:U160,"x"),1)+(Besatzung!$F$18="x")*IFERROR(H160,0)/IFERROR(SUMPRODUCT((J160:U160="x")*(Besatzung!$F$11:$F$22="x")),1))),(IF(COUNTIF(J160:U160,"x")=0,IF(Besatzung!$B$18&lt;&gt;"",1,0),(Q160="x"))*(G160-IFERROR(H160,0))/IFERROR(IF(COUNTIF(J160:U160,"x")=0,COUNTA(Besatzung!$B$11:$B$22),COUNTIF(J160:U160,"x")),1)+IF(COUNTIF(J160:U160,"x")=0,(Besatzung!$F$18="x"),(Q160="x")*(Besatzung!$F$18="x"))*IFERROR(H160,0)/IFERROR(IF(COUNTIF(J160:U160,"x")=0,SUMPRODUCT((Besatzung!$B$11:$B$22&lt;&gt;"")*(Besatzung!$F$11:$F$22="x")),SUMPRODUCT((J160:U160="x")*(Besatzung!$F$11:$F$22="x"))),1))))),0))))</f>
        <v/>
      </c>
      <c r="AD160" s="106">
        <f>IF(C160="Gutschrift","",IF(G160="","",IF(Besatzung!$B$19="","",IFERROR(IF(I160="Zeitanteilig",(Besatzung!$G$19*(G160-IFERROR(H160,0))+((Besatzung!$B$19&lt;&gt;"")*IF(B160="",1,(IF(Besatzung!$C$19="",Besatzung!$B$5,Besatzung!$C$19)&lt;=B160)*(IF(Besatzung!$D$19="",Besatzung!$B$6,Besatzung!$D$19)&gt;=B160)))*(Besatzung!$F$19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$19&lt;&gt;"")*IF(B160="",1,(IF(Besatzung!$C$19="",Besatzung!$B$5,Besatzung!$C$19)&lt;=B160)*(IF(Besatzung!$D$19="",Besatzung!$B$6,Besatzung!$D$19)&gt;=B160)))*((G160-IFERROR(H160,0))/IFERROR(SUMPRODUCT((Besatzung!$B$11:$B$22&lt;&gt;"")*(IF(Besatzung!$C$11:$C$22="",Besatzung!$B$5,Besatzung!$C$11:$C$22)&lt;=B160)*(IF(Besatzung!$D$11:$D$22="",Besatzung!$B$6,Besatzung!$D$11:$D$22)&gt;=B160)),1)+(Besatzung!$F$19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R160="x")*((G160-IFERROR(H160,0))/IFERROR(COUNTIF(J160:U160,"x"),1)+(Besatzung!$F$19="x")*IFERROR(H160,0)/IFERROR(SUMPRODUCT((J160:U160="x")*(Besatzung!$F$11:$F$22="x")),1))),(IF(COUNTIF(J160:U160,"x")=0,IF(Besatzung!$B$19&lt;&gt;"",1,0),(R160="x"))*(G160-IFERROR(H160,0))/IFERROR(IF(COUNTIF(J160:U160,"x")=0,COUNTA(Besatzung!$B$11:$B$22),COUNTIF(J160:U160,"x")),1)+IF(COUNTIF(J160:U160,"x")=0,(Besatzung!$F$19="x"),(R160="x")*(Besatzung!$F$19="x"))*IFERROR(H160,0)/IFERROR(IF(COUNTIF(J160:U160,"x")=0,SUMPRODUCT((Besatzung!$B$11:$B$22&lt;&gt;"")*(Besatzung!$F$11:$F$22="x")),SUMPRODUCT((J160:U160="x")*(Besatzung!$F$11:$F$22="x"))),1))))),0))))</f>
        <v/>
      </c>
      <c r="AE160" s="106">
        <f>IF(C160="Gutschrift","",IF(G160="","",IF(Besatzung!$B$20="","",IFERROR(IF(I160="Zeitanteilig",(Besatzung!$G$20*(G160-IFERROR(H160,0))+((Besatzung!$B$20&lt;&gt;"")*IF(B160="",1,(IF(Besatzung!$C$20="",Besatzung!$B$5,Besatzung!$C$20)&lt;=B160)*(IF(Besatzung!$D$20="",Besatzung!$B$6,Besatzung!$D$20)&gt;=B160)))*(Besatzung!$F$20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$20&lt;&gt;"")*IF(B160="",1,(IF(Besatzung!$C$20="",Besatzung!$B$5,Besatzung!$C$20)&lt;=B160)*(IF(Besatzung!$D$20="",Besatzung!$B$6,Besatzung!$D$20)&gt;=B160)))*((G160-IFERROR(H160,0))/IFERROR(SUMPRODUCT((Besatzung!$B$11:$B$22&lt;&gt;"")*(IF(Besatzung!$C$11:$C$22="",Besatzung!$B$5,Besatzung!$C$11:$C$22)&lt;=B160)*(IF(Besatzung!$D$11:$D$22="",Besatzung!$B$6,Besatzung!$D$11:$D$22)&gt;=B160)),1)+(Besatzung!$F$20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S160="x")*((G160-IFERROR(H160,0))/IFERROR(COUNTIF(J160:U160,"x"),1)+(Besatzung!$F$20="x")*IFERROR(H160,0)/IFERROR(SUMPRODUCT((J160:U160="x")*(Besatzung!$F$11:$F$22="x")),1))),(IF(COUNTIF(J160:U160,"x")=0,IF(Besatzung!$B$20&lt;&gt;"",1,0),(S160="x"))*(G160-IFERROR(H160,0))/IFERROR(IF(COUNTIF(J160:U160,"x")=0,COUNTA(Besatzung!$B$11:$B$22),COUNTIF(J160:U160,"x")),1)+IF(COUNTIF(J160:U160,"x")=0,(Besatzung!$F$20="x"),(S160="x")*(Besatzung!$F$20="x"))*IFERROR(H160,0)/IFERROR(IF(COUNTIF(J160:U160,"x")=0,SUMPRODUCT((Besatzung!$B$11:$B$22&lt;&gt;"")*(Besatzung!$F$11:$F$22="x")),SUMPRODUCT((J160:U160="x")*(Besatzung!$F$11:$F$22="x"))),1))))),0))))</f>
        <v/>
      </c>
      <c r="AF160" s="106">
        <f>IF(C160="Gutschrift","",IF(G160="","",IF(Besatzung!$B$21="","",IFERROR(IF(I160="Zeitanteilig",(Besatzung!$G$21*(G160-IFERROR(H160,0))+((Besatzung!$B$21&lt;&gt;"")*IF(B160="",1,(IF(Besatzung!$C$21="",Besatzung!$B$5,Besatzung!$C$21)&lt;=B160)*(IF(Besatzung!$D$21="",Besatzung!$B$6,Besatzung!$D$21)&gt;=B160)))*(Besatzung!$F$21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$21&lt;&gt;"")*IF(B160="",1,(IF(Besatzung!$C$21="",Besatzung!$B$5,Besatzung!$C$21)&lt;=B160)*(IF(Besatzung!$D$21="",Besatzung!$B$6,Besatzung!$D$21)&gt;=B160)))*((G160-IFERROR(H160,0))/IFERROR(SUMPRODUCT((Besatzung!$B$11:$B$22&lt;&gt;"")*(IF(Besatzung!$C$11:$C$22="",Besatzung!$B$5,Besatzung!$C$11:$C$22)&lt;=B160)*(IF(Besatzung!$D$11:$D$22="",Besatzung!$B$6,Besatzung!$D$11:$D$22)&gt;=B160)),1)+(Besatzung!$F$21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T160="x")*((G160-IFERROR(H160,0))/IFERROR(COUNTIF(J160:U160,"x"),1)+(Besatzung!$F$21="x")*IFERROR(H160,0)/IFERROR(SUMPRODUCT((J160:U160="x")*(Besatzung!$F$11:$F$22="x")),1))),(IF(COUNTIF(J160:U160,"x")=0,IF(Besatzung!$B$21&lt;&gt;"",1,0),(T160="x"))*(G160-IFERROR(H160,0))/IFERROR(IF(COUNTIF(J160:U160,"x")=0,COUNTA(Besatzung!$B$11:$B$22),COUNTIF(J160:U160,"x")),1)+IF(COUNTIF(J160:U160,"x")=0,(Besatzung!$F$21="x"),(T160="x")*(Besatzung!$F$21="x"))*IFERROR(H160,0)/IFERROR(IF(COUNTIF(J160:U160,"x")=0,SUMPRODUCT((Besatzung!$B$11:$B$22&lt;&gt;"")*(Besatzung!$F$11:$F$22="x")),SUMPRODUCT((J160:U160="x")*(Besatzung!$F$11:$F$22="x"))),1))))),0))))</f>
        <v/>
      </c>
      <c r="AG160" s="106">
        <f>IF(C160="Gutschrift","",IF(G160="","",IF(Besatzung!$B$22="","",IFERROR(IF(I160="Zeitanteilig",(Besatzung!$G$22*(G160-IFERROR(H160,0))+((Besatzung!$B$22&lt;&gt;"")*IF(B160="",1,(IF(Besatzung!$C$22="",Besatzung!$B$5,Besatzung!$C$22)&lt;=B160)*(IF(Besatzung!$D$22="",Besatzung!$B$6,Besatzung!$D$22)&gt;=B160)))*(Besatzung!$F$22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$22&lt;&gt;"")*IF(B160="",1,(IF(Besatzung!$C$22="",Besatzung!$B$5,Besatzung!$C$22)&lt;=B160)*(IF(Besatzung!$D$22="",Besatzung!$B$6,Besatzung!$D$22)&gt;=B160)))*((G160-IFERROR(H160,0))/IFERROR(SUMPRODUCT((Besatzung!$B$11:$B$22&lt;&gt;"")*(IF(Besatzung!$C$11:$C$22="",Besatzung!$B$5,Besatzung!$C$11:$C$22)&lt;=B160)*(IF(Besatzung!$D$11:$D$22="",Besatzung!$B$6,Besatzung!$D$11:$D$22)&gt;=B160)),1)+(Besatzung!$F$22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U160="x")*((G160-IFERROR(H160,0))/IFERROR(COUNTIF(J160:U160,"x"),1)+(Besatzung!$F$22="x")*IFERROR(H160,0)/IFERROR(SUMPRODUCT((J160:U160="x")*(Besatzung!$F$11:$F$22="x")),1))),(IF(COUNTIF(J160:U160,"x")=0,IF(Besatzung!$B$22&lt;&gt;"",1,0),(U160="x"))*(G160-IFERROR(H160,0))/IFERROR(IF(COUNTIF(J160:U160,"x")=0,COUNTA(Besatzung!$B$11:$B$22),COUNTIF(J160:U160,"x")),1)+IF(COUNTIF(J160:U160,"x")=0,(Besatzung!$F$22="x"),(U160="x")*(Besatzung!$F$22="x"))*IFERROR(H160,0)/IFERROR(IF(COUNTIF(J160:U160,"x")=0,SUMPRODUCT((Besatzung!$B$11:$B$22&lt;&gt;"")*(Besatzung!$F$11:$F$22="x")),SUMPRODUCT((J160:U160="x")*(Besatzung!$F$11:$F$22="x"))),1))))),0))))</f>
        <v/>
      </c>
      <c r="AH160" s="107" t="n"/>
      <c r="AI160" s="107" t="n"/>
    </row>
    <row r="161" ht="21.75" customHeight="1" s="182">
      <c r="A161" s="97">
        <f>IF(AND(D161="",C161=""),"",158)</f>
        <v/>
      </c>
      <c r="B161" s="63" t="n"/>
      <c r="C161" s="108" t="n"/>
      <c r="D161" s="109" t="n"/>
      <c r="E161" s="110" t="n"/>
      <c r="F161" s="111" t="n"/>
      <c r="G161" s="112" t="n"/>
      <c r="H161" s="113" t="n"/>
      <c r="I161" s="114" t="n"/>
      <c r="J161" s="115" t="n"/>
      <c r="K161" s="115" t="n"/>
      <c r="L161" s="115" t="n"/>
      <c r="M161" s="115" t="n"/>
      <c r="N161" s="115" t="n"/>
      <c r="O161" s="115" t="n"/>
      <c r="P161" s="115" t="n"/>
      <c r="Q161" s="115" t="n"/>
      <c r="R161" s="115" t="n"/>
      <c r="S161" s="115" t="n"/>
      <c r="T161" s="115" t="n"/>
      <c r="U161" s="115" t="n"/>
      <c r="V161" s="106">
        <f>IF(C161="Gutschrift","",IF(G161="","",IF(Besatzung!$B$11="","",IFERROR(IF(I161="Zeitanteilig",(Besatzung!$G$11*(G161-IFERROR(H161,0))+((Besatzung!$B$11&lt;&gt;"")*IF(B161="",1,(IF(Besatzung!$C$11="",Besatzung!$B$5,Besatzung!$C$11)&lt;=B161)*(IF(Besatzung!$D$11="",Besatzung!$B$6,Besatzung!$D$11)&gt;=B161)))*(Besatzung!$F$11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$11&lt;&gt;"")*IF(B161="",1,(IF(Besatzung!$C$11="",Besatzung!$B$5,Besatzung!$C$11)&lt;=B161)*(IF(Besatzung!$D$11="",Besatzung!$B$6,Besatzung!$D$11)&gt;=B161)))*((G161-IFERROR(H161,0))/IFERROR(SUMPRODUCT((Besatzung!$B$11:$B$22&lt;&gt;"")*(IF(Besatzung!$C$11:$C$22="",Besatzung!$B$5,Besatzung!$C$11:$C$22)&lt;=B161)*(IF(Besatzung!$D$11:$D$22="",Besatzung!$B$6,Besatzung!$D$11:$D$22)&gt;=B161)),1)+(Besatzung!$F$11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J161="x")*((G161-IFERROR(H161,0))/IFERROR(COUNTIF(J161:U161,"x"),1)+(Besatzung!$F$11="x")*IFERROR(H161,0)/IFERROR(SUMPRODUCT((J161:U161="x")*(Besatzung!$F$11:$F$22="x")),1))),(IF(COUNTIF(J161:U161,"x")=0,IF(Besatzung!$B$11&lt;&gt;"",1,0),(J161="x"))*(G161-IFERROR(H161,0))/IFERROR(IF(COUNTIF(J161:U161,"x")=0,COUNTA(Besatzung!$B$11:$B$22),COUNTIF(J161:U161,"x")),1)+IF(COUNTIF(J161:U161,"x")=0,(Besatzung!$F$11="x"),(J161="x")*(Besatzung!$F$11="x"))*IFERROR(H161,0)/IFERROR(IF(COUNTIF(J161:U161,"x")=0,SUMPRODUCT((Besatzung!$B$11:$B$22&lt;&gt;"")*(Besatzung!$F$11:$F$22="x")),SUMPRODUCT((J161:U161="x")*(Besatzung!$F$11:$F$22="x"))),1))))),0))))</f>
        <v/>
      </c>
      <c r="W161" s="106">
        <f>IF(C161="Gutschrift","",IF(G161="","",IF(Besatzung!$B$12="","",IFERROR(IF(I161="Zeitanteilig",(Besatzung!$G$12*(G161-IFERROR(H161,0))+((Besatzung!$B$12&lt;&gt;"")*IF(B161="",1,(IF(Besatzung!$C$12="",Besatzung!$B$5,Besatzung!$C$12)&lt;=B161)*(IF(Besatzung!$D$12="",Besatzung!$B$6,Besatzung!$D$12)&gt;=B161)))*(Besatzung!$F$12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$12&lt;&gt;"")*IF(B161="",1,(IF(Besatzung!$C$12="",Besatzung!$B$5,Besatzung!$C$12)&lt;=B161)*(IF(Besatzung!$D$12="",Besatzung!$B$6,Besatzung!$D$12)&gt;=B161)))*((G161-IFERROR(H161,0))/IFERROR(SUMPRODUCT((Besatzung!$B$11:$B$22&lt;&gt;"")*(IF(Besatzung!$C$11:$C$22="",Besatzung!$B$5,Besatzung!$C$11:$C$22)&lt;=B161)*(IF(Besatzung!$D$11:$D$22="",Besatzung!$B$6,Besatzung!$D$11:$D$22)&gt;=B161)),1)+(Besatzung!$F$12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K161="x")*((G161-IFERROR(H161,0))/IFERROR(COUNTIF(J161:U161,"x"),1)+(Besatzung!$F$12="x")*IFERROR(H161,0)/IFERROR(SUMPRODUCT((J161:U161="x")*(Besatzung!$F$11:$F$22="x")),1))),(IF(COUNTIF(J161:U161,"x")=0,IF(Besatzung!$B$12&lt;&gt;"",1,0),(K161="x"))*(G161-IFERROR(H161,0))/IFERROR(IF(COUNTIF(J161:U161,"x")=0,COUNTA(Besatzung!$B$11:$B$22),COUNTIF(J161:U161,"x")),1)+IF(COUNTIF(J161:U161,"x")=0,(Besatzung!$F$12="x"),(K161="x")*(Besatzung!$F$12="x"))*IFERROR(H161,0)/IFERROR(IF(COUNTIF(J161:U161,"x")=0,SUMPRODUCT((Besatzung!$B$11:$B$22&lt;&gt;"")*(Besatzung!$F$11:$F$22="x")),SUMPRODUCT((J161:U161="x")*(Besatzung!$F$11:$F$22="x"))),1))))),0))))</f>
        <v/>
      </c>
      <c r="X161" s="106">
        <f>IF(C161="Gutschrift","",IF(G161="","",IF(Besatzung!$B$13="","",IFERROR(IF(I161="Zeitanteilig",(Besatzung!$G$13*(G161-IFERROR(H161,0))+((Besatzung!$B$13&lt;&gt;"")*IF(B161="",1,(IF(Besatzung!$C$13="",Besatzung!$B$5,Besatzung!$C$13)&lt;=B161)*(IF(Besatzung!$D$13="",Besatzung!$B$6,Besatzung!$D$13)&gt;=B161)))*(Besatzung!$F$13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$13&lt;&gt;"")*IF(B161="",1,(IF(Besatzung!$C$13="",Besatzung!$B$5,Besatzung!$C$13)&lt;=B161)*(IF(Besatzung!$D$13="",Besatzung!$B$6,Besatzung!$D$13)&gt;=B161)))*((G161-IFERROR(H161,0))/IFERROR(SUMPRODUCT((Besatzung!$B$11:$B$22&lt;&gt;"")*(IF(Besatzung!$C$11:$C$22="",Besatzung!$B$5,Besatzung!$C$11:$C$22)&lt;=B161)*(IF(Besatzung!$D$11:$D$22="",Besatzung!$B$6,Besatzung!$D$11:$D$22)&gt;=B161)),1)+(Besatzung!$F$13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K161="x")*((G161-IFERROR(H161,0))/IFERROR(COUNTIF(J161:U161,"x"),1)+(Besatzung!$F$13="x")*IFERROR(H161,0)/IFERROR(SUMPRODUCT((J161:U161="x")*(Besatzung!$F$11:$F$22="x")),1))),(IF(COUNTIF(J161:U161,"x")=0,IF(Besatzung!$B$13&lt;&gt;"",1,0),(K161="x"))*(G161-IFERROR(H161,0))/IFERROR(IF(COUNTIF(J161:U161,"x")=0,COUNTA(Besatzung!$B$11:$B$22),COUNTIF(J161:U161,"x")),1)+IF(COUNTIF(J161:U161,"x")=0,(Besatzung!$F$13="x"),(K161="x")*(Besatzung!$F$13="x"))*IFERROR(H161,0)/IFERROR(IF(COUNTIF(J161:U161,"x")=0,SUMPRODUCT((Besatzung!$B$11:$B$22&lt;&gt;"")*(Besatzung!$F$11:$F$22="x")),SUMPRODUCT((J161:U161="x")*(Besatzung!$F$11:$F$22="x"))),1))))),0))))</f>
        <v/>
      </c>
      <c r="Y161" s="106">
        <f>IF(C161="Gutschrift","",IF(G161="","",IF(Besatzung!$B$14="","",IFERROR(IF(I161="Zeitanteilig",(Besatzung!$G$14*(G161-IFERROR(H161,0))+((Besatzung!$B$14&lt;&gt;"")*IF(B161="",1,(IF(Besatzung!$C$14="",Besatzung!$B$5,Besatzung!$C$14)&lt;=B161)*(IF(Besatzung!$D$14="",Besatzung!$B$6,Besatzung!$D$14)&gt;=B161)))*(Besatzung!$F$14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$14&lt;&gt;"")*IF(B161="",1,(IF(Besatzung!$C$14="",Besatzung!$B$5,Besatzung!$C$14)&lt;=B161)*(IF(Besatzung!$D$14="",Besatzung!$B$6,Besatzung!$D$14)&gt;=B161)))*((G161-IFERROR(H161,0))/IFERROR(SUMPRODUCT((Besatzung!$B$11:$B$22&lt;&gt;"")*(IF(Besatzung!$C$11:$C$22="",Besatzung!$B$5,Besatzung!$C$11:$C$22)&lt;=B161)*(IF(Besatzung!$D$11:$D$22="",Besatzung!$B$6,Besatzung!$D$11:$D$22)&gt;=B161)),1)+(Besatzung!$F$14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M161="x")*((G161-IFERROR(H161,0))/IFERROR(COUNTIF(J161:U161,"x"),1)+(Besatzung!$F$14="x")*IFERROR(H161,0)/IFERROR(SUMPRODUCT((J161:U161="x")*(Besatzung!$F$11:$F$22="x")),1))),(IF(COUNTIF(J161:U161,"x")=0,IF(Besatzung!$B$14&lt;&gt;"",1,0),(M161="x"))*(G161-IFERROR(H161,0))/IFERROR(IF(COUNTIF(J161:U161,"x")=0,COUNTA(Besatzung!$B$11:$B$22),COUNTIF(J161:U161,"x")),1)+IF(COUNTIF(J161:U161,"x")=0,(Besatzung!$F$14="x"),(M161="x")*(Besatzung!$F$14="x"))*IFERROR(H161,0)/IFERROR(IF(COUNTIF(J161:U161,"x")=0,SUMPRODUCT((Besatzung!$B$11:$B$22&lt;&gt;"")*(Besatzung!$F$11:$F$22="x")),SUMPRODUCT((J161:U161="x")*(Besatzung!$F$11:$F$22="x"))),1))))),0))))</f>
        <v/>
      </c>
      <c r="Z161" s="106">
        <f>IF(C161="Gutschrift","",IF(G161="","",IF(Besatzung!$B$13="","",IFERROR(IF(I161="Zeitanteilig",(Besatzung!$G$15*(G161-IFERROR(H161,0))+((Besatzung!$B$13&lt;&gt;"")*IF(B161="",1,(IF(Besatzung!$C$15="",Besatzung!$B$5,Besatzung!$C$15)&lt;=B161)*(IF(Besatzung!$D$15="",Besatzung!$B$6,Besatzung!$D$15)&gt;=B161)))*(Besatzung!$F$15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$13&lt;&gt;"")*IF(B161="",1,(IF(Besatzung!$C$15="",Besatzung!$B$5,Besatzung!$C$15)&lt;=B161)*(IF(Besatzung!$D$15="",Besatzung!$B$6,Besatzung!$D$15)&gt;=B161)))*((G161-IFERROR(H161,0))/IFERROR(SUMPRODUCT((Besatzung!$B$11:$B$22&lt;&gt;"")*(IF(Besatzung!$C$11:$C$22="",Besatzung!$B$5,Besatzung!$C$11:$C$22)&lt;=B161)*(IF(Besatzung!$D$11:$D$22="",Besatzung!$B$6,Besatzung!$D$11:$D$22)&gt;=B161)),1)+(Besatzung!$F$15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N161="x")*((G161-IFERROR(H161,0))/IFERROR(COUNTIF(J161:U161,"x"),1)+(Besatzung!$F$15="x")*IFERROR(H161,0)/IFERROR(SUMPRODUCT((J161:U161="x")*(Besatzung!$F$11:$F$22="x")),1))),(IF(COUNTIF(J161:U161,"x")=0,IF(Besatzung!$B$13&lt;&gt;"",1,0),(N161="x"))*(G161-IFERROR(H161,0))/IFERROR(IF(COUNTIF(J161:U161,"x")=0,COUNTA(Besatzung!$B$11:$B$22),COUNTIF(J161:U161,"x")),1)+IF(COUNTIF(J161:U161,"x")=0,(Besatzung!$F$15="x"),(N161="x")*(Besatzung!$F$15="x"))*IFERROR(H161,0)/IFERROR(IF(COUNTIF(J161:U161,"x")=0,SUMPRODUCT((Besatzung!$B$11:$B$22&lt;&gt;"")*(Besatzung!$F$11:$F$22="x")),SUMPRODUCT((J161:U161="x")*(Besatzung!$F$11:$F$22="x"))),1))))),0))))</f>
        <v/>
      </c>
      <c r="AA161" s="106">
        <f>IF(C161="Gutschrift","",IF(G161="","",IF(Besatzung!$B$15="","",IFERROR(IF(I161="Zeitanteilig",(Besatzung!$G$16*(G161-IFERROR(H161,0))+((Besatzung!$B$15&lt;&gt;"")*IF(B161="",1,(IF(Besatzung!$C$16="",Besatzung!$B$5,Besatzung!$C$16)&lt;=B161)*(IF(Besatzung!$D$16="",Besatzung!$B$6,Besatzung!$D$16)&gt;=B161)))*(Besatzung!$F$16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$15&lt;&gt;"")*IF(B161="",1,(IF(Besatzung!$C$16="",Besatzung!$B$5,Besatzung!$C$16)&lt;=B161)*(IF(Besatzung!$D$16="",Besatzung!$B$6,Besatzung!$D$16)&gt;=B161)))*((G161-IFERROR(H161,0))/IFERROR(SUMPRODUCT((Besatzung!$B$11:$B$22&lt;&gt;"")*(IF(Besatzung!$C$11:$C$22="",Besatzung!$B$5,Besatzung!$C$11:$C$22)&lt;=B161)*(IF(Besatzung!$D$11:$D$22="",Besatzung!$B$6,Besatzung!$D$11:$D$22)&gt;=B161)),1)+(Besatzung!$F$16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O161="x")*((G161-IFERROR(H161,0))/IFERROR(COUNTIF(J161:U161,"x"),1)+(Besatzung!$F$16="x")*IFERROR(H161,0)/IFERROR(SUMPRODUCT((J161:U161="x")*(Besatzung!$F$11:$F$22="x")),1))),(IF(COUNTIF(J161:U161,"x")=0,IF(Besatzung!$B$15&lt;&gt;"",1,0),(O161="x"))*(G161-IFERROR(H161,0))/IFERROR(IF(COUNTIF(J161:U161,"x")=0,COUNTA(Besatzung!$B$11:$B$22),COUNTIF(J161:U161,"x")),1)+IF(COUNTIF(J161:U161,"x")=0,(Besatzung!$F$16="x"),(O161="x")*(Besatzung!$F$16="x"))*IFERROR(H161,0)/IFERROR(IF(COUNTIF(J161:U161,"x")=0,SUMPRODUCT((Besatzung!$B$11:$B$22&lt;&gt;"")*(Besatzung!$F$11:$F$22="x")),SUMPRODUCT((J161:U161="x")*(Besatzung!$F$11:$F$22="x"))),1))))),0))))</f>
        <v/>
      </c>
      <c r="AB161" s="106">
        <f>IF(C161="Gutschrift","",IF(G161="","",IF(Besatzung!$B$17="","",IFERROR(IF(I161="Zeitanteilig",(Besatzung!$G$17*(G161-IFERROR(H161,0))+((Besatzung!$B$17&lt;&gt;"")*IF(B161="",1,(IF(Besatzung!$C$17="",Besatzung!$B$5,Besatzung!$C$17)&lt;=B161)*(IF(Besatzung!$D$17="",Besatzung!$B$6,Besatzung!$D$17)&gt;=B161)))*(Besatzung!$F$17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$17&lt;&gt;"")*IF(B161="",1,(IF(Besatzung!$C$17="",Besatzung!$B$5,Besatzung!$C$17)&lt;=B161)*(IF(Besatzung!$D$17="",Besatzung!$B$6,Besatzung!$D$17)&gt;=B161)))*((G161-IFERROR(H161,0))/IFERROR(SUMPRODUCT((Besatzung!$B$11:$B$22&lt;&gt;"")*(IF(Besatzung!$C$11:$C$22="",Besatzung!$B$5,Besatzung!$C$11:$C$22)&lt;=B161)*(IF(Besatzung!$D$11:$D$22="",Besatzung!$B$6,Besatzung!$D$11:$D$22)&gt;=B161)),1)+(Besatzung!$F$17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P161="x")*((G161-IFERROR(H161,0))/IFERROR(COUNTIF(J161:U161,"x"),1)+(Besatzung!$F$17="x")*IFERROR(H161,0)/IFERROR(SUMPRODUCT((J161:U161="x")*(Besatzung!$F$11:$F$22="x")),1))),(IF(COUNTIF(J161:U161,"x")=0,IF(Besatzung!$B$17&lt;&gt;"",1,0),(P161="x"))*(G161-IFERROR(H161,0))/IFERROR(IF(COUNTIF(J161:U161,"x")=0,COUNTA(Besatzung!$B$11:$B$22),COUNTIF(J161:U161,"x")),1)+IF(COUNTIF(J161:U161,"x")=0,(Besatzung!$F$17="x"),(P161="x")*(Besatzung!$F$17="x"))*IFERROR(H161,0)/IFERROR(IF(COUNTIF(J161:U161,"x")=0,SUMPRODUCT((Besatzung!$B$11:$B$22&lt;&gt;"")*(Besatzung!$F$11:$F$22="x")),SUMPRODUCT((J161:U161="x")*(Besatzung!$F$11:$F$22="x"))),1))))),0))))</f>
        <v/>
      </c>
      <c r="AC161" s="106">
        <f>IF(C161="Gutschrift","",IF(G161="","",IF(Besatzung!$B$18="","",IFERROR(IF(I161="Zeitanteilig",(Besatzung!$G$18*(G161-IFERROR(H161,0))+((Besatzung!$B$18&lt;&gt;"")*IF(B161="",1,(IF(Besatzung!$C$18="",Besatzung!$B$5,Besatzung!$C$18)&lt;=B161)*(IF(Besatzung!$D$18="",Besatzung!$B$6,Besatzung!$D$18)&gt;=B161)))*(Besatzung!$F$18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$18&lt;&gt;"")*IF(B161="",1,(IF(Besatzung!$C$18="",Besatzung!$B$5,Besatzung!$C$18)&lt;=B161)*(IF(Besatzung!$D$18="",Besatzung!$B$6,Besatzung!$D$18)&gt;=B161)))*((G161-IFERROR(H161,0))/IFERROR(SUMPRODUCT((Besatzung!$B$11:$B$22&lt;&gt;"")*(IF(Besatzung!$C$11:$C$22="",Besatzung!$B$5,Besatzung!$C$11:$C$22)&lt;=B161)*(IF(Besatzung!$D$11:$D$22="",Besatzung!$B$6,Besatzung!$D$11:$D$22)&gt;=B161)),1)+(Besatzung!$F$18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Q161="x")*((G161-IFERROR(H161,0))/IFERROR(COUNTIF(J161:U161,"x"),1)+(Besatzung!$F$18="x")*IFERROR(H161,0)/IFERROR(SUMPRODUCT((J161:U161="x")*(Besatzung!$F$11:$F$22="x")),1))),(IF(COUNTIF(J161:U161,"x")=0,IF(Besatzung!$B$18&lt;&gt;"",1,0),(Q161="x"))*(G161-IFERROR(H161,0))/IFERROR(IF(COUNTIF(J161:U161,"x")=0,COUNTA(Besatzung!$B$11:$B$22),COUNTIF(J161:U161,"x")),1)+IF(COUNTIF(J161:U161,"x")=0,(Besatzung!$F$18="x"),(Q161="x")*(Besatzung!$F$18="x"))*IFERROR(H161,0)/IFERROR(IF(COUNTIF(J161:U161,"x")=0,SUMPRODUCT((Besatzung!$B$11:$B$22&lt;&gt;"")*(Besatzung!$F$11:$F$22="x")),SUMPRODUCT((J161:U161="x")*(Besatzung!$F$11:$F$22="x"))),1))))),0))))</f>
        <v/>
      </c>
      <c r="AD161" s="106">
        <f>IF(C161="Gutschrift","",IF(G161="","",IF(Besatzung!$B$19="","",IFERROR(IF(I161="Zeitanteilig",(Besatzung!$G$19*(G161-IFERROR(H161,0))+((Besatzung!$B$19&lt;&gt;"")*IF(B161="",1,(IF(Besatzung!$C$19="",Besatzung!$B$5,Besatzung!$C$19)&lt;=B161)*(IF(Besatzung!$D$19="",Besatzung!$B$6,Besatzung!$D$19)&gt;=B161)))*(Besatzung!$F$19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$19&lt;&gt;"")*IF(B161="",1,(IF(Besatzung!$C$19="",Besatzung!$B$5,Besatzung!$C$19)&lt;=B161)*(IF(Besatzung!$D$19="",Besatzung!$B$6,Besatzung!$D$19)&gt;=B161)))*((G161-IFERROR(H161,0))/IFERROR(SUMPRODUCT((Besatzung!$B$11:$B$22&lt;&gt;"")*(IF(Besatzung!$C$11:$C$22="",Besatzung!$B$5,Besatzung!$C$11:$C$22)&lt;=B161)*(IF(Besatzung!$D$11:$D$22="",Besatzung!$B$6,Besatzung!$D$11:$D$22)&gt;=B161)),1)+(Besatzung!$F$19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R161="x")*((G161-IFERROR(H161,0))/IFERROR(COUNTIF(J161:U161,"x"),1)+(Besatzung!$F$19="x")*IFERROR(H161,0)/IFERROR(SUMPRODUCT((J161:U161="x")*(Besatzung!$F$11:$F$22="x")),1))),(IF(COUNTIF(J161:U161,"x")=0,IF(Besatzung!$B$19&lt;&gt;"",1,0),(R161="x"))*(G161-IFERROR(H161,0))/IFERROR(IF(COUNTIF(J161:U161,"x")=0,COUNTA(Besatzung!$B$11:$B$22),COUNTIF(J161:U161,"x")),1)+IF(COUNTIF(J161:U161,"x")=0,(Besatzung!$F$19="x"),(R161="x")*(Besatzung!$F$19="x"))*IFERROR(H161,0)/IFERROR(IF(COUNTIF(J161:U161,"x")=0,SUMPRODUCT((Besatzung!$B$11:$B$22&lt;&gt;"")*(Besatzung!$F$11:$F$22="x")),SUMPRODUCT((J161:U161="x")*(Besatzung!$F$11:$F$22="x"))),1))))),0))))</f>
        <v/>
      </c>
      <c r="AE161" s="106">
        <f>IF(C161="Gutschrift","",IF(G161="","",IF(Besatzung!$B$20="","",IFERROR(IF(I161="Zeitanteilig",(Besatzung!$G$20*(G161-IFERROR(H161,0))+((Besatzung!$B$20&lt;&gt;"")*IF(B161="",1,(IF(Besatzung!$C$20="",Besatzung!$B$5,Besatzung!$C$20)&lt;=B161)*(IF(Besatzung!$D$20="",Besatzung!$B$6,Besatzung!$D$20)&gt;=B161)))*(Besatzung!$F$20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$20&lt;&gt;"")*IF(B161="",1,(IF(Besatzung!$C$20="",Besatzung!$B$5,Besatzung!$C$20)&lt;=B161)*(IF(Besatzung!$D$20="",Besatzung!$B$6,Besatzung!$D$20)&gt;=B161)))*((G161-IFERROR(H161,0))/IFERROR(SUMPRODUCT((Besatzung!$B$11:$B$22&lt;&gt;"")*(IF(Besatzung!$C$11:$C$22="",Besatzung!$B$5,Besatzung!$C$11:$C$22)&lt;=B161)*(IF(Besatzung!$D$11:$D$22="",Besatzung!$B$6,Besatzung!$D$11:$D$22)&gt;=B161)),1)+(Besatzung!$F$20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S161="x")*((G161-IFERROR(H161,0))/IFERROR(COUNTIF(J161:U161,"x"),1)+(Besatzung!$F$20="x")*IFERROR(H161,0)/IFERROR(SUMPRODUCT((J161:U161="x")*(Besatzung!$F$11:$F$22="x")),1))),(IF(COUNTIF(J161:U161,"x")=0,IF(Besatzung!$B$20&lt;&gt;"",1,0),(S161="x"))*(G161-IFERROR(H161,0))/IFERROR(IF(COUNTIF(J161:U161,"x")=0,COUNTA(Besatzung!$B$11:$B$22),COUNTIF(J161:U161,"x")),1)+IF(COUNTIF(J161:U161,"x")=0,(Besatzung!$F$20="x"),(S161="x")*(Besatzung!$F$20="x"))*IFERROR(H161,0)/IFERROR(IF(COUNTIF(J161:U161,"x")=0,SUMPRODUCT((Besatzung!$B$11:$B$22&lt;&gt;"")*(Besatzung!$F$11:$F$22="x")),SUMPRODUCT((J161:U161="x")*(Besatzung!$F$11:$F$22="x"))),1))))),0))))</f>
        <v/>
      </c>
      <c r="AF161" s="106">
        <f>IF(C161="Gutschrift","",IF(G161="","",IF(Besatzung!$B$21="","",IFERROR(IF(I161="Zeitanteilig",(Besatzung!$G$21*(G161-IFERROR(H161,0))+((Besatzung!$B$21&lt;&gt;"")*IF(B161="",1,(IF(Besatzung!$C$21="",Besatzung!$B$5,Besatzung!$C$21)&lt;=B161)*(IF(Besatzung!$D$21="",Besatzung!$B$6,Besatzung!$D$21)&gt;=B161)))*(Besatzung!$F$21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$21&lt;&gt;"")*IF(B161="",1,(IF(Besatzung!$C$21="",Besatzung!$B$5,Besatzung!$C$21)&lt;=B161)*(IF(Besatzung!$D$21="",Besatzung!$B$6,Besatzung!$D$21)&gt;=B161)))*((G161-IFERROR(H161,0))/IFERROR(SUMPRODUCT((Besatzung!$B$11:$B$22&lt;&gt;"")*(IF(Besatzung!$C$11:$C$22="",Besatzung!$B$5,Besatzung!$C$11:$C$22)&lt;=B161)*(IF(Besatzung!$D$11:$D$22="",Besatzung!$B$6,Besatzung!$D$11:$D$22)&gt;=B161)),1)+(Besatzung!$F$21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T161="x")*((G161-IFERROR(H161,0))/IFERROR(COUNTIF(J161:U161,"x"),1)+(Besatzung!$F$21="x")*IFERROR(H161,0)/IFERROR(SUMPRODUCT((J161:U161="x")*(Besatzung!$F$11:$F$22="x")),1))),(IF(COUNTIF(J161:U161,"x")=0,IF(Besatzung!$B$21&lt;&gt;"",1,0),(T161="x"))*(G161-IFERROR(H161,0))/IFERROR(IF(COUNTIF(J161:U161,"x")=0,COUNTA(Besatzung!$B$11:$B$22),COUNTIF(J161:U161,"x")),1)+IF(COUNTIF(J161:U161,"x")=0,(Besatzung!$F$21="x"),(T161="x")*(Besatzung!$F$21="x"))*IFERROR(H161,0)/IFERROR(IF(COUNTIF(J161:U161,"x")=0,SUMPRODUCT((Besatzung!$B$11:$B$22&lt;&gt;"")*(Besatzung!$F$11:$F$22="x")),SUMPRODUCT((J161:U161="x")*(Besatzung!$F$11:$F$22="x"))),1))))),0))))</f>
        <v/>
      </c>
      <c r="AG161" s="106">
        <f>IF(C161="Gutschrift","",IF(G161="","",IF(Besatzung!$B$22="","",IFERROR(IF(I161="Zeitanteilig",(Besatzung!$G$22*(G161-IFERROR(H161,0))+((Besatzung!$B$22&lt;&gt;"")*IF(B161="",1,(IF(Besatzung!$C$22="",Besatzung!$B$5,Besatzung!$C$22)&lt;=B161)*(IF(Besatzung!$D$22="",Besatzung!$B$6,Besatzung!$D$22)&gt;=B161)))*(Besatzung!$F$22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$22&lt;&gt;"")*IF(B161="",1,(IF(Besatzung!$C$22="",Besatzung!$B$5,Besatzung!$C$22)&lt;=B161)*(IF(Besatzung!$D$22="",Besatzung!$B$6,Besatzung!$D$22)&gt;=B161)))*((G161-IFERROR(H161,0))/IFERROR(SUMPRODUCT((Besatzung!$B$11:$B$22&lt;&gt;"")*(IF(Besatzung!$C$11:$C$22="",Besatzung!$B$5,Besatzung!$C$11:$C$22)&lt;=B161)*(IF(Besatzung!$D$11:$D$22="",Besatzung!$B$6,Besatzung!$D$11:$D$22)&gt;=B161)),1)+(Besatzung!$F$22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U161="x")*((G161-IFERROR(H161,0))/IFERROR(COUNTIF(J161:U161,"x"),1)+(Besatzung!$F$22="x")*IFERROR(H161,0)/IFERROR(SUMPRODUCT((J161:U161="x")*(Besatzung!$F$11:$F$22="x")),1))),(IF(COUNTIF(J161:U161,"x")=0,IF(Besatzung!$B$22&lt;&gt;"",1,0),(U161="x"))*(G161-IFERROR(H161,0))/IFERROR(IF(COUNTIF(J161:U161,"x")=0,COUNTA(Besatzung!$B$11:$B$22),COUNTIF(J161:U161,"x")),1)+IF(COUNTIF(J161:U161,"x")=0,(Besatzung!$F$22="x"),(U161="x")*(Besatzung!$F$22="x"))*IFERROR(H161,0)/IFERROR(IF(COUNTIF(J161:U161,"x")=0,SUMPRODUCT((Besatzung!$B$11:$B$22&lt;&gt;"")*(Besatzung!$F$11:$F$22="x")),SUMPRODUCT((J161:U161="x")*(Besatzung!$F$11:$F$22="x"))),1))))),0))))</f>
        <v/>
      </c>
      <c r="AH161" s="107" t="n"/>
      <c r="AI161" s="107" t="n"/>
    </row>
    <row r="162" ht="21.75" customHeight="1" s="182">
      <c r="A162" s="97">
        <f>IF(AND(D162="",C162=""),"",159)</f>
        <v/>
      </c>
      <c r="B162" s="56" t="n"/>
      <c r="C162" s="98" t="n"/>
      <c r="D162" s="99" t="n"/>
      <c r="E162" s="100" t="n"/>
      <c r="F162" s="101" t="n"/>
      <c r="G162" s="102" t="n"/>
      <c r="H162" s="103" t="n"/>
      <c r="I162" s="104" t="n"/>
      <c r="J162" s="105" t="n"/>
      <c r="K162" s="105" t="n"/>
      <c r="L162" s="105" t="n"/>
      <c r="M162" s="105" t="n"/>
      <c r="N162" s="105" t="n"/>
      <c r="O162" s="105" t="n"/>
      <c r="P162" s="105" t="n"/>
      <c r="Q162" s="105" t="n"/>
      <c r="R162" s="105" t="n"/>
      <c r="S162" s="105" t="n"/>
      <c r="T162" s="105" t="n"/>
      <c r="U162" s="105" t="n"/>
      <c r="V162" s="106">
        <f>IF(C162="Gutschrift","",IF(G162="","",IF(Besatzung!$B$11="","",IFERROR(IF(I162="Zeitanteilig",(Besatzung!$G$11*(G162-IFERROR(H162,0))+((Besatzung!$B$11&lt;&gt;"")*IF(B162="",1,(IF(Besatzung!$C$11="",Besatzung!$B$5,Besatzung!$C$11)&lt;=B162)*(IF(Besatzung!$D$11="",Besatzung!$B$6,Besatzung!$D$11)&gt;=B162)))*(Besatzung!$F$11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$11&lt;&gt;"")*IF(B162="",1,(IF(Besatzung!$C$11="",Besatzung!$B$5,Besatzung!$C$11)&lt;=B162)*(IF(Besatzung!$D$11="",Besatzung!$B$6,Besatzung!$D$11)&gt;=B162)))*((G162-IFERROR(H162,0))/IFERROR(SUMPRODUCT((Besatzung!$B$11:$B$22&lt;&gt;"")*(IF(Besatzung!$C$11:$C$22="",Besatzung!$B$5,Besatzung!$C$11:$C$22)&lt;=B162)*(IF(Besatzung!$D$11:$D$22="",Besatzung!$B$6,Besatzung!$D$11:$D$22)&gt;=B162)),1)+(Besatzung!$F$11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J162="x")*((G162-IFERROR(H162,0))/IFERROR(COUNTIF(J162:U162,"x"),1)+(Besatzung!$F$11="x")*IFERROR(H162,0)/IFERROR(SUMPRODUCT((J162:U162="x")*(Besatzung!$F$11:$F$22="x")),1))),(IF(COUNTIF(J162:U162,"x")=0,IF(Besatzung!$B$11&lt;&gt;"",1,0),(J162="x"))*(G162-IFERROR(H162,0))/IFERROR(IF(COUNTIF(J162:U162,"x")=0,COUNTA(Besatzung!$B$11:$B$22),COUNTIF(J162:U162,"x")),1)+IF(COUNTIF(J162:U162,"x")=0,(Besatzung!$F$11="x"),(J162="x")*(Besatzung!$F$11="x"))*IFERROR(H162,0)/IFERROR(IF(COUNTIF(J162:U162,"x")=0,SUMPRODUCT((Besatzung!$B$11:$B$22&lt;&gt;"")*(Besatzung!$F$11:$F$22="x")),SUMPRODUCT((J162:U162="x")*(Besatzung!$F$11:$F$22="x"))),1))))),0))))</f>
        <v/>
      </c>
      <c r="W162" s="106">
        <f>IF(C162="Gutschrift","",IF(G162="","",IF(Besatzung!$B$12="","",IFERROR(IF(I162="Zeitanteilig",(Besatzung!$G$12*(G162-IFERROR(H162,0))+((Besatzung!$B$12&lt;&gt;"")*IF(B162="",1,(IF(Besatzung!$C$12="",Besatzung!$B$5,Besatzung!$C$12)&lt;=B162)*(IF(Besatzung!$D$12="",Besatzung!$B$6,Besatzung!$D$12)&gt;=B162)))*(Besatzung!$F$12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$12&lt;&gt;"")*IF(B162="",1,(IF(Besatzung!$C$12="",Besatzung!$B$5,Besatzung!$C$12)&lt;=B162)*(IF(Besatzung!$D$12="",Besatzung!$B$6,Besatzung!$D$12)&gt;=B162)))*((G162-IFERROR(H162,0))/IFERROR(SUMPRODUCT((Besatzung!$B$11:$B$22&lt;&gt;"")*(IF(Besatzung!$C$11:$C$22="",Besatzung!$B$5,Besatzung!$C$11:$C$22)&lt;=B162)*(IF(Besatzung!$D$11:$D$22="",Besatzung!$B$6,Besatzung!$D$11:$D$22)&gt;=B162)),1)+(Besatzung!$F$12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K162="x")*((G162-IFERROR(H162,0))/IFERROR(COUNTIF(J162:U162,"x"),1)+(Besatzung!$F$12="x")*IFERROR(H162,0)/IFERROR(SUMPRODUCT((J162:U162="x")*(Besatzung!$F$11:$F$22="x")),1))),(IF(COUNTIF(J162:U162,"x")=0,IF(Besatzung!$B$12&lt;&gt;"",1,0),(K162="x"))*(G162-IFERROR(H162,0))/IFERROR(IF(COUNTIF(J162:U162,"x")=0,COUNTA(Besatzung!$B$11:$B$22),COUNTIF(J162:U162,"x")),1)+IF(COUNTIF(J162:U162,"x")=0,(Besatzung!$F$12="x"),(K162="x")*(Besatzung!$F$12="x"))*IFERROR(H162,0)/IFERROR(IF(COUNTIF(J162:U162,"x")=0,SUMPRODUCT((Besatzung!$B$11:$B$22&lt;&gt;"")*(Besatzung!$F$11:$F$22="x")),SUMPRODUCT((J162:U162="x")*(Besatzung!$F$11:$F$22="x"))),1))))),0))))</f>
        <v/>
      </c>
      <c r="X162" s="106">
        <f>IF(C162="Gutschrift","",IF(G162="","",IF(Besatzung!$B$13="","",IFERROR(IF(I162="Zeitanteilig",(Besatzung!$G$13*(G162-IFERROR(H162,0))+((Besatzung!$B$13&lt;&gt;"")*IF(B162="",1,(IF(Besatzung!$C$13="",Besatzung!$B$5,Besatzung!$C$13)&lt;=B162)*(IF(Besatzung!$D$13="",Besatzung!$B$6,Besatzung!$D$13)&gt;=B162)))*(Besatzung!$F$13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$13&lt;&gt;"")*IF(B162="",1,(IF(Besatzung!$C$13="",Besatzung!$B$5,Besatzung!$C$13)&lt;=B162)*(IF(Besatzung!$D$13="",Besatzung!$B$6,Besatzung!$D$13)&gt;=B162)))*((G162-IFERROR(H162,0))/IFERROR(SUMPRODUCT((Besatzung!$B$11:$B$22&lt;&gt;"")*(IF(Besatzung!$C$11:$C$22="",Besatzung!$B$5,Besatzung!$C$11:$C$22)&lt;=B162)*(IF(Besatzung!$D$11:$D$22="",Besatzung!$B$6,Besatzung!$D$11:$D$22)&gt;=B162)),1)+(Besatzung!$F$13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K162="x")*((G162-IFERROR(H162,0))/IFERROR(COUNTIF(J162:U162,"x"),1)+(Besatzung!$F$13="x")*IFERROR(H162,0)/IFERROR(SUMPRODUCT((J162:U162="x")*(Besatzung!$F$11:$F$22="x")),1))),(IF(COUNTIF(J162:U162,"x")=0,IF(Besatzung!$B$13&lt;&gt;"",1,0),(K162="x"))*(G162-IFERROR(H162,0))/IFERROR(IF(COUNTIF(J162:U162,"x")=0,COUNTA(Besatzung!$B$11:$B$22),COUNTIF(J162:U162,"x")),1)+IF(COUNTIF(J162:U162,"x")=0,(Besatzung!$F$13="x"),(K162="x")*(Besatzung!$F$13="x"))*IFERROR(H162,0)/IFERROR(IF(COUNTIF(J162:U162,"x")=0,SUMPRODUCT((Besatzung!$B$11:$B$22&lt;&gt;"")*(Besatzung!$F$11:$F$22="x")),SUMPRODUCT((J162:U162="x")*(Besatzung!$F$11:$F$22="x"))),1))))),0))))</f>
        <v/>
      </c>
      <c r="Y162" s="106">
        <f>IF(C162="Gutschrift","",IF(G162="","",IF(Besatzung!$B$14="","",IFERROR(IF(I162="Zeitanteilig",(Besatzung!$G$14*(G162-IFERROR(H162,0))+((Besatzung!$B$14&lt;&gt;"")*IF(B162="",1,(IF(Besatzung!$C$14="",Besatzung!$B$5,Besatzung!$C$14)&lt;=B162)*(IF(Besatzung!$D$14="",Besatzung!$B$6,Besatzung!$D$14)&gt;=B162)))*(Besatzung!$F$14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$14&lt;&gt;"")*IF(B162="",1,(IF(Besatzung!$C$14="",Besatzung!$B$5,Besatzung!$C$14)&lt;=B162)*(IF(Besatzung!$D$14="",Besatzung!$B$6,Besatzung!$D$14)&gt;=B162)))*((G162-IFERROR(H162,0))/IFERROR(SUMPRODUCT((Besatzung!$B$11:$B$22&lt;&gt;"")*(IF(Besatzung!$C$11:$C$22="",Besatzung!$B$5,Besatzung!$C$11:$C$22)&lt;=B162)*(IF(Besatzung!$D$11:$D$22="",Besatzung!$B$6,Besatzung!$D$11:$D$22)&gt;=B162)),1)+(Besatzung!$F$14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M162="x")*((G162-IFERROR(H162,0))/IFERROR(COUNTIF(J162:U162,"x"),1)+(Besatzung!$F$14="x")*IFERROR(H162,0)/IFERROR(SUMPRODUCT((J162:U162="x")*(Besatzung!$F$11:$F$22="x")),1))),(IF(COUNTIF(J162:U162,"x")=0,IF(Besatzung!$B$14&lt;&gt;"",1,0),(M162="x"))*(G162-IFERROR(H162,0))/IFERROR(IF(COUNTIF(J162:U162,"x")=0,COUNTA(Besatzung!$B$11:$B$22),COUNTIF(J162:U162,"x")),1)+IF(COUNTIF(J162:U162,"x")=0,(Besatzung!$F$14="x"),(M162="x")*(Besatzung!$F$14="x"))*IFERROR(H162,0)/IFERROR(IF(COUNTIF(J162:U162,"x")=0,SUMPRODUCT((Besatzung!$B$11:$B$22&lt;&gt;"")*(Besatzung!$F$11:$F$22="x")),SUMPRODUCT((J162:U162="x")*(Besatzung!$F$11:$F$22="x"))),1))))),0))))</f>
        <v/>
      </c>
      <c r="Z162" s="106">
        <f>IF(C162="Gutschrift","",IF(G162="","",IF(Besatzung!$B$13="","",IFERROR(IF(I162="Zeitanteilig",(Besatzung!$G$15*(G162-IFERROR(H162,0))+((Besatzung!$B$13&lt;&gt;"")*IF(B162="",1,(IF(Besatzung!$C$15="",Besatzung!$B$5,Besatzung!$C$15)&lt;=B162)*(IF(Besatzung!$D$15="",Besatzung!$B$6,Besatzung!$D$15)&gt;=B162)))*(Besatzung!$F$15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$13&lt;&gt;"")*IF(B162="",1,(IF(Besatzung!$C$15="",Besatzung!$B$5,Besatzung!$C$15)&lt;=B162)*(IF(Besatzung!$D$15="",Besatzung!$B$6,Besatzung!$D$15)&gt;=B162)))*((G162-IFERROR(H162,0))/IFERROR(SUMPRODUCT((Besatzung!$B$11:$B$22&lt;&gt;"")*(IF(Besatzung!$C$11:$C$22="",Besatzung!$B$5,Besatzung!$C$11:$C$22)&lt;=B162)*(IF(Besatzung!$D$11:$D$22="",Besatzung!$B$6,Besatzung!$D$11:$D$22)&gt;=B162)),1)+(Besatzung!$F$15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N162="x")*((G162-IFERROR(H162,0))/IFERROR(COUNTIF(J162:U162,"x"),1)+(Besatzung!$F$15="x")*IFERROR(H162,0)/IFERROR(SUMPRODUCT((J162:U162="x")*(Besatzung!$F$11:$F$22="x")),1))),(IF(COUNTIF(J162:U162,"x")=0,IF(Besatzung!$B$13&lt;&gt;"",1,0),(N162="x"))*(G162-IFERROR(H162,0))/IFERROR(IF(COUNTIF(J162:U162,"x")=0,COUNTA(Besatzung!$B$11:$B$22),COUNTIF(J162:U162,"x")),1)+IF(COUNTIF(J162:U162,"x")=0,(Besatzung!$F$15="x"),(N162="x")*(Besatzung!$F$15="x"))*IFERROR(H162,0)/IFERROR(IF(COUNTIF(J162:U162,"x")=0,SUMPRODUCT((Besatzung!$B$11:$B$22&lt;&gt;"")*(Besatzung!$F$11:$F$22="x")),SUMPRODUCT((J162:U162="x")*(Besatzung!$F$11:$F$22="x"))),1))))),0))))</f>
        <v/>
      </c>
      <c r="AA162" s="106">
        <f>IF(C162="Gutschrift","",IF(G162="","",IF(Besatzung!$B$15="","",IFERROR(IF(I162="Zeitanteilig",(Besatzung!$G$16*(G162-IFERROR(H162,0))+((Besatzung!$B$15&lt;&gt;"")*IF(B162="",1,(IF(Besatzung!$C$16="",Besatzung!$B$5,Besatzung!$C$16)&lt;=B162)*(IF(Besatzung!$D$16="",Besatzung!$B$6,Besatzung!$D$16)&gt;=B162)))*(Besatzung!$F$16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$15&lt;&gt;"")*IF(B162="",1,(IF(Besatzung!$C$16="",Besatzung!$B$5,Besatzung!$C$16)&lt;=B162)*(IF(Besatzung!$D$16="",Besatzung!$B$6,Besatzung!$D$16)&gt;=B162)))*((G162-IFERROR(H162,0))/IFERROR(SUMPRODUCT((Besatzung!$B$11:$B$22&lt;&gt;"")*(IF(Besatzung!$C$11:$C$22="",Besatzung!$B$5,Besatzung!$C$11:$C$22)&lt;=B162)*(IF(Besatzung!$D$11:$D$22="",Besatzung!$B$6,Besatzung!$D$11:$D$22)&gt;=B162)),1)+(Besatzung!$F$16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O162="x")*((G162-IFERROR(H162,0))/IFERROR(COUNTIF(J162:U162,"x"),1)+(Besatzung!$F$16="x")*IFERROR(H162,0)/IFERROR(SUMPRODUCT((J162:U162="x")*(Besatzung!$F$11:$F$22="x")),1))),(IF(COUNTIF(J162:U162,"x")=0,IF(Besatzung!$B$15&lt;&gt;"",1,0),(O162="x"))*(G162-IFERROR(H162,0))/IFERROR(IF(COUNTIF(J162:U162,"x")=0,COUNTA(Besatzung!$B$11:$B$22),COUNTIF(J162:U162,"x")),1)+IF(COUNTIF(J162:U162,"x")=0,(Besatzung!$F$16="x"),(O162="x")*(Besatzung!$F$16="x"))*IFERROR(H162,0)/IFERROR(IF(COUNTIF(J162:U162,"x")=0,SUMPRODUCT((Besatzung!$B$11:$B$22&lt;&gt;"")*(Besatzung!$F$11:$F$22="x")),SUMPRODUCT((J162:U162="x")*(Besatzung!$F$11:$F$22="x"))),1))))),0))))</f>
        <v/>
      </c>
      <c r="AB162" s="106">
        <f>IF(C162="Gutschrift","",IF(G162="","",IF(Besatzung!$B$17="","",IFERROR(IF(I162="Zeitanteilig",(Besatzung!$G$17*(G162-IFERROR(H162,0))+((Besatzung!$B$17&lt;&gt;"")*IF(B162="",1,(IF(Besatzung!$C$17="",Besatzung!$B$5,Besatzung!$C$17)&lt;=B162)*(IF(Besatzung!$D$17="",Besatzung!$B$6,Besatzung!$D$17)&gt;=B162)))*(Besatzung!$F$17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$17&lt;&gt;"")*IF(B162="",1,(IF(Besatzung!$C$17="",Besatzung!$B$5,Besatzung!$C$17)&lt;=B162)*(IF(Besatzung!$D$17="",Besatzung!$B$6,Besatzung!$D$17)&gt;=B162)))*((G162-IFERROR(H162,0))/IFERROR(SUMPRODUCT((Besatzung!$B$11:$B$22&lt;&gt;"")*(IF(Besatzung!$C$11:$C$22="",Besatzung!$B$5,Besatzung!$C$11:$C$22)&lt;=B162)*(IF(Besatzung!$D$11:$D$22="",Besatzung!$B$6,Besatzung!$D$11:$D$22)&gt;=B162)),1)+(Besatzung!$F$17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P162="x")*((G162-IFERROR(H162,0))/IFERROR(COUNTIF(J162:U162,"x"),1)+(Besatzung!$F$17="x")*IFERROR(H162,0)/IFERROR(SUMPRODUCT((J162:U162="x")*(Besatzung!$F$11:$F$22="x")),1))),(IF(COUNTIF(J162:U162,"x")=0,IF(Besatzung!$B$17&lt;&gt;"",1,0),(P162="x"))*(G162-IFERROR(H162,0))/IFERROR(IF(COUNTIF(J162:U162,"x")=0,COUNTA(Besatzung!$B$11:$B$22),COUNTIF(J162:U162,"x")),1)+IF(COUNTIF(J162:U162,"x")=0,(Besatzung!$F$17="x"),(P162="x")*(Besatzung!$F$17="x"))*IFERROR(H162,0)/IFERROR(IF(COUNTIF(J162:U162,"x")=0,SUMPRODUCT((Besatzung!$B$11:$B$22&lt;&gt;"")*(Besatzung!$F$11:$F$22="x")),SUMPRODUCT((J162:U162="x")*(Besatzung!$F$11:$F$22="x"))),1))))),0))))</f>
        <v/>
      </c>
      <c r="AC162" s="106">
        <f>IF(C162="Gutschrift","",IF(G162="","",IF(Besatzung!$B$18="","",IFERROR(IF(I162="Zeitanteilig",(Besatzung!$G$18*(G162-IFERROR(H162,0))+((Besatzung!$B$18&lt;&gt;"")*IF(B162="",1,(IF(Besatzung!$C$18="",Besatzung!$B$5,Besatzung!$C$18)&lt;=B162)*(IF(Besatzung!$D$18="",Besatzung!$B$6,Besatzung!$D$18)&gt;=B162)))*(Besatzung!$F$18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$18&lt;&gt;"")*IF(B162="",1,(IF(Besatzung!$C$18="",Besatzung!$B$5,Besatzung!$C$18)&lt;=B162)*(IF(Besatzung!$D$18="",Besatzung!$B$6,Besatzung!$D$18)&gt;=B162)))*((G162-IFERROR(H162,0))/IFERROR(SUMPRODUCT((Besatzung!$B$11:$B$22&lt;&gt;"")*(IF(Besatzung!$C$11:$C$22="",Besatzung!$B$5,Besatzung!$C$11:$C$22)&lt;=B162)*(IF(Besatzung!$D$11:$D$22="",Besatzung!$B$6,Besatzung!$D$11:$D$22)&gt;=B162)),1)+(Besatzung!$F$18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Q162="x")*((G162-IFERROR(H162,0))/IFERROR(COUNTIF(J162:U162,"x"),1)+(Besatzung!$F$18="x")*IFERROR(H162,0)/IFERROR(SUMPRODUCT((J162:U162="x")*(Besatzung!$F$11:$F$22="x")),1))),(IF(COUNTIF(J162:U162,"x")=0,IF(Besatzung!$B$18&lt;&gt;"",1,0),(Q162="x"))*(G162-IFERROR(H162,0))/IFERROR(IF(COUNTIF(J162:U162,"x")=0,COUNTA(Besatzung!$B$11:$B$22),COUNTIF(J162:U162,"x")),1)+IF(COUNTIF(J162:U162,"x")=0,(Besatzung!$F$18="x"),(Q162="x")*(Besatzung!$F$18="x"))*IFERROR(H162,0)/IFERROR(IF(COUNTIF(J162:U162,"x")=0,SUMPRODUCT((Besatzung!$B$11:$B$22&lt;&gt;"")*(Besatzung!$F$11:$F$22="x")),SUMPRODUCT((J162:U162="x")*(Besatzung!$F$11:$F$22="x"))),1))))),0))))</f>
        <v/>
      </c>
      <c r="AD162" s="106">
        <f>IF(C162="Gutschrift","",IF(G162="","",IF(Besatzung!$B$19="","",IFERROR(IF(I162="Zeitanteilig",(Besatzung!$G$19*(G162-IFERROR(H162,0))+((Besatzung!$B$19&lt;&gt;"")*IF(B162="",1,(IF(Besatzung!$C$19="",Besatzung!$B$5,Besatzung!$C$19)&lt;=B162)*(IF(Besatzung!$D$19="",Besatzung!$B$6,Besatzung!$D$19)&gt;=B162)))*(Besatzung!$F$19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$19&lt;&gt;"")*IF(B162="",1,(IF(Besatzung!$C$19="",Besatzung!$B$5,Besatzung!$C$19)&lt;=B162)*(IF(Besatzung!$D$19="",Besatzung!$B$6,Besatzung!$D$19)&gt;=B162)))*((G162-IFERROR(H162,0))/IFERROR(SUMPRODUCT((Besatzung!$B$11:$B$22&lt;&gt;"")*(IF(Besatzung!$C$11:$C$22="",Besatzung!$B$5,Besatzung!$C$11:$C$22)&lt;=B162)*(IF(Besatzung!$D$11:$D$22="",Besatzung!$B$6,Besatzung!$D$11:$D$22)&gt;=B162)),1)+(Besatzung!$F$19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R162="x")*((G162-IFERROR(H162,0))/IFERROR(COUNTIF(J162:U162,"x"),1)+(Besatzung!$F$19="x")*IFERROR(H162,0)/IFERROR(SUMPRODUCT((J162:U162="x")*(Besatzung!$F$11:$F$22="x")),1))),(IF(COUNTIF(J162:U162,"x")=0,IF(Besatzung!$B$19&lt;&gt;"",1,0),(R162="x"))*(G162-IFERROR(H162,0))/IFERROR(IF(COUNTIF(J162:U162,"x")=0,COUNTA(Besatzung!$B$11:$B$22),COUNTIF(J162:U162,"x")),1)+IF(COUNTIF(J162:U162,"x")=0,(Besatzung!$F$19="x"),(R162="x")*(Besatzung!$F$19="x"))*IFERROR(H162,0)/IFERROR(IF(COUNTIF(J162:U162,"x")=0,SUMPRODUCT((Besatzung!$B$11:$B$22&lt;&gt;"")*(Besatzung!$F$11:$F$22="x")),SUMPRODUCT((J162:U162="x")*(Besatzung!$F$11:$F$22="x"))),1))))),0))))</f>
        <v/>
      </c>
      <c r="AE162" s="106">
        <f>IF(C162="Gutschrift","",IF(G162="","",IF(Besatzung!$B$20="","",IFERROR(IF(I162="Zeitanteilig",(Besatzung!$G$20*(G162-IFERROR(H162,0))+((Besatzung!$B$20&lt;&gt;"")*IF(B162="",1,(IF(Besatzung!$C$20="",Besatzung!$B$5,Besatzung!$C$20)&lt;=B162)*(IF(Besatzung!$D$20="",Besatzung!$B$6,Besatzung!$D$20)&gt;=B162)))*(Besatzung!$F$20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$20&lt;&gt;"")*IF(B162="",1,(IF(Besatzung!$C$20="",Besatzung!$B$5,Besatzung!$C$20)&lt;=B162)*(IF(Besatzung!$D$20="",Besatzung!$B$6,Besatzung!$D$20)&gt;=B162)))*((G162-IFERROR(H162,0))/IFERROR(SUMPRODUCT((Besatzung!$B$11:$B$22&lt;&gt;"")*(IF(Besatzung!$C$11:$C$22="",Besatzung!$B$5,Besatzung!$C$11:$C$22)&lt;=B162)*(IF(Besatzung!$D$11:$D$22="",Besatzung!$B$6,Besatzung!$D$11:$D$22)&gt;=B162)),1)+(Besatzung!$F$20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S162="x")*((G162-IFERROR(H162,0))/IFERROR(COUNTIF(J162:U162,"x"),1)+(Besatzung!$F$20="x")*IFERROR(H162,0)/IFERROR(SUMPRODUCT((J162:U162="x")*(Besatzung!$F$11:$F$22="x")),1))),(IF(COUNTIF(J162:U162,"x")=0,IF(Besatzung!$B$20&lt;&gt;"",1,0),(S162="x"))*(G162-IFERROR(H162,0))/IFERROR(IF(COUNTIF(J162:U162,"x")=0,COUNTA(Besatzung!$B$11:$B$22),COUNTIF(J162:U162,"x")),1)+IF(COUNTIF(J162:U162,"x")=0,(Besatzung!$F$20="x"),(S162="x")*(Besatzung!$F$20="x"))*IFERROR(H162,0)/IFERROR(IF(COUNTIF(J162:U162,"x")=0,SUMPRODUCT((Besatzung!$B$11:$B$22&lt;&gt;"")*(Besatzung!$F$11:$F$22="x")),SUMPRODUCT((J162:U162="x")*(Besatzung!$F$11:$F$22="x"))),1))))),0))))</f>
        <v/>
      </c>
      <c r="AF162" s="106">
        <f>IF(C162="Gutschrift","",IF(G162="","",IF(Besatzung!$B$21="","",IFERROR(IF(I162="Zeitanteilig",(Besatzung!$G$21*(G162-IFERROR(H162,0))+((Besatzung!$B$21&lt;&gt;"")*IF(B162="",1,(IF(Besatzung!$C$21="",Besatzung!$B$5,Besatzung!$C$21)&lt;=B162)*(IF(Besatzung!$D$21="",Besatzung!$B$6,Besatzung!$D$21)&gt;=B162)))*(Besatzung!$F$21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$21&lt;&gt;"")*IF(B162="",1,(IF(Besatzung!$C$21="",Besatzung!$B$5,Besatzung!$C$21)&lt;=B162)*(IF(Besatzung!$D$21="",Besatzung!$B$6,Besatzung!$D$21)&gt;=B162)))*((G162-IFERROR(H162,0))/IFERROR(SUMPRODUCT((Besatzung!$B$11:$B$22&lt;&gt;"")*(IF(Besatzung!$C$11:$C$22="",Besatzung!$B$5,Besatzung!$C$11:$C$22)&lt;=B162)*(IF(Besatzung!$D$11:$D$22="",Besatzung!$B$6,Besatzung!$D$11:$D$22)&gt;=B162)),1)+(Besatzung!$F$21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T162="x")*((G162-IFERROR(H162,0))/IFERROR(COUNTIF(J162:U162,"x"),1)+(Besatzung!$F$21="x")*IFERROR(H162,0)/IFERROR(SUMPRODUCT((J162:U162="x")*(Besatzung!$F$11:$F$22="x")),1))),(IF(COUNTIF(J162:U162,"x")=0,IF(Besatzung!$B$21&lt;&gt;"",1,0),(T162="x"))*(G162-IFERROR(H162,0))/IFERROR(IF(COUNTIF(J162:U162,"x")=0,COUNTA(Besatzung!$B$11:$B$22),COUNTIF(J162:U162,"x")),1)+IF(COUNTIF(J162:U162,"x")=0,(Besatzung!$F$21="x"),(T162="x")*(Besatzung!$F$21="x"))*IFERROR(H162,0)/IFERROR(IF(COUNTIF(J162:U162,"x")=0,SUMPRODUCT((Besatzung!$B$11:$B$22&lt;&gt;"")*(Besatzung!$F$11:$F$22="x")),SUMPRODUCT((J162:U162="x")*(Besatzung!$F$11:$F$22="x"))),1))))),0))))</f>
        <v/>
      </c>
      <c r="AG162" s="106">
        <f>IF(C162="Gutschrift","",IF(G162="","",IF(Besatzung!$B$22="","",IFERROR(IF(I162="Zeitanteilig",(Besatzung!$G$22*(G162-IFERROR(H162,0))+((Besatzung!$B$22&lt;&gt;"")*IF(B162="",1,(IF(Besatzung!$C$22="",Besatzung!$B$5,Besatzung!$C$22)&lt;=B162)*(IF(Besatzung!$D$22="",Besatzung!$B$6,Besatzung!$D$22)&gt;=B162)))*(Besatzung!$F$22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$22&lt;&gt;"")*IF(B162="",1,(IF(Besatzung!$C$22="",Besatzung!$B$5,Besatzung!$C$22)&lt;=B162)*(IF(Besatzung!$D$22="",Besatzung!$B$6,Besatzung!$D$22)&gt;=B162)))*((G162-IFERROR(H162,0))/IFERROR(SUMPRODUCT((Besatzung!$B$11:$B$22&lt;&gt;"")*(IF(Besatzung!$C$11:$C$22="",Besatzung!$B$5,Besatzung!$C$11:$C$22)&lt;=B162)*(IF(Besatzung!$D$11:$D$22="",Besatzung!$B$6,Besatzung!$D$11:$D$22)&gt;=B162)),1)+(Besatzung!$F$22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U162="x")*((G162-IFERROR(H162,0))/IFERROR(COUNTIF(J162:U162,"x"),1)+(Besatzung!$F$22="x")*IFERROR(H162,0)/IFERROR(SUMPRODUCT((J162:U162="x")*(Besatzung!$F$11:$F$22="x")),1))),(IF(COUNTIF(J162:U162,"x")=0,IF(Besatzung!$B$22&lt;&gt;"",1,0),(U162="x"))*(G162-IFERROR(H162,0))/IFERROR(IF(COUNTIF(J162:U162,"x")=0,COUNTA(Besatzung!$B$11:$B$22),COUNTIF(J162:U162,"x")),1)+IF(COUNTIF(J162:U162,"x")=0,(Besatzung!$F$22="x"),(U162="x")*(Besatzung!$F$22="x"))*IFERROR(H162,0)/IFERROR(IF(COUNTIF(J162:U162,"x")=0,SUMPRODUCT((Besatzung!$B$11:$B$22&lt;&gt;"")*(Besatzung!$F$11:$F$22="x")),SUMPRODUCT((J162:U162="x")*(Besatzung!$F$11:$F$22="x"))),1))))),0))))</f>
        <v/>
      </c>
      <c r="AH162" s="107" t="n"/>
      <c r="AI162" s="107" t="n"/>
    </row>
    <row r="163" ht="21.75" customHeight="1" s="182">
      <c r="A163" s="97">
        <f>IF(AND(D163="",C163=""),"",160)</f>
        <v/>
      </c>
      <c r="B163" s="63" t="n"/>
      <c r="C163" s="108" t="n"/>
      <c r="D163" s="109" t="n"/>
      <c r="E163" s="110" t="n"/>
      <c r="F163" s="111" t="n"/>
      <c r="G163" s="112" t="n"/>
      <c r="H163" s="113" t="n"/>
      <c r="I163" s="114" t="n"/>
      <c r="J163" s="115" t="n"/>
      <c r="K163" s="115" t="n"/>
      <c r="L163" s="115" t="n"/>
      <c r="M163" s="115" t="n"/>
      <c r="N163" s="115" t="n"/>
      <c r="O163" s="115" t="n"/>
      <c r="P163" s="115" t="n"/>
      <c r="Q163" s="115" t="n"/>
      <c r="R163" s="115" t="n"/>
      <c r="S163" s="115" t="n"/>
      <c r="T163" s="115" t="n"/>
      <c r="U163" s="115" t="n"/>
      <c r="V163" s="106">
        <f>IF(C163="Gutschrift","",IF(G163="","",IF(Besatzung!$B$11="","",IFERROR(IF(I163="Zeitanteilig",(Besatzung!$G$11*(G163-IFERROR(H163,0))+((Besatzung!$B$11&lt;&gt;"")*IF(B163="",1,(IF(Besatzung!$C$11="",Besatzung!$B$5,Besatzung!$C$11)&lt;=B163)*(IF(Besatzung!$D$11="",Besatzung!$B$6,Besatzung!$D$11)&gt;=B163)))*(Besatzung!$F$11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$11&lt;&gt;"")*IF(B163="",1,(IF(Besatzung!$C$11="",Besatzung!$B$5,Besatzung!$C$11)&lt;=B163)*(IF(Besatzung!$D$11="",Besatzung!$B$6,Besatzung!$D$11)&gt;=B163)))*((G163-IFERROR(H163,0))/IFERROR(SUMPRODUCT((Besatzung!$B$11:$B$22&lt;&gt;"")*(IF(Besatzung!$C$11:$C$22="",Besatzung!$B$5,Besatzung!$C$11:$C$22)&lt;=B163)*(IF(Besatzung!$D$11:$D$22="",Besatzung!$B$6,Besatzung!$D$11:$D$22)&gt;=B163)),1)+(Besatzung!$F$11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J163="x")*((G163-IFERROR(H163,0))/IFERROR(COUNTIF(J163:U163,"x"),1)+(Besatzung!$F$11="x")*IFERROR(H163,0)/IFERROR(SUMPRODUCT((J163:U163="x")*(Besatzung!$F$11:$F$22="x")),1))),(IF(COUNTIF(J163:U163,"x")=0,IF(Besatzung!$B$11&lt;&gt;"",1,0),(J163="x"))*(G163-IFERROR(H163,0))/IFERROR(IF(COUNTIF(J163:U163,"x")=0,COUNTA(Besatzung!$B$11:$B$22),COUNTIF(J163:U163,"x")),1)+IF(COUNTIF(J163:U163,"x")=0,(Besatzung!$F$11="x"),(J163="x")*(Besatzung!$F$11="x"))*IFERROR(H163,0)/IFERROR(IF(COUNTIF(J163:U163,"x")=0,SUMPRODUCT((Besatzung!$B$11:$B$22&lt;&gt;"")*(Besatzung!$F$11:$F$22="x")),SUMPRODUCT((J163:U163="x")*(Besatzung!$F$11:$F$22="x"))),1))))),0))))</f>
        <v/>
      </c>
      <c r="W163" s="106">
        <f>IF(C163="Gutschrift","",IF(G163="","",IF(Besatzung!$B$12="","",IFERROR(IF(I163="Zeitanteilig",(Besatzung!$G$12*(G163-IFERROR(H163,0))+((Besatzung!$B$12&lt;&gt;"")*IF(B163="",1,(IF(Besatzung!$C$12="",Besatzung!$B$5,Besatzung!$C$12)&lt;=B163)*(IF(Besatzung!$D$12="",Besatzung!$B$6,Besatzung!$D$12)&gt;=B163)))*(Besatzung!$F$12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$12&lt;&gt;"")*IF(B163="",1,(IF(Besatzung!$C$12="",Besatzung!$B$5,Besatzung!$C$12)&lt;=B163)*(IF(Besatzung!$D$12="",Besatzung!$B$6,Besatzung!$D$12)&gt;=B163)))*((G163-IFERROR(H163,0))/IFERROR(SUMPRODUCT((Besatzung!$B$11:$B$22&lt;&gt;"")*(IF(Besatzung!$C$11:$C$22="",Besatzung!$B$5,Besatzung!$C$11:$C$22)&lt;=B163)*(IF(Besatzung!$D$11:$D$22="",Besatzung!$B$6,Besatzung!$D$11:$D$22)&gt;=B163)),1)+(Besatzung!$F$12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K163="x")*((G163-IFERROR(H163,0))/IFERROR(COUNTIF(J163:U163,"x"),1)+(Besatzung!$F$12="x")*IFERROR(H163,0)/IFERROR(SUMPRODUCT((J163:U163="x")*(Besatzung!$F$11:$F$22="x")),1))),(IF(COUNTIF(J163:U163,"x")=0,IF(Besatzung!$B$12&lt;&gt;"",1,0),(K163="x"))*(G163-IFERROR(H163,0))/IFERROR(IF(COUNTIF(J163:U163,"x")=0,COUNTA(Besatzung!$B$11:$B$22),COUNTIF(J163:U163,"x")),1)+IF(COUNTIF(J163:U163,"x")=0,(Besatzung!$F$12="x"),(K163="x")*(Besatzung!$F$12="x"))*IFERROR(H163,0)/IFERROR(IF(COUNTIF(J163:U163,"x")=0,SUMPRODUCT((Besatzung!$B$11:$B$22&lt;&gt;"")*(Besatzung!$F$11:$F$22="x")),SUMPRODUCT((J163:U163="x")*(Besatzung!$F$11:$F$22="x"))),1))))),0))))</f>
        <v/>
      </c>
      <c r="X163" s="106">
        <f>IF(C163="Gutschrift","",IF(G163="","",IF(Besatzung!$B$13="","",IFERROR(IF(I163="Zeitanteilig",(Besatzung!$G$13*(G163-IFERROR(H163,0))+((Besatzung!$B$13&lt;&gt;"")*IF(B163="",1,(IF(Besatzung!$C$13="",Besatzung!$B$5,Besatzung!$C$13)&lt;=B163)*(IF(Besatzung!$D$13="",Besatzung!$B$6,Besatzung!$D$13)&gt;=B163)))*(Besatzung!$F$13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$13&lt;&gt;"")*IF(B163="",1,(IF(Besatzung!$C$13="",Besatzung!$B$5,Besatzung!$C$13)&lt;=B163)*(IF(Besatzung!$D$13="",Besatzung!$B$6,Besatzung!$D$13)&gt;=B163)))*((G163-IFERROR(H163,0))/IFERROR(SUMPRODUCT((Besatzung!$B$11:$B$22&lt;&gt;"")*(IF(Besatzung!$C$11:$C$22="",Besatzung!$B$5,Besatzung!$C$11:$C$22)&lt;=B163)*(IF(Besatzung!$D$11:$D$22="",Besatzung!$B$6,Besatzung!$D$11:$D$22)&gt;=B163)),1)+(Besatzung!$F$13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K163="x")*((G163-IFERROR(H163,0))/IFERROR(COUNTIF(J163:U163,"x"),1)+(Besatzung!$F$13="x")*IFERROR(H163,0)/IFERROR(SUMPRODUCT((J163:U163="x")*(Besatzung!$F$11:$F$22="x")),1))),(IF(COUNTIF(J163:U163,"x")=0,IF(Besatzung!$B$13&lt;&gt;"",1,0),(K163="x"))*(G163-IFERROR(H163,0))/IFERROR(IF(COUNTIF(J163:U163,"x")=0,COUNTA(Besatzung!$B$11:$B$22),COUNTIF(J163:U163,"x")),1)+IF(COUNTIF(J163:U163,"x")=0,(Besatzung!$F$13="x"),(K163="x")*(Besatzung!$F$13="x"))*IFERROR(H163,0)/IFERROR(IF(COUNTIF(J163:U163,"x")=0,SUMPRODUCT((Besatzung!$B$11:$B$22&lt;&gt;"")*(Besatzung!$F$11:$F$22="x")),SUMPRODUCT((J163:U163="x")*(Besatzung!$F$11:$F$22="x"))),1))))),0))))</f>
        <v/>
      </c>
      <c r="Y163" s="106">
        <f>IF(C163="Gutschrift","",IF(G163="","",IF(Besatzung!$B$14="","",IFERROR(IF(I163="Zeitanteilig",(Besatzung!$G$14*(G163-IFERROR(H163,0))+((Besatzung!$B$14&lt;&gt;"")*IF(B163="",1,(IF(Besatzung!$C$14="",Besatzung!$B$5,Besatzung!$C$14)&lt;=B163)*(IF(Besatzung!$D$14="",Besatzung!$B$6,Besatzung!$D$14)&gt;=B163)))*(Besatzung!$F$14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$14&lt;&gt;"")*IF(B163="",1,(IF(Besatzung!$C$14="",Besatzung!$B$5,Besatzung!$C$14)&lt;=B163)*(IF(Besatzung!$D$14="",Besatzung!$B$6,Besatzung!$D$14)&gt;=B163)))*((G163-IFERROR(H163,0))/IFERROR(SUMPRODUCT((Besatzung!$B$11:$B$22&lt;&gt;"")*(IF(Besatzung!$C$11:$C$22="",Besatzung!$B$5,Besatzung!$C$11:$C$22)&lt;=B163)*(IF(Besatzung!$D$11:$D$22="",Besatzung!$B$6,Besatzung!$D$11:$D$22)&gt;=B163)),1)+(Besatzung!$F$14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M163="x")*((G163-IFERROR(H163,0))/IFERROR(COUNTIF(J163:U163,"x"),1)+(Besatzung!$F$14="x")*IFERROR(H163,0)/IFERROR(SUMPRODUCT((J163:U163="x")*(Besatzung!$F$11:$F$22="x")),1))),(IF(COUNTIF(J163:U163,"x")=0,IF(Besatzung!$B$14&lt;&gt;"",1,0),(M163="x"))*(G163-IFERROR(H163,0))/IFERROR(IF(COUNTIF(J163:U163,"x")=0,COUNTA(Besatzung!$B$11:$B$22),COUNTIF(J163:U163,"x")),1)+IF(COUNTIF(J163:U163,"x")=0,(Besatzung!$F$14="x"),(M163="x")*(Besatzung!$F$14="x"))*IFERROR(H163,0)/IFERROR(IF(COUNTIF(J163:U163,"x")=0,SUMPRODUCT((Besatzung!$B$11:$B$22&lt;&gt;"")*(Besatzung!$F$11:$F$22="x")),SUMPRODUCT((J163:U163="x")*(Besatzung!$F$11:$F$22="x"))),1))))),0))))</f>
        <v/>
      </c>
      <c r="Z163" s="106">
        <f>IF(C163="Gutschrift","",IF(G163="","",IF(Besatzung!$B$13="","",IFERROR(IF(I163="Zeitanteilig",(Besatzung!$G$15*(G163-IFERROR(H163,0))+((Besatzung!$B$13&lt;&gt;"")*IF(B163="",1,(IF(Besatzung!$C$15="",Besatzung!$B$5,Besatzung!$C$15)&lt;=B163)*(IF(Besatzung!$D$15="",Besatzung!$B$6,Besatzung!$D$15)&gt;=B163)))*(Besatzung!$F$15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$13&lt;&gt;"")*IF(B163="",1,(IF(Besatzung!$C$15="",Besatzung!$B$5,Besatzung!$C$15)&lt;=B163)*(IF(Besatzung!$D$15="",Besatzung!$B$6,Besatzung!$D$15)&gt;=B163)))*((G163-IFERROR(H163,0))/IFERROR(SUMPRODUCT((Besatzung!$B$11:$B$22&lt;&gt;"")*(IF(Besatzung!$C$11:$C$22="",Besatzung!$B$5,Besatzung!$C$11:$C$22)&lt;=B163)*(IF(Besatzung!$D$11:$D$22="",Besatzung!$B$6,Besatzung!$D$11:$D$22)&gt;=B163)),1)+(Besatzung!$F$15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N163="x")*((G163-IFERROR(H163,0))/IFERROR(COUNTIF(J163:U163,"x"),1)+(Besatzung!$F$15="x")*IFERROR(H163,0)/IFERROR(SUMPRODUCT((J163:U163="x")*(Besatzung!$F$11:$F$22="x")),1))),(IF(COUNTIF(J163:U163,"x")=0,IF(Besatzung!$B$13&lt;&gt;"",1,0),(N163="x"))*(G163-IFERROR(H163,0))/IFERROR(IF(COUNTIF(J163:U163,"x")=0,COUNTA(Besatzung!$B$11:$B$22),COUNTIF(J163:U163,"x")),1)+IF(COUNTIF(J163:U163,"x")=0,(Besatzung!$F$15="x"),(N163="x")*(Besatzung!$F$15="x"))*IFERROR(H163,0)/IFERROR(IF(COUNTIF(J163:U163,"x")=0,SUMPRODUCT((Besatzung!$B$11:$B$22&lt;&gt;"")*(Besatzung!$F$11:$F$22="x")),SUMPRODUCT((J163:U163="x")*(Besatzung!$F$11:$F$22="x"))),1))))),0))))</f>
        <v/>
      </c>
      <c r="AA163" s="106">
        <f>IF(C163="Gutschrift","",IF(G163="","",IF(Besatzung!$B$15="","",IFERROR(IF(I163="Zeitanteilig",(Besatzung!$G$16*(G163-IFERROR(H163,0))+((Besatzung!$B$15&lt;&gt;"")*IF(B163="",1,(IF(Besatzung!$C$16="",Besatzung!$B$5,Besatzung!$C$16)&lt;=B163)*(IF(Besatzung!$D$16="",Besatzung!$B$6,Besatzung!$D$16)&gt;=B163)))*(Besatzung!$F$16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$15&lt;&gt;"")*IF(B163="",1,(IF(Besatzung!$C$16="",Besatzung!$B$5,Besatzung!$C$16)&lt;=B163)*(IF(Besatzung!$D$16="",Besatzung!$B$6,Besatzung!$D$16)&gt;=B163)))*((G163-IFERROR(H163,0))/IFERROR(SUMPRODUCT((Besatzung!$B$11:$B$22&lt;&gt;"")*(IF(Besatzung!$C$11:$C$22="",Besatzung!$B$5,Besatzung!$C$11:$C$22)&lt;=B163)*(IF(Besatzung!$D$11:$D$22="",Besatzung!$B$6,Besatzung!$D$11:$D$22)&gt;=B163)),1)+(Besatzung!$F$16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O163="x")*((G163-IFERROR(H163,0))/IFERROR(COUNTIF(J163:U163,"x"),1)+(Besatzung!$F$16="x")*IFERROR(H163,0)/IFERROR(SUMPRODUCT((J163:U163="x")*(Besatzung!$F$11:$F$22="x")),1))),(IF(COUNTIF(J163:U163,"x")=0,IF(Besatzung!$B$15&lt;&gt;"",1,0),(O163="x"))*(G163-IFERROR(H163,0))/IFERROR(IF(COUNTIF(J163:U163,"x")=0,COUNTA(Besatzung!$B$11:$B$22),COUNTIF(J163:U163,"x")),1)+IF(COUNTIF(J163:U163,"x")=0,(Besatzung!$F$16="x"),(O163="x")*(Besatzung!$F$16="x"))*IFERROR(H163,0)/IFERROR(IF(COUNTIF(J163:U163,"x")=0,SUMPRODUCT((Besatzung!$B$11:$B$22&lt;&gt;"")*(Besatzung!$F$11:$F$22="x")),SUMPRODUCT((J163:U163="x")*(Besatzung!$F$11:$F$22="x"))),1))))),0))))</f>
        <v/>
      </c>
      <c r="AB163" s="106">
        <f>IF(C163="Gutschrift","",IF(G163="","",IF(Besatzung!$B$17="","",IFERROR(IF(I163="Zeitanteilig",(Besatzung!$G$17*(G163-IFERROR(H163,0))+((Besatzung!$B$17&lt;&gt;"")*IF(B163="",1,(IF(Besatzung!$C$17="",Besatzung!$B$5,Besatzung!$C$17)&lt;=B163)*(IF(Besatzung!$D$17="",Besatzung!$B$6,Besatzung!$D$17)&gt;=B163)))*(Besatzung!$F$17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$17&lt;&gt;"")*IF(B163="",1,(IF(Besatzung!$C$17="",Besatzung!$B$5,Besatzung!$C$17)&lt;=B163)*(IF(Besatzung!$D$17="",Besatzung!$B$6,Besatzung!$D$17)&gt;=B163)))*((G163-IFERROR(H163,0))/IFERROR(SUMPRODUCT((Besatzung!$B$11:$B$22&lt;&gt;"")*(IF(Besatzung!$C$11:$C$22="",Besatzung!$B$5,Besatzung!$C$11:$C$22)&lt;=B163)*(IF(Besatzung!$D$11:$D$22="",Besatzung!$B$6,Besatzung!$D$11:$D$22)&gt;=B163)),1)+(Besatzung!$F$17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P163="x")*((G163-IFERROR(H163,0))/IFERROR(COUNTIF(J163:U163,"x"),1)+(Besatzung!$F$17="x")*IFERROR(H163,0)/IFERROR(SUMPRODUCT((J163:U163="x")*(Besatzung!$F$11:$F$22="x")),1))),(IF(COUNTIF(J163:U163,"x")=0,IF(Besatzung!$B$17&lt;&gt;"",1,0),(P163="x"))*(G163-IFERROR(H163,0))/IFERROR(IF(COUNTIF(J163:U163,"x")=0,COUNTA(Besatzung!$B$11:$B$22),COUNTIF(J163:U163,"x")),1)+IF(COUNTIF(J163:U163,"x")=0,(Besatzung!$F$17="x"),(P163="x")*(Besatzung!$F$17="x"))*IFERROR(H163,0)/IFERROR(IF(COUNTIF(J163:U163,"x")=0,SUMPRODUCT((Besatzung!$B$11:$B$22&lt;&gt;"")*(Besatzung!$F$11:$F$22="x")),SUMPRODUCT((J163:U163="x")*(Besatzung!$F$11:$F$22="x"))),1))))),0))))</f>
        <v/>
      </c>
      <c r="AC163" s="106">
        <f>IF(C163="Gutschrift","",IF(G163="","",IF(Besatzung!$B$18="","",IFERROR(IF(I163="Zeitanteilig",(Besatzung!$G$18*(G163-IFERROR(H163,0))+((Besatzung!$B$18&lt;&gt;"")*IF(B163="",1,(IF(Besatzung!$C$18="",Besatzung!$B$5,Besatzung!$C$18)&lt;=B163)*(IF(Besatzung!$D$18="",Besatzung!$B$6,Besatzung!$D$18)&gt;=B163)))*(Besatzung!$F$18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$18&lt;&gt;"")*IF(B163="",1,(IF(Besatzung!$C$18="",Besatzung!$B$5,Besatzung!$C$18)&lt;=B163)*(IF(Besatzung!$D$18="",Besatzung!$B$6,Besatzung!$D$18)&gt;=B163)))*((G163-IFERROR(H163,0))/IFERROR(SUMPRODUCT((Besatzung!$B$11:$B$22&lt;&gt;"")*(IF(Besatzung!$C$11:$C$22="",Besatzung!$B$5,Besatzung!$C$11:$C$22)&lt;=B163)*(IF(Besatzung!$D$11:$D$22="",Besatzung!$B$6,Besatzung!$D$11:$D$22)&gt;=B163)),1)+(Besatzung!$F$18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Q163="x")*((G163-IFERROR(H163,0))/IFERROR(COUNTIF(J163:U163,"x"),1)+(Besatzung!$F$18="x")*IFERROR(H163,0)/IFERROR(SUMPRODUCT((J163:U163="x")*(Besatzung!$F$11:$F$22="x")),1))),(IF(COUNTIF(J163:U163,"x")=0,IF(Besatzung!$B$18&lt;&gt;"",1,0),(Q163="x"))*(G163-IFERROR(H163,0))/IFERROR(IF(COUNTIF(J163:U163,"x")=0,COUNTA(Besatzung!$B$11:$B$22),COUNTIF(J163:U163,"x")),1)+IF(COUNTIF(J163:U163,"x")=0,(Besatzung!$F$18="x"),(Q163="x")*(Besatzung!$F$18="x"))*IFERROR(H163,0)/IFERROR(IF(COUNTIF(J163:U163,"x")=0,SUMPRODUCT((Besatzung!$B$11:$B$22&lt;&gt;"")*(Besatzung!$F$11:$F$22="x")),SUMPRODUCT((J163:U163="x")*(Besatzung!$F$11:$F$22="x"))),1))))),0))))</f>
        <v/>
      </c>
      <c r="AD163" s="106">
        <f>IF(C163="Gutschrift","",IF(G163="","",IF(Besatzung!$B$19="","",IFERROR(IF(I163="Zeitanteilig",(Besatzung!$G$19*(G163-IFERROR(H163,0))+((Besatzung!$B$19&lt;&gt;"")*IF(B163="",1,(IF(Besatzung!$C$19="",Besatzung!$B$5,Besatzung!$C$19)&lt;=B163)*(IF(Besatzung!$D$19="",Besatzung!$B$6,Besatzung!$D$19)&gt;=B163)))*(Besatzung!$F$19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$19&lt;&gt;"")*IF(B163="",1,(IF(Besatzung!$C$19="",Besatzung!$B$5,Besatzung!$C$19)&lt;=B163)*(IF(Besatzung!$D$19="",Besatzung!$B$6,Besatzung!$D$19)&gt;=B163)))*((G163-IFERROR(H163,0))/IFERROR(SUMPRODUCT((Besatzung!$B$11:$B$22&lt;&gt;"")*(IF(Besatzung!$C$11:$C$22="",Besatzung!$B$5,Besatzung!$C$11:$C$22)&lt;=B163)*(IF(Besatzung!$D$11:$D$22="",Besatzung!$B$6,Besatzung!$D$11:$D$22)&gt;=B163)),1)+(Besatzung!$F$19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R163="x")*((G163-IFERROR(H163,0))/IFERROR(COUNTIF(J163:U163,"x"),1)+(Besatzung!$F$19="x")*IFERROR(H163,0)/IFERROR(SUMPRODUCT((J163:U163="x")*(Besatzung!$F$11:$F$22="x")),1))),(IF(COUNTIF(J163:U163,"x")=0,IF(Besatzung!$B$19&lt;&gt;"",1,0),(R163="x"))*(G163-IFERROR(H163,0))/IFERROR(IF(COUNTIF(J163:U163,"x")=0,COUNTA(Besatzung!$B$11:$B$22),COUNTIF(J163:U163,"x")),1)+IF(COUNTIF(J163:U163,"x")=0,(Besatzung!$F$19="x"),(R163="x")*(Besatzung!$F$19="x"))*IFERROR(H163,0)/IFERROR(IF(COUNTIF(J163:U163,"x")=0,SUMPRODUCT((Besatzung!$B$11:$B$22&lt;&gt;"")*(Besatzung!$F$11:$F$22="x")),SUMPRODUCT((J163:U163="x")*(Besatzung!$F$11:$F$22="x"))),1))))),0))))</f>
        <v/>
      </c>
      <c r="AE163" s="106">
        <f>IF(C163="Gutschrift","",IF(G163="","",IF(Besatzung!$B$20="","",IFERROR(IF(I163="Zeitanteilig",(Besatzung!$G$20*(G163-IFERROR(H163,0))+((Besatzung!$B$20&lt;&gt;"")*IF(B163="",1,(IF(Besatzung!$C$20="",Besatzung!$B$5,Besatzung!$C$20)&lt;=B163)*(IF(Besatzung!$D$20="",Besatzung!$B$6,Besatzung!$D$20)&gt;=B163)))*(Besatzung!$F$20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$20&lt;&gt;"")*IF(B163="",1,(IF(Besatzung!$C$20="",Besatzung!$B$5,Besatzung!$C$20)&lt;=B163)*(IF(Besatzung!$D$20="",Besatzung!$B$6,Besatzung!$D$20)&gt;=B163)))*((G163-IFERROR(H163,0))/IFERROR(SUMPRODUCT((Besatzung!$B$11:$B$22&lt;&gt;"")*(IF(Besatzung!$C$11:$C$22="",Besatzung!$B$5,Besatzung!$C$11:$C$22)&lt;=B163)*(IF(Besatzung!$D$11:$D$22="",Besatzung!$B$6,Besatzung!$D$11:$D$22)&gt;=B163)),1)+(Besatzung!$F$20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S163="x")*((G163-IFERROR(H163,0))/IFERROR(COUNTIF(J163:U163,"x"),1)+(Besatzung!$F$20="x")*IFERROR(H163,0)/IFERROR(SUMPRODUCT((J163:U163="x")*(Besatzung!$F$11:$F$22="x")),1))),(IF(COUNTIF(J163:U163,"x")=0,IF(Besatzung!$B$20&lt;&gt;"",1,0),(S163="x"))*(G163-IFERROR(H163,0))/IFERROR(IF(COUNTIF(J163:U163,"x")=0,COUNTA(Besatzung!$B$11:$B$22),COUNTIF(J163:U163,"x")),1)+IF(COUNTIF(J163:U163,"x")=0,(Besatzung!$F$20="x"),(S163="x")*(Besatzung!$F$20="x"))*IFERROR(H163,0)/IFERROR(IF(COUNTIF(J163:U163,"x")=0,SUMPRODUCT((Besatzung!$B$11:$B$22&lt;&gt;"")*(Besatzung!$F$11:$F$22="x")),SUMPRODUCT((J163:U163="x")*(Besatzung!$F$11:$F$22="x"))),1))))),0))))</f>
        <v/>
      </c>
      <c r="AF163" s="106">
        <f>IF(C163="Gutschrift","",IF(G163="","",IF(Besatzung!$B$21="","",IFERROR(IF(I163="Zeitanteilig",(Besatzung!$G$21*(G163-IFERROR(H163,0))+((Besatzung!$B$21&lt;&gt;"")*IF(B163="",1,(IF(Besatzung!$C$21="",Besatzung!$B$5,Besatzung!$C$21)&lt;=B163)*(IF(Besatzung!$D$21="",Besatzung!$B$6,Besatzung!$D$21)&gt;=B163)))*(Besatzung!$F$21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$21&lt;&gt;"")*IF(B163="",1,(IF(Besatzung!$C$21="",Besatzung!$B$5,Besatzung!$C$21)&lt;=B163)*(IF(Besatzung!$D$21="",Besatzung!$B$6,Besatzung!$D$21)&gt;=B163)))*((G163-IFERROR(H163,0))/IFERROR(SUMPRODUCT((Besatzung!$B$11:$B$22&lt;&gt;"")*(IF(Besatzung!$C$11:$C$22="",Besatzung!$B$5,Besatzung!$C$11:$C$22)&lt;=B163)*(IF(Besatzung!$D$11:$D$22="",Besatzung!$B$6,Besatzung!$D$11:$D$22)&gt;=B163)),1)+(Besatzung!$F$21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T163="x")*((G163-IFERROR(H163,0))/IFERROR(COUNTIF(J163:U163,"x"),1)+(Besatzung!$F$21="x")*IFERROR(H163,0)/IFERROR(SUMPRODUCT((J163:U163="x")*(Besatzung!$F$11:$F$22="x")),1))),(IF(COUNTIF(J163:U163,"x")=0,IF(Besatzung!$B$21&lt;&gt;"",1,0),(T163="x"))*(G163-IFERROR(H163,0))/IFERROR(IF(COUNTIF(J163:U163,"x")=0,COUNTA(Besatzung!$B$11:$B$22),COUNTIF(J163:U163,"x")),1)+IF(COUNTIF(J163:U163,"x")=0,(Besatzung!$F$21="x"),(T163="x")*(Besatzung!$F$21="x"))*IFERROR(H163,0)/IFERROR(IF(COUNTIF(J163:U163,"x")=0,SUMPRODUCT((Besatzung!$B$11:$B$22&lt;&gt;"")*(Besatzung!$F$11:$F$22="x")),SUMPRODUCT((J163:U163="x")*(Besatzung!$F$11:$F$22="x"))),1))))),0))))</f>
        <v/>
      </c>
      <c r="AG163" s="106">
        <f>IF(C163="Gutschrift","",IF(G163="","",IF(Besatzung!$B$22="","",IFERROR(IF(I163="Zeitanteilig",(Besatzung!$G$22*(G163-IFERROR(H163,0))+((Besatzung!$B$22&lt;&gt;"")*IF(B163="",1,(IF(Besatzung!$C$22="",Besatzung!$B$5,Besatzung!$C$22)&lt;=B163)*(IF(Besatzung!$D$22="",Besatzung!$B$6,Besatzung!$D$22)&gt;=B163)))*(Besatzung!$F$22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$22&lt;&gt;"")*IF(B163="",1,(IF(Besatzung!$C$22="",Besatzung!$B$5,Besatzung!$C$22)&lt;=B163)*(IF(Besatzung!$D$22="",Besatzung!$B$6,Besatzung!$D$22)&gt;=B163)))*((G163-IFERROR(H163,0))/IFERROR(SUMPRODUCT((Besatzung!$B$11:$B$22&lt;&gt;"")*(IF(Besatzung!$C$11:$C$22="",Besatzung!$B$5,Besatzung!$C$11:$C$22)&lt;=B163)*(IF(Besatzung!$D$11:$D$22="",Besatzung!$B$6,Besatzung!$D$11:$D$22)&gt;=B163)),1)+(Besatzung!$F$22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U163="x")*((G163-IFERROR(H163,0))/IFERROR(COUNTIF(J163:U163,"x"),1)+(Besatzung!$F$22="x")*IFERROR(H163,0)/IFERROR(SUMPRODUCT((J163:U163="x")*(Besatzung!$F$11:$F$22="x")),1))),(IF(COUNTIF(J163:U163,"x")=0,IF(Besatzung!$B$22&lt;&gt;"",1,0),(U163="x"))*(G163-IFERROR(H163,0))/IFERROR(IF(COUNTIF(J163:U163,"x")=0,COUNTA(Besatzung!$B$11:$B$22),COUNTIF(J163:U163,"x")),1)+IF(COUNTIF(J163:U163,"x")=0,(Besatzung!$F$22="x"),(U163="x")*(Besatzung!$F$22="x"))*IFERROR(H163,0)/IFERROR(IF(COUNTIF(J163:U163,"x")=0,SUMPRODUCT((Besatzung!$B$11:$B$22&lt;&gt;"")*(Besatzung!$F$11:$F$22="x")),SUMPRODUCT((J163:U163="x")*(Besatzung!$F$11:$F$22="x"))),1))))),0))))</f>
        <v/>
      </c>
      <c r="AH163" s="107" t="n"/>
      <c r="AI163" s="107" t="n"/>
    </row>
    <row r="164" ht="21.75" customHeight="1" s="182">
      <c r="A164" s="97">
        <f>IF(AND(D164="",C164=""),"",161)</f>
        <v/>
      </c>
      <c r="B164" s="56" t="n"/>
      <c r="C164" s="98" t="n"/>
      <c r="D164" s="99" t="n"/>
      <c r="E164" s="100" t="n"/>
      <c r="F164" s="101" t="n"/>
      <c r="G164" s="102" t="n"/>
      <c r="H164" s="103" t="n"/>
      <c r="I164" s="104" t="n"/>
      <c r="J164" s="105" t="n"/>
      <c r="K164" s="105" t="n"/>
      <c r="L164" s="105" t="n"/>
      <c r="M164" s="105" t="n"/>
      <c r="N164" s="105" t="n"/>
      <c r="O164" s="105" t="n"/>
      <c r="P164" s="105" t="n"/>
      <c r="Q164" s="105" t="n"/>
      <c r="R164" s="105" t="n"/>
      <c r="S164" s="105" t="n"/>
      <c r="T164" s="105" t="n"/>
      <c r="U164" s="105" t="n"/>
      <c r="V164" s="106">
        <f>IF(C164="Gutschrift","",IF(G164="","",IF(Besatzung!$B$11="","",IFERROR(IF(I164="Zeitanteilig",(Besatzung!$G$11*(G164-IFERROR(H164,0))+((Besatzung!$B$11&lt;&gt;"")*IF(B164="",1,(IF(Besatzung!$C$11="",Besatzung!$B$5,Besatzung!$C$11)&lt;=B164)*(IF(Besatzung!$D$11="",Besatzung!$B$6,Besatzung!$D$11)&gt;=B164)))*(Besatzung!$F$11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$11&lt;&gt;"")*IF(B164="",1,(IF(Besatzung!$C$11="",Besatzung!$B$5,Besatzung!$C$11)&lt;=B164)*(IF(Besatzung!$D$11="",Besatzung!$B$6,Besatzung!$D$11)&gt;=B164)))*((G164-IFERROR(H164,0))/IFERROR(SUMPRODUCT((Besatzung!$B$11:$B$22&lt;&gt;"")*(IF(Besatzung!$C$11:$C$22="",Besatzung!$B$5,Besatzung!$C$11:$C$22)&lt;=B164)*(IF(Besatzung!$D$11:$D$22="",Besatzung!$B$6,Besatzung!$D$11:$D$22)&gt;=B164)),1)+(Besatzung!$F$11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J164="x")*((G164-IFERROR(H164,0))/IFERROR(COUNTIF(J164:U164,"x"),1)+(Besatzung!$F$11="x")*IFERROR(H164,0)/IFERROR(SUMPRODUCT((J164:U164="x")*(Besatzung!$F$11:$F$22="x")),1))),(IF(COUNTIF(J164:U164,"x")=0,IF(Besatzung!$B$11&lt;&gt;"",1,0),(J164="x"))*(G164-IFERROR(H164,0))/IFERROR(IF(COUNTIF(J164:U164,"x")=0,COUNTA(Besatzung!$B$11:$B$22),COUNTIF(J164:U164,"x")),1)+IF(COUNTIF(J164:U164,"x")=0,(Besatzung!$F$11="x"),(J164="x")*(Besatzung!$F$11="x"))*IFERROR(H164,0)/IFERROR(IF(COUNTIF(J164:U164,"x")=0,SUMPRODUCT((Besatzung!$B$11:$B$22&lt;&gt;"")*(Besatzung!$F$11:$F$22="x")),SUMPRODUCT((J164:U164="x")*(Besatzung!$F$11:$F$22="x"))),1))))),0))))</f>
        <v/>
      </c>
      <c r="W164" s="106">
        <f>IF(C164="Gutschrift","",IF(G164="","",IF(Besatzung!$B$12="","",IFERROR(IF(I164="Zeitanteilig",(Besatzung!$G$12*(G164-IFERROR(H164,0))+((Besatzung!$B$12&lt;&gt;"")*IF(B164="",1,(IF(Besatzung!$C$12="",Besatzung!$B$5,Besatzung!$C$12)&lt;=B164)*(IF(Besatzung!$D$12="",Besatzung!$B$6,Besatzung!$D$12)&gt;=B164)))*(Besatzung!$F$12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$12&lt;&gt;"")*IF(B164="",1,(IF(Besatzung!$C$12="",Besatzung!$B$5,Besatzung!$C$12)&lt;=B164)*(IF(Besatzung!$D$12="",Besatzung!$B$6,Besatzung!$D$12)&gt;=B164)))*((G164-IFERROR(H164,0))/IFERROR(SUMPRODUCT((Besatzung!$B$11:$B$22&lt;&gt;"")*(IF(Besatzung!$C$11:$C$22="",Besatzung!$B$5,Besatzung!$C$11:$C$22)&lt;=B164)*(IF(Besatzung!$D$11:$D$22="",Besatzung!$B$6,Besatzung!$D$11:$D$22)&gt;=B164)),1)+(Besatzung!$F$12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K164="x")*((G164-IFERROR(H164,0))/IFERROR(COUNTIF(J164:U164,"x"),1)+(Besatzung!$F$12="x")*IFERROR(H164,0)/IFERROR(SUMPRODUCT((J164:U164="x")*(Besatzung!$F$11:$F$22="x")),1))),(IF(COUNTIF(J164:U164,"x")=0,IF(Besatzung!$B$12&lt;&gt;"",1,0),(K164="x"))*(G164-IFERROR(H164,0))/IFERROR(IF(COUNTIF(J164:U164,"x")=0,COUNTA(Besatzung!$B$11:$B$22),COUNTIF(J164:U164,"x")),1)+IF(COUNTIF(J164:U164,"x")=0,(Besatzung!$F$12="x"),(K164="x")*(Besatzung!$F$12="x"))*IFERROR(H164,0)/IFERROR(IF(COUNTIF(J164:U164,"x")=0,SUMPRODUCT((Besatzung!$B$11:$B$22&lt;&gt;"")*(Besatzung!$F$11:$F$22="x")),SUMPRODUCT((J164:U164="x")*(Besatzung!$F$11:$F$22="x"))),1))))),0))))</f>
        <v/>
      </c>
      <c r="X164" s="106">
        <f>IF(C164="Gutschrift","",IF(G164="","",IF(Besatzung!$B$13="","",IFERROR(IF(I164="Zeitanteilig",(Besatzung!$G$13*(G164-IFERROR(H164,0))+((Besatzung!$B$13&lt;&gt;"")*IF(B164="",1,(IF(Besatzung!$C$13="",Besatzung!$B$5,Besatzung!$C$13)&lt;=B164)*(IF(Besatzung!$D$13="",Besatzung!$B$6,Besatzung!$D$13)&gt;=B164)))*(Besatzung!$F$13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$13&lt;&gt;"")*IF(B164="",1,(IF(Besatzung!$C$13="",Besatzung!$B$5,Besatzung!$C$13)&lt;=B164)*(IF(Besatzung!$D$13="",Besatzung!$B$6,Besatzung!$D$13)&gt;=B164)))*((G164-IFERROR(H164,0))/IFERROR(SUMPRODUCT((Besatzung!$B$11:$B$22&lt;&gt;"")*(IF(Besatzung!$C$11:$C$22="",Besatzung!$B$5,Besatzung!$C$11:$C$22)&lt;=B164)*(IF(Besatzung!$D$11:$D$22="",Besatzung!$B$6,Besatzung!$D$11:$D$22)&gt;=B164)),1)+(Besatzung!$F$13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K164="x")*((G164-IFERROR(H164,0))/IFERROR(COUNTIF(J164:U164,"x"),1)+(Besatzung!$F$13="x")*IFERROR(H164,0)/IFERROR(SUMPRODUCT((J164:U164="x")*(Besatzung!$F$11:$F$22="x")),1))),(IF(COUNTIF(J164:U164,"x")=0,IF(Besatzung!$B$13&lt;&gt;"",1,0),(K164="x"))*(G164-IFERROR(H164,0))/IFERROR(IF(COUNTIF(J164:U164,"x")=0,COUNTA(Besatzung!$B$11:$B$22),COUNTIF(J164:U164,"x")),1)+IF(COUNTIF(J164:U164,"x")=0,(Besatzung!$F$13="x"),(K164="x")*(Besatzung!$F$13="x"))*IFERROR(H164,0)/IFERROR(IF(COUNTIF(J164:U164,"x")=0,SUMPRODUCT((Besatzung!$B$11:$B$22&lt;&gt;"")*(Besatzung!$F$11:$F$22="x")),SUMPRODUCT((J164:U164="x")*(Besatzung!$F$11:$F$22="x"))),1))))),0))))</f>
        <v/>
      </c>
      <c r="Y164" s="106">
        <f>IF(C164="Gutschrift","",IF(G164="","",IF(Besatzung!$B$14="","",IFERROR(IF(I164="Zeitanteilig",(Besatzung!$G$14*(G164-IFERROR(H164,0))+((Besatzung!$B$14&lt;&gt;"")*IF(B164="",1,(IF(Besatzung!$C$14="",Besatzung!$B$5,Besatzung!$C$14)&lt;=B164)*(IF(Besatzung!$D$14="",Besatzung!$B$6,Besatzung!$D$14)&gt;=B164)))*(Besatzung!$F$14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$14&lt;&gt;"")*IF(B164="",1,(IF(Besatzung!$C$14="",Besatzung!$B$5,Besatzung!$C$14)&lt;=B164)*(IF(Besatzung!$D$14="",Besatzung!$B$6,Besatzung!$D$14)&gt;=B164)))*((G164-IFERROR(H164,0))/IFERROR(SUMPRODUCT((Besatzung!$B$11:$B$22&lt;&gt;"")*(IF(Besatzung!$C$11:$C$22="",Besatzung!$B$5,Besatzung!$C$11:$C$22)&lt;=B164)*(IF(Besatzung!$D$11:$D$22="",Besatzung!$B$6,Besatzung!$D$11:$D$22)&gt;=B164)),1)+(Besatzung!$F$14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M164="x")*((G164-IFERROR(H164,0))/IFERROR(COUNTIF(J164:U164,"x"),1)+(Besatzung!$F$14="x")*IFERROR(H164,0)/IFERROR(SUMPRODUCT((J164:U164="x")*(Besatzung!$F$11:$F$22="x")),1))),(IF(COUNTIF(J164:U164,"x")=0,IF(Besatzung!$B$14&lt;&gt;"",1,0),(M164="x"))*(G164-IFERROR(H164,0))/IFERROR(IF(COUNTIF(J164:U164,"x")=0,COUNTA(Besatzung!$B$11:$B$22),COUNTIF(J164:U164,"x")),1)+IF(COUNTIF(J164:U164,"x")=0,(Besatzung!$F$14="x"),(M164="x")*(Besatzung!$F$14="x"))*IFERROR(H164,0)/IFERROR(IF(COUNTIF(J164:U164,"x")=0,SUMPRODUCT((Besatzung!$B$11:$B$22&lt;&gt;"")*(Besatzung!$F$11:$F$22="x")),SUMPRODUCT((J164:U164="x")*(Besatzung!$F$11:$F$22="x"))),1))))),0))))</f>
        <v/>
      </c>
      <c r="Z164" s="106">
        <f>IF(C164="Gutschrift","",IF(G164="","",IF(Besatzung!$B$13="","",IFERROR(IF(I164="Zeitanteilig",(Besatzung!$G$15*(G164-IFERROR(H164,0))+((Besatzung!$B$13&lt;&gt;"")*IF(B164="",1,(IF(Besatzung!$C$15="",Besatzung!$B$5,Besatzung!$C$15)&lt;=B164)*(IF(Besatzung!$D$15="",Besatzung!$B$6,Besatzung!$D$15)&gt;=B164)))*(Besatzung!$F$15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$13&lt;&gt;"")*IF(B164="",1,(IF(Besatzung!$C$15="",Besatzung!$B$5,Besatzung!$C$15)&lt;=B164)*(IF(Besatzung!$D$15="",Besatzung!$B$6,Besatzung!$D$15)&gt;=B164)))*((G164-IFERROR(H164,0))/IFERROR(SUMPRODUCT((Besatzung!$B$11:$B$22&lt;&gt;"")*(IF(Besatzung!$C$11:$C$22="",Besatzung!$B$5,Besatzung!$C$11:$C$22)&lt;=B164)*(IF(Besatzung!$D$11:$D$22="",Besatzung!$B$6,Besatzung!$D$11:$D$22)&gt;=B164)),1)+(Besatzung!$F$15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N164="x")*((G164-IFERROR(H164,0))/IFERROR(COUNTIF(J164:U164,"x"),1)+(Besatzung!$F$15="x")*IFERROR(H164,0)/IFERROR(SUMPRODUCT((J164:U164="x")*(Besatzung!$F$11:$F$22="x")),1))),(IF(COUNTIF(J164:U164,"x")=0,IF(Besatzung!$B$13&lt;&gt;"",1,0),(N164="x"))*(G164-IFERROR(H164,0))/IFERROR(IF(COUNTIF(J164:U164,"x")=0,COUNTA(Besatzung!$B$11:$B$22),COUNTIF(J164:U164,"x")),1)+IF(COUNTIF(J164:U164,"x")=0,(Besatzung!$F$15="x"),(N164="x")*(Besatzung!$F$15="x"))*IFERROR(H164,0)/IFERROR(IF(COUNTIF(J164:U164,"x")=0,SUMPRODUCT((Besatzung!$B$11:$B$22&lt;&gt;"")*(Besatzung!$F$11:$F$22="x")),SUMPRODUCT((J164:U164="x")*(Besatzung!$F$11:$F$22="x"))),1))))),0))))</f>
        <v/>
      </c>
      <c r="AA164" s="106">
        <f>IF(C164="Gutschrift","",IF(G164="","",IF(Besatzung!$B$15="","",IFERROR(IF(I164="Zeitanteilig",(Besatzung!$G$16*(G164-IFERROR(H164,0))+((Besatzung!$B$15&lt;&gt;"")*IF(B164="",1,(IF(Besatzung!$C$16="",Besatzung!$B$5,Besatzung!$C$16)&lt;=B164)*(IF(Besatzung!$D$16="",Besatzung!$B$6,Besatzung!$D$16)&gt;=B164)))*(Besatzung!$F$16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$15&lt;&gt;"")*IF(B164="",1,(IF(Besatzung!$C$16="",Besatzung!$B$5,Besatzung!$C$16)&lt;=B164)*(IF(Besatzung!$D$16="",Besatzung!$B$6,Besatzung!$D$16)&gt;=B164)))*((G164-IFERROR(H164,0))/IFERROR(SUMPRODUCT((Besatzung!$B$11:$B$22&lt;&gt;"")*(IF(Besatzung!$C$11:$C$22="",Besatzung!$B$5,Besatzung!$C$11:$C$22)&lt;=B164)*(IF(Besatzung!$D$11:$D$22="",Besatzung!$B$6,Besatzung!$D$11:$D$22)&gt;=B164)),1)+(Besatzung!$F$16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O164="x")*((G164-IFERROR(H164,0))/IFERROR(COUNTIF(J164:U164,"x"),1)+(Besatzung!$F$16="x")*IFERROR(H164,0)/IFERROR(SUMPRODUCT((J164:U164="x")*(Besatzung!$F$11:$F$22="x")),1))),(IF(COUNTIF(J164:U164,"x")=0,IF(Besatzung!$B$15&lt;&gt;"",1,0),(O164="x"))*(G164-IFERROR(H164,0))/IFERROR(IF(COUNTIF(J164:U164,"x")=0,COUNTA(Besatzung!$B$11:$B$22),COUNTIF(J164:U164,"x")),1)+IF(COUNTIF(J164:U164,"x")=0,(Besatzung!$F$16="x"),(O164="x")*(Besatzung!$F$16="x"))*IFERROR(H164,0)/IFERROR(IF(COUNTIF(J164:U164,"x")=0,SUMPRODUCT((Besatzung!$B$11:$B$22&lt;&gt;"")*(Besatzung!$F$11:$F$22="x")),SUMPRODUCT((J164:U164="x")*(Besatzung!$F$11:$F$22="x"))),1))))),0))))</f>
        <v/>
      </c>
      <c r="AB164" s="106">
        <f>IF(C164="Gutschrift","",IF(G164="","",IF(Besatzung!$B$17="","",IFERROR(IF(I164="Zeitanteilig",(Besatzung!$G$17*(G164-IFERROR(H164,0))+((Besatzung!$B$17&lt;&gt;"")*IF(B164="",1,(IF(Besatzung!$C$17="",Besatzung!$B$5,Besatzung!$C$17)&lt;=B164)*(IF(Besatzung!$D$17="",Besatzung!$B$6,Besatzung!$D$17)&gt;=B164)))*(Besatzung!$F$17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$17&lt;&gt;"")*IF(B164="",1,(IF(Besatzung!$C$17="",Besatzung!$B$5,Besatzung!$C$17)&lt;=B164)*(IF(Besatzung!$D$17="",Besatzung!$B$6,Besatzung!$D$17)&gt;=B164)))*((G164-IFERROR(H164,0))/IFERROR(SUMPRODUCT((Besatzung!$B$11:$B$22&lt;&gt;"")*(IF(Besatzung!$C$11:$C$22="",Besatzung!$B$5,Besatzung!$C$11:$C$22)&lt;=B164)*(IF(Besatzung!$D$11:$D$22="",Besatzung!$B$6,Besatzung!$D$11:$D$22)&gt;=B164)),1)+(Besatzung!$F$17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P164="x")*((G164-IFERROR(H164,0))/IFERROR(COUNTIF(J164:U164,"x"),1)+(Besatzung!$F$17="x")*IFERROR(H164,0)/IFERROR(SUMPRODUCT((J164:U164="x")*(Besatzung!$F$11:$F$22="x")),1))),(IF(COUNTIF(J164:U164,"x")=0,IF(Besatzung!$B$17&lt;&gt;"",1,0),(P164="x"))*(G164-IFERROR(H164,0))/IFERROR(IF(COUNTIF(J164:U164,"x")=0,COUNTA(Besatzung!$B$11:$B$22),COUNTIF(J164:U164,"x")),1)+IF(COUNTIF(J164:U164,"x")=0,(Besatzung!$F$17="x"),(P164="x")*(Besatzung!$F$17="x"))*IFERROR(H164,0)/IFERROR(IF(COUNTIF(J164:U164,"x")=0,SUMPRODUCT((Besatzung!$B$11:$B$22&lt;&gt;"")*(Besatzung!$F$11:$F$22="x")),SUMPRODUCT((J164:U164="x")*(Besatzung!$F$11:$F$22="x"))),1))))),0))))</f>
        <v/>
      </c>
      <c r="AC164" s="106">
        <f>IF(C164="Gutschrift","",IF(G164="","",IF(Besatzung!$B$18="","",IFERROR(IF(I164="Zeitanteilig",(Besatzung!$G$18*(G164-IFERROR(H164,0))+((Besatzung!$B$18&lt;&gt;"")*IF(B164="",1,(IF(Besatzung!$C$18="",Besatzung!$B$5,Besatzung!$C$18)&lt;=B164)*(IF(Besatzung!$D$18="",Besatzung!$B$6,Besatzung!$D$18)&gt;=B164)))*(Besatzung!$F$18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$18&lt;&gt;"")*IF(B164="",1,(IF(Besatzung!$C$18="",Besatzung!$B$5,Besatzung!$C$18)&lt;=B164)*(IF(Besatzung!$D$18="",Besatzung!$B$6,Besatzung!$D$18)&gt;=B164)))*((G164-IFERROR(H164,0))/IFERROR(SUMPRODUCT((Besatzung!$B$11:$B$22&lt;&gt;"")*(IF(Besatzung!$C$11:$C$22="",Besatzung!$B$5,Besatzung!$C$11:$C$22)&lt;=B164)*(IF(Besatzung!$D$11:$D$22="",Besatzung!$B$6,Besatzung!$D$11:$D$22)&gt;=B164)),1)+(Besatzung!$F$18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Q164="x")*((G164-IFERROR(H164,0))/IFERROR(COUNTIF(J164:U164,"x"),1)+(Besatzung!$F$18="x")*IFERROR(H164,0)/IFERROR(SUMPRODUCT((J164:U164="x")*(Besatzung!$F$11:$F$22="x")),1))),(IF(COUNTIF(J164:U164,"x")=0,IF(Besatzung!$B$18&lt;&gt;"",1,0),(Q164="x"))*(G164-IFERROR(H164,0))/IFERROR(IF(COUNTIF(J164:U164,"x")=0,COUNTA(Besatzung!$B$11:$B$22),COUNTIF(J164:U164,"x")),1)+IF(COUNTIF(J164:U164,"x")=0,(Besatzung!$F$18="x"),(Q164="x")*(Besatzung!$F$18="x"))*IFERROR(H164,0)/IFERROR(IF(COUNTIF(J164:U164,"x")=0,SUMPRODUCT((Besatzung!$B$11:$B$22&lt;&gt;"")*(Besatzung!$F$11:$F$22="x")),SUMPRODUCT((J164:U164="x")*(Besatzung!$F$11:$F$22="x"))),1))))),0))))</f>
        <v/>
      </c>
      <c r="AD164" s="106">
        <f>IF(C164="Gutschrift","",IF(G164="","",IF(Besatzung!$B$19="","",IFERROR(IF(I164="Zeitanteilig",(Besatzung!$G$19*(G164-IFERROR(H164,0))+((Besatzung!$B$19&lt;&gt;"")*IF(B164="",1,(IF(Besatzung!$C$19="",Besatzung!$B$5,Besatzung!$C$19)&lt;=B164)*(IF(Besatzung!$D$19="",Besatzung!$B$6,Besatzung!$D$19)&gt;=B164)))*(Besatzung!$F$19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$19&lt;&gt;"")*IF(B164="",1,(IF(Besatzung!$C$19="",Besatzung!$B$5,Besatzung!$C$19)&lt;=B164)*(IF(Besatzung!$D$19="",Besatzung!$B$6,Besatzung!$D$19)&gt;=B164)))*((G164-IFERROR(H164,0))/IFERROR(SUMPRODUCT((Besatzung!$B$11:$B$22&lt;&gt;"")*(IF(Besatzung!$C$11:$C$22="",Besatzung!$B$5,Besatzung!$C$11:$C$22)&lt;=B164)*(IF(Besatzung!$D$11:$D$22="",Besatzung!$B$6,Besatzung!$D$11:$D$22)&gt;=B164)),1)+(Besatzung!$F$19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R164="x")*((G164-IFERROR(H164,0))/IFERROR(COUNTIF(J164:U164,"x"),1)+(Besatzung!$F$19="x")*IFERROR(H164,0)/IFERROR(SUMPRODUCT((J164:U164="x")*(Besatzung!$F$11:$F$22="x")),1))),(IF(COUNTIF(J164:U164,"x")=0,IF(Besatzung!$B$19&lt;&gt;"",1,0),(R164="x"))*(G164-IFERROR(H164,0))/IFERROR(IF(COUNTIF(J164:U164,"x")=0,COUNTA(Besatzung!$B$11:$B$22),COUNTIF(J164:U164,"x")),1)+IF(COUNTIF(J164:U164,"x")=0,(Besatzung!$F$19="x"),(R164="x")*(Besatzung!$F$19="x"))*IFERROR(H164,0)/IFERROR(IF(COUNTIF(J164:U164,"x")=0,SUMPRODUCT((Besatzung!$B$11:$B$22&lt;&gt;"")*(Besatzung!$F$11:$F$22="x")),SUMPRODUCT((J164:U164="x")*(Besatzung!$F$11:$F$22="x"))),1))))),0))))</f>
        <v/>
      </c>
      <c r="AE164" s="106">
        <f>IF(C164="Gutschrift","",IF(G164="","",IF(Besatzung!$B$20="","",IFERROR(IF(I164="Zeitanteilig",(Besatzung!$G$20*(G164-IFERROR(H164,0))+((Besatzung!$B$20&lt;&gt;"")*IF(B164="",1,(IF(Besatzung!$C$20="",Besatzung!$B$5,Besatzung!$C$20)&lt;=B164)*(IF(Besatzung!$D$20="",Besatzung!$B$6,Besatzung!$D$20)&gt;=B164)))*(Besatzung!$F$20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$20&lt;&gt;"")*IF(B164="",1,(IF(Besatzung!$C$20="",Besatzung!$B$5,Besatzung!$C$20)&lt;=B164)*(IF(Besatzung!$D$20="",Besatzung!$B$6,Besatzung!$D$20)&gt;=B164)))*((G164-IFERROR(H164,0))/IFERROR(SUMPRODUCT((Besatzung!$B$11:$B$22&lt;&gt;"")*(IF(Besatzung!$C$11:$C$22="",Besatzung!$B$5,Besatzung!$C$11:$C$22)&lt;=B164)*(IF(Besatzung!$D$11:$D$22="",Besatzung!$B$6,Besatzung!$D$11:$D$22)&gt;=B164)),1)+(Besatzung!$F$20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S164="x")*((G164-IFERROR(H164,0))/IFERROR(COUNTIF(J164:U164,"x"),1)+(Besatzung!$F$20="x")*IFERROR(H164,0)/IFERROR(SUMPRODUCT((J164:U164="x")*(Besatzung!$F$11:$F$22="x")),1))),(IF(COUNTIF(J164:U164,"x")=0,IF(Besatzung!$B$20&lt;&gt;"",1,0),(S164="x"))*(G164-IFERROR(H164,0))/IFERROR(IF(COUNTIF(J164:U164,"x")=0,COUNTA(Besatzung!$B$11:$B$22),COUNTIF(J164:U164,"x")),1)+IF(COUNTIF(J164:U164,"x")=0,(Besatzung!$F$20="x"),(S164="x")*(Besatzung!$F$20="x"))*IFERROR(H164,0)/IFERROR(IF(COUNTIF(J164:U164,"x")=0,SUMPRODUCT((Besatzung!$B$11:$B$22&lt;&gt;"")*(Besatzung!$F$11:$F$22="x")),SUMPRODUCT((J164:U164="x")*(Besatzung!$F$11:$F$22="x"))),1))))),0))))</f>
        <v/>
      </c>
      <c r="AF164" s="106">
        <f>IF(C164="Gutschrift","",IF(G164="","",IF(Besatzung!$B$21="","",IFERROR(IF(I164="Zeitanteilig",(Besatzung!$G$21*(G164-IFERROR(H164,0))+((Besatzung!$B$21&lt;&gt;"")*IF(B164="",1,(IF(Besatzung!$C$21="",Besatzung!$B$5,Besatzung!$C$21)&lt;=B164)*(IF(Besatzung!$D$21="",Besatzung!$B$6,Besatzung!$D$21)&gt;=B164)))*(Besatzung!$F$21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$21&lt;&gt;"")*IF(B164="",1,(IF(Besatzung!$C$21="",Besatzung!$B$5,Besatzung!$C$21)&lt;=B164)*(IF(Besatzung!$D$21="",Besatzung!$B$6,Besatzung!$D$21)&gt;=B164)))*((G164-IFERROR(H164,0))/IFERROR(SUMPRODUCT((Besatzung!$B$11:$B$22&lt;&gt;"")*(IF(Besatzung!$C$11:$C$22="",Besatzung!$B$5,Besatzung!$C$11:$C$22)&lt;=B164)*(IF(Besatzung!$D$11:$D$22="",Besatzung!$B$6,Besatzung!$D$11:$D$22)&gt;=B164)),1)+(Besatzung!$F$21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T164="x")*((G164-IFERROR(H164,0))/IFERROR(COUNTIF(J164:U164,"x"),1)+(Besatzung!$F$21="x")*IFERROR(H164,0)/IFERROR(SUMPRODUCT((J164:U164="x")*(Besatzung!$F$11:$F$22="x")),1))),(IF(COUNTIF(J164:U164,"x")=0,IF(Besatzung!$B$21&lt;&gt;"",1,0),(T164="x"))*(G164-IFERROR(H164,0))/IFERROR(IF(COUNTIF(J164:U164,"x")=0,COUNTA(Besatzung!$B$11:$B$22),COUNTIF(J164:U164,"x")),1)+IF(COUNTIF(J164:U164,"x")=0,(Besatzung!$F$21="x"),(T164="x")*(Besatzung!$F$21="x"))*IFERROR(H164,0)/IFERROR(IF(COUNTIF(J164:U164,"x")=0,SUMPRODUCT((Besatzung!$B$11:$B$22&lt;&gt;"")*(Besatzung!$F$11:$F$22="x")),SUMPRODUCT((J164:U164="x")*(Besatzung!$F$11:$F$22="x"))),1))))),0))))</f>
        <v/>
      </c>
      <c r="AG164" s="106">
        <f>IF(C164="Gutschrift","",IF(G164="","",IF(Besatzung!$B$22="","",IFERROR(IF(I164="Zeitanteilig",(Besatzung!$G$22*(G164-IFERROR(H164,0))+((Besatzung!$B$22&lt;&gt;"")*IF(B164="",1,(IF(Besatzung!$C$22="",Besatzung!$B$5,Besatzung!$C$22)&lt;=B164)*(IF(Besatzung!$D$22="",Besatzung!$B$6,Besatzung!$D$22)&gt;=B164)))*(Besatzung!$F$22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$22&lt;&gt;"")*IF(B164="",1,(IF(Besatzung!$C$22="",Besatzung!$B$5,Besatzung!$C$22)&lt;=B164)*(IF(Besatzung!$D$22="",Besatzung!$B$6,Besatzung!$D$22)&gt;=B164)))*((G164-IFERROR(H164,0))/IFERROR(SUMPRODUCT((Besatzung!$B$11:$B$22&lt;&gt;"")*(IF(Besatzung!$C$11:$C$22="",Besatzung!$B$5,Besatzung!$C$11:$C$22)&lt;=B164)*(IF(Besatzung!$D$11:$D$22="",Besatzung!$B$6,Besatzung!$D$11:$D$22)&gt;=B164)),1)+(Besatzung!$F$22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U164="x")*((G164-IFERROR(H164,0))/IFERROR(COUNTIF(J164:U164,"x"),1)+(Besatzung!$F$22="x")*IFERROR(H164,0)/IFERROR(SUMPRODUCT((J164:U164="x")*(Besatzung!$F$11:$F$22="x")),1))),(IF(COUNTIF(J164:U164,"x")=0,IF(Besatzung!$B$22&lt;&gt;"",1,0),(U164="x"))*(G164-IFERROR(H164,0))/IFERROR(IF(COUNTIF(J164:U164,"x")=0,COUNTA(Besatzung!$B$11:$B$22),COUNTIF(J164:U164,"x")),1)+IF(COUNTIF(J164:U164,"x")=0,(Besatzung!$F$22="x"),(U164="x")*(Besatzung!$F$22="x"))*IFERROR(H164,0)/IFERROR(IF(COUNTIF(J164:U164,"x")=0,SUMPRODUCT((Besatzung!$B$11:$B$22&lt;&gt;"")*(Besatzung!$F$11:$F$22="x")),SUMPRODUCT((J164:U164="x")*(Besatzung!$F$11:$F$22="x"))),1))))),0))))</f>
        <v/>
      </c>
      <c r="AH164" s="107" t="n"/>
      <c r="AI164" s="107" t="n"/>
    </row>
    <row r="165" ht="21.75" customHeight="1" s="182">
      <c r="A165" s="97">
        <f>IF(AND(D165="",C165=""),"",162)</f>
        <v/>
      </c>
      <c r="B165" s="63" t="n"/>
      <c r="C165" s="108" t="n"/>
      <c r="D165" s="109" t="n"/>
      <c r="E165" s="110" t="n"/>
      <c r="F165" s="111" t="n"/>
      <c r="G165" s="112" t="n"/>
      <c r="H165" s="113" t="n"/>
      <c r="I165" s="114" t="n"/>
      <c r="J165" s="115" t="n"/>
      <c r="K165" s="115" t="n"/>
      <c r="L165" s="115" t="n"/>
      <c r="M165" s="115" t="n"/>
      <c r="N165" s="115" t="n"/>
      <c r="O165" s="115" t="n"/>
      <c r="P165" s="115" t="n"/>
      <c r="Q165" s="115" t="n"/>
      <c r="R165" s="115" t="n"/>
      <c r="S165" s="115" t="n"/>
      <c r="T165" s="115" t="n"/>
      <c r="U165" s="115" t="n"/>
      <c r="V165" s="106">
        <f>IF(C165="Gutschrift","",IF(G165="","",IF(Besatzung!$B$11="","",IFERROR(IF(I165="Zeitanteilig",(Besatzung!$G$11*(G165-IFERROR(H165,0))+((Besatzung!$B$11&lt;&gt;"")*IF(B165="",1,(IF(Besatzung!$C$11="",Besatzung!$B$5,Besatzung!$C$11)&lt;=B165)*(IF(Besatzung!$D$11="",Besatzung!$B$6,Besatzung!$D$11)&gt;=B165)))*(Besatzung!$F$11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$11&lt;&gt;"")*IF(B165="",1,(IF(Besatzung!$C$11="",Besatzung!$B$5,Besatzung!$C$11)&lt;=B165)*(IF(Besatzung!$D$11="",Besatzung!$B$6,Besatzung!$D$11)&gt;=B165)))*((G165-IFERROR(H165,0))/IFERROR(SUMPRODUCT((Besatzung!$B$11:$B$22&lt;&gt;"")*(IF(Besatzung!$C$11:$C$22="",Besatzung!$B$5,Besatzung!$C$11:$C$22)&lt;=B165)*(IF(Besatzung!$D$11:$D$22="",Besatzung!$B$6,Besatzung!$D$11:$D$22)&gt;=B165)),1)+(Besatzung!$F$11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J165="x")*((G165-IFERROR(H165,0))/IFERROR(COUNTIF(J165:U165,"x"),1)+(Besatzung!$F$11="x")*IFERROR(H165,0)/IFERROR(SUMPRODUCT((J165:U165="x")*(Besatzung!$F$11:$F$22="x")),1))),(IF(COUNTIF(J165:U165,"x")=0,IF(Besatzung!$B$11&lt;&gt;"",1,0),(J165="x"))*(G165-IFERROR(H165,0))/IFERROR(IF(COUNTIF(J165:U165,"x")=0,COUNTA(Besatzung!$B$11:$B$22),COUNTIF(J165:U165,"x")),1)+IF(COUNTIF(J165:U165,"x")=0,(Besatzung!$F$11="x"),(J165="x")*(Besatzung!$F$11="x"))*IFERROR(H165,0)/IFERROR(IF(COUNTIF(J165:U165,"x")=0,SUMPRODUCT((Besatzung!$B$11:$B$22&lt;&gt;"")*(Besatzung!$F$11:$F$22="x")),SUMPRODUCT((J165:U165="x")*(Besatzung!$F$11:$F$22="x"))),1))))),0))))</f>
        <v/>
      </c>
      <c r="W165" s="106">
        <f>IF(C165="Gutschrift","",IF(G165="","",IF(Besatzung!$B$12="","",IFERROR(IF(I165="Zeitanteilig",(Besatzung!$G$12*(G165-IFERROR(H165,0))+((Besatzung!$B$12&lt;&gt;"")*IF(B165="",1,(IF(Besatzung!$C$12="",Besatzung!$B$5,Besatzung!$C$12)&lt;=B165)*(IF(Besatzung!$D$12="",Besatzung!$B$6,Besatzung!$D$12)&gt;=B165)))*(Besatzung!$F$12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$12&lt;&gt;"")*IF(B165="",1,(IF(Besatzung!$C$12="",Besatzung!$B$5,Besatzung!$C$12)&lt;=B165)*(IF(Besatzung!$D$12="",Besatzung!$B$6,Besatzung!$D$12)&gt;=B165)))*((G165-IFERROR(H165,0))/IFERROR(SUMPRODUCT((Besatzung!$B$11:$B$22&lt;&gt;"")*(IF(Besatzung!$C$11:$C$22="",Besatzung!$B$5,Besatzung!$C$11:$C$22)&lt;=B165)*(IF(Besatzung!$D$11:$D$22="",Besatzung!$B$6,Besatzung!$D$11:$D$22)&gt;=B165)),1)+(Besatzung!$F$12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K165="x")*((G165-IFERROR(H165,0))/IFERROR(COUNTIF(J165:U165,"x"),1)+(Besatzung!$F$12="x")*IFERROR(H165,0)/IFERROR(SUMPRODUCT((J165:U165="x")*(Besatzung!$F$11:$F$22="x")),1))),(IF(COUNTIF(J165:U165,"x")=0,IF(Besatzung!$B$12&lt;&gt;"",1,0),(K165="x"))*(G165-IFERROR(H165,0))/IFERROR(IF(COUNTIF(J165:U165,"x")=0,COUNTA(Besatzung!$B$11:$B$22),COUNTIF(J165:U165,"x")),1)+IF(COUNTIF(J165:U165,"x")=0,(Besatzung!$F$12="x"),(K165="x")*(Besatzung!$F$12="x"))*IFERROR(H165,0)/IFERROR(IF(COUNTIF(J165:U165,"x")=0,SUMPRODUCT((Besatzung!$B$11:$B$22&lt;&gt;"")*(Besatzung!$F$11:$F$22="x")),SUMPRODUCT((J165:U165="x")*(Besatzung!$F$11:$F$22="x"))),1))))),0))))</f>
        <v/>
      </c>
      <c r="X165" s="106">
        <f>IF(C165="Gutschrift","",IF(G165="","",IF(Besatzung!$B$13="","",IFERROR(IF(I165="Zeitanteilig",(Besatzung!$G$13*(G165-IFERROR(H165,0))+((Besatzung!$B$13&lt;&gt;"")*IF(B165="",1,(IF(Besatzung!$C$13="",Besatzung!$B$5,Besatzung!$C$13)&lt;=B165)*(IF(Besatzung!$D$13="",Besatzung!$B$6,Besatzung!$D$13)&gt;=B165)))*(Besatzung!$F$13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$13&lt;&gt;"")*IF(B165="",1,(IF(Besatzung!$C$13="",Besatzung!$B$5,Besatzung!$C$13)&lt;=B165)*(IF(Besatzung!$D$13="",Besatzung!$B$6,Besatzung!$D$13)&gt;=B165)))*((G165-IFERROR(H165,0))/IFERROR(SUMPRODUCT((Besatzung!$B$11:$B$22&lt;&gt;"")*(IF(Besatzung!$C$11:$C$22="",Besatzung!$B$5,Besatzung!$C$11:$C$22)&lt;=B165)*(IF(Besatzung!$D$11:$D$22="",Besatzung!$B$6,Besatzung!$D$11:$D$22)&gt;=B165)),1)+(Besatzung!$F$13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K165="x")*((G165-IFERROR(H165,0))/IFERROR(COUNTIF(J165:U165,"x"),1)+(Besatzung!$F$13="x")*IFERROR(H165,0)/IFERROR(SUMPRODUCT((J165:U165="x")*(Besatzung!$F$11:$F$22="x")),1))),(IF(COUNTIF(J165:U165,"x")=0,IF(Besatzung!$B$13&lt;&gt;"",1,0),(K165="x"))*(G165-IFERROR(H165,0))/IFERROR(IF(COUNTIF(J165:U165,"x")=0,COUNTA(Besatzung!$B$11:$B$22),COUNTIF(J165:U165,"x")),1)+IF(COUNTIF(J165:U165,"x")=0,(Besatzung!$F$13="x"),(K165="x")*(Besatzung!$F$13="x"))*IFERROR(H165,0)/IFERROR(IF(COUNTIF(J165:U165,"x")=0,SUMPRODUCT((Besatzung!$B$11:$B$22&lt;&gt;"")*(Besatzung!$F$11:$F$22="x")),SUMPRODUCT((J165:U165="x")*(Besatzung!$F$11:$F$22="x"))),1))))),0))))</f>
        <v/>
      </c>
      <c r="Y165" s="106">
        <f>IF(C165="Gutschrift","",IF(G165="","",IF(Besatzung!$B$14="","",IFERROR(IF(I165="Zeitanteilig",(Besatzung!$G$14*(G165-IFERROR(H165,0))+((Besatzung!$B$14&lt;&gt;"")*IF(B165="",1,(IF(Besatzung!$C$14="",Besatzung!$B$5,Besatzung!$C$14)&lt;=B165)*(IF(Besatzung!$D$14="",Besatzung!$B$6,Besatzung!$D$14)&gt;=B165)))*(Besatzung!$F$14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$14&lt;&gt;"")*IF(B165="",1,(IF(Besatzung!$C$14="",Besatzung!$B$5,Besatzung!$C$14)&lt;=B165)*(IF(Besatzung!$D$14="",Besatzung!$B$6,Besatzung!$D$14)&gt;=B165)))*((G165-IFERROR(H165,0))/IFERROR(SUMPRODUCT((Besatzung!$B$11:$B$22&lt;&gt;"")*(IF(Besatzung!$C$11:$C$22="",Besatzung!$B$5,Besatzung!$C$11:$C$22)&lt;=B165)*(IF(Besatzung!$D$11:$D$22="",Besatzung!$B$6,Besatzung!$D$11:$D$22)&gt;=B165)),1)+(Besatzung!$F$14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M165="x")*((G165-IFERROR(H165,0))/IFERROR(COUNTIF(J165:U165,"x"),1)+(Besatzung!$F$14="x")*IFERROR(H165,0)/IFERROR(SUMPRODUCT((J165:U165="x")*(Besatzung!$F$11:$F$22="x")),1))),(IF(COUNTIF(J165:U165,"x")=0,IF(Besatzung!$B$14&lt;&gt;"",1,0),(M165="x"))*(G165-IFERROR(H165,0))/IFERROR(IF(COUNTIF(J165:U165,"x")=0,COUNTA(Besatzung!$B$11:$B$22),COUNTIF(J165:U165,"x")),1)+IF(COUNTIF(J165:U165,"x")=0,(Besatzung!$F$14="x"),(M165="x")*(Besatzung!$F$14="x"))*IFERROR(H165,0)/IFERROR(IF(COUNTIF(J165:U165,"x")=0,SUMPRODUCT((Besatzung!$B$11:$B$22&lt;&gt;"")*(Besatzung!$F$11:$F$22="x")),SUMPRODUCT((J165:U165="x")*(Besatzung!$F$11:$F$22="x"))),1))))),0))))</f>
        <v/>
      </c>
      <c r="Z165" s="106">
        <f>IF(C165="Gutschrift","",IF(G165="","",IF(Besatzung!$B$13="","",IFERROR(IF(I165="Zeitanteilig",(Besatzung!$G$15*(G165-IFERROR(H165,0))+((Besatzung!$B$13&lt;&gt;"")*IF(B165="",1,(IF(Besatzung!$C$15="",Besatzung!$B$5,Besatzung!$C$15)&lt;=B165)*(IF(Besatzung!$D$15="",Besatzung!$B$6,Besatzung!$D$15)&gt;=B165)))*(Besatzung!$F$15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$13&lt;&gt;"")*IF(B165="",1,(IF(Besatzung!$C$15="",Besatzung!$B$5,Besatzung!$C$15)&lt;=B165)*(IF(Besatzung!$D$15="",Besatzung!$B$6,Besatzung!$D$15)&gt;=B165)))*((G165-IFERROR(H165,0))/IFERROR(SUMPRODUCT((Besatzung!$B$11:$B$22&lt;&gt;"")*(IF(Besatzung!$C$11:$C$22="",Besatzung!$B$5,Besatzung!$C$11:$C$22)&lt;=B165)*(IF(Besatzung!$D$11:$D$22="",Besatzung!$B$6,Besatzung!$D$11:$D$22)&gt;=B165)),1)+(Besatzung!$F$15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N165="x")*((G165-IFERROR(H165,0))/IFERROR(COUNTIF(J165:U165,"x"),1)+(Besatzung!$F$15="x")*IFERROR(H165,0)/IFERROR(SUMPRODUCT((J165:U165="x")*(Besatzung!$F$11:$F$22="x")),1))),(IF(COUNTIF(J165:U165,"x")=0,IF(Besatzung!$B$13&lt;&gt;"",1,0),(N165="x"))*(G165-IFERROR(H165,0))/IFERROR(IF(COUNTIF(J165:U165,"x")=0,COUNTA(Besatzung!$B$11:$B$22),COUNTIF(J165:U165,"x")),1)+IF(COUNTIF(J165:U165,"x")=0,(Besatzung!$F$15="x"),(N165="x")*(Besatzung!$F$15="x"))*IFERROR(H165,0)/IFERROR(IF(COUNTIF(J165:U165,"x")=0,SUMPRODUCT((Besatzung!$B$11:$B$22&lt;&gt;"")*(Besatzung!$F$11:$F$22="x")),SUMPRODUCT((J165:U165="x")*(Besatzung!$F$11:$F$22="x"))),1))))),0))))</f>
        <v/>
      </c>
      <c r="AA165" s="106">
        <f>IF(C165="Gutschrift","",IF(G165="","",IF(Besatzung!$B$15="","",IFERROR(IF(I165="Zeitanteilig",(Besatzung!$G$16*(G165-IFERROR(H165,0))+((Besatzung!$B$15&lt;&gt;"")*IF(B165="",1,(IF(Besatzung!$C$16="",Besatzung!$B$5,Besatzung!$C$16)&lt;=B165)*(IF(Besatzung!$D$16="",Besatzung!$B$6,Besatzung!$D$16)&gt;=B165)))*(Besatzung!$F$16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$15&lt;&gt;"")*IF(B165="",1,(IF(Besatzung!$C$16="",Besatzung!$B$5,Besatzung!$C$16)&lt;=B165)*(IF(Besatzung!$D$16="",Besatzung!$B$6,Besatzung!$D$16)&gt;=B165)))*((G165-IFERROR(H165,0))/IFERROR(SUMPRODUCT((Besatzung!$B$11:$B$22&lt;&gt;"")*(IF(Besatzung!$C$11:$C$22="",Besatzung!$B$5,Besatzung!$C$11:$C$22)&lt;=B165)*(IF(Besatzung!$D$11:$D$22="",Besatzung!$B$6,Besatzung!$D$11:$D$22)&gt;=B165)),1)+(Besatzung!$F$16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O165="x")*((G165-IFERROR(H165,0))/IFERROR(COUNTIF(J165:U165,"x"),1)+(Besatzung!$F$16="x")*IFERROR(H165,0)/IFERROR(SUMPRODUCT((J165:U165="x")*(Besatzung!$F$11:$F$22="x")),1))),(IF(COUNTIF(J165:U165,"x")=0,IF(Besatzung!$B$15&lt;&gt;"",1,0),(O165="x"))*(G165-IFERROR(H165,0))/IFERROR(IF(COUNTIF(J165:U165,"x")=0,COUNTA(Besatzung!$B$11:$B$22),COUNTIF(J165:U165,"x")),1)+IF(COUNTIF(J165:U165,"x")=0,(Besatzung!$F$16="x"),(O165="x")*(Besatzung!$F$16="x"))*IFERROR(H165,0)/IFERROR(IF(COUNTIF(J165:U165,"x")=0,SUMPRODUCT((Besatzung!$B$11:$B$22&lt;&gt;"")*(Besatzung!$F$11:$F$22="x")),SUMPRODUCT((J165:U165="x")*(Besatzung!$F$11:$F$22="x"))),1))))),0))))</f>
        <v/>
      </c>
      <c r="AB165" s="106">
        <f>IF(C165="Gutschrift","",IF(G165="","",IF(Besatzung!$B$17="","",IFERROR(IF(I165="Zeitanteilig",(Besatzung!$G$17*(G165-IFERROR(H165,0))+((Besatzung!$B$17&lt;&gt;"")*IF(B165="",1,(IF(Besatzung!$C$17="",Besatzung!$B$5,Besatzung!$C$17)&lt;=B165)*(IF(Besatzung!$D$17="",Besatzung!$B$6,Besatzung!$D$17)&gt;=B165)))*(Besatzung!$F$17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$17&lt;&gt;"")*IF(B165="",1,(IF(Besatzung!$C$17="",Besatzung!$B$5,Besatzung!$C$17)&lt;=B165)*(IF(Besatzung!$D$17="",Besatzung!$B$6,Besatzung!$D$17)&gt;=B165)))*((G165-IFERROR(H165,0))/IFERROR(SUMPRODUCT((Besatzung!$B$11:$B$22&lt;&gt;"")*(IF(Besatzung!$C$11:$C$22="",Besatzung!$B$5,Besatzung!$C$11:$C$22)&lt;=B165)*(IF(Besatzung!$D$11:$D$22="",Besatzung!$B$6,Besatzung!$D$11:$D$22)&gt;=B165)),1)+(Besatzung!$F$17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P165="x")*((G165-IFERROR(H165,0))/IFERROR(COUNTIF(J165:U165,"x"),1)+(Besatzung!$F$17="x")*IFERROR(H165,0)/IFERROR(SUMPRODUCT((J165:U165="x")*(Besatzung!$F$11:$F$22="x")),1))),(IF(COUNTIF(J165:U165,"x")=0,IF(Besatzung!$B$17&lt;&gt;"",1,0),(P165="x"))*(G165-IFERROR(H165,0))/IFERROR(IF(COUNTIF(J165:U165,"x")=0,COUNTA(Besatzung!$B$11:$B$22),COUNTIF(J165:U165,"x")),1)+IF(COUNTIF(J165:U165,"x")=0,(Besatzung!$F$17="x"),(P165="x")*(Besatzung!$F$17="x"))*IFERROR(H165,0)/IFERROR(IF(COUNTIF(J165:U165,"x")=0,SUMPRODUCT((Besatzung!$B$11:$B$22&lt;&gt;"")*(Besatzung!$F$11:$F$22="x")),SUMPRODUCT((J165:U165="x")*(Besatzung!$F$11:$F$22="x"))),1))))),0))))</f>
        <v/>
      </c>
      <c r="AC165" s="106">
        <f>IF(C165="Gutschrift","",IF(G165="","",IF(Besatzung!$B$18="","",IFERROR(IF(I165="Zeitanteilig",(Besatzung!$G$18*(G165-IFERROR(H165,0))+((Besatzung!$B$18&lt;&gt;"")*IF(B165="",1,(IF(Besatzung!$C$18="",Besatzung!$B$5,Besatzung!$C$18)&lt;=B165)*(IF(Besatzung!$D$18="",Besatzung!$B$6,Besatzung!$D$18)&gt;=B165)))*(Besatzung!$F$18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$18&lt;&gt;"")*IF(B165="",1,(IF(Besatzung!$C$18="",Besatzung!$B$5,Besatzung!$C$18)&lt;=B165)*(IF(Besatzung!$D$18="",Besatzung!$B$6,Besatzung!$D$18)&gt;=B165)))*((G165-IFERROR(H165,0))/IFERROR(SUMPRODUCT((Besatzung!$B$11:$B$22&lt;&gt;"")*(IF(Besatzung!$C$11:$C$22="",Besatzung!$B$5,Besatzung!$C$11:$C$22)&lt;=B165)*(IF(Besatzung!$D$11:$D$22="",Besatzung!$B$6,Besatzung!$D$11:$D$22)&gt;=B165)),1)+(Besatzung!$F$18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Q165="x")*((G165-IFERROR(H165,0))/IFERROR(COUNTIF(J165:U165,"x"),1)+(Besatzung!$F$18="x")*IFERROR(H165,0)/IFERROR(SUMPRODUCT((J165:U165="x")*(Besatzung!$F$11:$F$22="x")),1))),(IF(COUNTIF(J165:U165,"x")=0,IF(Besatzung!$B$18&lt;&gt;"",1,0),(Q165="x"))*(G165-IFERROR(H165,0))/IFERROR(IF(COUNTIF(J165:U165,"x")=0,COUNTA(Besatzung!$B$11:$B$22),COUNTIF(J165:U165,"x")),1)+IF(COUNTIF(J165:U165,"x")=0,(Besatzung!$F$18="x"),(Q165="x")*(Besatzung!$F$18="x"))*IFERROR(H165,0)/IFERROR(IF(COUNTIF(J165:U165,"x")=0,SUMPRODUCT((Besatzung!$B$11:$B$22&lt;&gt;"")*(Besatzung!$F$11:$F$22="x")),SUMPRODUCT((J165:U165="x")*(Besatzung!$F$11:$F$22="x"))),1))))),0))))</f>
        <v/>
      </c>
      <c r="AD165" s="106">
        <f>IF(C165="Gutschrift","",IF(G165="","",IF(Besatzung!$B$19="","",IFERROR(IF(I165="Zeitanteilig",(Besatzung!$G$19*(G165-IFERROR(H165,0))+((Besatzung!$B$19&lt;&gt;"")*IF(B165="",1,(IF(Besatzung!$C$19="",Besatzung!$B$5,Besatzung!$C$19)&lt;=B165)*(IF(Besatzung!$D$19="",Besatzung!$B$6,Besatzung!$D$19)&gt;=B165)))*(Besatzung!$F$19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$19&lt;&gt;"")*IF(B165="",1,(IF(Besatzung!$C$19="",Besatzung!$B$5,Besatzung!$C$19)&lt;=B165)*(IF(Besatzung!$D$19="",Besatzung!$B$6,Besatzung!$D$19)&gt;=B165)))*((G165-IFERROR(H165,0))/IFERROR(SUMPRODUCT((Besatzung!$B$11:$B$22&lt;&gt;"")*(IF(Besatzung!$C$11:$C$22="",Besatzung!$B$5,Besatzung!$C$11:$C$22)&lt;=B165)*(IF(Besatzung!$D$11:$D$22="",Besatzung!$B$6,Besatzung!$D$11:$D$22)&gt;=B165)),1)+(Besatzung!$F$19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R165="x")*((G165-IFERROR(H165,0))/IFERROR(COUNTIF(J165:U165,"x"),1)+(Besatzung!$F$19="x")*IFERROR(H165,0)/IFERROR(SUMPRODUCT((J165:U165="x")*(Besatzung!$F$11:$F$22="x")),1))),(IF(COUNTIF(J165:U165,"x")=0,IF(Besatzung!$B$19&lt;&gt;"",1,0),(R165="x"))*(G165-IFERROR(H165,0))/IFERROR(IF(COUNTIF(J165:U165,"x")=0,COUNTA(Besatzung!$B$11:$B$22),COUNTIF(J165:U165,"x")),1)+IF(COUNTIF(J165:U165,"x")=0,(Besatzung!$F$19="x"),(R165="x")*(Besatzung!$F$19="x"))*IFERROR(H165,0)/IFERROR(IF(COUNTIF(J165:U165,"x")=0,SUMPRODUCT((Besatzung!$B$11:$B$22&lt;&gt;"")*(Besatzung!$F$11:$F$22="x")),SUMPRODUCT((J165:U165="x")*(Besatzung!$F$11:$F$22="x"))),1))))),0))))</f>
        <v/>
      </c>
      <c r="AE165" s="106">
        <f>IF(C165="Gutschrift","",IF(G165="","",IF(Besatzung!$B$20="","",IFERROR(IF(I165="Zeitanteilig",(Besatzung!$G$20*(G165-IFERROR(H165,0))+((Besatzung!$B$20&lt;&gt;"")*IF(B165="",1,(IF(Besatzung!$C$20="",Besatzung!$B$5,Besatzung!$C$20)&lt;=B165)*(IF(Besatzung!$D$20="",Besatzung!$B$6,Besatzung!$D$20)&gt;=B165)))*(Besatzung!$F$20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$20&lt;&gt;"")*IF(B165="",1,(IF(Besatzung!$C$20="",Besatzung!$B$5,Besatzung!$C$20)&lt;=B165)*(IF(Besatzung!$D$20="",Besatzung!$B$6,Besatzung!$D$20)&gt;=B165)))*((G165-IFERROR(H165,0))/IFERROR(SUMPRODUCT((Besatzung!$B$11:$B$22&lt;&gt;"")*(IF(Besatzung!$C$11:$C$22="",Besatzung!$B$5,Besatzung!$C$11:$C$22)&lt;=B165)*(IF(Besatzung!$D$11:$D$22="",Besatzung!$B$6,Besatzung!$D$11:$D$22)&gt;=B165)),1)+(Besatzung!$F$20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S165="x")*((G165-IFERROR(H165,0))/IFERROR(COUNTIF(J165:U165,"x"),1)+(Besatzung!$F$20="x")*IFERROR(H165,0)/IFERROR(SUMPRODUCT((J165:U165="x")*(Besatzung!$F$11:$F$22="x")),1))),(IF(COUNTIF(J165:U165,"x")=0,IF(Besatzung!$B$20&lt;&gt;"",1,0),(S165="x"))*(G165-IFERROR(H165,0))/IFERROR(IF(COUNTIF(J165:U165,"x")=0,COUNTA(Besatzung!$B$11:$B$22),COUNTIF(J165:U165,"x")),1)+IF(COUNTIF(J165:U165,"x")=0,(Besatzung!$F$20="x"),(S165="x")*(Besatzung!$F$20="x"))*IFERROR(H165,0)/IFERROR(IF(COUNTIF(J165:U165,"x")=0,SUMPRODUCT((Besatzung!$B$11:$B$22&lt;&gt;"")*(Besatzung!$F$11:$F$22="x")),SUMPRODUCT((J165:U165="x")*(Besatzung!$F$11:$F$22="x"))),1))))),0))))</f>
        <v/>
      </c>
      <c r="AF165" s="106">
        <f>IF(C165="Gutschrift","",IF(G165="","",IF(Besatzung!$B$21="","",IFERROR(IF(I165="Zeitanteilig",(Besatzung!$G$21*(G165-IFERROR(H165,0))+((Besatzung!$B$21&lt;&gt;"")*IF(B165="",1,(IF(Besatzung!$C$21="",Besatzung!$B$5,Besatzung!$C$21)&lt;=B165)*(IF(Besatzung!$D$21="",Besatzung!$B$6,Besatzung!$D$21)&gt;=B165)))*(Besatzung!$F$21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$21&lt;&gt;"")*IF(B165="",1,(IF(Besatzung!$C$21="",Besatzung!$B$5,Besatzung!$C$21)&lt;=B165)*(IF(Besatzung!$D$21="",Besatzung!$B$6,Besatzung!$D$21)&gt;=B165)))*((G165-IFERROR(H165,0))/IFERROR(SUMPRODUCT((Besatzung!$B$11:$B$22&lt;&gt;"")*(IF(Besatzung!$C$11:$C$22="",Besatzung!$B$5,Besatzung!$C$11:$C$22)&lt;=B165)*(IF(Besatzung!$D$11:$D$22="",Besatzung!$B$6,Besatzung!$D$11:$D$22)&gt;=B165)),1)+(Besatzung!$F$21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T165="x")*((G165-IFERROR(H165,0))/IFERROR(COUNTIF(J165:U165,"x"),1)+(Besatzung!$F$21="x")*IFERROR(H165,0)/IFERROR(SUMPRODUCT((J165:U165="x")*(Besatzung!$F$11:$F$22="x")),1))),(IF(COUNTIF(J165:U165,"x")=0,IF(Besatzung!$B$21&lt;&gt;"",1,0),(T165="x"))*(G165-IFERROR(H165,0))/IFERROR(IF(COUNTIF(J165:U165,"x")=0,COUNTA(Besatzung!$B$11:$B$22),COUNTIF(J165:U165,"x")),1)+IF(COUNTIF(J165:U165,"x")=0,(Besatzung!$F$21="x"),(T165="x")*(Besatzung!$F$21="x"))*IFERROR(H165,0)/IFERROR(IF(COUNTIF(J165:U165,"x")=0,SUMPRODUCT((Besatzung!$B$11:$B$22&lt;&gt;"")*(Besatzung!$F$11:$F$22="x")),SUMPRODUCT((J165:U165="x")*(Besatzung!$F$11:$F$22="x"))),1))))),0))))</f>
        <v/>
      </c>
      <c r="AG165" s="106">
        <f>IF(C165="Gutschrift","",IF(G165="","",IF(Besatzung!$B$22="","",IFERROR(IF(I165="Zeitanteilig",(Besatzung!$G$22*(G165-IFERROR(H165,0))+((Besatzung!$B$22&lt;&gt;"")*IF(B165="",1,(IF(Besatzung!$C$22="",Besatzung!$B$5,Besatzung!$C$22)&lt;=B165)*(IF(Besatzung!$D$22="",Besatzung!$B$6,Besatzung!$D$22)&gt;=B165)))*(Besatzung!$F$22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$22&lt;&gt;"")*IF(B165="",1,(IF(Besatzung!$C$22="",Besatzung!$B$5,Besatzung!$C$22)&lt;=B165)*(IF(Besatzung!$D$22="",Besatzung!$B$6,Besatzung!$D$22)&gt;=B165)))*((G165-IFERROR(H165,0))/IFERROR(SUMPRODUCT((Besatzung!$B$11:$B$22&lt;&gt;"")*(IF(Besatzung!$C$11:$C$22="",Besatzung!$B$5,Besatzung!$C$11:$C$22)&lt;=B165)*(IF(Besatzung!$D$11:$D$22="",Besatzung!$B$6,Besatzung!$D$11:$D$22)&gt;=B165)),1)+(Besatzung!$F$22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U165="x")*((G165-IFERROR(H165,0))/IFERROR(COUNTIF(J165:U165,"x"),1)+(Besatzung!$F$22="x")*IFERROR(H165,0)/IFERROR(SUMPRODUCT((J165:U165="x")*(Besatzung!$F$11:$F$22="x")),1))),(IF(COUNTIF(J165:U165,"x")=0,IF(Besatzung!$B$22&lt;&gt;"",1,0),(U165="x"))*(G165-IFERROR(H165,0))/IFERROR(IF(COUNTIF(J165:U165,"x")=0,COUNTA(Besatzung!$B$11:$B$22),COUNTIF(J165:U165,"x")),1)+IF(COUNTIF(J165:U165,"x")=0,(Besatzung!$F$22="x"),(U165="x")*(Besatzung!$F$22="x"))*IFERROR(H165,0)/IFERROR(IF(COUNTIF(J165:U165,"x")=0,SUMPRODUCT((Besatzung!$B$11:$B$22&lt;&gt;"")*(Besatzung!$F$11:$F$22="x")),SUMPRODUCT((J165:U165="x")*(Besatzung!$F$11:$F$22="x"))),1))))),0))))</f>
        <v/>
      </c>
      <c r="AH165" s="107" t="n"/>
      <c r="AI165" s="107" t="n"/>
    </row>
    <row r="166" ht="21.75" customHeight="1" s="182">
      <c r="A166" s="97">
        <f>IF(AND(D166="",C166=""),"",163)</f>
        <v/>
      </c>
      <c r="B166" s="56" t="n"/>
      <c r="C166" s="98" t="n"/>
      <c r="D166" s="99" t="n"/>
      <c r="E166" s="100" t="n"/>
      <c r="F166" s="101" t="n"/>
      <c r="G166" s="102" t="n"/>
      <c r="H166" s="103" t="n"/>
      <c r="I166" s="104" t="n"/>
      <c r="J166" s="105" t="n"/>
      <c r="K166" s="105" t="n"/>
      <c r="L166" s="105" t="n"/>
      <c r="M166" s="105" t="n"/>
      <c r="N166" s="105" t="n"/>
      <c r="O166" s="105" t="n"/>
      <c r="P166" s="105" t="n"/>
      <c r="Q166" s="105" t="n"/>
      <c r="R166" s="105" t="n"/>
      <c r="S166" s="105" t="n"/>
      <c r="T166" s="105" t="n"/>
      <c r="U166" s="105" t="n"/>
      <c r="V166" s="106">
        <f>IF(C166="Gutschrift","",IF(G166="","",IF(Besatzung!$B$11="","",IFERROR(IF(I166="Zeitanteilig",(Besatzung!$G$11*(G166-IFERROR(H166,0))+((Besatzung!$B$11&lt;&gt;"")*IF(B166="",1,(IF(Besatzung!$C$11="",Besatzung!$B$5,Besatzung!$C$11)&lt;=B166)*(IF(Besatzung!$D$11="",Besatzung!$B$6,Besatzung!$D$11)&gt;=B166)))*(Besatzung!$F$11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$11&lt;&gt;"")*IF(B166="",1,(IF(Besatzung!$C$11="",Besatzung!$B$5,Besatzung!$C$11)&lt;=B166)*(IF(Besatzung!$D$11="",Besatzung!$B$6,Besatzung!$D$11)&gt;=B166)))*((G166-IFERROR(H166,0))/IFERROR(SUMPRODUCT((Besatzung!$B$11:$B$22&lt;&gt;"")*(IF(Besatzung!$C$11:$C$22="",Besatzung!$B$5,Besatzung!$C$11:$C$22)&lt;=B166)*(IF(Besatzung!$D$11:$D$22="",Besatzung!$B$6,Besatzung!$D$11:$D$22)&gt;=B166)),1)+(Besatzung!$F$11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J166="x")*((G166-IFERROR(H166,0))/IFERROR(COUNTIF(J166:U166,"x"),1)+(Besatzung!$F$11="x")*IFERROR(H166,0)/IFERROR(SUMPRODUCT((J166:U166="x")*(Besatzung!$F$11:$F$22="x")),1))),(IF(COUNTIF(J166:U166,"x")=0,IF(Besatzung!$B$11&lt;&gt;"",1,0),(J166="x"))*(G166-IFERROR(H166,0))/IFERROR(IF(COUNTIF(J166:U166,"x")=0,COUNTA(Besatzung!$B$11:$B$22),COUNTIF(J166:U166,"x")),1)+IF(COUNTIF(J166:U166,"x")=0,(Besatzung!$F$11="x"),(J166="x")*(Besatzung!$F$11="x"))*IFERROR(H166,0)/IFERROR(IF(COUNTIF(J166:U166,"x")=0,SUMPRODUCT((Besatzung!$B$11:$B$22&lt;&gt;"")*(Besatzung!$F$11:$F$22="x")),SUMPRODUCT((J166:U166="x")*(Besatzung!$F$11:$F$22="x"))),1))))),0))))</f>
        <v/>
      </c>
      <c r="W166" s="106">
        <f>IF(C166="Gutschrift","",IF(G166="","",IF(Besatzung!$B$12="","",IFERROR(IF(I166="Zeitanteilig",(Besatzung!$G$12*(G166-IFERROR(H166,0))+((Besatzung!$B$12&lt;&gt;"")*IF(B166="",1,(IF(Besatzung!$C$12="",Besatzung!$B$5,Besatzung!$C$12)&lt;=B166)*(IF(Besatzung!$D$12="",Besatzung!$B$6,Besatzung!$D$12)&gt;=B166)))*(Besatzung!$F$12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$12&lt;&gt;"")*IF(B166="",1,(IF(Besatzung!$C$12="",Besatzung!$B$5,Besatzung!$C$12)&lt;=B166)*(IF(Besatzung!$D$12="",Besatzung!$B$6,Besatzung!$D$12)&gt;=B166)))*((G166-IFERROR(H166,0))/IFERROR(SUMPRODUCT((Besatzung!$B$11:$B$22&lt;&gt;"")*(IF(Besatzung!$C$11:$C$22="",Besatzung!$B$5,Besatzung!$C$11:$C$22)&lt;=B166)*(IF(Besatzung!$D$11:$D$22="",Besatzung!$B$6,Besatzung!$D$11:$D$22)&gt;=B166)),1)+(Besatzung!$F$12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K166="x")*((G166-IFERROR(H166,0))/IFERROR(COUNTIF(J166:U166,"x"),1)+(Besatzung!$F$12="x")*IFERROR(H166,0)/IFERROR(SUMPRODUCT((J166:U166="x")*(Besatzung!$F$11:$F$22="x")),1))),(IF(COUNTIF(J166:U166,"x")=0,IF(Besatzung!$B$12&lt;&gt;"",1,0),(K166="x"))*(G166-IFERROR(H166,0))/IFERROR(IF(COUNTIF(J166:U166,"x")=0,COUNTA(Besatzung!$B$11:$B$22),COUNTIF(J166:U166,"x")),1)+IF(COUNTIF(J166:U166,"x")=0,(Besatzung!$F$12="x"),(K166="x")*(Besatzung!$F$12="x"))*IFERROR(H166,0)/IFERROR(IF(COUNTIF(J166:U166,"x")=0,SUMPRODUCT((Besatzung!$B$11:$B$22&lt;&gt;"")*(Besatzung!$F$11:$F$22="x")),SUMPRODUCT((J166:U166="x")*(Besatzung!$F$11:$F$22="x"))),1))))),0))))</f>
        <v/>
      </c>
      <c r="X166" s="106">
        <f>IF(C166="Gutschrift","",IF(G166="","",IF(Besatzung!$B$13="","",IFERROR(IF(I166="Zeitanteilig",(Besatzung!$G$13*(G166-IFERROR(H166,0))+((Besatzung!$B$13&lt;&gt;"")*IF(B166="",1,(IF(Besatzung!$C$13="",Besatzung!$B$5,Besatzung!$C$13)&lt;=B166)*(IF(Besatzung!$D$13="",Besatzung!$B$6,Besatzung!$D$13)&gt;=B166)))*(Besatzung!$F$13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$13&lt;&gt;"")*IF(B166="",1,(IF(Besatzung!$C$13="",Besatzung!$B$5,Besatzung!$C$13)&lt;=B166)*(IF(Besatzung!$D$13="",Besatzung!$B$6,Besatzung!$D$13)&gt;=B166)))*((G166-IFERROR(H166,0))/IFERROR(SUMPRODUCT((Besatzung!$B$11:$B$22&lt;&gt;"")*(IF(Besatzung!$C$11:$C$22="",Besatzung!$B$5,Besatzung!$C$11:$C$22)&lt;=B166)*(IF(Besatzung!$D$11:$D$22="",Besatzung!$B$6,Besatzung!$D$11:$D$22)&gt;=B166)),1)+(Besatzung!$F$13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K166="x")*((G166-IFERROR(H166,0))/IFERROR(COUNTIF(J166:U166,"x"),1)+(Besatzung!$F$13="x")*IFERROR(H166,0)/IFERROR(SUMPRODUCT((J166:U166="x")*(Besatzung!$F$11:$F$22="x")),1))),(IF(COUNTIF(J166:U166,"x")=0,IF(Besatzung!$B$13&lt;&gt;"",1,0),(K166="x"))*(G166-IFERROR(H166,0))/IFERROR(IF(COUNTIF(J166:U166,"x")=0,COUNTA(Besatzung!$B$11:$B$22),COUNTIF(J166:U166,"x")),1)+IF(COUNTIF(J166:U166,"x")=0,(Besatzung!$F$13="x"),(K166="x")*(Besatzung!$F$13="x"))*IFERROR(H166,0)/IFERROR(IF(COUNTIF(J166:U166,"x")=0,SUMPRODUCT((Besatzung!$B$11:$B$22&lt;&gt;"")*(Besatzung!$F$11:$F$22="x")),SUMPRODUCT((J166:U166="x")*(Besatzung!$F$11:$F$22="x"))),1))))),0))))</f>
        <v/>
      </c>
      <c r="Y166" s="106">
        <f>IF(C166="Gutschrift","",IF(G166="","",IF(Besatzung!$B$14="","",IFERROR(IF(I166="Zeitanteilig",(Besatzung!$G$14*(G166-IFERROR(H166,0))+((Besatzung!$B$14&lt;&gt;"")*IF(B166="",1,(IF(Besatzung!$C$14="",Besatzung!$B$5,Besatzung!$C$14)&lt;=B166)*(IF(Besatzung!$D$14="",Besatzung!$B$6,Besatzung!$D$14)&gt;=B166)))*(Besatzung!$F$14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$14&lt;&gt;"")*IF(B166="",1,(IF(Besatzung!$C$14="",Besatzung!$B$5,Besatzung!$C$14)&lt;=B166)*(IF(Besatzung!$D$14="",Besatzung!$B$6,Besatzung!$D$14)&gt;=B166)))*((G166-IFERROR(H166,0))/IFERROR(SUMPRODUCT((Besatzung!$B$11:$B$22&lt;&gt;"")*(IF(Besatzung!$C$11:$C$22="",Besatzung!$B$5,Besatzung!$C$11:$C$22)&lt;=B166)*(IF(Besatzung!$D$11:$D$22="",Besatzung!$B$6,Besatzung!$D$11:$D$22)&gt;=B166)),1)+(Besatzung!$F$14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M166="x")*((G166-IFERROR(H166,0))/IFERROR(COUNTIF(J166:U166,"x"),1)+(Besatzung!$F$14="x")*IFERROR(H166,0)/IFERROR(SUMPRODUCT((J166:U166="x")*(Besatzung!$F$11:$F$22="x")),1))),(IF(COUNTIF(J166:U166,"x")=0,IF(Besatzung!$B$14&lt;&gt;"",1,0),(M166="x"))*(G166-IFERROR(H166,0))/IFERROR(IF(COUNTIF(J166:U166,"x")=0,COUNTA(Besatzung!$B$11:$B$22),COUNTIF(J166:U166,"x")),1)+IF(COUNTIF(J166:U166,"x")=0,(Besatzung!$F$14="x"),(M166="x")*(Besatzung!$F$14="x"))*IFERROR(H166,0)/IFERROR(IF(COUNTIF(J166:U166,"x")=0,SUMPRODUCT((Besatzung!$B$11:$B$22&lt;&gt;"")*(Besatzung!$F$11:$F$22="x")),SUMPRODUCT((J166:U166="x")*(Besatzung!$F$11:$F$22="x"))),1))))),0))))</f>
        <v/>
      </c>
      <c r="Z166" s="106">
        <f>IF(C166="Gutschrift","",IF(G166="","",IF(Besatzung!$B$13="","",IFERROR(IF(I166="Zeitanteilig",(Besatzung!$G$15*(G166-IFERROR(H166,0))+((Besatzung!$B$13&lt;&gt;"")*IF(B166="",1,(IF(Besatzung!$C$15="",Besatzung!$B$5,Besatzung!$C$15)&lt;=B166)*(IF(Besatzung!$D$15="",Besatzung!$B$6,Besatzung!$D$15)&gt;=B166)))*(Besatzung!$F$15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$13&lt;&gt;"")*IF(B166="",1,(IF(Besatzung!$C$15="",Besatzung!$B$5,Besatzung!$C$15)&lt;=B166)*(IF(Besatzung!$D$15="",Besatzung!$B$6,Besatzung!$D$15)&gt;=B166)))*((G166-IFERROR(H166,0))/IFERROR(SUMPRODUCT((Besatzung!$B$11:$B$22&lt;&gt;"")*(IF(Besatzung!$C$11:$C$22="",Besatzung!$B$5,Besatzung!$C$11:$C$22)&lt;=B166)*(IF(Besatzung!$D$11:$D$22="",Besatzung!$B$6,Besatzung!$D$11:$D$22)&gt;=B166)),1)+(Besatzung!$F$15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N166="x")*((G166-IFERROR(H166,0))/IFERROR(COUNTIF(J166:U166,"x"),1)+(Besatzung!$F$15="x")*IFERROR(H166,0)/IFERROR(SUMPRODUCT((J166:U166="x")*(Besatzung!$F$11:$F$22="x")),1))),(IF(COUNTIF(J166:U166,"x")=0,IF(Besatzung!$B$13&lt;&gt;"",1,0),(N166="x"))*(G166-IFERROR(H166,0))/IFERROR(IF(COUNTIF(J166:U166,"x")=0,COUNTA(Besatzung!$B$11:$B$22),COUNTIF(J166:U166,"x")),1)+IF(COUNTIF(J166:U166,"x")=0,(Besatzung!$F$15="x"),(N166="x")*(Besatzung!$F$15="x"))*IFERROR(H166,0)/IFERROR(IF(COUNTIF(J166:U166,"x")=0,SUMPRODUCT((Besatzung!$B$11:$B$22&lt;&gt;"")*(Besatzung!$F$11:$F$22="x")),SUMPRODUCT((J166:U166="x")*(Besatzung!$F$11:$F$22="x"))),1))))),0))))</f>
        <v/>
      </c>
      <c r="AA166" s="106">
        <f>IF(C166="Gutschrift","",IF(G166="","",IF(Besatzung!$B$15="","",IFERROR(IF(I166="Zeitanteilig",(Besatzung!$G$16*(G166-IFERROR(H166,0))+((Besatzung!$B$15&lt;&gt;"")*IF(B166="",1,(IF(Besatzung!$C$16="",Besatzung!$B$5,Besatzung!$C$16)&lt;=B166)*(IF(Besatzung!$D$16="",Besatzung!$B$6,Besatzung!$D$16)&gt;=B166)))*(Besatzung!$F$16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$15&lt;&gt;"")*IF(B166="",1,(IF(Besatzung!$C$16="",Besatzung!$B$5,Besatzung!$C$16)&lt;=B166)*(IF(Besatzung!$D$16="",Besatzung!$B$6,Besatzung!$D$16)&gt;=B166)))*((G166-IFERROR(H166,0))/IFERROR(SUMPRODUCT((Besatzung!$B$11:$B$22&lt;&gt;"")*(IF(Besatzung!$C$11:$C$22="",Besatzung!$B$5,Besatzung!$C$11:$C$22)&lt;=B166)*(IF(Besatzung!$D$11:$D$22="",Besatzung!$B$6,Besatzung!$D$11:$D$22)&gt;=B166)),1)+(Besatzung!$F$16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O166="x")*((G166-IFERROR(H166,0))/IFERROR(COUNTIF(J166:U166,"x"),1)+(Besatzung!$F$16="x")*IFERROR(H166,0)/IFERROR(SUMPRODUCT((J166:U166="x")*(Besatzung!$F$11:$F$22="x")),1))),(IF(COUNTIF(J166:U166,"x")=0,IF(Besatzung!$B$15&lt;&gt;"",1,0),(O166="x"))*(G166-IFERROR(H166,0))/IFERROR(IF(COUNTIF(J166:U166,"x")=0,COUNTA(Besatzung!$B$11:$B$22),COUNTIF(J166:U166,"x")),1)+IF(COUNTIF(J166:U166,"x")=0,(Besatzung!$F$16="x"),(O166="x")*(Besatzung!$F$16="x"))*IFERROR(H166,0)/IFERROR(IF(COUNTIF(J166:U166,"x")=0,SUMPRODUCT((Besatzung!$B$11:$B$22&lt;&gt;"")*(Besatzung!$F$11:$F$22="x")),SUMPRODUCT((J166:U166="x")*(Besatzung!$F$11:$F$22="x"))),1))))),0))))</f>
        <v/>
      </c>
      <c r="AB166" s="106">
        <f>IF(C166="Gutschrift","",IF(G166="","",IF(Besatzung!$B$17="","",IFERROR(IF(I166="Zeitanteilig",(Besatzung!$G$17*(G166-IFERROR(H166,0))+((Besatzung!$B$17&lt;&gt;"")*IF(B166="",1,(IF(Besatzung!$C$17="",Besatzung!$B$5,Besatzung!$C$17)&lt;=B166)*(IF(Besatzung!$D$17="",Besatzung!$B$6,Besatzung!$D$17)&gt;=B166)))*(Besatzung!$F$17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$17&lt;&gt;"")*IF(B166="",1,(IF(Besatzung!$C$17="",Besatzung!$B$5,Besatzung!$C$17)&lt;=B166)*(IF(Besatzung!$D$17="",Besatzung!$B$6,Besatzung!$D$17)&gt;=B166)))*((G166-IFERROR(H166,0))/IFERROR(SUMPRODUCT((Besatzung!$B$11:$B$22&lt;&gt;"")*(IF(Besatzung!$C$11:$C$22="",Besatzung!$B$5,Besatzung!$C$11:$C$22)&lt;=B166)*(IF(Besatzung!$D$11:$D$22="",Besatzung!$B$6,Besatzung!$D$11:$D$22)&gt;=B166)),1)+(Besatzung!$F$17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P166="x")*((G166-IFERROR(H166,0))/IFERROR(COUNTIF(J166:U166,"x"),1)+(Besatzung!$F$17="x")*IFERROR(H166,0)/IFERROR(SUMPRODUCT((J166:U166="x")*(Besatzung!$F$11:$F$22="x")),1))),(IF(COUNTIF(J166:U166,"x")=0,IF(Besatzung!$B$17&lt;&gt;"",1,0),(P166="x"))*(G166-IFERROR(H166,0))/IFERROR(IF(COUNTIF(J166:U166,"x")=0,COUNTA(Besatzung!$B$11:$B$22),COUNTIF(J166:U166,"x")),1)+IF(COUNTIF(J166:U166,"x")=0,(Besatzung!$F$17="x"),(P166="x")*(Besatzung!$F$17="x"))*IFERROR(H166,0)/IFERROR(IF(COUNTIF(J166:U166,"x")=0,SUMPRODUCT((Besatzung!$B$11:$B$22&lt;&gt;"")*(Besatzung!$F$11:$F$22="x")),SUMPRODUCT((J166:U166="x")*(Besatzung!$F$11:$F$22="x"))),1))))),0))))</f>
        <v/>
      </c>
      <c r="AC166" s="106">
        <f>IF(C166="Gutschrift","",IF(G166="","",IF(Besatzung!$B$18="","",IFERROR(IF(I166="Zeitanteilig",(Besatzung!$G$18*(G166-IFERROR(H166,0))+((Besatzung!$B$18&lt;&gt;"")*IF(B166="",1,(IF(Besatzung!$C$18="",Besatzung!$B$5,Besatzung!$C$18)&lt;=B166)*(IF(Besatzung!$D$18="",Besatzung!$B$6,Besatzung!$D$18)&gt;=B166)))*(Besatzung!$F$18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$18&lt;&gt;"")*IF(B166="",1,(IF(Besatzung!$C$18="",Besatzung!$B$5,Besatzung!$C$18)&lt;=B166)*(IF(Besatzung!$D$18="",Besatzung!$B$6,Besatzung!$D$18)&gt;=B166)))*((G166-IFERROR(H166,0))/IFERROR(SUMPRODUCT((Besatzung!$B$11:$B$22&lt;&gt;"")*(IF(Besatzung!$C$11:$C$22="",Besatzung!$B$5,Besatzung!$C$11:$C$22)&lt;=B166)*(IF(Besatzung!$D$11:$D$22="",Besatzung!$B$6,Besatzung!$D$11:$D$22)&gt;=B166)),1)+(Besatzung!$F$18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Q166="x")*((G166-IFERROR(H166,0))/IFERROR(COUNTIF(J166:U166,"x"),1)+(Besatzung!$F$18="x")*IFERROR(H166,0)/IFERROR(SUMPRODUCT((J166:U166="x")*(Besatzung!$F$11:$F$22="x")),1))),(IF(COUNTIF(J166:U166,"x")=0,IF(Besatzung!$B$18&lt;&gt;"",1,0),(Q166="x"))*(G166-IFERROR(H166,0))/IFERROR(IF(COUNTIF(J166:U166,"x")=0,COUNTA(Besatzung!$B$11:$B$22),COUNTIF(J166:U166,"x")),1)+IF(COUNTIF(J166:U166,"x")=0,(Besatzung!$F$18="x"),(Q166="x")*(Besatzung!$F$18="x"))*IFERROR(H166,0)/IFERROR(IF(COUNTIF(J166:U166,"x")=0,SUMPRODUCT((Besatzung!$B$11:$B$22&lt;&gt;"")*(Besatzung!$F$11:$F$22="x")),SUMPRODUCT((J166:U166="x")*(Besatzung!$F$11:$F$22="x"))),1))))),0))))</f>
        <v/>
      </c>
      <c r="AD166" s="106">
        <f>IF(C166="Gutschrift","",IF(G166="","",IF(Besatzung!$B$19="","",IFERROR(IF(I166="Zeitanteilig",(Besatzung!$G$19*(G166-IFERROR(H166,0))+((Besatzung!$B$19&lt;&gt;"")*IF(B166="",1,(IF(Besatzung!$C$19="",Besatzung!$B$5,Besatzung!$C$19)&lt;=B166)*(IF(Besatzung!$D$19="",Besatzung!$B$6,Besatzung!$D$19)&gt;=B166)))*(Besatzung!$F$19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$19&lt;&gt;"")*IF(B166="",1,(IF(Besatzung!$C$19="",Besatzung!$B$5,Besatzung!$C$19)&lt;=B166)*(IF(Besatzung!$D$19="",Besatzung!$B$6,Besatzung!$D$19)&gt;=B166)))*((G166-IFERROR(H166,0))/IFERROR(SUMPRODUCT((Besatzung!$B$11:$B$22&lt;&gt;"")*(IF(Besatzung!$C$11:$C$22="",Besatzung!$B$5,Besatzung!$C$11:$C$22)&lt;=B166)*(IF(Besatzung!$D$11:$D$22="",Besatzung!$B$6,Besatzung!$D$11:$D$22)&gt;=B166)),1)+(Besatzung!$F$19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R166="x")*((G166-IFERROR(H166,0))/IFERROR(COUNTIF(J166:U166,"x"),1)+(Besatzung!$F$19="x")*IFERROR(H166,0)/IFERROR(SUMPRODUCT((J166:U166="x")*(Besatzung!$F$11:$F$22="x")),1))),(IF(COUNTIF(J166:U166,"x")=0,IF(Besatzung!$B$19&lt;&gt;"",1,0),(R166="x"))*(G166-IFERROR(H166,0))/IFERROR(IF(COUNTIF(J166:U166,"x")=0,COUNTA(Besatzung!$B$11:$B$22),COUNTIF(J166:U166,"x")),1)+IF(COUNTIF(J166:U166,"x")=0,(Besatzung!$F$19="x"),(R166="x")*(Besatzung!$F$19="x"))*IFERROR(H166,0)/IFERROR(IF(COUNTIF(J166:U166,"x")=0,SUMPRODUCT((Besatzung!$B$11:$B$22&lt;&gt;"")*(Besatzung!$F$11:$F$22="x")),SUMPRODUCT((J166:U166="x")*(Besatzung!$F$11:$F$22="x"))),1))))),0))))</f>
        <v/>
      </c>
      <c r="AE166" s="106">
        <f>IF(C166="Gutschrift","",IF(G166="","",IF(Besatzung!$B$20="","",IFERROR(IF(I166="Zeitanteilig",(Besatzung!$G$20*(G166-IFERROR(H166,0))+((Besatzung!$B$20&lt;&gt;"")*IF(B166="",1,(IF(Besatzung!$C$20="",Besatzung!$B$5,Besatzung!$C$20)&lt;=B166)*(IF(Besatzung!$D$20="",Besatzung!$B$6,Besatzung!$D$20)&gt;=B166)))*(Besatzung!$F$20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$20&lt;&gt;"")*IF(B166="",1,(IF(Besatzung!$C$20="",Besatzung!$B$5,Besatzung!$C$20)&lt;=B166)*(IF(Besatzung!$D$20="",Besatzung!$B$6,Besatzung!$D$20)&gt;=B166)))*((G166-IFERROR(H166,0))/IFERROR(SUMPRODUCT((Besatzung!$B$11:$B$22&lt;&gt;"")*(IF(Besatzung!$C$11:$C$22="",Besatzung!$B$5,Besatzung!$C$11:$C$22)&lt;=B166)*(IF(Besatzung!$D$11:$D$22="",Besatzung!$B$6,Besatzung!$D$11:$D$22)&gt;=B166)),1)+(Besatzung!$F$20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S166="x")*((G166-IFERROR(H166,0))/IFERROR(COUNTIF(J166:U166,"x"),1)+(Besatzung!$F$20="x")*IFERROR(H166,0)/IFERROR(SUMPRODUCT((J166:U166="x")*(Besatzung!$F$11:$F$22="x")),1))),(IF(COUNTIF(J166:U166,"x")=0,IF(Besatzung!$B$20&lt;&gt;"",1,0),(S166="x"))*(G166-IFERROR(H166,0))/IFERROR(IF(COUNTIF(J166:U166,"x")=0,COUNTA(Besatzung!$B$11:$B$22),COUNTIF(J166:U166,"x")),1)+IF(COUNTIF(J166:U166,"x")=0,(Besatzung!$F$20="x"),(S166="x")*(Besatzung!$F$20="x"))*IFERROR(H166,0)/IFERROR(IF(COUNTIF(J166:U166,"x")=0,SUMPRODUCT((Besatzung!$B$11:$B$22&lt;&gt;"")*(Besatzung!$F$11:$F$22="x")),SUMPRODUCT((J166:U166="x")*(Besatzung!$F$11:$F$22="x"))),1))))),0))))</f>
        <v/>
      </c>
      <c r="AF166" s="106">
        <f>IF(C166="Gutschrift","",IF(G166="","",IF(Besatzung!$B$21="","",IFERROR(IF(I166="Zeitanteilig",(Besatzung!$G$21*(G166-IFERROR(H166,0))+((Besatzung!$B$21&lt;&gt;"")*IF(B166="",1,(IF(Besatzung!$C$21="",Besatzung!$B$5,Besatzung!$C$21)&lt;=B166)*(IF(Besatzung!$D$21="",Besatzung!$B$6,Besatzung!$D$21)&gt;=B166)))*(Besatzung!$F$21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$21&lt;&gt;"")*IF(B166="",1,(IF(Besatzung!$C$21="",Besatzung!$B$5,Besatzung!$C$21)&lt;=B166)*(IF(Besatzung!$D$21="",Besatzung!$B$6,Besatzung!$D$21)&gt;=B166)))*((G166-IFERROR(H166,0))/IFERROR(SUMPRODUCT((Besatzung!$B$11:$B$22&lt;&gt;"")*(IF(Besatzung!$C$11:$C$22="",Besatzung!$B$5,Besatzung!$C$11:$C$22)&lt;=B166)*(IF(Besatzung!$D$11:$D$22="",Besatzung!$B$6,Besatzung!$D$11:$D$22)&gt;=B166)),1)+(Besatzung!$F$21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T166="x")*((G166-IFERROR(H166,0))/IFERROR(COUNTIF(J166:U166,"x"),1)+(Besatzung!$F$21="x")*IFERROR(H166,0)/IFERROR(SUMPRODUCT((J166:U166="x")*(Besatzung!$F$11:$F$22="x")),1))),(IF(COUNTIF(J166:U166,"x")=0,IF(Besatzung!$B$21&lt;&gt;"",1,0),(T166="x"))*(G166-IFERROR(H166,0))/IFERROR(IF(COUNTIF(J166:U166,"x")=0,COUNTA(Besatzung!$B$11:$B$22),COUNTIF(J166:U166,"x")),1)+IF(COUNTIF(J166:U166,"x")=0,(Besatzung!$F$21="x"),(T166="x")*(Besatzung!$F$21="x"))*IFERROR(H166,0)/IFERROR(IF(COUNTIF(J166:U166,"x")=0,SUMPRODUCT((Besatzung!$B$11:$B$22&lt;&gt;"")*(Besatzung!$F$11:$F$22="x")),SUMPRODUCT((J166:U166="x")*(Besatzung!$F$11:$F$22="x"))),1))))),0))))</f>
        <v/>
      </c>
      <c r="AG166" s="106">
        <f>IF(C166="Gutschrift","",IF(G166="","",IF(Besatzung!$B$22="","",IFERROR(IF(I166="Zeitanteilig",(Besatzung!$G$22*(G166-IFERROR(H166,0))+((Besatzung!$B$22&lt;&gt;"")*IF(B166="",1,(IF(Besatzung!$C$22="",Besatzung!$B$5,Besatzung!$C$22)&lt;=B166)*(IF(Besatzung!$D$22="",Besatzung!$B$6,Besatzung!$D$22)&gt;=B166)))*(Besatzung!$F$22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$22&lt;&gt;"")*IF(B166="",1,(IF(Besatzung!$C$22="",Besatzung!$B$5,Besatzung!$C$22)&lt;=B166)*(IF(Besatzung!$D$22="",Besatzung!$B$6,Besatzung!$D$22)&gt;=B166)))*((G166-IFERROR(H166,0))/IFERROR(SUMPRODUCT((Besatzung!$B$11:$B$22&lt;&gt;"")*(IF(Besatzung!$C$11:$C$22="",Besatzung!$B$5,Besatzung!$C$11:$C$22)&lt;=B166)*(IF(Besatzung!$D$11:$D$22="",Besatzung!$B$6,Besatzung!$D$11:$D$22)&gt;=B166)),1)+(Besatzung!$F$22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U166="x")*((G166-IFERROR(H166,0))/IFERROR(COUNTIF(J166:U166,"x"),1)+(Besatzung!$F$22="x")*IFERROR(H166,0)/IFERROR(SUMPRODUCT((J166:U166="x")*(Besatzung!$F$11:$F$22="x")),1))),(IF(COUNTIF(J166:U166,"x")=0,IF(Besatzung!$B$22&lt;&gt;"",1,0),(U166="x"))*(G166-IFERROR(H166,0))/IFERROR(IF(COUNTIF(J166:U166,"x")=0,COUNTA(Besatzung!$B$11:$B$22),COUNTIF(J166:U166,"x")),1)+IF(COUNTIF(J166:U166,"x")=0,(Besatzung!$F$22="x"),(U166="x")*(Besatzung!$F$22="x"))*IFERROR(H166,0)/IFERROR(IF(COUNTIF(J166:U166,"x")=0,SUMPRODUCT((Besatzung!$B$11:$B$22&lt;&gt;"")*(Besatzung!$F$11:$F$22="x")),SUMPRODUCT((J166:U166="x")*(Besatzung!$F$11:$F$22="x"))),1))))),0))))</f>
        <v/>
      </c>
      <c r="AH166" s="107" t="n"/>
      <c r="AI166" s="107" t="n"/>
    </row>
    <row r="167" ht="21.75" customHeight="1" s="182">
      <c r="A167" s="97">
        <f>IF(AND(D167="",C167=""),"",164)</f>
        <v/>
      </c>
      <c r="B167" s="63" t="n"/>
      <c r="C167" s="108" t="n"/>
      <c r="D167" s="109" t="n"/>
      <c r="E167" s="110" t="n"/>
      <c r="F167" s="111" t="n"/>
      <c r="G167" s="112" t="n"/>
      <c r="H167" s="113" t="n"/>
      <c r="I167" s="114" t="n"/>
      <c r="J167" s="115" t="n"/>
      <c r="K167" s="115" t="n"/>
      <c r="L167" s="115" t="n"/>
      <c r="M167" s="115" t="n"/>
      <c r="N167" s="115" t="n"/>
      <c r="O167" s="115" t="n"/>
      <c r="P167" s="115" t="n"/>
      <c r="Q167" s="115" t="n"/>
      <c r="R167" s="115" t="n"/>
      <c r="S167" s="115" t="n"/>
      <c r="T167" s="115" t="n"/>
      <c r="U167" s="115" t="n"/>
      <c r="V167" s="106">
        <f>IF(C167="Gutschrift","",IF(G167="","",IF(Besatzung!$B$11="","",IFERROR(IF(I167="Zeitanteilig",(Besatzung!$G$11*(G167-IFERROR(H167,0))+((Besatzung!$B$11&lt;&gt;"")*IF(B167="",1,(IF(Besatzung!$C$11="",Besatzung!$B$5,Besatzung!$C$11)&lt;=B167)*(IF(Besatzung!$D$11="",Besatzung!$B$6,Besatzung!$D$11)&gt;=B167)))*(Besatzung!$F$11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$11&lt;&gt;"")*IF(B167="",1,(IF(Besatzung!$C$11="",Besatzung!$B$5,Besatzung!$C$11)&lt;=B167)*(IF(Besatzung!$D$11="",Besatzung!$B$6,Besatzung!$D$11)&gt;=B167)))*((G167-IFERROR(H167,0))/IFERROR(SUMPRODUCT((Besatzung!$B$11:$B$22&lt;&gt;"")*(IF(Besatzung!$C$11:$C$22="",Besatzung!$B$5,Besatzung!$C$11:$C$22)&lt;=B167)*(IF(Besatzung!$D$11:$D$22="",Besatzung!$B$6,Besatzung!$D$11:$D$22)&gt;=B167)),1)+(Besatzung!$F$11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J167="x")*((G167-IFERROR(H167,0))/IFERROR(COUNTIF(J167:U167,"x"),1)+(Besatzung!$F$11="x")*IFERROR(H167,0)/IFERROR(SUMPRODUCT((J167:U167="x")*(Besatzung!$F$11:$F$22="x")),1))),(IF(COUNTIF(J167:U167,"x")=0,IF(Besatzung!$B$11&lt;&gt;"",1,0),(J167="x"))*(G167-IFERROR(H167,0))/IFERROR(IF(COUNTIF(J167:U167,"x")=0,COUNTA(Besatzung!$B$11:$B$22),COUNTIF(J167:U167,"x")),1)+IF(COUNTIF(J167:U167,"x")=0,(Besatzung!$F$11="x"),(J167="x")*(Besatzung!$F$11="x"))*IFERROR(H167,0)/IFERROR(IF(COUNTIF(J167:U167,"x")=0,SUMPRODUCT((Besatzung!$B$11:$B$22&lt;&gt;"")*(Besatzung!$F$11:$F$22="x")),SUMPRODUCT((J167:U167="x")*(Besatzung!$F$11:$F$22="x"))),1))))),0))))</f>
        <v/>
      </c>
      <c r="W167" s="106">
        <f>IF(C167="Gutschrift","",IF(G167="","",IF(Besatzung!$B$12="","",IFERROR(IF(I167="Zeitanteilig",(Besatzung!$G$12*(G167-IFERROR(H167,0))+((Besatzung!$B$12&lt;&gt;"")*IF(B167="",1,(IF(Besatzung!$C$12="",Besatzung!$B$5,Besatzung!$C$12)&lt;=B167)*(IF(Besatzung!$D$12="",Besatzung!$B$6,Besatzung!$D$12)&gt;=B167)))*(Besatzung!$F$12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$12&lt;&gt;"")*IF(B167="",1,(IF(Besatzung!$C$12="",Besatzung!$B$5,Besatzung!$C$12)&lt;=B167)*(IF(Besatzung!$D$12="",Besatzung!$B$6,Besatzung!$D$12)&gt;=B167)))*((G167-IFERROR(H167,0))/IFERROR(SUMPRODUCT((Besatzung!$B$11:$B$22&lt;&gt;"")*(IF(Besatzung!$C$11:$C$22="",Besatzung!$B$5,Besatzung!$C$11:$C$22)&lt;=B167)*(IF(Besatzung!$D$11:$D$22="",Besatzung!$B$6,Besatzung!$D$11:$D$22)&gt;=B167)),1)+(Besatzung!$F$12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K167="x")*((G167-IFERROR(H167,0))/IFERROR(COUNTIF(J167:U167,"x"),1)+(Besatzung!$F$12="x")*IFERROR(H167,0)/IFERROR(SUMPRODUCT((J167:U167="x")*(Besatzung!$F$11:$F$22="x")),1))),(IF(COUNTIF(J167:U167,"x")=0,IF(Besatzung!$B$12&lt;&gt;"",1,0),(K167="x"))*(G167-IFERROR(H167,0))/IFERROR(IF(COUNTIF(J167:U167,"x")=0,COUNTA(Besatzung!$B$11:$B$22),COUNTIF(J167:U167,"x")),1)+IF(COUNTIF(J167:U167,"x")=0,(Besatzung!$F$12="x"),(K167="x")*(Besatzung!$F$12="x"))*IFERROR(H167,0)/IFERROR(IF(COUNTIF(J167:U167,"x")=0,SUMPRODUCT((Besatzung!$B$11:$B$22&lt;&gt;"")*(Besatzung!$F$11:$F$22="x")),SUMPRODUCT((J167:U167="x")*(Besatzung!$F$11:$F$22="x"))),1))))),0))))</f>
        <v/>
      </c>
      <c r="X167" s="106">
        <f>IF(C167="Gutschrift","",IF(G167="","",IF(Besatzung!$B$13="","",IFERROR(IF(I167="Zeitanteilig",(Besatzung!$G$13*(G167-IFERROR(H167,0))+((Besatzung!$B$13&lt;&gt;"")*IF(B167="",1,(IF(Besatzung!$C$13="",Besatzung!$B$5,Besatzung!$C$13)&lt;=B167)*(IF(Besatzung!$D$13="",Besatzung!$B$6,Besatzung!$D$13)&gt;=B167)))*(Besatzung!$F$13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$13&lt;&gt;"")*IF(B167="",1,(IF(Besatzung!$C$13="",Besatzung!$B$5,Besatzung!$C$13)&lt;=B167)*(IF(Besatzung!$D$13="",Besatzung!$B$6,Besatzung!$D$13)&gt;=B167)))*((G167-IFERROR(H167,0))/IFERROR(SUMPRODUCT((Besatzung!$B$11:$B$22&lt;&gt;"")*(IF(Besatzung!$C$11:$C$22="",Besatzung!$B$5,Besatzung!$C$11:$C$22)&lt;=B167)*(IF(Besatzung!$D$11:$D$22="",Besatzung!$B$6,Besatzung!$D$11:$D$22)&gt;=B167)),1)+(Besatzung!$F$13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K167="x")*((G167-IFERROR(H167,0))/IFERROR(COUNTIF(J167:U167,"x"),1)+(Besatzung!$F$13="x")*IFERROR(H167,0)/IFERROR(SUMPRODUCT((J167:U167="x")*(Besatzung!$F$11:$F$22="x")),1))),(IF(COUNTIF(J167:U167,"x")=0,IF(Besatzung!$B$13&lt;&gt;"",1,0),(K167="x"))*(G167-IFERROR(H167,0))/IFERROR(IF(COUNTIF(J167:U167,"x")=0,COUNTA(Besatzung!$B$11:$B$22),COUNTIF(J167:U167,"x")),1)+IF(COUNTIF(J167:U167,"x")=0,(Besatzung!$F$13="x"),(K167="x")*(Besatzung!$F$13="x"))*IFERROR(H167,0)/IFERROR(IF(COUNTIF(J167:U167,"x")=0,SUMPRODUCT((Besatzung!$B$11:$B$22&lt;&gt;"")*(Besatzung!$F$11:$F$22="x")),SUMPRODUCT((J167:U167="x")*(Besatzung!$F$11:$F$22="x"))),1))))),0))))</f>
        <v/>
      </c>
      <c r="Y167" s="106">
        <f>IF(C167="Gutschrift","",IF(G167="","",IF(Besatzung!$B$14="","",IFERROR(IF(I167="Zeitanteilig",(Besatzung!$G$14*(G167-IFERROR(H167,0))+((Besatzung!$B$14&lt;&gt;"")*IF(B167="",1,(IF(Besatzung!$C$14="",Besatzung!$B$5,Besatzung!$C$14)&lt;=B167)*(IF(Besatzung!$D$14="",Besatzung!$B$6,Besatzung!$D$14)&gt;=B167)))*(Besatzung!$F$14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$14&lt;&gt;"")*IF(B167="",1,(IF(Besatzung!$C$14="",Besatzung!$B$5,Besatzung!$C$14)&lt;=B167)*(IF(Besatzung!$D$14="",Besatzung!$B$6,Besatzung!$D$14)&gt;=B167)))*((G167-IFERROR(H167,0))/IFERROR(SUMPRODUCT((Besatzung!$B$11:$B$22&lt;&gt;"")*(IF(Besatzung!$C$11:$C$22="",Besatzung!$B$5,Besatzung!$C$11:$C$22)&lt;=B167)*(IF(Besatzung!$D$11:$D$22="",Besatzung!$B$6,Besatzung!$D$11:$D$22)&gt;=B167)),1)+(Besatzung!$F$14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M167="x")*((G167-IFERROR(H167,0))/IFERROR(COUNTIF(J167:U167,"x"),1)+(Besatzung!$F$14="x")*IFERROR(H167,0)/IFERROR(SUMPRODUCT((J167:U167="x")*(Besatzung!$F$11:$F$22="x")),1))),(IF(COUNTIF(J167:U167,"x")=0,IF(Besatzung!$B$14&lt;&gt;"",1,0),(M167="x"))*(G167-IFERROR(H167,0))/IFERROR(IF(COUNTIF(J167:U167,"x")=0,COUNTA(Besatzung!$B$11:$B$22),COUNTIF(J167:U167,"x")),1)+IF(COUNTIF(J167:U167,"x")=0,(Besatzung!$F$14="x"),(M167="x")*(Besatzung!$F$14="x"))*IFERROR(H167,0)/IFERROR(IF(COUNTIF(J167:U167,"x")=0,SUMPRODUCT((Besatzung!$B$11:$B$22&lt;&gt;"")*(Besatzung!$F$11:$F$22="x")),SUMPRODUCT((J167:U167="x")*(Besatzung!$F$11:$F$22="x"))),1))))),0))))</f>
        <v/>
      </c>
      <c r="Z167" s="106">
        <f>IF(C167="Gutschrift","",IF(G167="","",IF(Besatzung!$B$13="","",IFERROR(IF(I167="Zeitanteilig",(Besatzung!$G$15*(G167-IFERROR(H167,0))+((Besatzung!$B$13&lt;&gt;"")*IF(B167="",1,(IF(Besatzung!$C$15="",Besatzung!$B$5,Besatzung!$C$15)&lt;=B167)*(IF(Besatzung!$D$15="",Besatzung!$B$6,Besatzung!$D$15)&gt;=B167)))*(Besatzung!$F$15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$13&lt;&gt;"")*IF(B167="",1,(IF(Besatzung!$C$15="",Besatzung!$B$5,Besatzung!$C$15)&lt;=B167)*(IF(Besatzung!$D$15="",Besatzung!$B$6,Besatzung!$D$15)&gt;=B167)))*((G167-IFERROR(H167,0))/IFERROR(SUMPRODUCT((Besatzung!$B$11:$B$22&lt;&gt;"")*(IF(Besatzung!$C$11:$C$22="",Besatzung!$B$5,Besatzung!$C$11:$C$22)&lt;=B167)*(IF(Besatzung!$D$11:$D$22="",Besatzung!$B$6,Besatzung!$D$11:$D$22)&gt;=B167)),1)+(Besatzung!$F$15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N167="x")*((G167-IFERROR(H167,0))/IFERROR(COUNTIF(J167:U167,"x"),1)+(Besatzung!$F$15="x")*IFERROR(H167,0)/IFERROR(SUMPRODUCT((J167:U167="x")*(Besatzung!$F$11:$F$22="x")),1))),(IF(COUNTIF(J167:U167,"x")=0,IF(Besatzung!$B$13&lt;&gt;"",1,0),(N167="x"))*(G167-IFERROR(H167,0))/IFERROR(IF(COUNTIF(J167:U167,"x")=0,COUNTA(Besatzung!$B$11:$B$22),COUNTIF(J167:U167,"x")),1)+IF(COUNTIF(J167:U167,"x")=0,(Besatzung!$F$15="x"),(N167="x")*(Besatzung!$F$15="x"))*IFERROR(H167,0)/IFERROR(IF(COUNTIF(J167:U167,"x")=0,SUMPRODUCT((Besatzung!$B$11:$B$22&lt;&gt;"")*(Besatzung!$F$11:$F$22="x")),SUMPRODUCT((J167:U167="x")*(Besatzung!$F$11:$F$22="x"))),1))))),0))))</f>
        <v/>
      </c>
      <c r="AA167" s="106">
        <f>IF(C167="Gutschrift","",IF(G167="","",IF(Besatzung!$B$15="","",IFERROR(IF(I167="Zeitanteilig",(Besatzung!$G$16*(G167-IFERROR(H167,0))+((Besatzung!$B$15&lt;&gt;"")*IF(B167="",1,(IF(Besatzung!$C$16="",Besatzung!$B$5,Besatzung!$C$16)&lt;=B167)*(IF(Besatzung!$D$16="",Besatzung!$B$6,Besatzung!$D$16)&gt;=B167)))*(Besatzung!$F$16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$15&lt;&gt;"")*IF(B167="",1,(IF(Besatzung!$C$16="",Besatzung!$B$5,Besatzung!$C$16)&lt;=B167)*(IF(Besatzung!$D$16="",Besatzung!$B$6,Besatzung!$D$16)&gt;=B167)))*((G167-IFERROR(H167,0))/IFERROR(SUMPRODUCT((Besatzung!$B$11:$B$22&lt;&gt;"")*(IF(Besatzung!$C$11:$C$22="",Besatzung!$B$5,Besatzung!$C$11:$C$22)&lt;=B167)*(IF(Besatzung!$D$11:$D$22="",Besatzung!$B$6,Besatzung!$D$11:$D$22)&gt;=B167)),1)+(Besatzung!$F$16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O167="x")*((G167-IFERROR(H167,0))/IFERROR(COUNTIF(J167:U167,"x"),1)+(Besatzung!$F$16="x")*IFERROR(H167,0)/IFERROR(SUMPRODUCT((J167:U167="x")*(Besatzung!$F$11:$F$22="x")),1))),(IF(COUNTIF(J167:U167,"x")=0,IF(Besatzung!$B$15&lt;&gt;"",1,0),(O167="x"))*(G167-IFERROR(H167,0))/IFERROR(IF(COUNTIF(J167:U167,"x")=0,COUNTA(Besatzung!$B$11:$B$22),COUNTIF(J167:U167,"x")),1)+IF(COUNTIF(J167:U167,"x")=0,(Besatzung!$F$16="x"),(O167="x")*(Besatzung!$F$16="x"))*IFERROR(H167,0)/IFERROR(IF(COUNTIF(J167:U167,"x")=0,SUMPRODUCT((Besatzung!$B$11:$B$22&lt;&gt;"")*(Besatzung!$F$11:$F$22="x")),SUMPRODUCT((J167:U167="x")*(Besatzung!$F$11:$F$22="x"))),1))))),0))))</f>
        <v/>
      </c>
      <c r="AB167" s="106">
        <f>IF(C167="Gutschrift","",IF(G167="","",IF(Besatzung!$B$17="","",IFERROR(IF(I167="Zeitanteilig",(Besatzung!$G$17*(G167-IFERROR(H167,0))+((Besatzung!$B$17&lt;&gt;"")*IF(B167="",1,(IF(Besatzung!$C$17="",Besatzung!$B$5,Besatzung!$C$17)&lt;=B167)*(IF(Besatzung!$D$17="",Besatzung!$B$6,Besatzung!$D$17)&gt;=B167)))*(Besatzung!$F$17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$17&lt;&gt;"")*IF(B167="",1,(IF(Besatzung!$C$17="",Besatzung!$B$5,Besatzung!$C$17)&lt;=B167)*(IF(Besatzung!$D$17="",Besatzung!$B$6,Besatzung!$D$17)&gt;=B167)))*((G167-IFERROR(H167,0))/IFERROR(SUMPRODUCT((Besatzung!$B$11:$B$22&lt;&gt;"")*(IF(Besatzung!$C$11:$C$22="",Besatzung!$B$5,Besatzung!$C$11:$C$22)&lt;=B167)*(IF(Besatzung!$D$11:$D$22="",Besatzung!$B$6,Besatzung!$D$11:$D$22)&gt;=B167)),1)+(Besatzung!$F$17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P167="x")*((G167-IFERROR(H167,0))/IFERROR(COUNTIF(J167:U167,"x"),1)+(Besatzung!$F$17="x")*IFERROR(H167,0)/IFERROR(SUMPRODUCT((J167:U167="x")*(Besatzung!$F$11:$F$22="x")),1))),(IF(COUNTIF(J167:U167,"x")=0,IF(Besatzung!$B$17&lt;&gt;"",1,0),(P167="x"))*(G167-IFERROR(H167,0))/IFERROR(IF(COUNTIF(J167:U167,"x")=0,COUNTA(Besatzung!$B$11:$B$22),COUNTIF(J167:U167,"x")),1)+IF(COUNTIF(J167:U167,"x")=0,(Besatzung!$F$17="x"),(P167="x")*(Besatzung!$F$17="x"))*IFERROR(H167,0)/IFERROR(IF(COUNTIF(J167:U167,"x")=0,SUMPRODUCT((Besatzung!$B$11:$B$22&lt;&gt;"")*(Besatzung!$F$11:$F$22="x")),SUMPRODUCT((J167:U167="x")*(Besatzung!$F$11:$F$22="x"))),1))))),0))))</f>
        <v/>
      </c>
      <c r="AC167" s="106">
        <f>IF(C167="Gutschrift","",IF(G167="","",IF(Besatzung!$B$18="","",IFERROR(IF(I167="Zeitanteilig",(Besatzung!$G$18*(G167-IFERROR(H167,0))+((Besatzung!$B$18&lt;&gt;"")*IF(B167="",1,(IF(Besatzung!$C$18="",Besatzung!$B$5,Besatzung!$C$18)&lt;=B167)*(IF(Besatzung!$D$18="",Besatzung!$B$6,Besatzung!$D$18)&gt;=B167)))*(Besatzung!$F$18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$18&lt;&gt;"")*IF(B167="",1,(IF(Besatzung!$C$18="",Besatzung!$B$5,Besatzung!$C$18)&lt;=B167)*(IF(Besatzung!$D$18="",Besatzung!$B$6,Besatzung!$D$18)&gt;=B167)))*((G167-IFERROR(H167,0))/IFERROR(SUMPRODUCT((Besatzung!$B$11:$B$22&lt;&gt;"")*(IF(Besatzung!$C$11:$C$22="",Besatzung!$B$5,Besatzung!$C$11:$C$22)&lt;=B167)*(IF(Besatzung!$D$11:$D$22="",Besatzung!$B$6,Besatzung!$D$11:$D$22)&gt;=B167)),1)+(Besatzung!$F$18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Q167="x")*((G167-IFERROR(H167,0))/IFERROR(COUNTIF(J167:U167,"x"),1)+(Besatzung!$F$18="x")*IFERROR(H167,0)/IFERROR(SUMPRODUCT((J167:U167="x")*(Besatzung!$F$11:$F$22="x")),1))),(IF(COUNTIF(J167:U167,"x")=0,IF(Besatzung!$B$18&lt;&gt;"",1,0),(Q167="x"))*(G167-IFERROR(H167,0))/IFERROR(IF(COUNTIF(J167:U167,"x")=0,COUNTA(Besatzung!$B$11:$B$22),COUNTIF(J167:U167,"x")),1)+IF(COUNTIF(J167:U167,"x")=0,(Besatzung!$F$18="x"),(Q167="x")*(Besatzung!$F$18="x"))*IFERROR(H167,0)/IFERROR(IF(COUNTIF(J167:U167,"x")=0,SUMPRODUCT((Besatzung!$B$11:$B$22&lt;&gt;"")*(Besatzung!$F$11:$F$22="x")),SUMPRODUCT((J167:U167="x")*(Besatzung!$F$11:$F$22="x"))),1))))),0))))</f>
        <v/>
      </c>
      <c r="AD167" s="106">
        <f>IF(C167="Gutschrift","",IF(G167="","",IF(Besatzung!$B$19="","",IFERROR(IF(I167="Zeitanteilig",(Besatzung!$G$19*(G167-IFERROR(H167,0))+((Besatzung!$B$19&lt;&gt;"")*IF(B167="",1,(IF(Besatzung!$C$19="",Besatzung!$B$5,Besatzung!$C$19)&lt;=B167)*(IF(Besatzung!$D$19="",Besatzung!$B$6,Besatzung!$D$19)&gt;=B167)))*(Besatzung!$F$19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$19&lt;&gt;"")*IF(B167="",1,(IF(Besatzung!$C$19="",Besatzung!$B$5,Besatzung!$C$19)&lt;=B167)*(IF(Besatzung!$D$19="",Besatzung!$B$6,Besatzung!$D$19)&gt;=B167)))*((G167-IFERROR(H167,0))/IFERROR(SUMPRODUCT((Besatzung!$B$11:$B$22&lt;&gt;"")*(IF(Besatzung!$C$11:$C$22="",Besatzung!$B$5,Besatzung!$C$11:$C$22)&lt;=B167)*(IF(Besatzung!$D$11:$D$22="",Besatzung!$B$6,Besatzung!$D$11:$D$22)&gt;=B167)),1)+(Besatzung!$F$19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R167="x")*((G167-IFERROR(H167,0))/IFERROR(COUNTIF(J167:U167,"x"),1)+(Besatzung!$F$19="x")*IFERROR(H167,0)/IFERROR(SUMPRODUCT((J167:U167="x")*(Besatzung!$F$11:$F$22="x")),1))),(IF(COUNTIF(J167:U167,"x")=0,IF(Besatzung!$B$19&lt;&gt;"",1,0),(R167="x"))*(G167-IFERROR(H167,0))/IFERROR(IF(COUNTIF(J167:U167,"x")=0,COUNTA(Besatzung!$B$11:$B$22),COUNTIF(J167:U167,"x")),1)+IF(COUNTIF(J167:U167,"x")=0,(Besatzung!$F$19="x"),(R167="x")*(Besatzung!$F$19="x"))*IFERROR(H167,0)/IFERROR(IF(COUNTIF(J167:U167,"x")=0,SUMPRODUCT((Besatzung!$B$11:$B$22&lt;&gt;"")*(Besatzung!$F$11:$F$22="x")),SUMPRODUCT((J167:U167="x")*(Besatzung!$F$11:$F$22="x"))),1))))),0))))</f>
        <v/>
      </c>
      <c r="AE167" s="106">
        <f>IF(C167="Gutschrift","",IF(G167="","",IF(Besatzung!$B$20="","",IFERROR(IF(I167="Zeitanteilig",(Besatzung!$G$20*(G167-IFERROR(H167,0))+((Besatzung!$B$20&lt;&gt;"")*IF(B167="",1,(IF(Besatzung!$C$20="",Besatzung!$B$5,Besatzung!$C$20)&lt;=B167)*(IF(Besatzung!$D$20="",Besatzung!$B$6,Besatzung!$D$20)&gt;=B167)))*(Besatzung!$F$20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$20&lt;&gt;"")*IF(B167="",1,(IF(Besatzung!$C$20="",Besatzung!$B$5,Besatzung!$C$20)&lt;=B167)*(IF(Besatzung!$D$20="",Besatzung!$B$6,Besatzung!$D$20)&gt;=B167)))*((G167-IFERROR(H167,0))/IFERROR(SUMPRODUCT((Besatzung!$B$11:$B$22&lt;&gt;"")*(IF(Besatzung!$C$11:$C$22="",Besatzung!$B$5,Besatzung!$C$11:$C$22)&lt;=B167)*(IF(Besatzung!$D$11:$D$22="",Besatzung!$B$6,Besatzung!$D$11:$D$22)&gt;=B167)),1)+(Besatzung!$F$20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S167="x")*((G167-IFERROR(H167,0))/IFERROR(COUNTIF(J167:U167,"x"),1)+(Besatzung!$F$20="x")*IFERROR(H167,0)/IFERROR(SUMPRODUCT((J167:U167="x")*(Besatzung!$F$11:$F$22="x")),1))),(IF(COUNTIF(J167:U167,"x")=0,IF(Besatzung!$B$20&lt;&gt;"",1,0),(S167="x"))*(G167-IFERROR(H167,0))/IFERROR(IF(COUNTIF(J167:U167,"x")=0,COUNTA(Besatzung!$B$11:$B$22),COUNTIF(J167:U167,"x")),1)+IF(COUNTIF(J167:U167,"x")=0,(Besatzung!$F$20="x"),(S167="x")*(Besatzung!$F$20="x"))*IFERROR(H167,0)/IFERROR(IF(COUNTIF(J167:U167,"x")=0,SUMPRODUCT((Besatzung!$B$11:$B$22&lt;&gt;"")*(Besatzung!$F$11:$F$22="x")),SUMPRODUCT((J167:U167="x")*(Besatzung!$F$11:$F$22="x"))),1))))),0))))</f>
        <v/>
      </c>
      <c r="AF167" s="106">
        <f>IF(C167="Gutschrift","",IF(G167="","",IF(Besatzung!$B$21="","",IFERROR(IF(I167="Zeitanteilig",(Besatzung!$G$21*(G167-IFERROR(H167,0))+((Besatzung!$B$21&lt;&gt;"")*IF(B167="",1,(IF(Besatzung!$C$21="",Besatzung!$B$5,Besatzung!$C$21)&lt;=B167)*(IF(Besatzung!$D$21="",Besatzung!$B$6,Besatzung!$D$21)&gt;=B167)))*(Besatzung!$F$21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$21&lt;&gt;"")*IF(B167="",1,(IF(Besatzung!$C$21="",Besatzung!$B$5,Besatzung!$C$21)&lt;=B167)*(IF(Besatzung!$D$21="",Besatzung!$B$6,Besatzung!$D$21)&gt;=B167)))*((G167-IFERROR(H167,0))/IFERROR(SUMPRODUCT((Besatzung!$B$11:$B$22&lt;&gt;"")*(IF(Besatzung!$C$11:$C$22="",Besatzung!$B$5,Besatzung!$C$11:$C$22)&lt;=B167)*(IF(Besatzung!$D$11:$D$22="",Besatzung!$B$6,Besatzung!$D$11:$D$22)&gt;=B167)),1)+(Besatzung!$F$21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T167="x")*((G167-IFERROR(H167,0))/IFERROR(COUNTIF(J167:U167,"x"),1)+(Besatzung!$F$21="x")*IFERROR(H167,0)/IFERROR(SUMPRODUCT((J167:U167="x")*(Besatzung!$F$11:$F$22="x")),1))),(IF(COUNTIF(J167:U167,"x")=0,IF(Besatzung!$B$21&lt;&gt;"",1,0),(T167="x"))*(G167-IFERROR(H167,0))/IFERROR(IF(COUNTIF(J167:U167,"x")=0,COUNTA(Besatzung!$B$11:$B$22),COUNTIF(J167:U167,"x")),1)+IF(COUNTIF(J167:U167,"x")=0,(Besatzung!$F$21="x"),(T167="x")*(Besatzung!$F$21="x"))*IFERROR(H167,0)/IFERROR(IF(COUNTIF(J167:U167,"x")=0,SUMPRODUCT((Besatzung!$B$11:$B$22&lt;&gt;"")*(Besatzung!$F$11:$F$22="x")),SUMPRODUCT((J167:U167="x")*(Besatzung!$F$11:$F$22="x"))),1))))),0))))</f>
        <v/>
      </c>
      <c r="AG167" s="106">
        <f>IF(C167="Gutschrift","",IF(G167="","",IF(Besatzung!$B$22="","",IFERROR(IF(I167="Zeitanteilig",(Besatzung!$G$22*(G167-IFERROR(H167,0))+((Besatzung!$B$22&lt;&gt;"")*IF(B167="",1,(IF(Besatzung!$C$22="",Besatzung!$B$5,Besatzung!$C$22)&lt;=B167)*(IF(Besatzung!$D$22="",Besatzung!$B$6,Besatzung!$D$22)&gt;=B167)))*(Besatzung!$F$22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$22&lt;&gt;"")*IF(B167="",1,(IF(Besatzung!$C$22="",Besatzung!$B$5,Besatzung!$C$22)&lt;=B167)*(IF(Besatzung!$D$22="",Besatzung!$B$6,Besatzung!$D$22)&gt;=B167)))*((G167-IFERROR(H167,0))/IFERROR(SUMPRODUCT((Besatzung!$B$11:$B$22&lt;&gt;"")*(IF(Besatzung!$C$11:$C$22="",Besatzung!$B$5,Besatzung!$C$11:$C$22)&lt;=B167)*(IF(Besatzung!$D$11:$D$22="",Besatzung!$B$6,Besatzung!$D$11:$D$22)&gt;=B167)),1)+(Besatzung!$F$22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U167="x")*((G167-IFERROR(H167,0))/IFERROR(COUNTIF(J167:U167,"x"),1)+(Besatzung!$F$22="x")*IFERROR(H167,0)/IFERROR(SUMPRODUCT((J167:U167="x")*(Besatzung!$F$11:$F$22="x")),1))),(IF(COUNTIF(J167:U167,"x")=0,IF(Besatzung!$B$22&lt;&gt;"",1,0),(U167="x"))*(G167-IFERROR(H167,0))/IFERROR(IF(COUNTIF(J167:U167,"x")=0,COUNTA(Besatzung!$B$11:$B$22),COUNTIF(J167:U167,"x")),1)+IF(COUNTIF(J167:U167,"x")=0,(Besatzung!$F$22="x"),(U167="x")*(Besatzung!$F$22="x"))*IFERROR(H167,0)/IFERROR(IF(COUNTIF(J167:U167,"x")=0,SUMPRODUCT((Besatzung!$B$11:$B$22&lt;&gt;"")*(Besatzung!$F$11:$F$22="x")),SUMPRODUCT((J167:U167="x")*(Besatzung!$F$11:$F$22="x"))),1))))),0))))</f>
        <v/>
      </c>
      <c r="AH167" s="107" t="n"/>
      <c r="AI167" s="107" t="n"/>
    </row>
    <row r="168" ht="21.75" customHeight="1" s="182">
      <c r="A168" s="97">
        <f>IF(AND(D168="",C168=""),"",165)</f>
        <v/>
      </c>
      <c r="B168" s="56" t="n"/>
      <c r="C168" s="98" t="n"/>
      <c r="D168" s="99" t="n"/>
      <c r="E168" s="100" t="n"/>
      <c r="F168" s="101" t="n"/>
      <c r="G168" s="102" t="n"/>
      <c r="H168" s="103" t="n"/>
      <c r="I168" s="104" t="n"/>
      <c r="J168" s="105" t="n"/>
      <c r="K168" s="105" t="n"/>
      <c r="L168" s="105" t="n"/>
      <c r="M168" s="105" t="n"/>
      <c r="N168" s="105" t="n"/>
      <c r="O168" s="105" t="n"/>
      <c r="P168" s="105" t="n"/>
      <c r="Q168" s="105" t="n"/>
      <c r="R168" s="105" t="n"/>
      <c r="S168" s="105" t="n"/>
      <c r="T168" s="105" t="n"/>
      <c r="U168" s="105" t="n"/>
      <c r="V168" s="106">
        <f>IF(C168="Gutschrift","",IF(G168="","",IF(Besatzung!$B$11="","",IFERROR(IF(I168="Zeitanteilig",(Besatzung!$G$11*(G168-IFERROR(H168,0))+((Besatzung!$B$11&lt;&gt;"")*IF(B168="",1,(IF(Besatzung!$C$11="",Besatzung!$B$5,Besatzung!$C$11)&lt;=B168)*(IF(Besatzung!$D$11="",Besatzung!$B$6,Besatzung!$D$11)&gt;=B168)))*(Besatzung!$F$11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$11&lt;&gt;"")*IF(B168="",1,(IF(Besatzung!$C$11="",Besatzung!$B$5,Besatzung!$C$11)&lt;=B168)*(IF(Besatzung!$D$11="",Besatzung!$B$6,Besatzung!$D$11)&gt;=B168)))*((G168-IFERROR(H168,0))/IFERROR(SUMPRODUCT((Besatzung!$B$11:$B$22&lt;&gt;"")*(IF(Besatzung!$C$11:$C$22="",Besatzung!$B$5,Besatzung!$C$11:$C$22)&lt;=B168)*(IF(Besatzung!$D$11:$D$22="",Besatzung!$B$6,Besatzung!$D$11:$D$22)&gt;=B168)),1)+(Besatzung!$F$11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J168="x")*((G168-IFERROR(H168,0))/IFERROR(COUNTIF(J168:U168,"x"),1)+(Besatzung!$F$11="x")*IFERROR(H168,0)/IFERROR(SUMPRODUCT((J168:U168="x")*(Besatzung!$F$11:$F$22="x")),1))),(IF(COUNTIF(J168:U168,"x")=0,IF(Besatzung!$B$11&lt;&gt;"",1,0),(J168="x"))*(G168-IFERROR(H168,0))/IFERROR(IF(COUNTIF(J168:U168,"x")=0,COUNTA(Besatzung!$B$11:$B$22),COUNTIF(J168:U168,"x")),1)+IF(COUNTIF(J168:U168,"x")=0,(Besatzung!$F$11="x"),(J168="x")*(Besatzung!$F$11="x"))*IFERROR(H168,0)/IFERROR(IF(COUNTIF(J168:U168,"x")=0,SUMPRODUCT((Besatzung!$B$11:$B$22&lt;&gt;"")*(Besatzung!$F$11:$F$22="x")),SUMPRODUCT((J168:U168="x")*(Besatzung!$F$11:$F$22="x"))),1))))),0))))</f>
        <v/>
      </c>
      <c r="W168" s="106">
        <f>IF(C168="Gutschrift","",IF(G168="","",IF(Besatzung!$B$12="","",IFERROR(IF(I168="Zeitanteilig",(Besatzung!$G$12*(G168-IFERROR(H168,0))+((Besatzung!$B$12&lt;&gt;"")*IF(B168="",1,(IF(Besatzung!$C$12="",Besatzung!$B$5,Besatzung!$C$12)&lt;=B168)*(IF(Besatzung!$D$12="",Besatzung!$B$6,Besatzung!$D$12)&gt;=B168)))*(Besatzung!$F$12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$12&lt;&gt;"")*IF(B168="",1,(IF(Besatzung!$C$12="",Besatzung!$B$5,Besatzung!$C$12)&lt;=B168)*(IF(Besatzung!$D$12="",Besatzung!$B$6,Besatzung!$D$12)&gt;=B168)))*((G168-IFERROR(H168,0))/IFERROR(SUMPRODUCT((Besatzung!$B$11:$B$22&lt;&gt;"")*(IF(Besatzung!$C$11:$C$22="",Besatzung!$B$5,Besatzung!$C$11:$C$22)&lt;=B168)*(IF(Besatzung!$D$11:$D$22="",Besatzung!$B$6,Besatzung!$D$11:$D$22)&gt;=B168)),1)+(Besatzung!$F$12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K168="x")*((G168-IFERROR(H168,0))/IFERROR(COUNTIF(J168:U168,"x"),1)+(Besatzung!$F$12="x")*IFERROR(H168,0)/IFERROR(SUMPRODUCT((J168:U168="x")*(Besatzung!$F$11:$F$22="x")),1))),(IF(COUNTIF(J168:U168,"x")=0,IF(Besatzung!$B$12&lt;&gt;"",1,0),(K168="x"))*(G168-IFERROR(H168,0))/IFERROR(IF(COUNTIF(J168:U168,"x")=0,COUNTA(Besatzung!$B$11:$B$22),COUNTIF(J168:U168,"x")),1)+IF(COUNTIF(J168:U168,"x")=0,(Besatzung!$F$12="x"),(K168="x")*(Besatzung!$F$12="x"))*IFERROR(H168,0)/IFERROR(IF(COUNTIF(J168:U168,"x")=0,SUMPRODUCT((Besatzung!$B$11:$B$22&lt;&gt;"")*(Besatzung!$F$11:$F$22="x")),SUMPRODUCT((J168:U168="x")*(Besatzung!$F$11:$F$22="x"))),1))))),0))))</f>
        <v/>
      </c>
      <c r="X168" s="106">
        <f>IF(C168="Gutschrift","",IF(G168="","",IF(Besatzung!$B$13="","",IFERROR(IF(I168="Zeitanteilig",(Besatzung!$G$13*(G168-IFERROR(H168,0))+((Besatzung!$B$13&lt;&gt;"")*IF(B168="",1,(IF(Besatzung!$C$13="",Besatzung!$B$5,Besatzung!$C$13)&lt;=B168)*(IF(Besatzung!$D$13="",Besatzung!$B$6,Besatzung!$D$13)&gt;=B168)))*(Besatzung!$F$13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$13&lt;&gt;"")*IF(B168="",1,(IF(Besatzung!$C$13="",Besatzung!$B$5,Besatzung!$C$13)&lt;=B168)*(IF(Besatzung!$D$13="",Besatzung!$B$6,Besatzung!$D$13)&gt;=B168)))*((G168-IFERROR(H168,0))/IFERROR(SUMPRODUCT((Besatzung!$B$11:$B$22&lt;&gt;"")*(IF(Besatzung!$C$11:$C$22="",Besatzung!$B$5,Besatzung!$C$11:$C$22)&lt;=B168)*(IF(Besatzung!$D$11:$D$22="",Besatzung!$B$6,Besatzung!$D$11:$D$22)&gt;=B168)),1)+(Besatzung!$F$13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K168="x")*((G168-IFERROR(H168,0))/IFERROR(COUNTIF(J168:U168,"x"),1)+(Besatzung!$F$13="x")*IFERROR(H168,0)/IFERROR(SUMPRODUCT((J168:U168="x")*(Besatzung!$F$11:$F$22="x")),1))),(IF(COUNTIF(J168:U168,"x")=0,IF(Besatzung!$B$13&lt;&gt;"",1,0),(K168="x"))*(G168-IFERROR(H168,0))/IFERROR(IF(COUNTIF(J168:U168,"x")=0,COUNTA(Besatzung!$B$11:$B$22),COUNTIF(J168:U168,"x")),1)+IF(COUNTIF(J168:U168,"x")=0,(Besatzung!$F$13="x"),(K168="x")*(Besatzung!$F$13="x"))*IFERROR(H168,0)/IFERROR(IF(COUNTIF(J168:U168,"x")=0,SUMPRODUCT((Besatzung!$B$11:$B$22&lt;&gt;"")*(Besatzung!$F$11:$F$22="x")),SUMPRODUCT((J168:U168="x")*(Besatzung!$F$11:$F$22="x"))),1))))),0))))</f>
        <v/>
      </c>
      <c r="Y168" s="106">
        <f>IF(C168="Gutschrift","",IF(G168="","",IF(Besatzung!$B$14="","",IFERROR(IF(I168="Zeitanteilig",(Besatzung!$G$14*(G168-IFERROR(H168,0))+((Besatzung!$B$14&lt;&gt;"")*IF(B168="",1,(IF(Besatzung!$C$14="",Besatzung!$B$5,Besatzung!$C$14)&lt;=B168)*(IF(Besatzung!$D$14="",Besatzung!$B$6,Besatzung!$D$14)&gt;=B168)))*(Besatzung!$F$14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$14&lt;&gt;"")*IF(B168="",1,(IF(Besatzung!$C$14="",Besatzung!$B$5,Besatzung!$C$14)&lt;=B168)*(IF(Besatzung!$D$14="",Besatzung!$B$6,Besatzung!$D$14)&gt;=B168)))*((G168-IFERROR(H168,0))/IFERROR(SUMPRODUCT((Besatzung!$B$11:$B$22&lt;&gt;"")*(IF(Besatzung!$C$11:$C$22="",Besatzung!$B$5,Besatzung!$C$11:$C$22)&lt;=B168)*(IF(Besatzung!$D$11:$D$22="",Besatzung!$B$6,Besatzung!$D$11:$D$22)&gt;=B168)),1)+(Besatzung!$F$14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M168="x")*((G168-IFERROR(H168,0))/IFERROR(COUNTIF(J168:U168,"x"),1)+(Besatzung!$F$14="x")*IFERROR(H168,0)/IFERROR(SUMPRODUCT((J168:U168="x")*(Besatzung!$F$11:$F$22="x")),1))),(IF(COUNTIF(J168:U168,"x")=0,IF(Besatzung!$B$14&lt;&gt;"",1,0),(M168="x"))*(G168-IFERROR(H168,0))/IFERROR(IF(COUNTIF(J168:U168,"x")=0,COUNTA(Besatzung!$B$11:$B$22),COUNTIF(J168:U168,"x")),1)+IF(COUNTIF(J168:U168,"x")=0,(Besatzung!$F$14="x"),(M168="x")*(Besatzung!$F$14="x"))*IFERROR(H168,0)/IFERROR(IF(COUNTIF(J168:U168,"x")=0,SUMPRODUCT((Besatzung!$B$11:$B$22&lt;&gt;"")*(Besatzung!$F$11:$F$22="x")),SUMPRODUCT((J168:U168="x")*(Besatzung!$F$11:$F$22="x"))),1))))),0))))</f>
        <v/>
      </c>
      <c r="Z168" s="106">
        <f>IF(C168="Gutschrift","",IF(G168="","",IF(Besatzung!$B$13="","",IFERROR(IF(I168="Zeitanteilig",(Besatzung!$G$15*(G168-IFERROR(H168,0))+((Besatzung!$B$13&lt;&gt;"")*IF(B168="",1,(IF(Besatzung!$C$15="",Besatzung!$B$5,Besatzung!$C$15)&lt;=B168)*(IF(Besatzung!$D$15="",Besatzung!$B$6,Besatzung!$D$15)&gt;=B168)))*(Besatzung!$F$15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$13&lt;&gt;"")*IF(B168="",1,(IF(Besatzung!$C$15="",Besatzung!$B$5,Besatzung!$C$15)&lt;=B168)*(IF(Besatzung!$D$15="",Besatzung!$B$6,Besatzung!$D$15)&gt;=B168)))*((G168-IFERROR(H168,0))/IFERROR(SUMPRODUCT((Besatzung!$B$11:$B$22&lt;&gt;"")*(IF(Besatzung!$C$11:$C$22="",Besatzung!$B$5,Besatzung!$C$11:$C$22)&lt;=B168)*(IF(Besatzung!$D$11:$D$22="",Besatzung!$B$6,Besatzung!$D$11:$D$22)&gt;=B168)),1)+(Besatzung!$F$15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N168="x")*((G168-IFERROR(H168,0))/IFERROR(COUNTIF(J168:U168,"x"),1)+(Besatzung!$F$15="x")*IFERROR(H168,0)/IFERROR(SUMPRODUCT((J168:U168="x")*(Besatzung!$F$11:$F$22="x")),1))),(IF(COUNTIF(J168:U168,"x")=0,IF(Besatzung!$B$13&lt;&gt;"",1,0),(N168="x"))*(G168-IFERROR(H168,0))/IFERROR(IF(COUNTIF(J168:U168,"x")=0,COUNTA(Besatzung!$B$11:$B$22),COUNTIF(J168:U168,"x")),1)+IF(COUNTIF(J168:U168,"x")=0,(Besatzung!$F$15="x"),(N168="x")*(Besatzung!$F$15="x"))*IFERROR(H168,0)/IFERROR(IF(COUNTIF(J168:U168,"x")=0,SUMPRODUCT((Besatzung!$B$11:$B$22&lt;&gt;"")*(Besatzung!$F$11:$F$22="x")),SUMPRODUCT((J168:U168="x")*(Besatzung!$F$11:$F$22="x"))),1))))),0))))</f>
        <v/>
      </c>
      <c r="AA168" s="106">
        <f>IF(C168="Gutschrift","",IF(G168="","",IF(Besatzung!$B$15="","",IFERROR(IF(I168="Zeitanteilig",(Besatzung!$G$16*(G168-IFERROR(H168,0))+((Besatzung!$B$15&lt;&gt;"")*IF(B168="",1,(IF(Besatzung!$C$16="",Besatzung!$B$5,Besatzung!$C$16)&lt;=B168)*(IF(Besatzung!$D$16="",Besatzung!$B$6,Besatzung!$D$16)&gt;=B168)))*(Besatzung!$F$16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$15&lt;&gt;"")*IF(B168="",1,(IF(Besatzung!$C$16="",Besatzung!$B$5,Besatzung!$C$16)&lt;=B168)*(IF(Besatzung!$D$16="",Besatzung!$B$6,Besatzung!$D$16)&gt;=B168)))*((G168-IFERROR(H168,0))/IFERROR(SUMPRODUCT((Besatzung!$B$11:$B$22&lt;&gt;"")*(IF(Besatzung!$C$11:$C$22="",Besatzung!$B$5,Besatzung!$C$11:$C$22)&lt;=B168)*(IF(Besatzung!$D$11:$D$22="",Besatzung!$B$6,Besatzung!$D$11:$D$22)&gt;=B168)),1)+(Besatzung!$F$16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O168="x")*((G168-IFERROR(H168,0))/IFERROR(COUNTIF(J168:U168,"x"),1)+(Besatzung!$F$16="x")*IFERROR(H168,0)/IFERROR(SUMPRODUCT((J168:U168="x")*(Besatzung!$F$11:$F$22="x")),1))),(IF(COUNTIF(J168:U168,"x")=0,IF(Besatzung!$B$15&lt;&gt;"",1,0),(O168="x"))*(G168-IFERROR(H168,0))/IFERROR(IF(COUNTIF(J168:U168,"x")=0,COUNTA(Besatzung!$B$11:$B$22),COUNTIF(J168:U168,"x")),1)+IF(COUNTIF(J168:U168,"x")=0,(Besatzung!$F$16="x"),(O168="x")*(Besatzung!$F$16="x"))*IFERROR(H168,0)/IFERROR(IF(COUNTIF(J168:U168,"x")=0,SUMPRODUCT((Besatzung!$B$11:$B$22&lt;&gt;"")*(Besatzung!$F$11:$F$22="x")),SUMPRODUCT((J168:U168="x")*(Besatzung!$F$11:$F$22="x"))),1))))),0))))</f>
        <v/>
      </c>
      <c r="AB168" s="106">
        <f>IF(C168="Gutschrift","",IF(G168="","",IF(Besatzung!$B$17="","",IFERROR(IF(I168="Zeitanteilig",(Besatzung!$G$17*(G168-IFERROR(H168,0))+((Besatzung!$B$17&lt;&gt;"")*IF(B168="",1,(IF(Besatzung!$C$17="",Besatzung!$B$5,Besatzung!$C$17)&lt;=B168)*(IF(Besatzung!$D$17="",Besatzung!$B$6,Besatzung!$D$17)&gt;=B168)))*(Besatzung!$F$17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$17&lt;&gt;"")*IF(B168="",1,(IF(Besatzung!$C$17="",Besatzung!$B$5,Besatzung!$C$17)&lt;=B168)*(IF(Besatzung!$D$17="",Besatzung!$B$6,Besatzung!$D$17)&gt;=B168)))*((G168-IFERROR(H168,0))/IFERROR(SUMPRODUCT((Besatzung!$B$11:$B$22&lt;&gt;"")*(IF(Besatzung!$C$11:$C$22="",Besatzung!$B$5,Besatzung!$C$11:$C$22)&lt;=B168)*(IF(Besatzung!$D$11:$D$22="",Besatzung!$B$6,Besatzung!$D$11:$D$22)&gt;=B168)),1)+(Besatzung!$F$17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P168="x")*((G168-IFERROR(H168,0))/IFERROR(COUNTIF(J168:U168,"x"),1)+(Besatzung!$F$17="x")*IFERROR(H168,0)/IFERROR(SUMPRODUCT((J168:U168="x")*(Besatzung!$F$11:$F$22="x")),1))),(IF(COUNTIF(J168:U168,"x")=0,IF(Besatzung!$B$17&lt;&gt;"",1,0),(P168="x"))*(G168-IFERROR(H168,0))/IFERROR(IF(COUNTIF(J168:U168,"x")=0,COUNTA(Besatzung!$B$11:$B$22),COUNTIF(J168:U168,"x")),1)+IF(COUNTIF(J168:U168,"x")=0,(Besatzung!$F$17="x"),(P168="x")*(Besatzung!$F$17="x"))*IFERROR(H168,0)/IFERROR(IF(COUNTIF(J168:U168,"x")=0,SUMPRODUCT((Besatzung!$B$11:$B$22&lt;&gt;"")*(Besatzung!$F$11:$F$22="x")),SUMPRODUCT((J168:U168="x")*(Besatzung!$F$11:$F$22="x"))),1))))),0))))</f>
        <v/>
      </c>
      <c r="AC168" s="106">
        <f>IF(C168="Gutschrift","",IF(G168="","",IF(Besatzung!$B$18="","",IFERROR(IF(I168="Zeitanteilig",(Besatzung!$G$18*(G168-IFERROR(H168,0))+((Besatzung!$B$18&lt;&gt;"")*IF(B168="",1,(IF(Besatzung!$C$18="",Besatzung!$B$5,Besatzung!$C$18)&lt;=B168)*(IF(Besatzung!$D$18="",Besatzung!$B$6,Besatzung!$D$18)&gt;=B168)))*(Besatzung!$F$18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$18&lt;&gt;"")*IF(B168="",1,(IF(Besatzung!$C$18="",Besatzung!$B$5,Besatzung!$C$18)&lt;=B168)*(IF(Besatzung!$D$18="",Besatzung!$B$6,Besatzung!$D$18)&gt;=B168)))*((G168-IFERROR(H168,0))/IFERROR(SUMPRODUCT((Besatzung!$B$11:$B$22&lt;&gt;"")*(IF(Besatzung!$C$11:$C$22="",Besatzung!$B$5,Besatzung!$C$11:$C$22)&lt;=B168)*(IF(Besatzung!$D$11:$D$22="",Besatzung!$B$6,Besatzung!$D$11:$D$22)&gt;=B168)),1)+(Besatzung!$F$18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Q168="x")*((G168-IFERROR(H168,0))/IFERROR(COUNTIF(J168:U168,"x"),1)+(Besatzung!$F$18="x")*IFERROR(H168,0)/IFERROR(SUMPRODUCT((J168:U168="x")*(Besatzung!$F$11:$F$22="x")),1))),(IF(COUNTIF(J168:U168,"x")=0,IF(Besatzung!$B$18&lt;&gt;"",1,0),(Q168="x"))*(G168-IFERROR(H168,0))/IFERROR(IF(COUNTIF(J168:U168,"x")=0,COUNTA(Besatzung!$B$11:$B$22),COUNTIF(J168:U168,"x")),1)+IF(COUNTIF(J168:U168,"x")=0,(Besatzung!$F$18="x"),(Q168="x")*(Besatzung!$F$18="x"))*IFERROR(H168,0)/IFERROR(IF(COUNTIF(J168:U168,"x")=0,SUMPRODUCT((Besatzung!$B$11:$B$22&lt;&gt;"")*(Besatzung!$F$11:$F$22="x")),SUMPRODUCT((J168:U168="x")*(Besatzung!$F$11:$F$22="x"))),1))))),0))))</f>
        <v/>
      </c>
      <c r="AD168" s="106">
        <f>IF(C168="Gutschrift","",IF(G168="","",IF(Besatzung!$B$19="","",IFERROR(IF(I168="Zeitanteilig",(Besatzung!$G$19*(G168-IFERROR(H168,0))+((Besatzung!$B$19&lt;&gt;"")*IF(B168="",1,(IF(Besatzung!$C$19="",Besatzung!$B$5,Besatzung!$C$19)&lt;=B168)*(IF(Besatzung!$D$19="",Besatzung!$B$6,Besatzung!$D$19)&gt;=B168)))*(Besatzung!$F$19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$19&lt;&gt;"")*IF(B168="",1,(IF(Besatzung!$C$19="",Besatzung!$B$5,Besatzung!$C$19)&lt;=B168)*(IF(Besatzung!$D$19="",Besatzung!$B$6,Besatzung!$D$19)&gt;=B168)))*((G168-IFERROR(H168,0))/IFERROR(SUMPRODUCT((Besatzung!$B$11:$B$22&lt;&gt;"")*(IF(Besatzung!$C$11:$C$22="",Besatzung!$B$5,Besatzung!$C$11:$C$22)&lt;=B168)*(IF(Besatzung!$D$11:$D$22="",Besatzung!$B$6,Besatzung!$D$11:$D$22)&gt;=B168)),1)+(Besatzung!$F$19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R168="x")*((G168-IFERROR(H168,0))/IFERROR(COUNTIF(J168:U168,"x"),1)+(Besatzung!$F$19="x")*IFERROR(H168,0)/IFERROR(SUMPRODUCT((J168:U168="x")*(Besatzung!$F$11:$F$22="x")),1))),(IF(COUNTIF(J168:U168,"x")=0,IF(Besatzung!$B$19&lt;&gt;"",1,0),(R168="x"))*(G168-IFERROR(H168,0))/IFERROR(IF(COUNTIF(J168:U168,"x")=0,COUNTA(Besatzung!$B$11:$B$22),COUNTIF(J168:U168,"x")),1)+IF(COUNTIF(J168:U168,"x")=0,(Besatzung!$F$19="x"),(R168="x")*(Besatzung!$F$19="x"))*IFERROR(H168,0)/IFERROR(IF(COUNTIF(J168:U168,"x")=0,SUMPRODUCT((Besatzung!$B$11:$B$22&lt;&gt;"")*(Besatzung!$F$11:$F$22="x")),SUMPRODUCT((J168:U168="x")*(Besatzung!$F$11:$F$22="x"))),1))))),0))))</f>
        <v/>
      </c>
      <c r="AE168" s="106">
        <f>IF(C168="Gutschrift","",IF(G168="","",IF(Besatzung!$B$20="","",IFERROR(IF(I168="Zeitanteilig",(Besatzung!$G$20*(G168-IFERROR(H168,0))+((Besatzung!$B$20&lt;&gt;"")*IF(B168="",1,(IF(Besatzung!$C$20="",Besatzung!$B$5,Besatzung!$C$20)&lt;=B168)*(IF(Besatzung!$D$20="",Besatzung!$B$6,Besatzung!$D$20)&gt;=B168)))*(Besatzung!$F$20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$20&lt;&gt;"")*IF(B168="",1,(IF(Besatzung!$C$20="",Besatzung!$B$5,Besatzung!$C$20)&lt;=B168)*(IF(Besatzung!$D$20="",Besatzung!$B$6,Besatzung!$D$20)&gt;=B168)))*((G168-IFERROR(H168,0))/IFERROR(SUMPRODUCT((Besatzung!$B$11:$B$22&lt;&gt;"")*(IF(Besatzung!$C$11:$C$22="",Besatzung!$B$5,Besatzung!$C$11:$C$22)&lt;=B168)*(IF(Besatzung!$D$11:$D$22="",Besatzung!$B$6,Besatzung!$D$11:$D$22)&gt;=B168)),1)+(Besatzung!$F$20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S168="x")*((G168-IFERROR(H168,0))/IFERROR(COUNTIF(J168:U168,"x"),1)+(Besatzung!$F$20="x")*IFERROR(H168,0)/IFERROR(SUMPRODUCT((J168:U168="x")*(Besatzung!$F$11:$F$22="x")),1))),(IF(COUNTIF(J168:U168,"x")=0,IF(Besatzung!$B$20&lt;&gt;"",1,0),(S168="x"))*(G168-IFERROR(H168,0))/IFERROR(IF(COUNTIF(J168:U168,"x")=0,COUNTA(Besatzung!$B$11:$B$22),COUNTIF(J168:U168,"x")),1)+IF(COUNTIF(J168:U168,"x")=0,(Besatzung!$F$20="x"),(S168="x")*(Besatzung!$F$20="x"))*IFERROR(H168,0)/IFERROR(IF(COUNTIF(J168:U168,"x")=0,SUMPRODUCT((Besatzung!$B$11:$B$22&lt;&gt;"")*(Besatzung!$F$11:$F$22="x")),SUMPRODUCT((J168:U168="x")*(Besatzung!$F$11:$F$22="x"))),1))))),0))))</f>
        <v/>
      </c>
      <c r="AF168" s="106">
        <f>IF(C168="Gutschrift","",IF(G168="","",IF(Besatzung!$B$21="","",IFERROR(IF(I168="Zeitanteilig",(Besatzung!$G$21*(G168-IFERROR(H168,0))+((Besatzung!$B$21&lt;&gt;"")*IF(B168="",1,(IF(Besatzung!$C$21="",Besatzung!$B$5,Besatzung!$C$21)&lt;=B168)*(IF(Besatzung!$D$21="",Besatzung!$B$6,Besatzung!$D$21)&gt;=B168)))*(Besatzung!$F$21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$21&lt;&gt;"")*IF(B168="",1,(IF(Besatzung!$C$21="",Besatzung!$B$5,Besatzung!$C$21)&lt;=B168)*(IF(Besatzung!$D$21="",Besatzung!$B$6,Besatzung!$D$21)&gt;=B168)))*((G168-IFERROR(H168,0))/IFERROR(SUMPRODUCT((Besatzung!$B$11:$B$22&lt;&gt;"")*(IF(Besatzung!$C$11:$C$22="",Besatzung!$B$5,Besatzung!$C$11:$C$22)&lt;=B168)*(IF(Besatzung!$D$11:$D$22="",Besatzung!$B$6,Besatzung!$D$11:$D$22)&gt;=B168)),1)+(Besatzung!$F$21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T168="x")*((G168-IFERROR(H168,0))/IFERROR(COUNTIF(J168:U168,"x"),1)+(Besatzung!$F$21="x")*IFERROR(H168,0)/IFERROR(SUMPRODUCT((J168:U168="x")*(Besatzung!$F$11:$F$22="x")),1))),(IF(COUNTIF(J168:U168,"x")=0,IF(Besatzung!$B$21&lt;&gt;"",1,0),(T168="x"))*(G168-IFERROR(H168,0))/IFERROR(IF(COUNTIF(J168:U168,"x")=0,COUNTA(Besatzung!$B$11:$B$22),COUNTIF(J168:U168,"x")),1)+IF(COUNTIF(J168:U168,"x")=0,(Besatzung!$F$21="x"),(T168="x")*(Besatzung!$F$21="x"))*IFERROR(H168,0)/IFERROR(IF(COUNTIF(J168:U168,"x")=0,SUMPRODUCT((Besatzung!$B$11:$B$22&lt;&gt;"")*(Besatzung!$F$11:$F$22="x")),SUMPRODUCT((J168:U168="x")*(Besatzung!$F$11:$F$22="x"))),1))))),0))))</f>
        <v/>
      </c>
      <c r="AG168" s="106">
        <f>IF(C168="Gutschrift","",IF(G168="","",IF(Besatzung!$B$22="","",IFERROR(IF(I168="Zeitanteilig",(Besatzung!$G$22*(G168-IFERROR(H168,0))+((Besatzung!$B$22&lt;&gt;"")*IF(B168="",1,(IF(Besatzung!$C$22="",Besatzung!$B$5,Besatzung!$C$22)&lt;=B168)*(IF(Besatzung!$D$22="",Besatzung!$B$6,Besatzung!$D$22)&gt;=B168)))*(Besatzung!$F$22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$22&lt;&gt;"")*IF(B168="",1,(IF(Besatzung!$C$22="",Besatzung!$B$5,Besatzung!$C$22)&lt;=B168)*(IF(Besatzung!$D$22="",Besatzung!$B$6,Besatzung!$D$22)&gt;=B168)))*((G168-IFERROR(H168,0))/IFERROR(SUMPRODUCT((Besatzung!$B$11:$B$22&lt;&gt;"")*(IF(Besatzung!$C$11:$C$22="",Besatzung!$B$5,Besatzung!$C$11:$C$22)&lt;=B168)*(IF(Besatzung!$D$11:$D$22="",Besatzung!$B$6,Besatzung!$D$11:$D$22)&gt;=B168)),1)+(Besatzung!$F$22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U168="x")*((G168-IFERROR(H168,0))/IFERROR(COUNTIF(J168:U168,"x"),1)+(Besatzung!$F$22="x")*IFERROR(H168,0)/IFERROR(SUMPRODUCT((J168:U168="x")*(Besatzung!$F$11:$F$22="x")),1))),(IF(COUNTIF(J168:U168,"x")=0,IF(Besatzung!$B$22&lt;&gt;"",1,0),(U168="x"))*(G168-IFERROR(H168,0))/IFERROR(IF(COUNTIF(J168:U168,"x")=0,COUNTA(Besatzung!$B$11:$B$22),COUNTIF(J168:U168,"x")),1)+IF(COUNTIF(J168:U168,"x")=0,(Besatzung!$F$22="x"),(U168="x")*(Besatzung!$F$22="x"))*IFERROR(H168,0)/IFERROR(IF(COUNTIF(J168:U168,"x")=0,SUMPRODUCT((Besatzung!$B$11:$B$22&lt;&gt;"")*(Besatzung!$F$11:$F$22="x")),SUMPRODUCT((J168:U168="x")*(Besatzung!$F$11:$F$22="x"))),1))))),0))))</f>
        <v/>
      </c>
      <c r="AH168" s="107" t="n"/>
      <c r="AI168" s="107" t="n"/>
    </row>
    <row r="169" ht="21.75" customHeight="1" s="182">
      <c r="A169" s="97">
        <f>IF(AND(D169="",C169=""),"",166)</f>
        <v/>
      </c>
      <c r="B169" s="63" t="n"/>
      <c r="C169" s="108" t="n"/>
      <c r="D169" s="109" t="n"/>
      <c r="E169" s="110" t="n"/>
      <c r="F169" s="111" t="n"/>
      <c r="G169" s="112" t="n"/>
      <c r="H169" s="113" t="n"/>
      <c r="I169" s="114" t="n"/>
      <c r="J169" s="115" t="n"/>
      <c r="K169" s="115" t="n"/>
      <c r="L169" s="115" t="n"/>
      <c r="M169" s="115" t="n"/>
      <c r="N169" s="115" t="n"/>
      <c r="O169" s="115" t="n"/>
      <c r="P169" s="115" t="n"/>
      <c r="Q169" s="115" t="n"/>
      <c r="R169" s="115" t="n"/>
      <c r="S169" s="115" t="n"/>
      <c r="T169" s="115" t="n"/>
      <c r="U169" s="115" t="n"/>
      <c r="V169" s="106">
        <f>IF(C169="Gutschrift","",IF(G169="","",IF(Besatzung!$B$11="","",IFERROR(IF(I169="Zeitanteilig",(Besatzung!$G$11*(G169-IFERROR(H169,0))+((Besatzung!$B$11&lt;&gt;"")*IF(B169="",1,(IF(Besatzung!$C$11="",Besatzung!$B$5,Besatzung!$C$11)&lt;=B169)*(IF(Besatzung!$D$11="",Besatzung!$B$6,Besatzung!$D$11)&gt;=B169)))*(Besatzung!$F$11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$11&lt;&gt;"")*IF(B169="",1,(IF(Besatzung!$C$11="",Besatzung!$B$5,Besatzung!$C$11)&lt;=B169)*(IF(Besatzung!$D$11="",Besatzung!$B$6,Besatzung!$D$11)&gt;=B169)))*((G169-IFERROR(H169,0))/IFERROR(SUMPRODUCT((Besatzung!$B$11:$B$22&lt;&gt;"")*(IF(Besatzung!$C$11:$C$22="",Besatzung!$B$5,Besatzung!$C$11:$C$22)&lt;=B169)*(IF(Besatzung!$D$11:$D$22="",Besatzung!$B$6,Besatzung!$D$11:$D$22)&gt;=B169)),1)+(Besatzung!$F$11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J169="x")*((G169-IFERROR(H169,0))/IFERROR(COUNTIF(J169:U169,"x"),1)+(Besatzung!$F$11="x")*IFERROR(H169,0)/IFERROR(SUMPRODUCT((J169:U169="x")*(Besatzung!$F$11:$F$22="x")),1))),(IF(COUNTIF(J169:U169,"x")=0,IF(Besatzung!$B$11&lt;&gt;"",1,0),(J169="x"))*(G169-IFERROR(H169,0))/IFERROR(IF(COUNTIF(J169:U169,"x")=0,COUNTA(Besatzung!$B$11:$B$22),COUNTIF(J169:U169,"x")),1)+IF(COUNTIF(J169:U169,"x")=0,(Besatzung!$F$11="x"),(J169="x")*(Besatzung!$F$11="x"))*IFERROR(H169,0)/IFERROR(IF(COUNTIF(J169:U169,"x")=0,SUMPRODUCT((Besatzung!$B$11:$B$22&lt;&gt;"")*(Besatzung!$F$11:$F$22="x")),SUMPRODUCT((J169:U169="x")*(Besatzung!$F$11:$F$22="x"))),1))))),0))))</f>
        <v/>
      </c>
      <c r="W169" s="106">
        <f>IF(C169="Gutschrift","",IF(G169="","",IF(Besatzung!$B$12="","",IFERROR(IF(I169="Zeitanteilig",(Besatzung!$G$12*(G169-IFERROR(H169,0))+((Besatzung!$B$12&lt;&gt;"")*IF(B169="",1,(IF(Besatzung!$C$12="",Besatzung!$B$5,Besatzung!$C$12)&lt;=B169)*(IF(Besatzung!$D$12="",Besatzung!$B$6,Besatzung!$D$12)&gt;=B169)))*(Besatzung!$F$12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$12&lt;&gt;"")*IF(B169="",1,(IF(Besatzung!$C$12="",Besatzung!$B$5,Besatzung!$C$12)&lt;=B169)*(IF(Besatzung!$D$12="",Besatzung!$B$6,Besatzung!$D$12)&gt;=B169)))*((G169-IFERROR(H169,0))/IFERROR(SUMPRODUCT((Besatzung!$B$11:$B$22&lt;&gt;"")*(IF(Besatzung!$C$11:$C$22="",Besatzung!$B$5,Besatzung!$C$11:$C$22)&lt;=B169)*(IF(Besatzung!$D$11:$D$22="",Besatzung!$B$6,Besatzung!$D$11:$D$22)&gt;=B169)),1)+(Besatzung!$F$12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K169="x")*((G169-IFERROR(H169,0))/IFERROR(COUNTIF(J169:U169,"x"),1)+(Besatzung!$F$12="x")*IFERROR(H169,0)/IFERROR(SUMPRODUCT((J169:U169="x")*(Besatzung!$F$11:$F$22="x")),1))),(IF(COUNTIF(J169:U169,"x")=0,IF(Besatzung!$B$12&lt;&gt;"",1,0),(K169="x"))*(G169-IFERROR(H169,0))/IFERROR(IF(COUNTIF(J169:U169,"x")=0,COUNTA(Besatzung!$B$11:$B$22),COUNTIF(J169:U169,"x")),1)+IF(COUNTIF(J169:U169,"x")=0,(Besatzung!$F$12="x"),(K169="x")*(Besatzung!$F$12="x"))*IFERROR(H169,0)/IFERROR(IF(COUNTIF(J169:U169,"x")=0,SUMPRODUCT((Besatzung!$B$11:$B$22&lt;&gt;"")*(Besatzung!$F$11:$F$22="x")),SUMPRODUCT((J169:U169="x")*(Besatzung!$F$11:$F$22="x"))),1))))),0))))</f>
        <v/>
      </c>
      <c r="X169" s="106">
        <f>IF(C169="Gutschrift","",IF(G169="","",IF(Besatzung!$B$13="","",IFERROR(IF(I169="Zeitanteilig",(Besatzung!$G$13*(G169-IFERROR(H169,0))+((Besatzung!$B$13&lt;&gt;"")*IF(B169="",1,(IF(Besatzung!$C$13="",Besatzung!$B$5,Besatzung!$C$13)&lt;=B169)*(IF(Besatzung!$D$13="",Besatzung!$B$6,Besatzung!$D$13)&gt;=B169)))*(Besatzung!$F$13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$13&lt;&gt;"")*IF(B169="",1,(IF(Besatzung!$C$13="",Besatzung!$B$5,Besatzung!$C$13)&lt;=B169)*(IF(Besatzung!$D$13="",Besatzung!$B$6,Besatzung!$D$13)&gt;=B169)))*((G169-IFERROR(H169,0))/IFERROR(SUMPRODUCT((Besatzung!$B$11:$B$22&lt;&gt;"")*(IF(Besatzung!$C$11:$C$22="",Besatzung!$B$5,Besatzung!$C$11:$C$22)&lt;=B169)*(IF(Besatzung!$D$11:$D$22="",Besatzung!$B$6,Besatzung!$D$11:$D$22)&gt;=B169)),1)+(Besatzung!$F$13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K169="x")*((G169-IFERROR(H169,0))/IFERROR(COUNTIF(J169:U169,"x"),1)+(Besatzung!$F$13="x")*IFERROR(H169,0)/IFERROR(SUMPRODUCT((J169:U169="x")*(Besatzung!$F$11:$F$22="x")),1))),(IF(COUNTIF(J169:U169,"x")=0,IF(Besatzung!$B$13&lt;&gt;"",1,0),(K169="x"))*(G169-IFERROR(H169,0))/IFERROR(IF(COUNTIF(J169:U169,"x")=0,COUNTA(Besatzung!$B$11:$B$22),COUNTIF(J169:U169,"x")),1)+IF(COUNTIF(J169:U169,"x")=0,(Besatzung!$F$13="x"),(K169="x")*(Besatzung!$F$13="x"))*IFERROR(H169,0)/IFERROR(IF(COUNTIF(J169:U169,"x")=0,SUMPRODUCT((Besatzung!$B$11:$B$22&lt;&gt;"")*(Besatzung!$F$11:$F$22="x")),SUMPRODUCT((J169:U169="x")*(Besatzung!$F$11:$F$22="x"))),1))))),0))))</f>
        <v/>
      </c>
      <c r="Y169" s="106">
        <f>IF(C169="Gutschrift","",IF(G169="","",IF(Besatzung!$B$14="","",IFERROR(IF(I169="Zeitanteilig",(Besatzung!$G$14*(G169-IFERROR(H169,0))+((Besatzung!$B$14&lt;&gt;"")*IF(B169="",1,(IF(Besatzung!$C$14="",Besatzung!$B$5,Besatzung!$C$14)&lt;=B169)*(IF(Besatzung!$D$14="",Besatzung!$B$6,Besatzung!$D$14)&gt;=B169)))*(Besatzung!$F$14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$14&lt;&gt;"")*IF(B169="",1,(IF(Besatzung!$C$14="",Besatzung!$B$5,Besatzung!$C$14)&lt;=B169)*(IF(Besatzung!$D$14="",Besatzung!$B$6,Besatzung!$D$14)&gt;=B169)))*((G169-IFERROR(H169,0))/IFERROR(SUMPRODUCT((Besatzung!$B$11:$B$22&lt;&gt;"")*(IF(Besatzung!$C$11:$C$22="",Besatzung!$B$5,Besatzung!$C$11:$C$22)&lt;=B169)*(IF(Besatzung!$D$11:$D$22="",Besatzung!$B$6,Besatzung!$D$11:$D$22)&gt;=B169)),1)+(Besatzung!$F$14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M169="x")*((G169-IFERROR(H169,0))/IFERROR(COUNTIF(J169:U169,"x"),1)+(Besatzung!$F$14="x")*IFERROR(H169,0)/IFERROR(SUMPRODUCT((J169:U169="x")*(Besatzung!$F$11:$F$22="x")),1))),(IF(COUNTIF(J169:U169,"x")=0,IF(Besatzung!$B$14&lt;&gt;"",1,0),(M169="x"))*(G169-IFERROR(H169,0))/IFERROR(IF(COUNTIF(J169:U169,"x")=0,COUNTA(Besatzung!$B$11:$B$22),COUNTIF(J169:U169,"x")),1)+IF(COUNTIF(J169:U169,"x")=0,(Besatzung!$F$14="x"),(M169="x")*(Besatzung!$F$14="x"))*IFERROR(H169,0)/IFERROR(IF(COUNTIF(J169:U169,"x")=0,SUMPRODUCT((Besatzung!$B$11:$B$22&lt;&gt;"")*(Besatzung!$F$11:$F$22="x")),SUMPRODUCT((J169:U169="x")*(Besatzung!$F$11:$F$22="x"))),1))))),0))))</f>
        <v/>
      </c>
      <c r="Z169" s="106">
        <f>IF(C169="Gutschrift","",IF(G169="","",IF(Besatzung!$B$13="","",IFERROR(IF(I169="Zeitanteilig",(Besatzung!$G$15*(G169-IFERROR(H169,0))+((Besatzung!$B$13&lt;&gt;"")*IF(B169="",1,(IF(Besatzung!$C$15="",Besatzung!$B$5,Besatzung!$C$15)&lt;=B169)*(IF(Besatzung!$D$15="",Besatzung!$B$6,Besatzung!$D$15)&gt;=B169)))*(Besatzung!$F$15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$13&lt;&gt;"")*IF(B169="",1,(IF(Besatzung!$C$15="",Besatzung!$B$5,Besatzung!$C$15)&lt;=B169)*(IF(Besatzung!$D$15="",Besatzung!$B$6,Besatzung!$D$15)&gt;=B169)))*((G169-IFERROR(H169,0))/IFERROR(SUMPRODUCT((Besatzung!$B$11:$B$22&lt;&gt;"")*(IF(Besatzung!$C$11:$C$22="",Besatzung!$B$5,Besatzung!$C$11:$C$22)&lt;=B169)*(IF(Besatzung!$D$11:$D$22="",Besatzung!$B$6,Besatzung!$D$11:$D$22)&gt;=B169)),1)+(Besatzung!$F$15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N169="x")*((G169-IFERROR(H169,0))/IFERROR(COUNTIF(J169:U169,"x"),1)+(Besatzung!$F$15="x")*IFERROR(H169,0)/IFERROR(SUMPRODUCT((J169:U169="x")*(Besatzung!$F$11:$F$22="x")),1))),(IF(COUNTIF(J169:U169,"x")=0,IF(Besatzung!$B$13&lt;&gt;"",1,0),(N169="x"))*(G169-IFERROR(H169,0))/IFERROR(IF(COUNTIF(J169:U169,"x")=0,COUNTA(Besatzung!$B$11:$B$22),COUNTIF(J169:U169,"x")),1)+IF(COUNTIF(J169:U169,"x")=0,(Besatzung!$F$15="x"),(N169="x")*(Besatzung!$F$15="x"))*IFERROR(H169,0)/IFERROR(IF(COUNTIF(J169:U169,"x")=0,SUMPRODUCT((Besatzung!$B$11:$B$22&lt;&gt;"")*(Besatzung!$F$11:$F$22="x")),SUMPRODUCT((J169:U169="x")*(Besatzung!$F$11:$F$22="x"))),1))))),0))))</f>
        <v/>
      </c>
      <c r="AA169" s="106">
        <f>IF(C169="Gutschrift","",IF(G169="","",IF(Besatzung!$B$15="","",IFERROR(IF(I169="Zeitanteilig",(Besatzung!$G$16*(G169-IFERROR(H169,0))+((Besatzung!$B$15&lt;&gt;"")*IF(B169="",1,(IF(Besatzung!$C$16="",Besatzung!$B$5,Besatzung!$C$16)&lt;=B169)*(IF(Besatzung!$D$16="",Besatzung!$B$6,Besatzung!$D$16)&gt;=B169)))*(Besatzung!$F$16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$15&lt;&gt;"")*IF(B169="",1,(IF(Besatzung!$C$16="",Besatzung!$B$5,Besatzung!$C$16)&lt;=B169)*(IF(Besatzung!$D$16="",Besatzung!$B$6,Besatzung!$D$16)&gt;=B169)))*((G169-IFERROR(H169,0))/IFERROR(SUMPRODUCT((Besatzung!$B$11:$B$22&lt;&gt;"")*(IF(Besatzung!$C$11:$C$22="",Besatzung!$B$5,Besatzung!$C$11:$C$22)&lt;=B169)*(IF(Besatzung!$D$11:$D$22="",Besatzung!$B$6,Besatzung!$D$11:$D$22)&gt;=B169)),1)+(Besatzung!$F$16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O169="x")*((G169-IFERROR(H169,0))/IFERROR(COUNTIF(J169:U169,"x"),1)+(Besatzung!$F$16="x")*IFERROR(H169,0)/IFERROR(SUMPRODUCT((J169:U169="x")*(Besatzung!$F$11:$F$22="x")),1))),(IF(COUNTIF(J169:U169,"x")=0,IF(Besatzung!$B$15&lt;&gt;"",1,0),(O169="x"))*(G169-IFERROR(H169,0))/IFERROR(IF(COUNTIF(J169:U169,"x")=0,COUNTA(Besatzung!$B$11:$B$22),COUNTIF(J169:U169,"x")),1)+IF(COUNTIF(J169:U169,"x")=0,(Besatzung!$F$16="x"),(O169="x")*(Besatzung!$F$16="x"))*IFERROR(H169,0)/IFERROR(IF(COUNTIF(J169:U169,"x")=0,SUMPRODUCT((Besatzung!$B$11:$B$22&lt;&gt;"")*(Besatzung!$F$11:$F$22="x")),SUMPRODUCT((J169:U169="x")*(Besatzung!$F$11:$F$22="x"))),1))))),0))))</f>
        <v/>
      </c>
      <c r="AB169" s="106">
        <f>IF(C169="Gutschrift","",IF(G169="","",IF(Besatzung!$B$17="","",IFERROR(IF(I169="Zeitanteilig",(Besatzung!$G$17*(G169-IFERROR(H169,0))+((Besatzung!$B$17&lt;&gt;"")*IF(B169="",1,(IF(Besatzung!$C$17="",Besatzung!$B$5,Besatzung!$C$17)&lt;=B169)*(IF(Besatzung!$D$17="",Besatzung!$B$6,Besatzung!$D$17)&gt;=B169)))*(Besatzung!$F$17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$17&lt;&gt;"")*IF(B169="",1,(IF(Besatzung!$C$17="",Besatzung!$B$5,Besatzung!$C$17)&lt;=B169)*(IF(Besatzung!$D$17="",Besatzung!$B$6,Besatzung!$D$17)&gt;=B169)))*((G169-IFERROR(H169,0))/IFERROR(SUMPRODUCT((Besatzung!$B$11:$B$22&lt;&gt;"")*(IF(Besatzung!$C$11:$C$22="",Besatzung!$B$5,Besatzung!$C$11:$C$22)&lt;=B169)*(IF(Besatzung!$D$11:$D$22="",Besatzung!$B$6,Besatzung!$D$11:$D$22)&gt;=B169)),1)+(Besatzung!$F$17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P169="x")*((G169-IFERROR(H169,0))/IFERROR(COUNTIF(J169:U169,"x"),1)+(Besatzung!$F$17="x")*IFERROR(H169,0)/IFERROR(SUMPRODUCT((J169:U169="x")*(Besatzung!$F$11:$F$22="x")),1))),(IF(COUNTIF(J169:U169,"x")=0,IF(Besatzung!$B$17&lt;&gt;"",1,0),(P169="x"))*(G169-IFERROR(H169,0))/IFERROR(IF(COUNTIF(J169:U169,"x")=0,COUNTA(Besatzung!$B$11:$B$22),COUNTIF(J169:U169,"x")),1)+IF(COUNTIF(J169:U169,"x")=0,(Besatzung!$F$17="x"),(P169="x")*(Besatzung!$F$17="x"))*IFERROR(H169,0)/IFERROR(IF(COUNTIF(J169:U169,"x")=0,SUMPRODUCT((Besatzung!$B$11:$B$22&lt;&gt;"")*(Besatzung!$F$11:$F$22="x")),SUMPRODUCT((J169:U169="x")*(Besatzung!$F$11:$F$22="x"))),1))))),0))))</f>
        <v/>
      </c>
      <c r="AC169" s="106">
        <f>IF(C169="Gutschrift","",IF(G169="","",IF(Besatzung!$B$18="","",IFERROR(IF(I169="Zeitanteilig",(Besatzung!$G$18*(G169-IFERROR(H169,0))+((Besatzung!$B$18&lt;&gt;"")*IF(B169="",1,(IF(Besatzung!$C$18="",Besatzung!$B$5,Besatzung!$C$18)&lt;=B169)*(IF(Besatzung!$D$18="",Besatzung!$B$6,Besatzung!$D$18)&gt;=B169)))*(Besatzung!$F$18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$18&lt;&gt;"")*IF(B169="",1,(IF(Besatzung!$C$18="",Besatzung!$B$5,Besatzung!$C$18)&lt;=B169)*(IF(Besatzung!$D$18="",Besatzung!$B$6,Besatzung!$D$18)&gt;=B169)))*((G169-IFERROR(H169,0))/IFERROR(SUMPRODUCT((Besatzung!$B$11:$B$22&lt;&gt;"")*(IF(Besatzung!$C$11:$C$22="",Besatzung!$B$5,Besatzung!$C$11:$C$22)&lt;=B169)*(IF(Besatzung!$D$11:$D$22="",Besatzung!$B$6,Besatzung!$D$11:$D$22)&gt;=B169)),1)+(Besatzung!$F$18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Q169="x")*((G169-IFERROR(H169,0))/IFERROR(COUNTIF(J169:U169,"x"),1)+(Besatzung!$F$18="x")*IFERROR(H169,0)/IFERROR(SUMPRODUCT((J169:U169="x")*(Besatzung!$F$11:$F$22="x")),1))),(IF(COUNTIF(J169:U169,"x")=0,IF(Besatzung!$B$18&lt;&gt;"",1,0),(Q169="x"))*(G169-IFERROR(H169,0))/IFERROR(IF(COUNTIF(J169:U169,"x")=0,COUNTA(Besatzung!$B$11:$B$22),COUNTIF(J169:U169,"x")),1)+IF(COUNTIF(J169:U169,"x")=0,(Besatzung!$F$18="x"),(Q169="x")*(Besatzung!$F$18="x"))*IFERROR(H169,0)/IFERROR(IF(COUNTIF(J169:U169,"x")=0,SUMPRODUCT((Besatzung!$B$11:$B$22&lt;&gt;"")*(Besatzung!$F$11:$F$22="x")),SUMPRODUCT((J169:U169="x")*(Besatzung!$F$11:$F$22="x"))),1))))),0))))</f>
        <v/>
      </c>
      <c r="AD169" s="106">
        <f>IF(C169="Gutschrift","",IF(G169="","",IF(Besatzung!$B$19="","",IFERROR(IF(I169="Zeitanteilig",(Besatzung!$G$19*(G169-IFERROR(H169,0))+((Besatzung!$B$19&lt;&gt;"")*IF(B169="",1,(IF(Besatzung!$C$19="",Besatzung!$B$5,Besatzung!$C$19)&lt;=B169)*(IF(Besatzung!$D$19="",Besatzung!$B$6,Besatzung!$D$19)&gt;=B169)))*(Besatzung!$F$19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$19&lt;&gt;"")*IF(B169="",1,(IF(Besatzung!$C$19="",Besatzung!$B$5,Besatzung!$C$19)&lt;=B169)*(IF(Besatzung!$D$19="",Besatzung!$B$6,Besatzung!$D$19)&gt;=B169)))*((G169-IFERROR(H169,0))/IFERROR(SUMPRODUCT((Besatzung!$B$11:$B$22&lt;&gt;"")*(IF(Besatzung!$C$11:$C$22="",Besatzung!$B$5,Besatzung!$C$11:$C$22)&lt;=B169)*(IF(Besatzung!$D$11:$D$22="",Besatzung!$B$6,Besatzung!$D$11:$D$22)&gt;=B169)),1)+(Besatzung!$F$19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R169="x")*((G169-IFERROR(H169,0))/IFERROR(COUNTIF(J169:U169,"x"),1)+(Besatzung!$F$19="x")*IFERROR(H169,0)/IFERROR(SUMPRODUCT((J169:U169="x")*(Besatzung!$F$11:$F$22="x")),1))),(IF(COUNTIF(J169:U169,"x")=0,IF(Besatzung!$B$19&lt;&gt;"",1,0),(R169="x"))*(G169-IFERROR(H169,0))/IFERROR(IF(COUNTIF(J169:U169,"x")=0,COUNTA(Besatzung!$B$11:$B$22),COUNTIF(J169:U169,"x")),1)+IF(COUNTIF(J169:U169,"x")=0,(Besatzung!$F$19="x"),(R169="x")*(Besatzung!$F$19="x"))*IFERROR(H169,0)/IFERROR(IF(COUNTIF(J169:U169,"x")=0,SUMPRODUCT((Besatzung!$B$11:$B$22&lt;&gt;"")*(Besatzung!$F$11:$F$22="x")),SUMPRODUCT((J169:U169="x")*(Besatzung!$F$11:$F$22="x"))),1))))),0))))</f>
        <v/>
      </c>
      <c r="AE169" s="106">
        <f>IF(C169="Gutschrift","",IF(G169="","",IF(Besatzung!$B$20="","",IFERROR(IF(I169="Zeitanteilig",(Besatzung!$G$20*(G169-IFERROR(H169,0))+((Besatzung!$B$20&lt;&gt;"")*IF(B169="",1,(IF(Besatzung!$C$20="",Besatzung!$B$5,Besatzung!$C$20)&lt;=B169)*(IF(Besatzung!$D$20="",Besatzung!$B$6,Besatzung!$D$20)&gt;=B169)))*(Besatzung!$F$20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$20&lt;&gt;"")*IF(B169="",1,(IF(Besatzung!$C$20="",Besatzung!$B$5,Besatzung!$C$20)&lt;=B169)*(IF(Besatzung!$D$20="",Besatzung!$B$6,Besatzung!$D$20)&gt;=B169)))*((G169-IFERROR(H169,0))/IFERROR(SUMPRODUCT((Besatzung!$B$11:$B$22&lt;&gt;"")*(IF(Besatzung!$C$11:$C$22="",Besatzung!$B$5,Besatzung!$C$11:$C$22)&lt;=B169)*(IF(Besatzung!$D$11:$D$22="",Besatzung!$B$6,Besatzung!$D$11:$D$22)&gt;=B169)),1)+(Besatzung!$F$20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S169="x")*((G169-IFERROR(H169,0))/IFERROR(COUNTIF(J169:U169,"x"),1)+(Besatzung!$F$20="x")*IFERROR(H169,0)/IFERROR(SUMPRODUCT((J169:U169="x")*(Besatzung!$F$11:$F$22="x")),1))),(IF(COUNTIF(J169:U169,"x")=0,IF(Besatzung!$B$20&lt;&gt;"",1,0),(S169="x"))*(G169-IFERROR(H169,0))/IFERROR(IF(COUNTIF(J169:U169,"x")=0,COUNTA(Besatzung!$B$11:$B$22),COUNTIF(J169:U169,"x")),1)+IF(COUNTIF(J169:U169,"x")=0,(Besatzung!$F$20="x"),(S169="x")*(Besatzung!$F$20="x"))*IFERROR(H169,0)/IFERROR(IF(COUNTIF(J169:U169,"x")=0,SUMPRODUCT((Besatzung!$B$11:$B$22&lt;&gt;"")*(Besatzung!$F$11:$F$22="x")),SUMPRODUCT((J169:U169="x")*(Besatzung!$F$11:$F$22="x"))),1))))),0))))</f>
        <v/>
      </c>
      <c r="AF169" s="106">
        <f>IF(C169="Gutschrift","",IF(G169="","",IF(Besatzung!$B$21="","",IFERROR(IF(I169="Zeitanteilig",(Besatzung!$G$21*(G169-IFERROR(H169,0))+((Besatzung!$B$21&lt;&gt;"")*IF(B169="",1,(IF(Besatzung!$C$21="",Besatzung!$B$5,Besatzung!$C$21)&lt;=B169)*(IF(Besatzung!$D$21="",Besatzung!$B$6,Besatzung!$D$21)&gt;=B169)))*(Besatzung!$F$21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$21&lt;&gt;"")*IF(B169="",1,(IF(Besatzung!$C$21="",Besatzung!$B$5,Besatzung!$C$21)&lt;=B169)*(IF(Besatzung!$D$21="",Besatzung!$B$6,Besatzung!$D$21)&gt;=B169)))*((G169-IFERROR(H169,0))/IFERROR(SUMPRODUCT((Besatzung!$B$11:$B$22&lt;&gt;"")*(IF(Besatzung!$C$11:$C$22="",Besatzung!$B$5,Besatzung!$C$11:$C$22)&lt;=B169)*(IF(Besatzung!$D$11:$D$22="",Besatzung!$B$6,Besatzung!$D$11:$D$22)&gt;=B169)),1)+(Besatzung!$F$21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T169="x")*((G169-IFERROR(H169,0))/IFERROR(COUNTIF(J169:U169,"x"),1)+(Besatzung!$F$21="x")*IFERROR(H169,0)/IFERROR(SUMPRODUCT((J169:U169="x")*(Besatzung!$F$11:$F$22="x")),1))),(IF(COUNTIF(J169:U169,"x")=0,IF(Besatzung!$B$21&lt;&gt;"",1,0),(T169="x"))*(G169-IFERROR(H169,0))/IFERROR(IF(COUNTIF(J169:U169,"x")=0,COUNTA(Besatzung!$B$11:$B$22),COUNTIF(J169:U169,"x")),1)+IF(COUNTIF(J169:U169,"x")=0,(Besatzung!$F$21="x"),(T169="x")*(Besatzung!$F$21="x"))*IFERROR(H169,0)/IFERROR(IF(COUNTIF(J169:U169,"x")=0,SUMPRODUCT((Besatzung!$B$11:$B$22&lt;&gt;"")*(Besatzung!$F$11:$F$22="x")),SUMPRODUCT((J169:U169="x")*(Besatzung!$F$11:$F$22="x"))),1))))),0))))</f>
        <v/>
      </c>
      <c r="AG169" s="106">
        <f>IF(C169="Gutschrift","",IF(G169="","",IF(Besatzung!$B$22="","",IFERROR(IF(I169="Zeitanteilig",(Besatzung!$G$22*(G169-IFERROR(H169,0))+((Besatzung!$B$22&lt;&gt;"")*IF(B169="",1,(IF(Besatzung!$C$22="",Besatzung!$B$5,Besatzung!$C$22)&lt;=B169)*(IF(Besatzung!$D$22="",Besatzung!$B$6,Besatzung!$D$22)&gt;=B169)))*(Besatzung!$F$22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$22&lt;&gt;"")*IF(B169="",1,(IF(Besatzung!$C$22="",Besatzung!$B$5,Besatzung!$C$22)&lt;=B169)*(IF(Besatzung!$D$22="",Besatzung!$B$6,Besatzung!$D$22)&gt;=B169)))*((G169-IFERROR(H169,0))/IFERROR(SUMPRODUCT((Besatzung!$B$11:$B$22&lt;&gt;"")*(IF(Besatzung!$C$11:$C$22="",Besatzung!$B$5,Besatzung!$C$11:$C$22)&lt;=B169)*(IF(Besatzung!$D$11:$D$22="",Besatzung!$B$6,Besatzung!$D$11:$D$22)&gt;=B169)),1)+(Besatzung!$F$22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U169="x")*((G169-IFERROR(H169,0))/IFERROR(COUNTIF(J169:U169,"x"),1)+(Besatzung!$F$22="x")*IFERROR(H169,0)/IFERROR(SUMPRODUCT((J169:U169="x")*(Besatzung!$F$11:$F$22="x")),1))),(IF(COUNTIF(J169:U169,"x")=0,IF(Besatzung!$B$22&lt;&gt;"",1,0),(U169="x"))*(G169-IFERROR(H169,0))/IFERROR(IF(COUNTIF(J169:U169,"x")=0,COUNTA(Besatzung!$B$11:$B$22),COUNTIF(J169:U169,"x")),1)+IF(COUNTIF(J169:U169,"x")=0,(Besatzung!$F$22="x"),(U169="x")*(Besatzung!$F$22="x"))*IFERROR(H169,0)/IFERROR(IF(COUNTIF(J169:U169,"x")=0,SUMPRODUCT((Besatzung!$B$11:$B$22&lt;&gt;"")*(Besatzung!$F$11:$F$22="x")),SUMPRODUCT((J169:U169="x")*(Besatzung!$F$11:$F$22="x"))),1))))),0))))</f>
        <v/>
      </c>
      <c r="AH169" s="107" t="n"/>
      <c r="AI169" s="107" t="n"/>
    </row>
    <row r="170" ht="21.75" customHeight="1" s="182">
      <c r="A170" s="97">
        <f>IF(AND(D170="",C170=""),"",167)</f>
        <v/>
      </c>
      <c r="B170" s="56" t="n"/>
      <c r="C170" s="98" t="n"/>
      <c r="D170" s="99" t="n"/>
      <c r="E170" s="100" t="n"/>
      <c r="F170" s="101" t="n"/>
      <c r="G170" s="102" t="n"/>
      <c r="H170" s="103" t="n"/>
      <c r="I170" s="104" t="n"/>
      <c r="J170" s="105" t="n"/>
      <c r="K170" s="105" t="n"/>
      <c r="L170" s="105" t="n"/>
      <c r="M170" s="105" t="n"/>
      <c r="N170" s="105" t="n"/>
      <c r="O170" s="105" t="n"/>
      <c r="P170" s="105" t="n"/>
      <c r="Q170" s="105" t="n"/>
      <c r="R170" s="105" t="n"/>
      <c r="S170" s="105" t="n"/>
      <c r="T170" s="105" t="n"/>
      <c r="U170" s="105" t="n"/>
      <c r="V170" s="106">
        <f>IF(C170="Gutschrift","",IF(G170="","",IF(Besatzung!$B$11="","",IFERROR(IF(I170="Zeitanteilig",(Besatzung!$G$11*(G170-IFERROR(H170,0))+((Besatzung!$B$11&lt;&gt;"")*IF(B170="",1,(IF(Besatzung!$C$11="",Besatzung!$B$5,Besatzung!$C$11)&lt;=B170)*(IF(Besatzung!$D$11="",Besatzung!$B$6,Besatzung!$D$11)&gt;=B170)))*(Besatzung!$F$11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$11&lt;&gt;"")*IF(B170="",1,(IF(Besatzung!$C$11="",Besatzung!$B$5,Besatzung!$C$11)&lt;=B170)*(IF(Besatzung!$D$11="",Besatzung!$B$6,Besatzung!$D$11)&gt;=B170)))*((G170-IFERROR(H170,0))/IFERROR(SUMPRODUCT((Besatzung!$B$11:$B$22&lt;&gt;"")*(IF(Besatzung!$C$11:$C$22="",Besatzung!$B$5,Besatzung!$C$11:$C$22)&lt;=B170)*(IF(Besatzung!$D$11:$D$22="",Besatzung!$B$6,Besatzung!$D$11:$D$22)&gt;=B170)),1)+(Besatzung!$F$11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J170="x")*((G170-IFERROR(H170,0))/IFERROR(COUNTIF(J170:U170,"x"),1)+(Besatzung!$F$11="x")*IFERROR(H170,0)/IFERROR(SUMPRODUCT((J170:U170="x")*(Besatzung!$F$11:$F$22="x")),1))),(IF(COUNTIF(J170:U170,"x")=0,IF(Besatzung!$B$11&lt;&gt;"",1,0),(J170="x"))*(G170-IFERROR(H170,0))/IFERROR(IF(COUNTIF(J170:U170,"x")=0,COUNTA(Besatzung!$B$11:$B$22),COUNTIF(J170:U170,"x")),1)+IF(COUNTIF(J170:U170,"x")=0,(Besatzung!$F$11="x"),(J170="x")*(Besatzung!$F$11="x"))*IFERROR(H170,0)/IFERROR(IF(COUNTIF(J170:U170,"x")=0,SUMPRODUCT((Besatzung!$B$11:$B$22&lt;&gt;"")*(Besatzung!$F$11:$F$22="x")),SUMPRODUCT((J170:U170="x")*(Besatzung!$F$11:$F$22="x"))),1))))),0))))</f>
        <v/>
      </c>
      <c r="W170" s="106">
        <f>IF(C170="Gutschrift","",IF(G170="","",IF(Besatzung!$B$12="","",IFERROR(IF(I170="Zeitanteilig",(Besatzung!$G$12*(G170-IFERROR(H170,0))+((Besatzung!$B$12&lt;&gt;"")*IF(B170="",1,(IF(Besatzung!$C$12="",Besatzung!$B$5,Besatzung!$C$12)&lt;=B170)*(IF(Besatzung!$D$12="",Besatzung!$B$6,Besatzung!$D$12)&gt;=B170)))*(Besatzung!$F$12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$12&lt;&gt;"")*IF(B170="",1,(IF(Besatzung!$C$12="",Besatzung!$B$5,Besatzung!$C$12)&lt;=B170)*(IF(Besatzung!$D$12="",Besatzung!$B$6,Besatzung!$D$12)&gt;=B170)))*((G170-IFERROR(H170,0))/IFERROR(SUMPRODUCT((Besatzung!$B$11:$B$22&lt;&gt;"")*(IF(Besatzung!$C$11:$C$22="",Besatzung!$B$5,Besatzung!$C$11:$C$22)&lt;=B170)*(IF(Besatzung!$D$11:$D$22="",Besatzung!$B$6,Besatzung!$D$11:$D$22)&gt;=B170)),1)+(Besatzung!$F$12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K170="x")*((G170-IFERROR(H170,0))/IFERROR(COUNTIF(J170:U170,"x"),1)+(Besatzung!$F$12="x")*IFERROR(H170,0)/IFERROR(SUMPRODUCT((J170:U170="x")*(Besatzung!$F$11:$F$22="x")),1))),(IF(COUNTIF(J170:U170,"x")=0,IF(Besatzung!$B$12&lt;&gt;"",1,0),(K170="x"))*(G170-IFERROR(H170,0))/IFERROR(IF(COUNTIF(J170:U170,"x")=0,COUNTA(Besatzung!$B$11:$B$22),COUNTIF(J170:U170,"x")),1)+IF(COUNTIF(J170:U170,"x")=0,(Besatzung!$F$12="x"),(K170="x")*(Besatzung!$F$12="x"))*IFERROR(H170,0)/IFERROR(IF(COUNTIF(J170:U170,"x")=0,SUMPRODUCT((Besatzung!$B$11:$B$22&lt;&gt;"")*(Besatzung!$F$11:$F$22="x")),SUMPRODUCT((J170:U170="x")*(Besatzung!$F$11:$F$22="x"))),1))))),0))))</f>
        <v/>
      </c>
      <c r="X170" s="106">
        <f>IF(C170="Gutschrift","",IF(G170="","",IF(Besatzung!$B$13="","",IFERROR(IF(I170="Zeitanteilig",(Besatzung!$G$13*(G170-IFERROR(H170,0))+((Besatzung!$B$13&lt;&gt;"")*IF(B170="",1,(IF(Besatzung!$C$13="",Besatzung!$B$5,Besatzung!$C$13)&lt;=B170)*(IF(Besatzung!$D$13="",Besatzung!$B$6,Besatzung!$D$13)&gt;=B170)))*(Besatzung!$F$13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$13&lt;&gt;"")*IF(B170="",1,(IF(Besatzung!$C$13="",Besatzung!$B$5,Besatzung!$C$13)&lt;=B170)*(IF(Besatzung!$D$13="",Besatzung!$B$6,Besatzung!$D$13)&gt;=B170)))*((G170-IFERROR(H170,0))/IFERROR(SUMPRODUCT((Besatzung!$B$11:$B$22&lt;&gt;"")*(IF(Besatzung!$C$11:$C$22="",Besatzung!$B$5,Besatzung!$C$11:$C$22)&lt;=B170)*(IF(Besatzung!$D$11:$D$22="",Besatzung!$B$6,Besatzung!$D$11:$D$22)&gt;=B170)),1)+(Besatzung!$F$13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K170="x")*((G170-IFERROR(H170,0))/IFERROR(COUNTIF(J170:U170,"x"),1)+(Besatzung!$F$13="x")*IFERROR(H170,0)/IFERROR(SUMPRODUCT((J170:U170="x")*(Besatzung!$F$11:$F$22="x")),1))),(IF(COUNTIF(J170:U170,"x")=0,IF(Besatzung!$B$13&lt;&gt;"",1,0),(K170="x"))*(G170-IFERROR(H170,0))/IFERROR(IF(COUNTIF(J170:U170,"x")=0,COUNTA(Besatzung!$B$11:$B$22),COUNTIF(J170:U170,"x")),1)+IF(COUNTIF(J170:U170,"x")=0,(Besatzung!$F$13="x"),(K170="x")*(Besatzung!$F$13="x"))*IFERROR(H170,0)/IFERROR(IF(COUNTIF(J170:U170,"x")=0,SUMPRODUCT((Besatzung!$B$11:$B$22&lt;&gt;"")*(Besatzung!$F$11:$F$22="x")),SUMPRODUCT((J170:U170="x")*(Besatzung!$F$11:$F$22="x"))),1))))),0))))</f>
        <v/>
      </c>
      <c r="Y170" s="106">
        <f>IF(C170="Gutschrift","",IF(G170="","",IF(Besatzung!$B$14="","",IFERROR(IF(I170="Zeitanteilig",(Besatzung!$G$14*(G170-IFERROR(H170,0))+((Besatzung!$B$14&lt;&gt;"")*IF(B170="",1,(IF(Besatzung!$C$14="",Besatzung!$B$5,Besatzung!$C$14)&lt;=B170)*(IF(Besatzung!$D$14="",Besatzung!$B$6,Besatzung!$D$14)&gt;=B170)))*(Besatzung!$F$14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$14&lt;&gt;"")*IF(B170="",1,(IF(Besatzung!$C$14="",Besatzung!$B$5,Besatzung!$C$14)&lt;=B170)*(IF(Besatzung!$D$14="",Besatzung!$B$6,Besatzung!$D$14)&gt;=B170)))*((G170-IFERROR(H170,0))/IFERROR(SUMPRODUCT((Besatzung!$B$11:$B$22&lt;&gt;"")*(IF(Besatzung!$C$11:$C$22="",Besatzung!$B$5,Besatzung!$C$11:$C$22)&lt;=B170)*(IF(Besatzung!$D$11:$D$22="",Besatzung!$B$6,Besatzung!$D$11:$D$22)&gt;=B170)),1)+(Besatzung!$F$14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M170="x")*((G170-IFERROR(H170,0))/IFERROR(COUNTIF(J170:U170,"x"),1)+(Besatzung!$F$14="x")*IFERROR(H170,0)/IFERROR(SUMPRODUCT((J170:U170="x")*(Besatzung!$F$11:$F$22="x")),1))),(IF(COUNTIF(J170:U170,"x")=0,IF(Besatzung!$B$14&lt;&gt;"",1,0),(M170="x"))*(G170-IFERROR(H170,0))/IFERROR(IF(COUNTIF(J170:U170,"x")=0,COUNTA(Besatzung!$B$11:$B$22),COUNTIF(J170:U170,"x")),1)+IF(COUNTIF(J170:U170,"x")=0,(Besatzung!$F$14="x"),(M170="x")*(Besatzung!$F$14="x"))*IFERROR(H170,0)/IFERROR(IF(COUNTIF(J170:U170,"x")=0,SUMPRODUCT((Besatzung!$B$11:$B$22&lt;&gt;"")*(Besatzung!$F$11:$F$22="x")),SUMPRODUCT((J170:U170="x")*(Besatzung!$F$11:$F$22="x"))),1))))),0))))</f>
        <v/>
      </c>
      <c r="Z170" s="106">
        <f>IF(C170="Gutschrift","",IF(G170="","",IF(Besatzung!$B$13="","",IFERROR(IF(I170="Zeitanteilig",(Besatzung!$G$15*(G170-IFERROR(H170,0))+((Besatzung!$B$13&lt;&gt;"")*IF(B170="",1,(IF(Besatzung!$C$15="",Besatzung!$B$5,Besatzung!$C$15)&lt;=B170)*(IF(Besatzung!$D$15="",Besatzung!$B$6,Besatzung!$D$15)&gt;=B170)))*(Besatzung!$F$15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$13&lt;&gt;"")*IF(B170="",1,(IF(Besatzung!$C$15="",Besatzung!$B$5,Besatzung!$C$15)&lt;=B170)*(IF(Besatzung!$D$15="",Besatzung!$B$6,Besatzung!$D$15)&gt;=B170)))*((G170-IFERROR(H170,0))/IFERROR(SUMPRODUCT((Besatzung!$B$11:$B$22&lt;&gt;"")*(IF(Besatzung!$C$11:$C$22="",Besatzung!$B$5,Besatzung!$C$11:$C$22)&lt;=B170)*(IF(Besatzung!$D$11:$D$22="",Besatzung!$B$6,Besatzung!$D$11:$D$22)&gt;=B170)),1)+(Besatzung!$F$15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N170="x")*((G170-IFERROR(H170,0))/IFERROR(COUNTIF(J170:U170,"x"),1)+(Besatzung!$F$15="x")*IFERROR(H170,0)/IFERROR(SUMPRODUCT((J170:U170="x")*(Besatzung!$F$11:$F$22="x")),1))),(IF(COUNTIF(J170:U170,"x")=0,IF(Besatzung!$B$13&lt;&gt;"",1,0),(N170="x"))*(G170-IFERROR(H170,0))/IFERROR(IF(COUNTIF(J170:U170,"x")=0,COUNTA(Besatzung!$B$11:$B$22),COUNTIF(J170:U170,"x")),1)+IF(COUNTIF(J170:U170,"x")=0,(Besatzung!$F$15="x"),(N170="x")*(Besatzung!$F$15="x"))*IFERROR(H170,0)/IFERROR(IF(COUNTIF(J170:U170,"x")=0,SUMPRODUCT((Besatzung!$B$11:$B$22&lt;&gt;"")*(Besatzung!$F$11:$F$22="x")),SUMPRODUCT((J170:U170="x")*(Besatzung!$F$11:$F$22="x"))),1))))),0))))</f>
        <v/>
      </c>
      <c r="AA170" s="106">
        <f>IF(C170="Gutschrift","",IF(G170="","",IF(Besatzung!$B$15="","",IFERROR(IF(I170="Zeitanteilig",(Besatzung!$G$16*(G170-IFERROR(H170,0))+((Besatzung!$B$15&lt;&gt;"")*IF(B170="",1,(IF(Besatzung!$C$16="",Besatzung!$B$5,Besatzung!$C$16)&lt;=B170)*(IF(Besatzung!$D$16="",Besatzung!$B$6,Besatzung!$D$16)&gt;=B170)))*(Besatzung!$F$16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$15&lt;&gt;"")*IF(B170="",1,(IF(Besatzung!$C$16="",Besatzung!$B$5,Besatzung!$C$16)&lt;=B170)*(IF(Besatzung!$D$16="",Besatzung!$B$6,Besatzung!$D$16)&gt;=B170)))*((G170-IFERROR(H170,0))/IFERROR(SUMPRODUCT((Besatzung!$B$11:$B$22&lt;&gt;"")*(IF(Besatzung!$C$11:$C$22="",Besatzung!$B$5,Besatzung!$C$11:$C$22)&lt;=B170)*(IF(Besatzung!$D$11:$D$22="",Besatzung!$B$6,Besatzung!$D$11:$D$22)&gt;=B170)),1)+(Besatzung!$F$16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O170="x")*((G170-IFERROR(H170,0))/IFERROR(COUNTIF(J170:U170,"x"),1)+(Besatzung!$F$16="x")*IFERROR(H170,0)/IFERROR(SUMPRODUCT((J170:U170="x")*(Besatzung!$F$11:$F$22="x")),1))),(IF(COUNTIF(J170:U170,"x")=0,IF(Besatzung!$B$15&lt;&gt;"",1,0),(O170="x"))*(G170-IFERROR(H170,0))/IFERROR(IF(COUNTIF(J170:U170,"x")=0,COUNTA(Besatzung!$B$11:$B$22),COUNTIF(J170:U170,"x")),1)+IF(COUNTIF(J170:U170,"x")=0,(Besatzung!$F$16="x"),(O170="x")*(Besatzung!$F$16="x"))*IFERROR(H170,0)/IFERROR(IF(COUNTIF(J170:U170,"x")=0,SUMPRODUCT((Besatzung!$B$11:$B$22&lt;&gt;"")*(Besatzung!$F$11:$F$22="x")),SUMPRODUCT((J170:U170="x")*(Besatzung!$F$11:$F$22="x"))),1))))),0))))</f>
        <v/>
      </c>
      <c r="AB170" s="106">
        <f>IF(C170="Gutschrift","",IF(G170="","",IF(Besatzung!$B$17="","",IFERROR(IF(I170="Zeitanteilig",(Besatzung!$G$17*(G170-IFERROR(H170,0))+((Besatzung!$B$17&lt;&gt;"")*IF(B170="",1,(IF(Besatzung!$C$17="",Besatzung!$B$5,Besatzung!$C$17)&lt;=B170)*(IF(Besatzung!$D$17="",Besatzung!$B$6,Besatzung!$D$17)&gt;=B170)))*(Besatzung!$F$17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$17&lt;&gt;"")*IF(B170="",1,(IF(Besatzung!$C$17="",Besatzung!$B$5,Besatzung!$C$17)&lt;=B170)*(IF(Besatzung!$D$17="",Besatzung!$B$6,Besatzung!$D$17)&gt;=B170)))*((G170-IFERROR(H170,0))/IFERROR(SUMPRODUCT((Besatzung!$B$11:$B$22&lt;&gt;"")*(IF(Besatzung!$C$11:$C$22="",Besatzung!$B$5,Besatzung!$C$11:$C$22)&lt;=B170)*(IF(Besatzung!$D$11:$D$22="",Besatzung!$B$6,Besatzung!$D$11:$D$22)&gt;=B170)),1)+(Besatzung!$F$17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P170="x")*((G170-IFERROR(H170,0))/IFERROR(COUNTIF(J170:U170,"x"),1)+(Besatzung!$F$17="x")*IFERROR(H170,0)/IFERROR(SUMPRODUCT((J170:U170="x")*(Besatzung!$F$11:$F$22="x")),1))),(IF(COUNTIF(J170:U170,"x")=0,IF(Besatzung!$B$17&lt;&gt;"",1,0),(P170="x"))*(G170-IFERROR(H170,0))/IFERROR(IF(COUNTIF(J170:U170,"x")=0,COUNTA(Besatzung!$B$11:$B$22),COUNTIF(J170:U170,"x")),1)+IF(COUNTIF(J170:U170,"x")=0,(Besatzung!$F$17="x"),(P170="x")*(Besatzung!$F$17="x"))*IFERROR(H170,0)/IFERROR(IF(COUNTIF(J170:U170,"x")=0,SUMPRODUCT((Besatzung!$B$11:$B$22&lt;&gt;"")*(Besatzung!$F$11:$F$22="x")),SUMPRODUCT((J170:U170="x")*(Besatzung!$F$11:$F$22="x"))),1))))),0))))</f>
        <v/>
      </c>
      <c r="AC170" s="106">
        <f>IF(C170="Gutschrift","",IF(G170="","",IF(Besatzung!$B$18="","",IFERROR(IF(I170="Zeitanteilig",(Besatzung!$G$18*(G170-IFERROR(H170,0))+((Besatzung!$B$18&lt;&gt;"")*IF(B170="",1,(IF(Besatzung!$C$18="",Besatzung!$B$5,Besatzung!$C$18)&lt;=B170)*(IF(Besatzung!$D$18="",Besatzung!$B$6,Besatzung!$D$18)&gt;=B170)))*(Besatzung!$F$18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$18&lt;&gt;"")*IF(B170="",1,(IF(Besatzung!$C$18="",Besatzung!$B$5,Besatzung!$C$18)&lt;=B170)*(IF(Besatzung!$D$18="",Besatzung!$B$6,Besatzung!$D$18)&gt;=B170)))*((G170-IFERROR(H170,0))/IFERROR(SUMPRODUCT((Besatzung!$B$11:$B$22&lt;&gt;"")*(IF(Besatzung!$C$11:$C$22="",Besatzung!$B$5,Besatzung!$C$11:$C$22)&lt;=B170)*(IF(Besatzung!$D$11:$D$22="",Besatzung!$B$6,Besatzung!$D$11:$D$22)&gt;=B170)),1)+(Besatzung!$F$18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Q170="x")*((G170-IFERROR(H170,0))/IFERROR(COUNTIF(J170:U170,"x"),1)+(Besatzung!$F$18="x")*IFERROR(H170,0)/IFERROR(SUMPRODUCT((J170:U170="x")*(Besatzung!$F$11:$F$22="x")),1))),(IF(COUNTIF(J170:U170,"x")=0,IF(Besatzung!$B$18&lt;&gt;"",1,0),(Q170="x"))*(G170-IFERROR(H170,0))/IFERROR(IF(COUNTIF(J170:U170,"x")=0,COUNTA(Besatzung!$B$11:$B$22),COUNTIF(J170:U170,"x")),1)+IF(COUNTIF(J170:U170,"x")=0,(Besatzung!$F$18="x"),(Q170="x")*(Besatzung!$F$18="x"))*IFERROR(H170,0)/IFERROR(IF(COUNTIF(J170:U170,"x")=0,SUMPRODUCT((Besatzung!$B$11:$B$22&lt;&gt;"")*(Besatzung!$F$11:$F$22="x")),SUMPRODUCT((J170:U170="x")*(Besatzung!$F$11:$F$22="x"))),1))))),0))))</f>
        <v/>
      </c>
      <c r="AD170" s="106">
        <f>IF(C170="Gutschrift","",IF(G170="","",IF(Besatzung!$B$19="","",IFERROR(IF(I170="Zeitanteilig",(Besatzung!$G$19*(G170-IFERROR(H170,0))+((Besatzung!$B$19&lt;&gt;"")*IF(B170="",1,(IF(Besatzung!$C$19="",Besatzung!$B$5,Besatzung!$C$19)&lt;=B170)*(IF(Besatzung!$D$19="",Besatzung!$B$6,Besatzung!$D$19)&gt;=B170)))*(Besatzung!$F$19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$19&lt;&gt;"")*IF(B170="",1,(IF(Besatzung!$C$19="",Besatzung!$B$5,Besatzung!$C$19)&lt;=B170)*(IF(Besatzung!$D$19="",Besatzung!$B$6,Besatzung!$D$19)&gt;=B170)))*((G170-IFERROR(H170,0))/IFERROR(SUMPRODUCT((Besatzung!$B$11:$B$22&lt;&gt;"")*(IF(Besatzung!$C$11:$C$22="",Besatzung!$B$5,Besatzung!$C$11:$C$22)&lt;=B170)*(IF(Besatzung!$D$11:$D$22="",Besatzung!$B$6,Besatzung!$D$11:$D$22)&gt;=B170)),1)+(Besatzung!$F$19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R170="x")*((G170-IFERROR(H170,0))/IFERROR(COUNTIF(J170:U170,"x"),1)+(Besatzung!$F$19="x")*IFERROR(H170,0)/IFERROR(SUMPRODUCT((J170:U170="x")*(Besatzung!$F$11:$F$22="x")),1))),(IF(COUNTIF(J170:U170,"x")=0,IF(Besatzung!$B$19&lt;&gt;"",1,0),(R170="x"))*(G170-IFERROR(H170,0))/IFERROR(IF(COUNTIF(J170:U170,"x")=0,COUNTA(Besatzung!$B$11:$B$22),COUNTIF(J170:U170,"x")),1)+IF(COUNTIF(J170:U170,"x")=0,(Besatzung!$F$19="x"),(R170="x")*(Besatzung!$F$19="x"))*IFERROR(H170,0)/IFERROR(IF(COUNTIF(J170:U170,"x")=0,SUMPRODUCT((Besatzung!$B$11:$B$22&lt;&gt;"")*(Besatzung!$F$11:$F$22="x")),SUMPRODUCT((J170:U170="x")*(Besatzung!$F$11:$F$22="x"))),1))))),0))))</f>
        <v/>
      </c>
      <c r="AE170" s="106">
        <f>IF(C170="Gutschrift","",IF(G170="","",IF(Besatzung!$B$20="","",IFERROR(IF(I170="Zeitanteilig",(Besatzung!$G$20*(G170-IFERROR(H170,0))+((Besatzung!$B$20&lt;&gt;"")*IF(B170="",1,(IF(Besatzung!$C$20="",Besatzung!$B$5,Besatzung!$C$20)&lt;=B170)*(IF(Besatzung!$D$20="",Besatzung!$B$6,Besatzung!$D$20)&gt;=B170)))*(Besatzung!$F$20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$20&lt;&gt;"")*IF(B170="",1,(IF(Besatzung!$C$20="",Besatzung!$B$5,Besatzung!$C$20)&lt;=B170)*(IF(Besatzung!$D$20="",Besatzung!$B$6,Besatzung!$D$20)&gt;=B170)))*((G170-IFERROR(H170,0))/IFERROR(SUMPRODUCT((Besatzung!$B$11:$B$22&lt;&gt;"")*(IF(Besatzung!$C$11:$C$22="",Besatzung!$B$5,Besatzung!$C$11:$C$22)&lt;=B170)*(IF(Besatzung!$D$11:$D$22="",Besatzung!$B$6,Besatzung!$D$11:$D$22)&gt;=B170)),1)+(Besatzung!$F$20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S170="x")*((G170-IFERROR(H170,0))/IFERROR(COUNTIF(J170:U170,"x"),1)+(Besatzung!$F$20="x")*IFERROR(H170,0)/IFERROR(SUMPRODUCT((J170:U170="x")*(Besatzung!$F$11:$F$22="x")),1))),(IF(COUNTIF(J170:U170,"x")=0,IF(Besatzung!$B$20&lt;&gt;"",1,0),(S170="x"))*(G170-IFERROR(H170,0))/IFERROR(IF(COUNTIF(J170:U170,"x")=0,COUNTA(Besatzung!$B$11:$B$22),COUNTIF(J170:U170,"x")),1)+IF(COUNTIF(J170:U170,"x")=0,(Besatzung!$F$20="x"),(S170="x")*(Besatzung!$F$20="x"))*IFERROR(H170,0)/IFERROR(IF(COUNTIF(J170:U170,"x")=0,SUMPRODUCT((Besatzung!$B$11:$B$22&lt;&gt;"")*(Besatzung!$F$11:$F$22="x")),SUMPRODUCT((J170:U170="x")*(Besatzung!$F$11:$F$22="x"))),1))))),0))))</f>
        <v/>
      </c>
      <c r="AF170" s="106">
        <f>IF(C170="Gutschrift","",IF(G170="","",IF(Besatzung!$B$21="","",IFERROR(IF(I170="Zeitanteilig",(Besatzung!$G$21*(G170-IFERROR(H170,0))+((Besatzung!$B$21&lt;&gt;"")*IF(B170="",1,(IF(Besatzung!$C$21="",Besatzung!$B$5,Besatzung!$C$21)&lt;=B170)*(IF(Besatzung!$D$21="",Besatzung!$B$6,Besatzung!$D$21)&gt;=B170)))*(Besatzung!$F$21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$21&lt;&gt;"")*IF(B170="",1,(IF(Besatzung!$C$21="",Besatzung!$B$5,Besatzung!$C$21)&lt;=B170)*(IF(Besatzung!$D$21="",Besatzung!$B$6,Besatzung!$D$21)&gt;=B170)))*((G170-IFERROR(H170,0))/IFERROR(SUMPRODUCT((Besatzung!$B$11:$B$22&lt;&gt;"")*(IF(Besatzung!$C$11:$C$22="",Besatzung!$B$5,Besatzung!$C$11:$C$22)&lt;=B170)*(IF(Besatzung!$D$11:$D$22="",Besatzung!$B$6,Besatzung!$D$11:$D$22)&gt;=B170)),1)+(Besatzung!$F$21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T170="x")*((G170-IFERROR(H170,0))/IFERROR(COUNTIF(J170:U170,"x"),1)+(Besatzung!$F$21="x")*IFERROR(H170,0)/IFERROR(SUMPRODUCT((J170:U170="x")*(Besatzung!$F$11:$F$22="x")),1))),(IF(COUNTIF(J170:U170,"x")=0,IF(Besatzung!$B$21&lt;&gt;"",1,0),(T170="x"))*(G170-IFERROR(H170,0))/IFERROR(IF(COUNTIF(J170:U170,"x")=0,COUNTA(Besatzung!$B$11:$B$22),COUNTIF(J170:U170,"x")),1)+IF(COUNTIF(J170:U170,"x")=0,(Besatzung!$F$21="x"),(T170="x")*(Besatzung!$F$21="x"))*IFERROR(H170,0)/IFERROR(IF(COUNTIF(J170:U170,"x")=0,SUMPRODUCT((Besatzung!$B$11:$B$22&lt;&gt;"")*(Besatzung!$F$11:$F$22="x")),SUMPRODUCT((J170:U170="x")*(Besatzung!$F$11:$F$22="x"))),1))))),0))))</f>
        <v/>
      </c>
      <c r="AG170" s="106">
        <f>IF(C170="Gutschrift","",IF(G170="","",IF(Besatzung!$B$22="","",IFERROR(IF(I170="Zeitanteilig",(Besatzung!$G$22*(G170-IFERROR(H170,0))+((Besatzung!$B$22&lt;&gt;"")*IF(B170="",1,(IF(Besatzung!$C$22="",Besatzung!$B$5,Besatzung!$C$22)&lt;=B170)*(IF(Besatzung!$D$22="",Besatzung!$B$6,Besatzung!$D$22)&gt;=B170)))*(Besatzung!$F$22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$22&lt;&gt;"")*IF(B170="",1,(IF(Besatzung!$C$22="",Besatzung!$B$5,Besatzung!$C$22)&lt;=B170)*(IF(Besatzung!$D$22="",Besatzung!$B$6,Besatzung!$D$22)&gt;=B170)))*((G170-IFERROR(H170,0))/IFERROR(SUMPRODUCT((Besatzung!$B$11:$B$22&lt;&gt;"")*(IF(Besatzung!$C$11:$C$22="",Besatzung!$B$5,Besatzung!$C$11:$C$22)&lt;=B170)*(IF(Besatzung!$D$11:$D$22="",Besatzung!$B$6,Besatzung!$D$11:$D$22)&gt;=B170)),1)+(Besatzung!$F$22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U170="x")*((G170-IFERROR(H170,0))/IFERROR(COUNTIF(J170:U170,"x"),1)+(Besatzung!$F$22="x")*IFERROR(H170,0)/IFERROR(SUMPRODUCT((J170:U170="x")*(Besatzung!$F$11:$F$22="x")),1))),(IF(COUNTIF(J170:U170,"x")=0,IF(Besatzung!$B$22&lt;&gt;"",1,0),(U170="x"))*(G170-IFERROR(H170,0))/IFERROR(IF(COUNTIF(J170:U170,"x")=0,COUNTA(Besatzung!$B$11:$B$22),COUNTIF(J170:U170,"x")),1)+IF(COUNTIF(J170:U170,"x")=0,(Besatzung!$F$22="x"),(U170="x")*(Besatzung!$F$22="x"))*IFERROR(H170,0)/IFERROR(IF(COUNTIF(J170:U170,"x")=0,SUMPRODUCT((Besatzung!$B$11:$B$22&lt;&gt;"")*(Besatzung!$F$11:$F$22="x")),SUMPRODUCT((J170:U170="x")*(Besatzung!$F$11:$F$22="x"))),1))))),0))))</f>
        <v/>
      </c>
      <c r="AH170" s="107" t="n"/>
      <c r="AI170" s="107" t="n"/>
    </row>
    <row r="171" ht="21.75" customHeight="1" s="182">
      <c r="A171" s="97">
        <f>IF(AND(D171="",C171=""),"",168)</f>
        <v/>
      </c>
      <c r="B171" s="63" t="n"/>
      <c r="C171" s="108" t="n"/>
      <c r="D171" s="109" t="n"/>
      <c r="E171" s="110" t="n"/>
      <c r="F171" s="111" t="n"/>
      <c r="G171" s="112" t="n"/>
      <c r="H171" s="113" t="n"/>
      <c r="I171" s="114" t="n"/>
      <c r="J171" s="115" t="n"/>
      <c r="K171" s="115" t="n"/>
      <c r="L171" s="115" t="n"/>
      <c r="M171" s="115" t="n"/>
      <c r="N171" s="115" t="n"/>
      <c r="O171" s="115" t="n"/>
      <c r="P171" s="115" t="n"/>
      <c r="Q171" s="115" t="n"/>
      <c r="R171" s="115" t="n"/>
      <c r="S171" s="115" t="n"/>
      <c r="T171" s="115" t="n"/>
      <c r="U171" s="115" t="n"/>
      <c r="V171" s="106">
        <f>IF(C171="Gutschrift","",IF(G171="","",IF(Besatzung!$B$11="","",IFERROR(IF(I171="Zeitanteilig",(Besatzung!$G$11*(G171-IFERROR(H171,0))+((Besatzung!$B$11&lt;&gt;"")*IF(B171="",1,(IF(Besatzung!$C$11="",Besatzung!$B$5,Besatzung!$C$11)&lt;=B171)*(IF(Besatzung!$D$11="",Besatzung!$B$6,Besatzung!$D$11)&gt;=B171)))*(Besatzung!$F$11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$11&lt;&gt;"")*IF(B171="",1,(IF(Besatzung!$C$11="",Besatzung!$B$5,Besatzung!$C$11)&lt;=B171)*(IF(Besatzung!$D$11="",Besatzung!$B$6,Besatzung!$D$11)&gt;=B171)))*((G171-IFERROR(H171,0))/IFERROR(SUMPRODUCT((Besatzung!$B$11:$B$22&lt;&gt;"")*(IF(Besatzung!$C$11:$C$22="",Besatzung!$B$5,Besatzung!$C$11:$C$22)&lt;=B171)*(IF(Besatzung!$D$11:$D$22="",Besatzung!$B$6,Besatzung!$D$11:$D$22)&gt;=B171)),1)+(Besatzung!$F$11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J171="x")*((G171-IFERROR(H171,0))/IFERROR(COUNTIF(J171:U171,"x"),1)+(Besatzung!$F$11="x")*IFERROR(H171,0)/IFERROR(SUMPRODUCT((J171:U171="x")*(Besatzung!$F$11:$F$22="x")),1))),(IF(COUNTIF(J171:U171,"x")=0,IF(Besatzung!$B$11&lt;&gt;"",1,0),(J171="x"))*(G171-IFERROR(H171,0))/IFERROR(IF(COUNTIF(J171:U171,"x")=0,COUNTA(Besatzung!$B$11:$B$22),COUNTIF(J171:U171,"x")),1)+IF(COUNTIF(J171:U171,"x")=0,(Besatzung!$F$11="x"),(J171="x")*(Besatzung!$F$11="x"))*IFERROR(H171,0)/IFERROR(IF(COUNTIF(J171:U171,"x")=0,SUMPRODUCT((Besatzung!$B$11:$B$22&lt;&gt;"")*(Besatzung!$F$11:$F$22="x")),SUMPRODUCT((J171:U171="x")*(Besatzung!$F$11:$F$22="x"))),1))))),0))))</f>
        <v/>
      </c>
      <c r="W171" s="106">
        <f>IF(C171="Gutschrift","",IF(G171="","",IF(Besatzung!$B$12="","",IFERROR(IF(I171="Zeitanteilig",(Besatzung!$G$12*(G171-IFERROR(H171,0))+((Besatzung!$B$12&lt;&gt;"")*IF(B171="",1,(IF(Besatzung!$C$12="",Besatzung!$B$5,Besatzung!$C$12)&lt;=B171)*(IF(Besatzung!$D$12="",Besatzung!$B$6,Besatzung!$D$12)&gt;=B171)))*(Besatzung!$F$12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$12&lt;&gt;"")*IF(B171="",1,(IF(Besatzung!$C$12="",Besatzung!$B$5,Besatzung!$C$12)&lt;=B171)*(IF(Besatzung!$D$12="",Besatzung!$B$6,Besatzung!$D$12)&gt;=B171)))*((G171-IFERROR(H171,0))/IFERROR(SUMPRODUCT((Besatzung!$B$11:$B$22&lt;&gt;"")*(IF(Besatzung!$C$11:$C$22="",Besatzung!$B$5,Besatzung!$C$11:$C$22)&lt;=B171)*(IF(Besatzung!$D$11:$D$22="",Besatzung!$B$6,Besatzung!$D$11:$D$22)&gt;=B171)),1)+(Besatzung!$F$12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K171="x")*((G171-IFERROR(H171,0))/IFERROR(COUNTIF(J171:U171,"x"),1)+(Besatzung!$F$12="x")*IFERROR(H171,0)/IFERROR(SUMPRODUCT((J171:U171="x")*(Besatzung!$F$11:$F$22="x")),1))),(IF(COUNTIF(J171:U171,"x")=0,IF(Besatzung!$B$12&lt;&gt;"",1,0),(K171="x"))*(G171-IFERROR(H171,0))/IFERROR(IF(COUNTIF(J171:U171,"x")=0,COUNTA(Besatzung!$B$11:$B$22),COUNTIF(J171:U171,"x")),1)+IF(COUNTIF(J171:U171,"x")=0,(Besatzung!$F$12="x"),(K171="x")*(Besatzung!$F$12="x"))*IFERROR(H171,0)/IFERROR(IF(COUNTIF(J171:U171,"x")=0,SUMPRODUCT((Besatzung!$B$11:$B$22&lt;&gt;"")*(Besatzung!$F$11:$F$22="x")),SUMPRODUCT((J171:U171="x")*(Besatzung!$F$11:$F$22="x"))),1))))),0))))</f>
        <v/>
      </c>
      <c r="X171" s="106">
        <f>IF(C171="Gutschrift","",IF(G171="","",IF(Besatzung!$B$13="","",IFERROR(IF(I171="Zeitanteilig",(Besatzung!$G$13*(G171-IFERROR(H171,0))+((Besatzung!$B$13&lt;&gt;"")*IF(B171="",1,(IF(Besatzung!$C$13="",Besatzung!$B$5,Besatzung!$C$13)&lt;=B171)*(IF(Besatzung!$D$13="",Besatzung!$B$6,Besatzung!$D$13)&gt;=B171)))*(Besatzung!$F$13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$13&lt;&gt;"")*IF(B171="",1,(IF(Besatzung!$C$13="",Besatzung!$B$5,Besatzung!$C$13)&lt;=B171)*(IF(Besatzung!$D$13="",Besatzung!$B$6,Besatzung!$D$13)&gt;=B171)))*((G171-IFERROR(H171,0))/IFERROR(SUMPRODUCT((Besatzung!$B$11:$B$22&lt;&gt;"")*(IF(Besatzung!$C$11:$C$22="",Besatzung!$B$5,Besatzung!$C$11:$C$22)&lt;=B171)*(IF(Besatzung!$D$11:$D$22="",Besatzung!$B$6,Besatzung!$D$11:$D$22)&gt;=B171)),1)+(Besatzung!$F$13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K171="x")*((G171-IFERROR(H171,0))/IFERROR(COUNTIF(J171:U171,"x"),1)+(Besatzung!$F$13="x")*IFERROR(H171,0)/IFERROR(SUMPRODUCT((J171:U171="x")*(Besatzung!$F$11:$F$22="x")),1))),(IF(COUNTIF(J171:U171,"x")=0,IF(Besatzung!$B$13&lt;&gt;"",1,0),(K171="x"))*(G171-IFERROR(H171,0))/IFERROR(IF(COUNTIF(J171:U171,"x")=0,COUNTA(Besatzung!$B$11:$B$22),COUNTIF(J171:U171,"x")),1)+IF(COUNTIF(J171:U171,"x")=0,(Besatzung!$F$13="x"),(K171="x")*(Besatzung!$F$13="x"))*IFERROR(H171,0)/IFERROR(IF(COUNTIF(J171:U171,"x")=0,SUMPRODUCT((Besatzung!$B$11:$B$22&lt;&gt;"")*(Besatzung!$F$11:$F$22="x")),SUMPRODUCT((J171:U171="x")*(Besatzung!$F$11:$F$22="x"))),1))))),0))))</f>
        <v/>
      </c>
      <c r="Y171" s="106">
        <f>IF(C171="Gutschrift","",IF(G171="","",IF(Besatzung!$B$14="","",IFERROR(IF(I171="Zeitanteilig",(Besatzung!$G$14*(G171-IFERROR(H171,0))+((Besatzung!$B$14&lt;&gt;"")*IF(B171="",1,(IF(Besatzung!$C$14="",Besatzung!$B$5,Besatzung!$C$14)&lt;=B171)*(IF(Besatzung!$D$14="",Besatzung!$B$6,Besatzung!$D$14)&gt;=B171)))*(Besatzung!$F$14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$14&lt;&gt;"")*IF(B171="",1,(IF(Besatzung!$C$14="",Besatzung!$B$5,Besatzung!$C$14)&lt;=B171)*(IF(Besatzung!$D$14="",Besatzung!$B$6,Besatzung!$D$14)&gt;=B171)))*((G171-IFERROR(H171,0))/IFERROR(SUMPRODUCT((Besatzung!$B$11:$B$22&lt;&gt;"")*(IF(Besatzung!$C$11:$C$22="",Besatzung!$B$5,Besatzung!$C$11:$C$22)&lt;=B171)*(IF(Besatzung!$D$11:$D$22="",Besatzung!$B$6,Besatzung!$D$11:$D$22)&gt;=B171)),1)+(Besatzung!$F$14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M171="x")*((G171-IFERROR(H171,0))/IFERROR(COUNTIF(J171:U171,"x"),1)+(Besatzung!$F$14="x")*IFERROR(H171,0)/IFERROR(SUMPRODUCT((J171:U171="x")*(Besatzung!$F$11:$F$22="x")),1))),(IF(COUNTIF(J171:U171,"x")=0,IF(Besatzung!$B$14&lt;&gt;"",1,0),(M171="x"))*(G171-IFERROR(H171,0))/IFERROR(IF(COUNTIF(J171:U171,"x")=0,COUNTA(Besatzung!$B$11:$B$22),COUNTIF(J171:U171,"x")),1)+IF(COUNTIF(J171:U171,"x")=0,(Besatzung!$F$14="x"),(M171="x")*(Besatzung!$F$14="x"))*IFERROR(H171,0)/IFERROR(IF(COUNTIF(J171:U171,"x")=0,SUMPRODUCT((Besatzung!$B$11:$B$22&lt;&gt;"")*(Besatzung!$F$11:$F$22="x")),SUMPRODUCT((J171:U171="x")*(Besatzung!$F$11:$F$22="x"))),1))))),0))))</f>
        <v/>
      </c>
      <c r="Z171" s="106">
        <f>IF(C171="Gutschrift","",IF(G171="","",IF(Besatzung!$B$13="","",IFERROR(IF(I171="Zeitanteilig",(Besatzung!$G$15*(G171-IFERROR(H171,0))+((Besatzung!$B$13&lt;&gt;"")*IF(B171="",1,(IF(Besatzung!$C$15="",Besatzung!$B$5,Besatzung!$C$15)&lt;=B171)*(IF(Besatzung!$D$15="",Besatzung!$B$6,Besatzung!$D$15)&gt;=B171)))*(Besatzung!$F$15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$13&lt;&gt;"")*IF(B171="",1,(IF(Besatzung!$C$15="",Besatzung!$B$5,Besatzung!$C$15)&lt;=B171)*(IF(Besatzung!$D$15="",Besatzung!$B$6,Besatzung!$D$15)&gt;=B171)))*((G171-IFERROR(H171,0))/IFERROR(SUMPRODUCT((Besatzung!$B$11:$B$22&lt;&gt;"")*(IF(Besatzung!$C$11:$C$22="",Besatzung!$B$5,Besatzung!$C$11:$C$22)&lt;=B171)*(IF(Besatzung!$D$11:$D$22="",Besatzung!$B$6,Besatzung!$D$11:$D$22)&gt;=B171)),1)+(Besatzung!$F$15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N171="x")*((G171-IFERROR(H171,0))/IFERROR(COUNTIF(J171:U171,"x"),1)+(Besatzung!$F$15="x")*IFERROR(H171,0)/IFERROR(SUMPRODUCT((J171:U171="x")*(Besatzung!$F$11:$F$22="x")),1))),(IF(COUNTIF(J171:U171,"x")=0,IF(Besatzung!$B$13&lt;&gt;"",1,0),(N171="x"))*(G171-IFERROR(H171,0))/IFERROR(IF(COUNTIF(J171:U171,"x")=0,COUNTA(Besatzung!$B$11:$B$22),COUNTIF(J171:U171,"x")),1)+IF(COUNTIF(J171:U171,"x")=0,(Besatzung!$F$15="x"),(N171="x")*(Besatzung!$F$15="x"))*IFERROR(H171,0)/IFERROR(IF(COUNTIF(J171:U171,"x")=0,SUMPRODUCT((Besatzung!$B$11:$B$22&lt;&gt;"")*(Besatzung!$F$11:$F$22="x")),SUMPRODUCT((J171:U171="x")*(Besatzung!$F$11:$F$22="x"))),1))))),0))))</f>
        <v/>
      </c>
      <c r="AA171" s="106">
        <f>IF(C171="Gutschrift","",IF(G171="","",IF(Besatzung!$B$15="","",IFERROR(IF(I171="Zeitanteilig",(Besatzung!$G$16*(G171-IFERROR(H171,0))+((Besatzung!$B$15&lt;&gt;"")*IF(B171="",1,(IF(Besatzung!$C$16="",Besatzung!$B$5,Besatzung!$C$16)&lt;=B171)*(IF(Besatzung!$D$16="",Besatzung!$B$6,Besatzung!$D$16)&gt;=B171)))*(Besatzung!$F$16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$15&lt;&gt;"")*IF(B171="",1,(IF(Besatzung!$C$16="",Besatzung!$B$5,Besatzung!$C$16)&lt;=B171)*(IF(Besatzung!$D$16="",Besatzung!$B$6,Besatzung!$D$16)&gt;=B171)))*((G171-IFERROR(H171,0))/IFERROR(SUMPRODUCT((Besatzung!$B$11:$B$22&lt;&gt;"")*(IF(Besatzung!$C$11:$C$22="",Besatzung!$B$5,Besatzung!$C$11:$C$22)&lt;=B171)*(IF(Besatzung!$D$11:$D$22="",Besatzung!$B$6,Besatzung!$D$11:$D$22)&gt;=B171)),1)+(Besatzung!$F$16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O171="x")*((G171-IFERROR(H171,0))/IFERROR(COUNTIF(J171:U171,"x"),1)+(Besatzung!$F$16="x")*IFERROR(H171,0)/IFERROR(SUMPRODUCT((J171:U171="x")*(Besatzung!$F$11:$F$22="x")),1))),(IF(COUNTIF(J171:U171,"x")=0,IF(Besatzung!$B$15&lt;&gt;"",1,0),(O171="x"))*(G171-IFERROR(H171,0))/IFERROR(IF(COUNTIF(J171:U171,"x")=0,COUNTA(Besatzung!$B$11:$B$22),COUNTIF(J171:U171,"x")),1)+IF(COUNTIF(J171:U171,"x")=0,(Besatzung!$F$16="x"),(O171="x")*(Besatzung!$F$16="x"))*IFERROR(H171,0)/IFERROR(IF(COUNTIF(J171:U171,"x")=0,SUMPRODUCT((Besatzung!$B$11:$B$22&lt;&gt;"")*(Besatzung!$F$11:$F$22="x")),SUMPRODUCT((J171:U171="x")*(Besatzung!$F$11:$F$22="x"))),1))))),0))))</f>
        <v/>
      </c>
      <c r="AB171" s="106">
        <f>IF(C171="Gutschrift","",IF(G171="","",IF(Besatzung!$B$17="","",IFERROR(IF(I171="Zeitanteilig",(Besatzung!$G$17*(G171-IFERROR(H171,0))+((Besatzung!$B$17&lt;&gt;"")*IF(B171="",1,(IF(Besatzung!$C$17="",Besatzung!$B$5,Besatzung!$C$17)&lt;=B171)*(IF(Besatzung!$D$17="",Besatzung!$B$6,Besatzung!$D$17)&gt;=B171)))*(Besatzung!$F$17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$17&lt;&gt;"")*IF(B171="",1,(IF(Besatzung!$C$17="",Besatzung!$B$5,Besatzung!$C$17)&lt;=B171)*(IF(Besatzung!$D$17="",Besatzung!$B$6,Besatzung!$D$17)&gt;=B171)))*((G171-IFERROR(H171,0))/IFERROR(SUMPRODUCT((Besatzung!$B$11:$B$22&lt;&gt;"")*(IF(Besatzung!$C$11:$C$22="",Besatzung!$B$5,Besatzung!$C$11:$C$22)&lt;=B171)*(IF(Besatzung!$D$11:$D$22="",Besatzung!$B$6,Besatzung!$D$11:$D$22)&gt;=B171)),1)+(Besatzung!$F$17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P171="x")*((G171-IFERROR(H171,0))/IFERROR(COUNTIF(J171:U171,"x"),1)+(Besatzung!$F$17="x")*IFERROR(H171,0)/IFERROR(SUMPRODUCT((J171:U171="x")*(Besatzung!$F$11:$F$22="x")),1))),(IF(COUNTIF(J171:U171,"x")=0,IF(Besatzung!$B$17&lt;&gt;"",1,0),(P171="x"))*(G171-IFERROR(H171,0))/IFERROR(IF(COUNTIF(J171:U171,"x")=0,COUNTA(Besatzung!$B$11:$B$22),COUNTIF(J171:U171,"x")),1)+IF(COUNTIF(J171:U171,"x")=0,(Besatzung!$F$17="x"),(P171="x")*(Besatzung!$F$17="x"))*IFERROR(H171,0)/IFERROR(IF(COUNTIF(J171:U171,"x")=0,SUMPRODUCT((Besatzung!$B$11:$B$22&lt;&gt;"")*(Besatzung!$F$11:$F$22="x")),SUMPRODUCT((J171:U171="x")*(Besatzung!$F$11:$F$22="x"))),1))))),0))))</f>
        <v/>
      </c>
      <c r="AC171" s="106">
        <f>IF(C171="Gutschrift","",IF(G171="","",IF(Besatzung!$B$18="","",IFERROR(IF(I171="Zeitanteilig",(Besatzung!$G$18*(G171-IFERROR(H171,0))+((Besatzung!$B$18&lt;&gt;"")*IF(B171="",1,(IF(Besatzung!$C$18="",Besatzung!$B$5,Besatzung!$C$18)&lt;=B171)*(IF(Besatzung!$D$18="",Besatzung!$B$6,Besatzung!$D$18)&gt;=B171)))*(Besatzung!$F$18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$18&lt;&gt;"")*IF(B171="",1,(IF(Besatzung!$C$18="",Besatzung!$B$5,Besatzung!$C$18)&lt;=B171)*(IF(Besatzung!$D$18="",Besatzung!$B$6,Besatzung!$D$18)&gt;=B171)))*((G171-IFERROR(H171,0))/IFERROR(SUMPRODUCT((Besatzung!$B$11:$B$22&lt;&gt;"")*(IF(Besatzung!$C$11:$C$22="",Besatzung!$B$5,Besatzung!$C$11:$C$22)&lt;=B171)*(IF(Besatzung!$D$11:$D$22="",Besatzung!$B$6,Besatzung!$D$11:$D$22)&gt;=B171)),1)+(Besatzung!$F$18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Q171="x")*((G171-IFERROR(H171,0))/IFERROR(COUNTIF(J171:U171,"x"),1)+(Besatzung!$F$18="x")*IFERROR(H171,0)/IFERROR(SUMPRODUCT((J171:U171="x")*(Besatzung!$F$11:$F$22="x")),1))),(IF(COUNTIF(J171:U171,"x")=0,IF(Besatzung!$B$18&lt;&gt;"",1,0),(Q171="x"))*(G171-IFERROR(H171,0))/IFERROR(IF(COUNTIF(J171:U171,"x")=0,COUNTA(Besatzung!$B$11:$B$22),COUNTIF(J171:U171,"x")),1)+IF(COUNTIF(J171:U171,"x")=0,(Besatzung!$F$18="x"),(Q171="x")*(Besatzung!$F$18="x"))*IFERROR(H171,0)/IFERROR(IF(COUNTIF(J171:U171,"x")=0,SUMPRODUCT((Besatzung!$B$11:$B$22&lt;&gt;"")*(Besatzung!$F$11:$F$22="x")),SUMPRODUCT((J171:U171="x")*(Besatzung!$F$11:$F$22="x"))),1))))),0))))</f>
        <v/>
      </c>
      <c r="AD171" s="106">
        <f>IF(C171="Gutschrift","",IF(G171="","",IF(Besatzung!$B$19="","",IFERROR(IF(I171="Zeitanteilig",(Besatzung!$G$19*(G171-IFERROR(H171,0))+((Besatzung!$B$19&lt;&gt;"")*IF(B171="",1,(IF(Besatzung!$C$19="",Besatzung!$B$5,Besatzung!$C$19)&lt;=B171)*(IF(Besatzung!$D$19="",Besatzung!$B$6,Besatzung!$D$19)&gt;=B171)))*(Besatzung!$F$19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$19&lt;&gt;"")*IF(B171="",1,(IF(Besatzung!$C$19="",Besatzung!$B$5,Besatzung!$C$19)&lt;=B171)*(IF(Besatzung!$D$19="",Besatzung!$B$6,Besatzung!$D$19)&gt;=B171)))*((G171-IFERROR(H171,0))/IFERROR(SUMPRODUCT((Besatzung!$B$11:$B$22&lt;&gt;"")*(IF(Besatzung!$C$11:$C$22="",Besatzung!$B$5,Besatzung!$C$11:$C$22)&lt;=B171)*(IF(Besatzung!$D$11:$D$22="",Besatzung!$B$6,Besatzung!$D$11:$D$22)&gt;=B171)),1)+(Besatzung!$F$19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R171="x")*((G171-IFERROR(H171,0))/IFERROR(COUNTIF(J171:U171,"x"),1)+(Besatzung!$F$19="x")*IFERROR(H171,0)/IFERROR(SUMPRODUCT((J171:U171="x")*(Besatzung!$F$11:$F$22="x")),1))),(IF(COUNTIF(J171:U171,"x")=0,IF(Besatzung!$B$19&lt;&gt;"",1,0),(R171="x"))*(G171-IFERROR(H171,0))/IFERROR(IF(COUNTIF(J171:U171,"x")=0,COUNTA(Besatzung!$B$11:$B$22),COUNTIF(J171:U171,"x")),1)+IF(COUNTIF(J171:U171,"x")=0,(Besatzung!$F$19="x"),(R171="x")*(Besatzung!$F$19="x"))*IFERROR(H171,0)/IFERROR(IF(COUNTIF(J171:U171,"x")=0,SUMPRODUCT((Besatzung!$B$11:$B$22&lt;&gt;"")*(Besatzung!$F$11:$F$22="x")),SUMPRODUCT((J171:U171="x")*(Besatzung!$F$11:$F$22="x"))),1))))),0))))</f>
        <v/>
      </c>
      <c r="AE171" s="106">
        <f>IF(C171="Gutschrift","",IF(G171="","",IF(Besatzung!$B$20="","",IFERROR(IF(I171="Zeitanteilig",(Besatzung!$G$20*(G171-IFERROR(H171,0))+((Besatzung!$B$20&lt;&gt;"")*IF(B171="",1,(IF(Besatzung!$C$20="",Besatzung!$B$5,Besatzung!$C$20)&lt;=B171)*(IF(Besatzung!$D$20="",Besatzung!$B$6,Besatzung!$D$20)&gt;=B171)))*(Besatzung!$F$20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$20&lt;&gt;"")*IF(B171="",1,(IF(Besatzung!$C$20="",Besatzung!$B$5,Besatzung!$C$20)&lt;=B171)*(IF(Besatzung!$D$20="",Besatzung!$B$6,Besatzung!$D$20)&gt;=B171)))*((G171-IFERROR(H171,0))/IFERROR(SUMPRODUCT((Besatzung!$B$11:$B$22&lt;&gt;"")*(IF(Besatzung!$C$11:$C$22="",Besatzung!$B$5,Besatzung!$C$11:$C$22)&lt;=B171)*(IF(Besatzung!$D$11:$D$22="",Besatzung!$B$6,Besatzung!$D$11:$D$22)&gt;=B171)),1)+(Besatzung!$F$20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S171="x")*((G171-IFERROR(H171,0))/IFERROR(COUNTIF(J171:U171,"x"),1)+(Besatzung!$F$20="x")*IFERROR(H171,0)/IFERROR(SUMPRODUCT((J171:U171="x")*(Besatzung!$F$11:$F$22="x")),1))),(IF(COUNTIF(J171:U171,"x")=0,IF(Besatzung!$B$20&lt;&gt;"",1,0),(S171="x"))*(G171-IFERROR(H171,0))/IFERROR(IF(COUNTIF(J171:U171,"x")=0,COUNTA(Besatzung!$B$11:$B$22),COUNTIF(J171:U171,"x")),1)+IF(COUNTIF(J171:U171,"x")=0,(Besatzung!$F$20="x"),(S171="x")*(Besatzung!$F$20="x"))*IFERROR(H171,0)/IFERROR(IF(COUNTIF(J171:U171,"x")=0,SUMPRODUCT((Besatzung!$B$11:$B$22&lt;&gt;"")*(Besatzung!$F$11:$F$22="x")),SUMPRODUCT((J171:U171="x")*(Besatzung!$F$11:$F$22="x"))),1))))),0))))</f>
        <v/>
      </c>
      <c r="AF171" s="106">
        <f>IF(C171="Gutschrift","",IF(G171="","",IF(Besatzung!$B$21="","",IFERROR(IF(I171="Zeitanteilig",(Besatzung!$G$21*(G171-IFERROR(H171,0))+((Besatzung!$B$21&lt;&gt;"")*IF(B171="",1,(IF(Besatzung!$C$21="",Besatzung!$B$5,Besatzung!$C$21)&lt;=B171)*(IF(Besatzung!$D$21="",Besatzung!$B$6,Besatzung!$D$21)&gt;=B171)))*(Besatzung!$F$21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$21&lt;&gt;"")*IF(B171="",1,(IF(Besatzung!$C$21="",Besatzung!$B$5,Besatzung!$C$21)&lt;=B171)*(IF(Besatzung!$D$21="",Besatzung!$B$6,Besatzung!$D$21)&gt;=B171)))*((G171-IFERROR(H171,0))/IFERROR(SUMPRODUCT((Besatzung!$B$11:$B$22&lt;&gt;"")*(IF(Besatzung!$C$11:$C$22="",Besatzung!$B$5,Besatzung!$C$11:$C$22)&lt;=B171)*(IF(Besatzung!$D$11:$D$22="",Besatzung!$B$6,Besatzung!$D$11:$D$22)&gt;=B171)),1)+(Besatzung!$F$21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T171="x")*((G171-IFERROR(H171,0))/IFERROR(COUNTIF(J171:U171,"x"),1)+(Besatzung!$F$21="x")*IFERROR(H171,0)/IFERROR(SUMPRODUCT((J171:U171="x")*(Besatzung!$F$11:$F$22="x")),1))),(IF(COUNTIF(J171:U171,"x")=0,IF(Besatzung!$B$21&lt;&gt;"",1,0),(T171="x"))*(G171-IFERROR(H171,0))/IFERROR(IF(COUNTIF(J171:U171,"x")=0,COUNTA(Besatzung!$B$11:$B$22),COUNTIF(J171:U171,"x")),1)+IF(COUNTIF(J171:U171,"x")=0,(Besatzung!$F$21="x"),(T171="x")*(Besatzung!$F$21="x"))*IFERROR(H171,0)/IFERROR(IF(COUNTIF(J171:U171,"x")=0,SUMPRODUCT((Besatzung!$B$11:$B$22&lt;&gt;"")*(Besatzung!$F$11:$F$22="x")),SUMPRODUCT((J171:U171="x")*(Besatzung!$F$11:$F$22="x"))),1))))),0))))</f>
        <v/>
      </c>
      <c r="AG171" s="106">
        <f>IF(C171="Gutschrift","",IF(G171="","",IF(Besatzung!$B$22="","",IFERROR(IF(I171="Zeitanteilig",(Besatzung!$G$22*(G171-IFERROR(H171,0))+((Besatzung!$B$22&lt;&gt;"")*IF(B171="",1,(IF(Besatzung!$C$22="",Besatzung!$B$5,Besatzung!$C$22)&lt;=B171)*(IF(Besatzung!$D$22="",Besatzung!$B$6,Besatzung!$D$22)&gt;=B171)))*(Besatzung!$F$22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$22&lt;&gt;"")*IF(B171="",1,(IF(Besatzung!$C$22="",Besatzung!$B$5,Besatzung!$C$22)&lt;=B171)*(IF(Besatzung!$D$22="",Besatzung!$B$6,Besatzung!$D$22)&gt;=B171)))*((G171-IFERROR(H171,0))/IFERROR(SUMPRODUCT((Besatzung!$B$11:$B$22&lt;&gt;"")*(IF(Besatzung!$C$11:$C$22="",Besatzung!$B$5,Besatzung!$C$11:$C$22)&lt;=B171)*(IF(Besatzung!$D$11:$D$22="",Besatzung!$B$6,Besatzung!$D$11:$D$22)&gt;=B171)),1)+(Besatzung!$F$22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U171="x")*((G171-IFERROR(H171,0))/IFERROR(COUNTIF(J171:U171,"x"),1)+(Besatzung!$F$22="x")*IFERROR(H171,0)/IFERROR(SUMPRODUCT((J171:U171="x")*(Besatzung!$F$11:$F$22="x")),1))),(IF(COUNTIF(J171:U171,"x")=0,IF(Besatzung!$B$22&lt;&gt;"",1,0),(U171="x"))*(G171-IFERROR(H171,0))/IFERROR(IF(COUNTIF(J171:U171,"x")=0,COUNTA(Besatzung!$B$11:$B$22),COUNTIF(J171:U171,"x")),1)+IF(COUNTIF(J171:U171,"x")=0,(Besatzung!$F$22="x"),(U171="x")*(Besatzung!$F$22="x"))*IFERROR(H171,0)/IFERROR(IF(COUNTIF(J171:U171,"x")=0,SUMPRODUCT((Besatzung!$B$11:$B$22&lt;&gt;"")*(Besatzung!$F$11:$F$22="x")),SUMPRODUCT((J171:U171="x")*(Besatzung!$F$11:$F$22="x"))),1))))),0))))</f>
        <v/>
      </c>
      <c r="AH171" s="107" t="n"/>
      <c r="AI171" s="107" t="n"/>
    </row>
    <row r="172" ht="21.75" customHeight="1" s="182">
      <c r="A172" s="97">
        <f>IF(AND(D172="",C172=""),"",169)</f>
        <v/>
      </c>
      <c r="B172" s="56" t="n"/>
      <c r="C172" s="98" t="n"/>
      <c r="D172" s="99" t="n"/>
      <c r="E172" s="100" t="n"/>
      <c r="F172" s="101" t="n"/>
      <c r="G172" s="102" t="n"/>
      <c r="H172" s="103" t="n"/>
      <c r="I172" s="104" t="n"/>
      <c r="J172" s="105" t="n"/>
      <c r="K172" s="105" t="n"/>
      <c r="L172" s="105" t="n"/>
      <c r="M172" s="105" t="n"/>
      <c r="N172" s="105" t="n"/>
      <c r="O172" s="105" t="n"/>
      <c r="P172" s="105" t="n"/>
      <c r="Q172" s="105" t="n"/>
      <c r="R172" s="105" t="n"/>
      <c r="S172" s="105" t="n"/>
      <c r="T172" s="105" t="n"/>
      <c r="U172" s="105" t="n"/>
      <c r="V172" s="106">
        <f>IF(C172="Gutschrift","",IF(G172="","",IF(Besatzung!$B$11="","",IFERROR(IF(I172="Zeitanteilig",(Besatzung!$G$11*(G172-IFERROR(H172,0))+((Besatzung!$B$11&lt;&gt;"")*IF(B172="",1,(IF(Besatzung!$C$11="",Besatzung!$B$5,Besatzung!$C$11)&lt;=B172)*(IF(Besatzung!$D$11="",Besatzung!$B$6,Besatzung!$D$11)&gt;=B172)))*(Besatzung!$F$11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$11&lt;&gt;"")*IF(B172="",1,(IF(Besatzung!$C$11="",Besatzung!$B$5,Besatzung!$C$11)&lt;=B172)*(IF(Besatzung!$D$11="",Besatzung!$B$6,Besatzung!$D$11)&gt;=B172)))*((G172-IFERROR(H172,0))/IFERROR(SUMPRODUCT((Besatzung!$B$11:$B$22&lt;&gt;"")*(IF(Besatzung!$C$11:$C$22="",Besatzung!$B$5,Besatzung!$C$11:$C$22)&lt;=B172)*(IF(Besatzung!$D$11:$D$22="",Besatzung!$B$6,Besatzung!$D$11:$D$22)&gt;=B172)),1)+(Besatzung!$F$11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J172="x")*((G172-IFERROR(H172,0))/IFERROR(COUNTIF(J172:U172,"x"),1)+(Besatzung!$F$11="x")*IFERROR(H172,0)/IFERROR(SUMPRODUCT((J172:U172="x")*(Besatzung!$F$11:$F$22="x")),1))),(IF(COUNTIF(J172:U172,"x")=0,IF(Besatzung!$B$11&lt;&gt;"",1,0),(J172="x"))*(G172-IFERROR(H172,0))/IFERROR(IF(COUNTIF(J172:U172,"x")=0,COUNTA(Besatzung!$B$11:$B$22),COUNTIF(J172:U172,"x")),1)+IF(COUNTIF(J172:U172,"x")=0,(Besatzung!$F$11="x"),(J172="x")*(Besatzung!$F$11="x"))*IFERROR(H172,0)/IFERROR(IF(COUNTIF(J172:U172,"x")=0,SUMPRODUCT((Besatzung!$B$11:$B$22&lt;&gt;"")*(Besatzung!$F$11:$F$22="x")),SUMPRODUCT((J172:U172="x")*(Besatzung!$F$11:$F$22="x"))),1))))),0))))</f>
        <v/>
      </c>
      <c r="W172" s="106">
        <f>IF(C172="Gutschrift","",IF(G172="","",IF(Besatzung!$B$12="","",IFERROR(IF(I172="Zeitanteilig",(Besatzung!$G$12*(G172-IFERROR(H172,0))+((Besatzung!$B$12&lt;&gt;"")*IF(B172="",1,(IF(Besatzung!$C$12="",Besatzung!$B$5,Besatzung!$C$12)&lt;=B172)*(IF(Besatzung!$D$12="",Besatzung!$B$6,Besatzung!$D$12)&gt;=B172)))*(Besatzung!$F$12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$12&lt;&gt;"")*IF(B172="",1,(IF(Besatzung!$C$12="",Besatzung!$B$5,Besatzung!$C$12)&lt;=B172)*(IF(Besatzung!$D$12="",Besatzung!$B$6,Besatzung!$D$12)&gt;=B172)))*((G172-IFERROR(H172,0))/IFERROR(SUMPRODUCT((Besatzung!$B$11:$B$22&lt;&gt;"")*(IF(Besatzung!$C$11:$C$22="",Besatzung!$B$5,Besatzung!$C$11:$C$22)&lt;=B172)*(IF(Besatzung!$D$11:$D$22="",Besatzung!$B$6,Besatzung!$D$11:$D$22)&gt;=B172)),1)+(Besatzung!$F$12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K172="x")*((G172-IFERROR(H172,0))/IFERROR(COUNTIF(J172:U172,"x"),1)+(Besatzung!$F$12="x")*IFERROR(H172,0)/IFERROR(SUMPRODUCT((J172:U172="x")*(Besatzung!$F$11:$F$22="x")),1))),(IF(COUNTIF(J172:U172,"x")=0,IF(Besatzung!$B$12&lt;&gt;"",1,0),(K172="x"))*(G172-IFERROR(H172,0))/IFERROR(IF(COUNTIF(J172:U172,"x")=0,COUNTA(Besatzung!$B$11:$B$22),COUNTIF(J172:U172,"x")),1)+IF(COUNTIF(J172:U172,"x")=0,(Besatzung!$F$12="x"),(K172="x")*(Besatzung!$F$12="x"))*IFERROR(H172,0)/IFERROR(IF(COUNTIF(J172:U172,"x")=0,SUMPRODUCT((Besatzung!$B$11:$B$22&lt;&gt;"")*(Besatzung!$F$11:$F$22="x")),SUMPRODUCT((J172:U172="x")*(Besatzung!$F$11:$F$22="x"))),1))))),0))))</f>
        <v/>
      </c>
      <c r="X172" s="106">
        <f>IF(C172="Gutschrift","",IF(G172="","",IF(Besatzung!$B$13="","",IFERROR(IF(I172="Zeitanteilig",(Besatzung!$G$13*(G172-IFERROR(H172,0))+((Besatzung!$B$13&lt;&gt;"")*IF(B172="",1,(IF(Besatzung!$C$13="",Besatzung!$B$5,Besatzung!$C$13)&lt;=B172)*(IF(Besatzung!$D$13="",Besatzung!$B$6,Besatzung!$D$13)&gt;=B172)))*(Besatzung!$F$13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$13&lt;&gt;"")*IF(B172="",1,(IF(Besatzung!$C$13="",Besatzung!$B$5,Besatzung!$C$13)&lt;=B172)*(IF(Besatzung!$D$13="",Besatzung!$B$6,Besatzung!$D$13)&gt;=B172)))*((G172-IFERROR(H172,0))/IFERROR(SUMPRODUCT((Besatzung!$B$11:$B$22&lt;&gt;"")*(IF(Besatzung!$C$11:$C$22="",Besatzung!$B$5,Besatzung!$C$11:$C$22)&lt;=B172)*(IF(Besatzung!$D$11:$D$22="",Besatzung!$B$6,Besatzung!$D$11:$D$22)&gt;=B172)),1)+(Besatzung!$F$13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K172="x")*((G172-IFERROR(H172,0))/IFERROR(COUNTIF(J172:U172,"x"),1)+(Besatzung!$F$13="x")*IFERROR(H172,0)/IFERROR(SUMPRODUCT((J172:U172="x")*(Besatzung!$F$11:$F$22="x")),1))),(IF(COUNTIF(J172:U172,"x")=0,IF(Besatzung!$B$13&lt;&gt;"",1,0),(K172="x"))*(G172-IFERROR(H172,0))/IFERROR(IF(COUNTIF(J172:U172,"x")=0,COUNTA(Besatzung!$B$11:$B$22),COUNTIF(J172:U172,"x")),1)+IF(COUNTIF(J172:U172,"x")=0,(Besatzung!$F$13="x"),(K172="x")*(Besatzung!$F$13="x"))*IFERROR(H172,0)/IFERROR(IF(COUNTIF(J172:U172,"x")=0,SUMPRODUCT((Besatzung!$B$11:$B$22&lt;&gt;"")*(Besatzung!$F$11:$F$22="x")),SUMPRODUCT((J172:U172="x")*(Besatzung!$F$11:$F$22="x"))),1))))),0))))</f>
        <v/>
      </c>
      <c r="Y172" s="106">
        <f>IF(C172="Gutschrift","",IF(G172="","",IF(Besatzung!$B$14="","",IFERROR(IF(I172="Zeitanteilig",(Besatzung!$G$14*(G172-IFERROR(H172,0))+((Besatzung!$B$14&lt;&gt;"")*IF(B172="",1,(IF(Besatzung!$C$14="",Besatzung!$B$5,Besatzung!$C$14)&lt;=B172)*(IF(Besatzung!$D$14="",Besatzung!$B$6,Besatzung!$D$14)&gt;=B172)))*(Besatzung!$F$14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$14&lt;&gt;"")*IF(B172="",1,(IF(Besatzung!$C$14="",Besatzung!$B$5,Besatzung!$C$14)&lt;=B172)*(IF(Besatzung!$D$14="",Besatzung!$B$6,Besatzung!$D$14)&gt;=B172)))*((G172-IFERROR(H172,0))/IFERROR(SUMPRODUCT((Besatzung!$B$11:$B$22&lt;&gt;"")*(IF(Besatzung!$C$11:$C$22="",Besatzung!$B$5,Besatzung!$C$11:$C$22)&lt;=B172)*(IF(Besatzung!$D$11:$D$22="",Besatzung!$B$6,Besatzung!$D$11:$D$22)&gt;=B172)),1)+(Besatzung!$F$14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M172="x")*((G172-IFERROR(H172,0))/IFERROR(COUNTIF(J172:U172,"x"),1)+(Besatzung!$F$14="x")*IFERROR(H172,0)/IFERROR(SUMPRODUCT((J172:U172="x")*(Besatzung!$F$11:$F$22="x")),1))),(IF(COUNTIF(J172:U172,"x")=0,IF(Besatzung!$B$14&lt;&gt;"",1,0),(M172="x"))*(G172-IFERROR(H172,0))/IFERROR(IF(COUNTIF(J172:U172,"x")=0,COUNTA(Besatzung!$B$11:$B$22),COUNTIF(J172:U172,"x")),1)+IF(COUNTIF(J172:U172,"x")=0,(Besatzung!$F$14="x"),(M172="x")*(Besatzung!$F$14="x"))*IFERROR(H172,0)/IFERROR(IF(COUNTIF(J172:U172,"x")=0,SUMPRODUCT((Besatzung!$B$11:$B$22&lt;&gt;"")*(Besatzung!$F$11:$F$22="x")),SUMPRODUCT((J172:U172="x")*(Besatzung!$F$11:$F$22="x"))),1))))),0))))</f>
        <v/>
      </c>
      <c r="Z172" s="106">
        <f>IF(C172="Gutschrift","",IF(G172="","",IF(Besatzung!$B$13="","",IFERROR(IF(I172="Zeitanteilig",(Besatzung!$G$15*(G172-IFERROR(H172,0))+((Besatzung!$B$13&lt;&gt;"")*IF(B172="",1,(IF(Besatzung!$C$15="",Besatzung!$B$5,Besatzung!$C$15)&lt;=B172)*(IF(Besatzung!$D$15="",Besatzung!$B$6,Besatzung!$D$15)&gt;=B172)))*(Besatzung!$F$15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$13&lt;&gt;"")*IF(B172="",1,(IF(Besatzung!$C$15="",Besatzung!$B$5,Besatzung!$C$15)&lt;=B172)*(IF(Besatzung!$D$15="",Besatzung!$B$6,Besatzung!$D$15)&gt;=B172)))*((G172-IFERROR(H172,0))/IFERROR(SUMPRODUCT((Besatzung!$B$11:$B$22&lt;&gt;"")*(IF(Besatzung!$C$11:$C$22="",Besatzung!$B$5,Besatzung!$C$11:$C$22)&lt;=B172)*(IF(Besatzung!$D$11:$D$22="",Besatzung!$B$6,Besatzung!$D$11:$D$22)&gt;=B172)),1)+(Besatzung!$F$15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N172="x")*((G172-IFERROR(H172,0))/IFERROR(COUNTIF(J172:U172,"x"),1)+(Besatzung!$F$15="x")*IFERROR(H172,0)/IFERROR(SUMPRODUCT((J172:U172="x")*(Besatzung!$F$11:$F$22="x")),1))),(IF(COUNTIF(J172:U172,"x")=0,IF(Besatzung!$B$13&lt;&gt;"",1,0),(N172="x"))*(G172-IFERROR(H172,0))/IFERROR(IF(COUNTIF(J172:U172,"x")=0,COUNTA(Besatzung!$B$11:$B$22),COUNTIF(J172:U172,"x")),1)+IF(COUNTIF(J172:U172,"x")=0,(Besatzung!$F$15="x"),(N172="x")*(Besatzung!$F$15="x"))*IFERROR(H172,0)/IFERROR(IF(COUNTIF(J172:U172,"x")=0,SUMPRODUCT((Besatzung!$B$11:$B$22&lt;&gt;"")*(Besatzung!$F$11:$F$22="x")),SUMPRODUCT((J172:U172="x")*(Besatzung!$F$11:$F$22="x"))),1))))),0))))</f>
        <v/>
      </c>
      <c r="AA172" s="106">
        <f>IF(C172="Gutschrift","",IF(G172="","",IF(Besatzung!$B$15="","",IFERROR(IF(I172="Zeitanteilig",(Besatzung!$G$16*(G172-IFERROR(H172,0))+((Besatzung!$B$15&lt;&gt;"")*IF(B172="",1,(IF(Besatzung!$C$16="",Besatzung!$B$5,Besatzung!$C$16)&lt;=B172)*(IF(Besatzung!$D$16="",Besatzung!$B$6,Besatzung!$D$16)&gt;=B172)))*(Besatzung!$F$16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$15&lt;&gt;"")*IF(B172="",1,(IF(Besatzung!$C$16="",Besatzung!$B$5,Besatzung!$C$16)&lt;=B172)*(IF(Besatzung!$D$16="",Besatzung!$B$6,Besatzung!$D$16)&gt;=B172)))*((G172-IFERROR(H172,0))/IFERROR(SUMPRODUCT((Besatzung!$B$11:$B$22&lt;&gt;"")*(IF(Besatzung!$C$11:$C$22="",Besatzung!$B$5,Besatzung!$C$11:$C$22)&lt;=B172)*(IF(Besatzung!$D$11:$D$22="",Besatzung!$B$6,Besatzung!$D$11:$D$22)&gt;=B172)),1)+(Besatzung!$F$16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O172="x")*((G172-IFERROR(H172,0))/IFERROR(COUNTIF(J172:U172,"x"),1)+(Besatzung!$F$16="x")*IFERROR(H172,0)/IFERROR(SUMPRODUCT((J172:U172="x")*(Besatzung!$F$11:$F$22="x")),1))),(IF(COUNTIF(J172:U172,"x")=0,IF(Besatzung!$B$15&lt;&gt;"",1,0),(O172="x"))*(G172-IFERROR(H172,0))/IFERROR(IF(COUNTIF(J172:U172,"x")=0,COUNTA(Besatzung!$B$11:$B$22),COUNTIF(J172:U172,"x")),1)+IF(COUNTIF(J172:U172,"x")=0,(Besatzung!$F$16="x"),(O172="x")*(Besatzung!$F$16="x"))*IFERROR(H172,0)/IFERROR(IF(COUNTIF(J172:U172,"x")=0,SUMPRODUCT((Besatzung!$B$11:$B$22&lt;&gt;"")*(Besatzung!$F$11:$F$22="x")),SUMPRODUCT((J172:U172="x")*(Besatzung!$F$11:$F$22="x"))),1))))),0))))</f>
        <v/>
      </c>
      <c r="AB172" s="106">
        <f>IF(C172="Gutschrift","",IF(G172="","",IF(Besatzung!$B$17="","",IFERROR(IF(I172="Zeitanteilig",(Besatzung!$G$17*(G172-IFERROR(H172,0))+((Besatzung!$B$17&lt;&gt;"")*IF(B172="",1,(IF(Besatzung!$C$17="",Besatzung!$B$5,Besatzung!$C$17)&lt;=B172)*(IF(Besatzung!$D$17="",Besatzung!$B$6,Besatzung!$D$17)&gt;=B172)))*(Besatzung!$F$17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$17&lt;&gt;"")*IF(B172="",1,(IF(Besatzung!$C$17="",Besatzung!$B$5,Besatzung!$C$17)&lt;=B172)*(IF(Besatzung!$D$17="",Besatzung!$B$6,Besatzung!$D$17)&gt;=B172)))*((G172-IFERROR(H172,0))/IFERROR(SUMPRODUCT((Besatzung!$B$11:$B$22&lt;&gt;"")*(IF(Besatzung!$C$11:$C$22="",Besatzung!$B$5,Besatzung!$C$11:$C$22)&lt;=B172)*(IF(Besatzung!$D$11:$D$22="",Besatzung!$B$6,Besatzung!$D$11:$D$22)&gt;=B172)),1)+(Besatzung!$F$17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P172="x")*((G172-IFERROR(H172,0))/IFERROR(COUNTIF(J172:U172,"x"),1)+(Besatzung!$F$17="x")*IFERROR(H172,0)/IFERROR(SUMPRODUCT((J172:U172="x")*(Besatzung!$F$11:$F$22="x")),1))),(IF(COUNTIF(J172:U172,"x")=0,IF(Besatzung!$B$17&lt;&gt;"",1,0),(P172="x"))*(G172-IFERROR(H172,0))/IFERROR(IF(COUNTIF(J172:U172,"x")=0,COUNTA(Besatzung!$B$11:$B$22),COUNTIF(J172:U172,"x")),1)+IF(COUNTIF(J172:U172,"x")=0,(Besatzung!$F$17="x"),(P172="x")*(Besatzung!$F$17="x"))*IFERROR(H172,0)/IFERROR(IF(COUNTIF(J172:U172,"x")=0,SUMPRODUCT((Besatzung!$B$11:$B$22&lt;&gt;"")*(Besatzung!$F$11:$F$22="x")),SUMPRODUCT((J172:U172="x")*(Besatzung!$F$11:$F$22="x"))),1))))),0))))</f>
        <v/>
      </c>
      <c r="AC172" s="106">
        <f>IF(C172="Gutschrift","",IF(G172="","",IF(Besatzung!$B$18="","",IFERROR(IF(I172="Zeitanteilig",(Besatzung!$G$18*(G172-IFERROR(H172,0))+((Besatzung!$B$18&lt;&gt;"")*IF(B172="",1,(IF(Besatzung!$C$18="",Besatzung!$B$5,Besatzung!$C$18)&lt;=B172)*(IF(Besatzung!$D$18="",Besatzung!$B$6,Besatzung!$D$18)&gt;=B172)))*(Besatzung!$F$18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$18&lt;&gt;"")*IF(B172="",1,(IF(Besatzung!$C$18="",Besatzung!$B$5,Besatzung!$C$18)&lt;=B172)*(IF(Besatzung!$D$18="",Besatzung!$B$6,Besatzung!$D$18)&gt;=B172)))*((G172-IFERROR(H172,0))/IFERROR(SUMPRODUCT((Besatzung!$B$11:$B$22&lt;&gt;"")*(IF(Besatzung!$C$11:$C$22="",Besatzung!$B$5,Besatzung!$C$11:$C$22)&lt;=B172)*(IF(Besatzung!$D$11:$D$22="",Besatzung!$B$6,Besatzung!$D$11:$D$22)&gt;=B172)),1)+(Besatzung!$F$18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Q172="x")*((G172-IFERROR(H172,0))/IFERROR(COUNTIF(J172:U172,"x"),1)+(Besatzung!$F$18="x")*IFERROR(H172,0)/IFERROR(SUMPRODUCT((J172:U172="x")*(Besatzung!$F$11:$F$22="x")),1))),(IF(COUNTIF(J172:U172,"x")=0,IF(Besatzung!$B$18&lt;&gt;"",1,0),(Q172="x"))*(G172-IFERROR(H172,0))/IFERROR(IF(COUNTIF(J172:U172,"x")=0,COUNTA(Besatzung!$B$11:$B$22),COUNTIF(J172:U172,"x")),1)+IF(COUNTIF(J172:U172,"x")=0,(Besatzung!$F$18="x"),(Q172="x")*(Besatzung!$F$18="x"))*IFERROR(H172,0)/IFERROR(IF(COUNTIF(J172:U172,"x")=0,SUMPRODUCT((Besatzung!$B$11:$B$22&lt;&gt;"")*(Besatzung!$F$11:$F$22="x")),SUMPRODUCT((J172:U172="x")*(Besatzung!$F$11:$F$22="x"))),1))))),0))))</f>
        <v/>
      </c>
      <c r="AD172" s="106">
        <f>IF(C172="Gutschrift","",IF(G172="","",IF(Besatzung!$B$19="","",IFERROR(IF(I172="Zeitanteilig",(Besatzung!$G$19*(G172-IFERROR(H172,0))+((Besatzung!$B$19&lt;&gt;"")*IF(B172="",1,(IF(Besatzung!$C$19="",Besatzung!$B$5,Besatzung!$C$19)&lt;=B172)*(IF(Besatzung!$D$19="",Besatzung!$B$6,Besatzung!$D$19)&gt;=B172)))*(Besatzung!$F$19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$19&lt;&gt;"")*IF(B172="",1,(IF(Besatzung!$C$19="",Besatzung!$B$5,Besatzung!$C$19)&lt;=B172)*(IF(Besatzung!$D$19="",Besatzung!$B$6,Besatzung!$D$19)&gt;=B172)))*((G172-IFERROR(H172,0))/IFERROR(SUMPRODUCT((Besatzung!$B$11:$B$22&lt;&gt;"")*(IF(Besatzung!$C$11:$C$22="",Besatzung!$B$5,Besatzung!$C$11:$C$22)&lt;=B172)*(IF(Besatzung!$D$11:$D$22="",Besatzung!$B$6,Besatzung!$D$11:$D$22)&gt;=B172)),1)+(Besatzung!$F$19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R172="x")*((G172-IFERROR(H172,0))/IFERROR(COUNTIF(J172:U172,"x"),1)+(Besatzung!$F$19="x")*IFERROR(H172,0)/IFERROR(SUMPRODUCT((J172:U172="x")*(Besatzung!$F$11:$F$22="x")),1))),(IF(COUNTIF(J172:U172,"x")=0,IF(Besatzung!$B$19&lt;&gt;"",1,0),(R172="x"))*(G172-IFERROR(H172,0))/IFERROR(IF(COUNTIF(J172:U172,"x")=0,COUNTA(Besatzung!$B$11:$B$22),COUNTIF(J172:U172,"x")),1)+IF(COUNTIF(J172:U172,"x")=0,(Besatzung!$F$19="x"),(R172="x")*(Besatzung!$F$19="x"))*IFERROR(H172,0)/IFERROR(IF(COUNTIF(J172:U172,"x")=0,SUMPRODUCT((Besatzung!$B$11:$B$22&lt;&gt;"")*(Besatzung!$F$11:$F$22="x")),SUMPRODUCT((J172:U172="x")*(Besatzung!$F$11:$F$22="x"))),1))))),0))))</f>
        <v/>
      </c>
      <c r="AE172" s="106">
        <f>IF(C172="Gutschrift","",IF(G172="","",IF(Besatzung!$B$20="","",IFERROR(IF(I172="Zeitanteilig",(Besatzung!$G$20*(G172-IFERROR(H172,0))+((Besatzung!$B$20&lt;&gt;"")*IF(B172="",1,(IF(Besatzung!$C$20="",Besatzung!$B$5,Besatzung!$C$20)&lt;=B172)*(IF(Besatzung!$D$20="",Besatzung!$B$6,Besatzung!$D$20)&gt;=B172)))*(Besatzung!$F$20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$20&lt;&gt;"")*IF(B172="",1,(IF(Besatzung!$C$20="",Besatzung!$B$5,Besatzung!$C$20)&lt;=B172)*(IF(Besatzung!$D$20="",Besatzung!$B$6,Besatzung!$D$20)&gt;=B172)))*((G172-IFERROR(H172,0))/IFERROR(SUMPRODUCT((Besatzung!$B$11:$B$22&lt;&gt;"")*(IF(Besatzung!$C$11:$C$22="",Besatzung!$B$5,Besatzung!$C$11:$C$22)&lt;=B172)*(IF(Besatzung!$D$11:$D$22="",Besatzung!$B$6,Besatzung!$D$11:$D$22)&gt;=B172)),1)+(Besatzung!$F$20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S172="x")*((G172-IFERROR(H172,0))/IFERROR(COUNTIF(J172:U172,"x"),1)+(Besatzung!$F$20="x")*IFERROR(H172,0)/IFERROR(SUMPRODUCT((J172:U172="x")*(Besatzung!$F$11:$F$22="x")),1))),(IF(COUNTIF(J172:U172,"x")=0,IF(Besatzung!$B$20&lt;&gt;"",1,0),(S172="x"))*(G172-IFERROR(H172,0))/IFERROR(IF(COUNTIF(J172:U172,"x")=0,COUNTA(Besatzung!$B$11:$B$22),COUNTIF(J172:U172,"x")),1)+IF(COUNTIF(J172:U172,"x")=0,(Besatzung!$F$20="x"),(S172="x")*(Besatzung!$F$20="x"))*IFERROR(H172,0)/IFERROR(IF(COUNTIF(J172:U172,"x")=0,SUMPRODUCT((Besatzung!$B$11:$B$22&lt;&gt;"")*(Besatzung!$F$11:$F$22="x")),SUMPRODUCT((J172:U172="x")*(Besatzung!$F$11:$F$22="x"))),1))))),0))))</f>
        <v/>
      </c>
      <c r="AF172" s="106">
        <f>IF(C172="Gutschrift","",IF(G172="","",IF(Besatzung!$B$21="","",IFERROR(IF(I172="Zeitanteilig",(Besatzung!$G$21*(G172-IFERROR(H172,0))+((Besatzung!$B$21&lt;&gt;"")*IF(B172="",1,(IF(Besatzung!$C$21="",Besatzung!$B$5,Besatzung!$C$21)&lt;=B172)*(IF(Besatzung!$D$21="",Besatzung!$B$6,Besatzung!$D$21)&gt;=B172)))*(Besatzung!$F$21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$21&lt;&gt;"")*IF(B172="",1,(IF(Besatzung!$C$21="",Besatzung!$B$5,Besatzung!$C$21)&lt;=B172)*(IF(Besatzung!$D$21="",Besatzung!$B$6,Besatzung!$D$21)&gt;=B172)))*((G172-IFERROR(H172,0))/IFERROR(SUMPRODUCT((Besatzung!$B$11:$B$22&lt;&gt;"")*(IF(Besatzung!$C$11:$C$22="",Besatzung!$B$5,Besatzung!$C$11:$C$22)&lt;=B172)*(IF(Besatzung!$D$11:$D$22="",Besatzung!$B$6,Besatzung!$D$11:$D$22)&gt;=B172)),1)+(Besatzung!$F$21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T172="x")*((G172-IFERROR(H172,0))/IFERROR(COUNTIF(J172:U172,"x"),1)+(Besatzung!$F$21="x")*IFERROR(H172,0)/IFERROR(SUMPRODUCT((J172:U172="x")*(Besatzung!$F$11:$F$22="x")),1))),(IF(COUNTIF(J172:U172,"x")=0,IF(Besatzung!$B$21&lt;&gt;"",1,0),(T172="x"))*(G172-IFERROR(H172,0))/IFERROR(IF(COUNTIF(J172:U172,"x")=0,COUNTA(Besatzung!$B$11:$B$22),COUNTIF(J172:U172,"x")),1)+IF(COUNTIF(J172:U172,"x")=0,(Besatzung!$F$21="x"),(T172="x")*(Besatzung!$F$21="x"))*IFERROR(H172,0)/IFERROR(IF(COUNTIF(J172:U172,"x")=0,SUMPRODUCT((Besatzung!$B$11:$B$22&lt;&gt;"")*(Besatzung!$F$11:$F$22="x")),SUMPRODUCT((J172:U172="x")*(Besatzung!$F$11:$F$22="x"))),1))))),0))))</f>
        <v/>
      </c>
      <c r="AG172" s="106">
        <f>IF(C172="Gutschrift","",IF(G172="","",IF(Besatzung!$B$22="","",IFERROR(IF(I172="Zeitanteilig",(Besatzung!$G$22*(G172-IFERROR(H172,0))+((Besatzung!$B$22&lt;&gt;"")*IF(B172="",1,(IF(Besatzung!$C$22="",Besatzung!$B$5,Besatzung!$C$22)&lt;=B172)*(IF(Besatzung!$D$22="",Besatzung!$B$6,Besatzung!$D$22)&gt;=B172)))*(Besatzung!$F$22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$22&lt;&gt;"")*IF(B172="",1,(IF(Besatzung!$C$22="",Besatzung!$B$5,Besatzung!$C$22)&lt;=B172)*(IF(Besatzung!$D$22="",Besatzung!$B$6,Besatzung!$D$22)&gt;=B172)))*((G172-IFERROR(H172,0))/IFERROR(SUMPRODUCT((Besatzung!$B$11:$B$22&lt;&gt;"")*(IF(Besatzung!$C$11:$C$22="",Besatzung!$B$5,Besatzung!$C$11:$C$22)&lt;=B172)*(IF(Besatzung!$D$11:$D$22="",Besatzung!$B$6,Besatzung!$D$11:$D$22)&gt;=B172)),1)+(Besatzung!$F$22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U172="x")*((G172-IFERROR(H172,0))/IFERROR(COUNTIF(J172:U172,"x"),1)+(Besatzung!$F$22="x")*IFERROR(H172,0)/IFERROR(SUMPRODUCT((J172:U172="x")*(Besatzung!$F$11:$F$22="x")),1))),(IF(COUNTIF(J172:U172,"x")=0,IF(Besatzung!$B$22&lt;&gt;"",1,0),(U172="x"))*(G172-IFERROR(H172,0))/IFERROR(IF(COUNTIF(J172:U172,"x")=0,COUNTA(Besatzung!$B$11:$B$22),COUNTIF(J172:U172,"x")),1)+IF(COUNTIF(J172:U172,"x")=0,(Besatzung!$F$22="x"),(U172="x")*(Besatzung!$F$22="x"))*IFERROR(H172,0)/IFERROR(IF(COUNTIF(J172:U172,"x")=0,SUMPRODUCT((Besatzung!$B$11:$B$22&lt;&gt;"")*(Besatzung!$F$11:$F$22="x")),SUMPRODUCT((J172:U172="x")*(Besatzung!$F$11:$F$22="x"))),1))))),0))))</f>
        <v/>
      </c>
      <c r="AH172" s="107" t="n"/>
      <c r="AI172" s="107" t="n"/>
    </row>
    <row r="173" ht="21.75" customHeight="1" s="182">
      <c r="A173" s="97">
        <f>IF(AND(D173="",C173=""),"",170)</f>
        <v/>
      </c>
      <c r="B173" s="63" t="n"/>
      <c r="C173" s="108" t="n"/>
      <c r="D173" s="109" t="n"/>
      <c r="E173" s="110" t="n"/>
      <c r="F173" s="111" t="n"/>
      <c r="G173" s="112" t="n"/>
      <c r="H173" s="113" t="n"/>
      <c r="I173" s="114" t="n"/>
      <c r="J173" s="115" t="n"/>
      <c r="K173" s="115" t="n"/>
      <c r="L173" s="115" t="n"/>
      <c r="M173" s="115" t="n"/>
      <c r="N173" s="115" t="n"/>
      <c r="O173" s="115" t="n"/>
      <c r="P173" s="115" t="n"/>
      <c r="Q173" s="115" t="n"/>
      <c r="R173" s="115" t="n"/>
      <c r="S173" s="115" t="n"/>
      <c r="T173" s="115" t="n"/>
      <c r="U173" s="115" t="n"/>
      <c r="V173" s="106">
        <f>IF(C173="Gutschrift","",IF(G173="","",IF(Besatzung!$B$11="","",IFERROR(IF(I173="Zeitanteilig",(Besatzung!$G$11*(G173-IFERROR(H173,0))+((Besatzung!$B$11&lt;&gt;"")*IF(B173="",1,(IF(Besatzung!$C$11="",Besatzung!$B$5,Besatzung!$C$11)&lt;=B173)*(IF(Besatzung!$D$11="",Besatzung!$B$6,Besatzung!$D$11)&gt;=B173)))*(Besatzung!$F$11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$11&lt;&gt;"")*IF(B173="",1,(IF(Besatzung!$C$11="",Besatzung!$B$5,Besatzung!$C$11)&lt;=B173)*(IF(Besatzung!$D$11="",Besatzung!$B$6,Besatzung!$D$11)&gt;=B173)))*((G173-IFERROR(H173,0))/IFERROR(SUMPRODUCT((Besatzung!$B$11:$B$22&lt;&gt;"")*(IF(Besatzung!$C$11:$C$22="",Besatzung!$B$5,Besatzung!$C$11:$C$22)&lt;=B173)*(IF(Besatzung!$D$11:$D$22="",Besatzung!$B$6,Besatzung!$D$11:$D$22)&gt;=B173)),1)+(Besatzung!$F$11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J173="x")*((G173-IFERROR(H173,0))/IFERROR(COUNTIF(J173:U173,"x"),1)+(Besatzung!$F$11="x")*IFERROR(H173,0)/IFERROR(SUMPRODUCT((J173:U173="x")*(Besatzung!$F$11:$F$22="x")),1))),(IF(COUNTIF(J173:U173,"x")=0,IF(Besatzung!$B$11&lt;&gt;"",1,0),(J173="x"))*(G173-IFERROR(H173,0))/IFERROR(IF(COUNTIF(J173:U173,"x")=0,COUNTA(Besatzung!$B$11:$B$22),COUNTIF(J173:U173,"x")),1)+IF(COUNTIF(J173:U173,"x")=0,(Besatzung!$F$11="x"),(J173="x")*(Besatzung!$F$11="x"))*IFERROR(H173,0)/IFERROR(IF(COUNTIF(J173:U173,"x")=0,SUMPRODUCT((Besatzung!$B$11:$B$22&lt;&gt;"")*(Besatzung!$F$11:$F$22="x")),SUMPRODUCT((J173:U173="x")*(Besatzung!$F$11:$F$22="x"))),1))))),0))))</f>
        <v/>
      </c>
      <c r="W173" s="106">
        <f>IF(C173="Gutschrift","",IF(G173="","",IF(Besatzung!$B$12="","",IFERROR(IF(I173="Zeitanteilig",(Besatzung!$G$12*(G173-IFERROR(H173,0))+((Besatzung!$B$12&lt;&gt;"")*IF(B173="",1,(IF(Besatzung!$C$12="",Besatzung!$B$5,Besatzung!$C$12)&lt;=B173)*(IF(Besatzung!$D$12="",Besatzung!$B$6,Besatzung!$D$12)&gt;=B173)))*(Besatzung!$F$12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$12&lt;&gt;"")*IF(B173="",1,(IF(Besatzung!$C$12="",Besatzung!$B$5,Besatzung!$C$12)&lt;=B173)*(IF(Besatzung!$D$12="",Besatzung!$B$6,Besatzung!$D$12)&gt;=B173)))*((G173-IFERROR(H173,0))/IFERROR(SUMPRODUCT((Besatzung!$B$11:$B$22&lt;&gt;"")*(IF(Besatzung!$C$11:$C$22="",Besatzung!$B$5,Besatzung!$C$11:$C$22)&lt;=B173)*(IF(Besatzung!$D$11:$D$22="",Besatzung!$B$6,Besatzung!$D$11:$D$22)&gt;=B173)),1)+(Besatzung!$F$12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K173="x")*((G173-IFERROR(H173,0))/IFERROR(COUNTIF(J173:U173,"x"),1)+(Besatzung!$F$12="x")*IFERROR(H173,0)/IFERROR(SUMPRODUCT((J173:U173="x")*(Besatzung!$F$11:$F$22="x")),1))),(IF(COUNTIF(J173:U173,"x")=0,IF(Besatzung!$B$12&lt;&gt;"",1,0),(K173="x"))*(G173-IFERROR(H173,0))/IFERROR(IF(COUNTIF(J173:U173,"x")=0,COUNTA(Besatzung!$B$11:$B$22),COUNTIF(J173:U173,"x")),1)+IF(COUNTIF(J173:U173,"x")=0,(Besatzung!$F$12="x"),(K173="x")*(Besatzung!$F$12="x"))*IFERROR(H173,0)/IFERROR(IF(COUNTIF(J173:U173,"x")=0,SUMPRODUCT((Besatzung!$B$11:$B$22&lt;&gt;"")*(Besatzung!$F$11:$F$22="x")),SUMPRODUCT((J173:U173="x")*(Besatzung!$F$11:$F$22="x"))),1))))),0))))</f>
        <v/>
      </c>
      <c r="X173" s="106">
        <f>IF(C173="Gutschrift","",IF(G173="","",IF(Besatzung!$B$13="","",IFERROR(IF(I173="Zeitanteilig",(Besatzung!$G$13*(G173-IFERROR(H173,0))+((Besatzung!$B$13&lt;&gt;"")*IF(B173="",1,(IF(Besatzung!$C$13="",Besatzung!$B$5,Besatzung!$C$13)&lt;=B173)*(IF(Besatzung!$D$13="",Besatzung!$B$6,Besatzung!$D$13)&gt;=B173)))*(Besatzung!$F$13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$13&lt;&gt;"")*IF(B173="",1,(IF(Besatzung!$C$13="",Besatzung!$B$5,Besatzung!$C$13)&lt;=B173)*(IF(Besatzung!$D$13="",Besatzung!$B$6,Besatzung!$D$13)&gt;=B173)))*((G173-IFERROR(H173,0))/IFERROR(SUMPRODUCT((Besatzung!$B$11:$B$22&lt;&gt;"")*(IF(Besatzung!$C$11:$C$22="",Besatzung!$B$5,Besatzung!$C$11:$C$22)&lt;=B173)*(IF(Besatzung!$D$11:$D$22="",Besatzung!$B$6,Besatzung!$D$11:$D$22)&gt;=B173)),1)+(Besatzung!$F$13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K173="x")*((G173-IFERROR(H173,0))/IFERROR(COUNTIF(J173:U173,"x"),1)+(Besatzung!$F$13="x")*IFERROR(H173,0)/IFERROR(SUMPRODUCT((J173:U173="x")*(Besatzung!$F$11:$F$22="x")),1))),(IF(COUNTIF(J173:U173,"x")=0,IF(Besatzung!$B$13&lt;&gt;"",1,0),(K173="x"))*(G173-IFERROR(H173,0))/IFERROR(IF(COUNTIF(J173:U173,"x")=0,COUNTA(Besatzung!$B$11:$B$22),COUNTIF(J173:U173,"x")),1)+IF(COUNTIF(J173:U173,"x")=0,(Besatzung!$F$13="x"),(K173="x")*(Besatzung!$F$13="x"))*IFERROR(H173,0)/IFERROR(IF(COUNTIF(J173:U173,"x")=0,SUMPRODUCT((Besatzung!$B$11:$B$22&lt;&gt;"")*(Besatzung!$F$11:$F$22="x")),SUMPRODUCT((J173:U173="x")*(Besatzung!$F$11:$F$22="x"))),1))))),0))))</f>
        <v/>
      </c>
      <c r="Y173" s="106">
        <f>IF(C173="Gutschrift","",IF(G173="","",IF(Besatzung!$B$14="","",IFERROR(IF(I173="Zeitanteilig",(Besatzung!$G$14*(G173-IFERROR(H173,0))+((Besatzung!$B$14&lt;&gt;"")*IF(B173="",1,(IF(Besatzung!$C$14="",Besatzung!$B$5,Besatzung!$C$14)&lt;=B173)*(IF(Besatzung!$D$14="",Besatzung!$B$6,Besatzung!$D$14)&gt;=B173)))*(Besatzung!$F$14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$14&lt;&gt;"")*IF(B173="",1,(IF(Besatzung!$C$14="",Besatzung!$B$5,Besatzung!$C$14)&lt;=B173)*(IF(Besatzung!$D$14="",Besatzung!$B$6,Besatzung!$D$14)&gt;=B173)))*((G173-IFERROR(H173,0))/IFERROR(SUMPRODUCT((Besatzung!$B$11:$B$22&lt;&gt;"")*(IF(Besatzung!$C$11:$C$22="",Besatzung!$B$5,Besatzung!$C$11:$C$22)&lt;=B173)*(IF(Besatzung!$D$11:$D$22="",Besatzung!$B$6,Besatzung!$D$11:$D$22)&gt;=B173)),1)+(Besatzung!$F$14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M173="x")*((G173-IFERROR(H173,0))/IFERROR(COUNTIF(J173:U173,"x"),1)+(Besatzung!$F$14="x")*IFERROR(H173,0)/IFERROR(SUMPRODUCT((J173:U173="x")*(Besatzung!$F$11:$F$22="x")),1))),(IF(COUNTIF(J173:U173,"x")=0,IF(Besatzung!$B$14&lt;&gt;"",1,0),(M173="x"))*(G173-IFERROR(H173,0))/IFERROR(IF(COUNTIF(J173:U173,"x")=0,COUNTA(Besatzung!$B$11:$B$22),COUNTIF(J173:U173,"x")),1)+IF(COUNTIF(J173:U173,"x")=0,(Besatzung!$F$14="x"),(M173="x")*(Besatzung!$F$14="x"))*IFERROR(H173,0)/IFERROR(IF(COUNTIF(J173:U173,"x")=0,SUMPRODUCT((Besatzung!$B$11:$B$22&lt;&gt;"")*(Besatzung!$F$11:$F$22="x")),SUMPRODUCT((J173:U173="x")*(Besatzung!$F$11:$F$22="x"))),1))))),0))))</f>
        <v/>
      </c>
      <c r="Z173" s="106">
        <f>IF(C173="Gutschrift","",IF(G173="","",IF(Besatzung!$B$13="","",IFERROR(IF(I173="Zeitanteilig",(Besatzung!$G$15*(G173-IFERROR(H173,0))+((Besatzung!$B$13&lt;&gt;"")*IF(B173="",1,(IF(Besatzung!$C$15="",Besatzung!$B$5,Besatzung!$C$15)&lt;=B173)*(IF(Besatzung!$D$15="",Besatzung!$B$6,Besatzung!$D$15)&gt;=B173)))*(Besatzung!$F$15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$13&lt;&gt;"")*IF(B173="",1,(IF(Besatzung!$C$15="",Besatzung!$B$5,Besatzung!$C$15)&lt;=B173)*(IF(Besatzung!$D$15="",Besatzung!$B$6,Besatzung!$D$15)&gt;=B173)))*((G173-IFERROR(H173,0))/IFERROR(SUMPRODUCT((Besatzung!$B$11:$B$22&lt;&gt;"")*(IF(Besatzung!$C$11:$C$22="",Besatzung!$B$5,Besatzung!$C$11:$C$22)&lt;=B173)*(IF(Besatzung!$D$11:$D$22="",Besatzung!$B$6,Besatzung!$D$11:$D$22)&gt;=B173)),1)+(Besatzung!$F$15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N173="x")*((G173-IFERROR(H173,0))/IFERROR(COUNTIF(J173:U173,"x"),1)+(Besatzung!$F$15="x")*IFERROR(H173,0)/IFERROR(SUMPRODUCT((J173:U173="x")*(Besatzung!$F$11:$F$22="x")),1))),(IF(COUNTIF(J173:U173,"x")=0,IF(Besatzung!$B$13&lt;&gt;"",1,0),(N173="x"))*(G173-IFERROR(H173,0))/IFERROR(IF(COUNTIF(J173:U173,"x")=0,COUNTA(Besatzung!$B$11:$B$22),COUNTIF(J173:U173,"x")),1)+IF(COUNTIF(J173:U173,"x")=0,(Besatzung!$F$15="x"),(N173="x")*(Besatzung!$F$15="x"))*IFERROR(H173,0)/IFERROR(IF(COUNTIF(J173:U173,"x")=0,SUMPRODUCT((Besatzung!$B$11:$B$22&lt;&gt;"")*(Besatzung!$F$11:$F$22="x")),SUMPRODUCT((J173:U173="x")*(Besatzung!$F$11:$F$22="x"))),1))))),0))))</f>
        <v/>
      </c>
      <c r="AA173" s="106">
        <f>IF(C173="Gutschrift","",IF(G173="","",IF(Besatzung!$B$15="","",IFERROR(IF(I173="Zeitanteilig",(Besatzung!$G$16*(G173-IFERROR(H173,0))+((Besatzung!$B$15&lt;&gt;"")*IF(B173="",1,(IF(Besatzung!$C$16="",Besatzung!$B$5,Besatzung!$C$16)&lt;=B173)*(IF(Besatzung!$D$16="",Besatzung!$B$6,Besatzung!$D$16)&gt;=B173)))*(Besatzung!$F$16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$15&lt;&gt;"")*IF(B173="",1,(IF(Besatzung!$C$16="",Besatzung!$B$5,Besatzung!$C$16)&lt;=B173)*(IF(Besatzung!$D$16="",Besatzung!$B$6,Besatzung!$D$16)&gt;=B173)))*((G173-IFERROR(H173,0))/IFERROR(SUMPRODUCT((Besatzung!$B$11:$B$22&lt;&gt;"")*(IF(Besatzung!$C$11:$C$22="",Besatzung!$B$5,Besatzung!$C$11:$C$22)&lt;=B173)*(IF(Besatzung!$D$11:$D$22="",Besatzung!$B$6,Besatzung!$D$11:$D$22)&gt;=B173)),1)+(Besatzung!$F$16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O173="x")*((G173-IFERROR(H173,0))/IFERROR(COUNTIF(J173:U173,"x"),1)+(Besatzung!$F$16="x")*IFERROR(H173,0)/IFERROR(SUMPRODUCT((J173:U173="x")*(Besatzung!$F$11:$F$22="x")),1))),(IF(COUNTIF(J173:U173,"x")=0,IF(Besatzung!$B$15&lt;&gt;"",1,0),(O173="x"))*(G173-IFERROR(H173,0))/IFERROR(IF(COUNTIF(J173:U173,"x")=0,COUNTA(Besatzung!$B$11:$B$22),COUNTIF(J173:U173,"x")),1)+IF(COUNTIF(J173:U173,"x")=0,(Besatzung!$F$16="x"),(O173="x")*(Besatzung!$F$16="x"))*IFERROR(H173,0)/IFERROR(IF(COUNTIF(J173:U173,"x")=0,SUMPRODUCT((Besatzung!$B$11:$B$22&lt;&gt;"")*(Besatzung!$F$11:$F$22="x")),SUMPRODUCT((J173:U173="x")*(Besatzung!$F$11:$F$22="x"))),1))))),0))))</f>
        <v/>
      </c>
      <c r="AB173" s="106">
        <f>IF(C173="Gutschrift","",IF(G173="","",IF(Besatzung!$B$17="","",IFERROR(IF(I173="Zeitanteilig",(Besatzung!$G$17*(G173-IFERROR(H173,0))+((Besatzung!$B$17&lt;&gt;"")*IF(B173="",1,(IF(Besatzung!$C$17="",Besatzung!$B$5,Besatzung!$C$17)&lt;=B173)*(IF(Besatzung!$D$17="",Besatzung!$B$6,Besatzung!$D$17)&gt;=B173)))*(Besatzung!$F$17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$17&lt;&gt;"")*IF(B173="",1,(IF(Besatzung!$C$17="",Besatzung!$B$5,Besatzung!$C$17)&lt;=B173)*(IF(Besatzung!$D$17="",Besatzung!$B$6,Besatzung!$D$17)&gt;=B173)))*((G173-IFERROR(H173,0))/IFERROR(SUMPRODUCT((Besatzung!$B$11:$B$22&lt;&gt;"")*(IF(Besatzung!$C$11:$C$22="",Besatzung!$B$5,Besatzung!$C$11:$C$22)&lt;=B173)*(IF(Besatzung!$D$11:$D$22="",Besatzung!$B$6,Besatzung!$D$11:$D$22)&gt;=B173)),1)+(Besatzung!$F$17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P173="x")*((G173-IFERROR(H173,0))/IFERROR(COUNTIF(J173:U173,"x"),1)+(Besatzung!$F$17="x")*IFERROR(H173,0)/IFERROR(SUMPRODUCT((J173:U173="x")*(Besatzung!$F$11:$F$22="x")),1))),(IF(COUNTIF(J173:U173,"x")=0,IF(Besatzung!$B$17&lt;&gt;"",1,0),(P173="x"))*(G173-IFERROR(H173,0))/IFERROR(IF(COUNTIF(J173:U173,"x")=0,COUNTA(Besatzung!$B$11:$B$22),COUNTIF(J173:U173,"x")),1)+IF(COUNTIF(J173:U173,"x")=0,(Besatzung!$F$17="x"),(P173="x")*(Besatzung!$F$17="x"))*IFERROR(H173,0)/IFERROR(IF(COUNTIF(J173:U173,"x")=0,SUMPRODUCT((Besatzung!$B$11:$B$22&lt;&gt;"")*(Besatzung!$F$11:$F$22="x")),SUMPRODUCT((J173:U173="x")*(Besatzung!$F$11:$F$22="x"))),1))))),0))))</f>
        <v/>
      </c>
      <c r="AC173" s="106">
        <f>IF(C173="Gutschrift","",IF(G173="","",IF(Besatzung!$B$18="","",IFERROR(IF(I173="Zeitanteilig",(Besatzung!$G$18*(G173-IFERROR(H173,0))+((Besatzung!$B$18&lt;&gt;"")*IF(B173="",1,(IF(Besatzung!$C$18="",Besatzung!$B$5,Besatzung!$C$18)&lt;=B173)*(IF(Besatzung!$D$18="",Besatzung!$B$6,Besatzung!$D$18)&gt;=B173)))*(Besatzung!$F$18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$18&lt;&gt;"")*IF(B173="",1,(IF(Besatzung!$C$18="",Besatzung!$B$5,Besatzung!$C$18)&lt;=B173)*(IF(Besatzung!$D$18="",Besatzung!$B$6,Besatzung!$D$18)&gt;=B173)))*((G173-IFERROR(H173,0))/IFERROR(SUMPRODUCT((Besatzung!$B$11:$B$22&lt;&gt;"")*(IF(Besatzung!$C$11:$C$22="",Besatzung!$B$5,Besatzung!$C$11:$C$22)&lt;=B173)*(IF(Besatzung!$D$11:$D$22="",Besatzung!$B$6,Besatzung!$D$11:$D$22)&gt;=B173)),1)+(Besatzung!$F$18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Q173="x")*((G173-IFERROR(H173,0))/IFERROR(COUNTIF(J173:U173,"x"),1)+(Besatzung!$F$18="x")*IFERROR(H173,0)/IFERROR(SUMPRODUCT((J173:U173="x")*(Besatzung!$F$11:$F$22="x")),1))),(IF(COUNTIF(J173:U173,"x")=0,IF(Besatzung!$B$18&lt;&gt;"",1,0),(Q173="x"))*(G173-IFERROR(H173,0))/IFERROR(IF(COUNTIF(J173:U173,"x")=0,COUNTA(Besatzung!$B$11:$B$22),COUNTIF(J173:U173,"x")),1)+IF(COUNTIF(J173:U173,"x")=0,(Besatzung!$F$18="x"),(Q173="x")*(Besatzung!$F$18="x"))*IFERROR(H173,0)/IFERROR(IF(COUNTIF(J173:U173,"x")=0,SUMPRODUCT((Besatzung!$B$11:$B$22&lt;&gt;"")*(Besatzung!$F$11:$F$22="x")),SUMPRODUCT((J173:U173="x")*(Besatzung!$F$11:$F$22="x"))),1))))),0))))</f>
        <v/>
      </c>
      <c r="AD173" s="106">
        <f>IF(C173="Gutschrift","",IF(G173="","",IF(Besatzung!$B$19="","",IFERROR(IF(I173="Zeitanteilig",(Besatzung!$G$19*(G173-IFERROR(H173,0))+((Besatzung!$B$19&lt;&gt;"")*IF(B173="",1,(IF(Besatzung!$C$19="",Besatzung!$B$5,Besatzung!$C$19)&lt;=B173)*(IF(Besatzung!$D$19="",Besatzung!$B$6,Besatzung!$D$19)&gt;=B173)))*(Besatzung!$F$19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$19&lt;&gt;"")*IF(B173="",1,(IF(Besatzung!$C$19="",Besatzung!$B$5,Besatzung!$C$19)&lt;=B173)*(IF(Besatzung!$D$19="",Besatzung!$B$6,Besatzung!$D$19)&gt;=B173)))*((G173-IFERROR(H173,0))/IFERROR(SUMPRODUCT((Besatzung!$B$11:$B$22&lt;&gt;"")*(IF(Besatzung!$C$11:$C$22="",Besatzung!$B$5,Besatzung!$C$11:$C$22)&lt;=B173)*(IF(Besatzung!$D$11:$D$22="",Besatzung!$B$6,Besatzung!$D$11:$D$22)&gt;=B173)),1)+(Besatzung!$F$19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R173="x")*((G173-IFERROR(H173,0))/IFERROR(COUNTIF(J173:U173,"x"),1)+(Besatzung!$F$19="x")*IFERROR(H173,0)/IFERROR(SUMPRODUCT((J173:U173="x")*(Besatzung!$F$11:$F$22="x")),1))),(IF(COUNTIF(J173:U173,"x")=0,IF(Besatzung!$B$19&lt;&gt;"",1,0),(R173="x"))*(G173-IFERROR(H173,0))/IFERROR(IF(COUNTIF(J173:U173,"x")=0,COUNTA(Besatzung!$B$11:$B$22),COUNTIF(J173:U173,"x")),1)+IF(COUNTIF(J173:U173,"x")=0,(Besatzung!$F$19="x"),(R173="x")*(Besatzung!$F$19="x"))*IFERROR(H173,0)/IFERROR(IF(COUNTIF(J173:U173,"x")=0,SUMPRODUCT((Besatzung!$B$11:$B$22&lt;&gt;"")*(Besatzung!$F$11:$F$22="x")),SUMPRODUCT((J173:U173="x")*(Besatzung!$F$11:$F$22="x"))),1))))),0))))</f>
        <v/>
      </c>
      <c r="AE173" s="106">
        <f>IF(C173="Gutschrift","",IF(G173="","",IF(Besatzung!$B$20="","",IFERROR(IF(I173="Zeitanteilig",(Besatzung!$G$20*(G173-IFERROR(H173,0))+((Besatzung!$B$20&lt;&gt;"")*IF(B173="",1,(IF(Besatzung!$C$20="",Besatzung!$B$5,Besatzung!$C$20)&lt;=B173)*(IF(Besatzung!$D$20="",Besatzung!$B$6,Besatzung!$D$20)&gt;=B173)))*(Besatzung!$F$20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$20&lt;&gt;"")*IF(B173="",1,(IF(Besatzung!$C$20="",Besatzung!$B$5,Besatzung!$C$20)&lt;=B173)*(IF(Besatzung!$D$20="",Besatzung!$B$6,Besatzung!$D$20)&gt;=B173)))*((G173-IFERROR(H173,0))/IFERROR(SUMPRODUCT((Besatzung!$B$11:$B$22&lt;&gt;"")*(IF(Besatzung!$C$11:$C$22="",Besatzung!$B$5,Besatzung!$C$11:$C$22)&lt;=B173)*(IF(Besatzung!$D$11:$D$22="",Besatzung!$B$6,Besatzung!$D$11:$D$22)&gt;=B173)),1)+(Besatzung!$F$20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S173="x")*((G173-IFERROR(H173,0))/IFERROR(COUNTIF(J173:U173,"x"),1)+(Besatzung!$F$20="x")*IFERROR(H173,0)/IFERROR(SUMPRODUCT((J173:U173="x")*(Besatzung!$F$11:$F$22="x")),1))),(IF(COUNTIF(J173:U173,"x")=0,IF(Besatzung!$B$20&lt;&gt;"",1,0),(S173="x"))*(G173-IFERROR(H173,0))/IFERROR(IF(COUNTIF(J173:U173,"x")=0,COUNTA(Besatzung!$B$11:$B$22),COUNTIF(J173:U173,"x")),1)+IF(COUNTIF(J173:U173,"x")=0,(Besatzung!$F$20="x"),(S173="x")*(Besatzung!$F$20="x"))*IFERROR(H173,0)/IFERROR(IF(COUNTIF(J173:U173,"x")=0,SUMPRODUCT((Besatzung!$B$11:$B$22&lt;&gt;"")*(Besatzung!$F$11:$F$22="x")),SUMPRODUCT((J173:U173="x")*(Besatzung!$F$11:$F$22="x"))),1))))),0))))</f>
        <v/>
      </c>
      <c r="AF173" s="106">
        <f>IF(C173="Gutschrift","",IF(G173="","",IF(Besatzung!$B$21="","",IFERROR(IF(I173="Zeitanteilig",(Besatzung!$G$21*(G173-IFERROR(H173,0))+((Besatzung!$B$21&lt;&gt;"")*IF(B173="",1,(IF(Besatzung!$C$21="",Besatzung!$B$5,Besatzung!$C$21)&lt;=B173)*(IF(Besatzung!$D$21="",Besatzung!$B$6,Besatzung!$D$21)&gt;=B173)))*(Besatzung!$F$21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$21&lt;&gt;"")*IF(B173="",1,(IF(Besatzung!$C$21="",Besatzung!$B$5,Besatzung!$C$21)&lt;=B173)*(IF(Besatzung!$D$21="",Besatzung!$B$6,Besatzung!$D$21)&gt;=B173)))*((G173-IFERROR(H173,0))/IFERROR(SUMPRODUCT((Besatzung!$B$11:$B$22&lt;&gt;"")*(IF(Besatzung!$C$11:$C$22="",Besatzung!$B$5,Besatzung!$C$11:$C$22)&lt;=B173)*(IF(Besatzung!$D$11:$D$22="",Besatzung!$B$6,Besatzung!$D$11:$D$22)&gt;=B173)),1)+(Besatzung!$F$21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T173="x")*((G173-IFERROR(H173,0))/IFERROR(COUNTIF(J173:U173,"x"),1)+(Besatzung!$F$21="x")*IFERROR(H173,0)/IFERROR(SUMPRODUCT((J173:U173="x")*(Besatzung!$F$11:$F$22="x")),1))),(IF(COUNTIF(J173:U173,"x")=0,IF(Besatzung!$B$21&lt;&gt;"",1,0),(T173="x"))*(G173-IFERROR(H173,0))/IFERROR(IF(COUNTIF(J173:U173,"x")=0,COUNTA(Besatzung!$B$11:$B$22),COUNTIF(J173:U173,"x")),1)+IF(COUNTIF(J173:U173,"x")=0,(Besatzung!$F$21="x"),(T173="x")*(Besatzung!$F$21="x"))*IFERROR(H173,0)/IFERROR(IF(COUNTIF(J173:U173,"x")=0,SUMPRODUCT((Besatzung!$B$11:$B$22&lt;&gt;"")*(Besatzung!$F$11:$F$22="x")),SUMPRODUCT((J173:U173="x")*(Besatzung!$F$11:$F$22="x"))),1))))),0))))</f>
        <v/>
      </c>
      <c r="AG173" s="106">
        <f>IF(C173="Gutschrift","",IF(G173="","",IF(Besatzung!$B$22="","",IFERROR(IF(I173="Zeitanteilig",(Besatzung!$G$22*(G173-IFERROR(H173,0))+((Besatzung!$B$22&lt;&gt;"")*IF(B173="",1,(IF(Besatzung!$C$22="",Besatzung!$B$5,Besatzung!$C$22)&lt;=B173)*(IF(Besatzung!$D$22="",Besatzung!$B$6,Besatzung!$D$22)&gt;=B173)))*(Besatzung!$F$22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$22&lt;&gt;"")*IF(B173="",1,(IF(Besatzung!$C$22="",Besatzung!$B$5,Besatzung!$C$22)&lt;=B173)*(IF(Besatzung!$D$22="",Besatzung!$B$6,Besatzung!$D$22)&gt;=B173)))*((G173-IFERROR(H173,0))/IFERROR(SUMPRODUCT((Besatzung!$B$11:$B$22&lt;&gt;"")*(IF(Besatzung!$C$11:$C$22="",Besatzung!$B$5,Besatzung!$C$11:$C$22)&lt;=B173)*(IF(Besatzung!$D$11:$D$22="",Besatzung!$B$6,Besatzung!$D$11:$D$22)&gt;=B173)),1)+(Besatzung!$F$22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U173="x")*((G173-IFERROR(H173,0))/IFERROR(COUNTIF(J173:U173,"x"),1)+(Besatzung!$F$22="x")*IFERROR(H173,0)/IFERROR(SUMPRODUCT((J173:U173="x")*(Besatzung!$F$11:$F$22="x")),1))),(IF(COUNTIF(J173:U173,"x")=0,IF(Besatzung!$B$22&lt;&gt;"",1,0),(U173="x"))*(G173-IFERROR(H173,0))/IFERROR(IF(COUNTIF(J173:U173,"x")=0,COUNTA(Besatzung!$B$11:$B$22),COUNTIF(J173:U173,"x")),1)+IF(COUNTIF(J173:U173,"x")=0,(Besatzung!$F$22="x"),(U173="x")*(Besatzung!$F$22="x"))*IFERROR(H173,0)/IFERROR(IF(COUNTIF(J173:U173,"x")=0,SUMPRODUCT((Besatzung!$B$11:$B$22&lt;&gt;"")*(Besatzung!$F$11:$F$22="x")),SUMPRODUCT((J173:U173="x")*(Besatzung!$F$11:$F$22="x"))),1))))),0))))</f>
        <v/>
      </c>
      <c r="AH173" s="107" t="n"/>
      <c r="AI173" s="107" t="n"/>
    </row>
    <row r="174" ht="21.75" customHeight="1" s="182">
      <c r="A174" s="97">
        <f>IF(AND(D174="",C174=""),"",171)</f>
        <v/>
      </c>
      <c r="B174" s="56" t="n"/>
      <c r="C174" s="98" t="n"/>
      <c r="D174" s="99" t="n"/>
      <c r="E174" s="100" t="n"/>
      <c r="F174" s="101" t="n"/>
      <c r="G174" s="102" t="n"/>
      <c r="H174" s="103" t="n"/>
      <c r="I174" s="104" t="n"/>
      <c r="J174" s="105" t="n"/>
      <c r="K174" s="105" t="n"/>
      <c r="L174" s="105" t="n"/>
      <c r="M174" s="105" t="n"/>
      <c r="N174" s="105" t="n"/>
      <c r="O174" s="105" t="n"/>
      <c r="P174" s="105" t="n"/>
      <c r="Q174" s="105" t="n"/>
      <c r="R174" s="105" t="n"/>
      <c r="S174" s="105" t="n"/>
      <c r="T174" s="105" t="n"/>
      <c r="U174" s="105" t="n"/>
      <c r="V174" s="106">
        <f>IF(C174="Gutschrift","",IF(G174="","",IF(Besatzung!$B$11="","",IFERROR(IF(I174="Zeitanteilig",(Besatzung!$G$11*(G174-IFERROR(H174,0))+((Besatzung!$B$11&lt;&gt;"")*IF(B174="",1,(IF(Besatzung!$C$11="",Besatzung!$B$5,Besatzung!$C$11)&lt;=B174)*(IF(Besatzung!$D$11="",Besatzung!$B$6,Besatzung!$D$11)&gt;=B174)))*(Besatzung!$F$11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$11&lt;&gt;"")*IF(B174="",1,(IF(Besatzung!$C$11="",Besatzung!$B$5,Besatzung!$C$11)&lt;=B174)*(IF(Besatzung!$D$11="",Besatzung!$B$6,Besatzung!$D$11)&gt;=B174)))*((G174-IFERROR(H174,0))/IFERROR(SUMPRODUCT((Besatzung!$B$11:$B$22&lt;&gt;"")*(IF(Besatzung!$C$11:$C$22="",Besatzung!$B$5,Besatzung!$C$11:$C$22)&lt;=B174)*(IF(Besatzung!$D$11:$D$22="",Besatzung!$B$6,Besatzung!$D$11:$D$22)&gt;=B174)),1)+(Besatzung!$F$11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J174="x")*((G174-IFERROR(H174,0))/IFERROR(COUNTIF(J174:U174,"x"),1)+(Besatzung!$F$11="x")*IFERROR(H174,0)/IFERROR(SUMPRODUCT((J174:U174="x")*(Besatzung!$F$11:$F$22="x")),1))),(IF(COUNTIF(J174:U174,"x")=0,IF(Besatzung!$B$11&lt;&gt;"",1,0),(J174="x"))*(G174-IFERROR(H174,0))/IFERROR(IF(COUNTIF(J174:U174,"x")=0,COUNTA(Besatzung!$B$11:$B$22),COUNTIF(J174:U174,"x")),1)+IF(COUNTIF(J174:U174,"x")=0,(Besatzung!$F$11="x"),(J174="x")*(Besatzung!$F$11="x"))*IFERROR(H174,0)/IFERROR(IF(COUNTIF(J174:U174,"x")=0,SUMPRODUCT((Besatzung!$B$11:$B$22&lt;&gt;"")*(Besatzung!$F$11:$F$22="x")),SUMPRODUCT((J174:U174="x")*(Besatzung!$F$11:$F$22="x"))),1))))),0))))</f>
        <v/>
      </c>
      <c r="W174" s="106">
        <f>IF(C174="Gutschrift","",IF(G174="","",IF(Besatzung!$B$12="","",IFERROR(IF(I174="Zeitanteilig",(Besatzung!$G$12*(G174-IFERROR(H174,0))+((Besatzung!$B$12&lt;&gt;"")*IF(B174="",1,(IF(Besatzung!$C$12="",Besatzung!$B$5,Besatzung!$C$12)&lt;=B174)*(IF(Besatzung!$D$12="",Besatzung!$B$6,Besatzung!$D$12)&gt;=B174)))*(Besatzung!$F$12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$12&lt;&gt;"")*IF(B174="",1,(IF(Besatzung!$C$12="",Besatzung!$B$5,Besatzung!$C$12)&lt;=B174)*(IF(Besatzung!$D$12="",Besatzung!$B$6,Besatzung!$D$12)&gt;=B174)))*((G174-IFERROR(H174,0))/IFERROR(SUMPRODUCT((Besatzung!$B$11:$B$22&lt;&gt;"")*(IF(Besatzung!$C$11:$C$22="",Besatzung!$B$5,Besatzung!$C$11:$C$22)&lt;=B174)*(IF(Besatzung!$D$11:$D$22="",Besatzung!$B$6,Besatzung!$D$11:$D$22)&gt;=B174)),1)+(Besatzung!$F$12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K174="x")*((G174-IFERROR(H174,0))/IFERROR(COUNTIF(J174:U174,"x"),1)+(Besatzung!$F$12="x")*IFERROR(H174,0)/IFERROR(SUMPRODUCT((J174:U174="x")*(Besatzung!$F$11:$F$22="x")),1))),(IF(COUNTIF(J174:U174,"x")=0,IF(Besatzung!$B$12&lt;&gt;"",1,0),(K174="x"))*(G174-IFERROR(H174,0))/IFERROR(IF(COUNTIF(J174:U174,"x")=0,COUNTA(Besatzung!$B$11:$B$22),COUNTIF(J174:U174,"x")),1)+IF(COUNTIF(J174:U174,"x")=0,(Besatzung!$F$12="x"),(K174="x")*(Besatzung!$F$12="x"))*IFERROR(H174,0)/IFERROR(IF(COUNTIF(J174:U174,"x")=0,SUMPRODUCT((Besatzung!$B$11:$B$22&lt;&gt;"")*(Besatzung!$F$11:$F$22="x")),SUMPRODUCT((J174:U174="x")*(Besatzung!$F$11:$F$22="x"))),1))))),0))))</f>
        <v/>
      </c>
      <c r="X174" s="106">
        <f>IF(C174="Gutschrift","",IF(G174="","",IF(Besatzung!$B$13="","",IFERROR(IF(I174="Zeitanteilig",(Besatzung!$G$13*(G174-IFERROR(H174,0))+((Besatzung!$B$13&lt;&gt;"")*IF(B174="",1,(IF(Besatzung!$C$13="",Besatzung!$B$5,Besatzung!$C$13)&lt;=B174)*(IF(Besatzung!$D$13="",Besatzung!$B$6,Besatzung!$D$13)&gt;=B174)))*(Besatzung!$F$13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$13&lt;&gt;"")*IF(B174="",1,(IF(Besatzung!$C$13="",Besatzung!$B$5,Besatzung!$C$13)&lt;=B174)*(IF(Besatzung!$D$13="",Besatzung!$B$6,Besatzung!$D$13)&gt;=B174)))*((G174-IFERROR(H174,0))/IFERROR(SUMPRODUCT((Besatzung!$B$11:$B$22&lt;&gt;"")*(IF(Besatzung!$C$11:$C$22="",Besatzung!$B$5,Besatzung!$C$11:$C$22)&lt;=B174)*(IF(Besatzung!$D$11:$D$22="",Besatzung!$B$6,Besatzung!$D$11:$D$22)&gt;=B174)),1)+(Besatzung!$F$13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K174="x")*((G174-IFERROR(H174,0))/IFERROR(COUNTIF(J174:U174,"x"),1)+(Besatzung!$F$13="x")*IFERROR(H174,0)/IFERROR(SUMPRODUCT((J174:U174="x")*(Besatzung!$F$11:$F$22="x")),1))),(IF(COUNTIF(J174:U174,"x")=0,IF(Besatzung!$B$13&lt;&gt;"",1,0),(K174="x"))*(G174-IFERROR(H174,0))/IFERROR(IF(COUNTIF(J174:U174,"x")=0,COUNTA(Besatzung!$B$11:$B$22),COUNTIF(J174:U174,"x")),1)+IF(COUNTIF(J174:U174,"x")=0,(Besatzung!$F$13="x"),(K174="x")*(Besatzung!$F$13="x"))*IFERROR(H174,0)/IFERROR(IF(COUNTIF(J174:U174,"x")=0,SUMPRODUCT((Besatzung!$B$11:$B$22&lt;&gt;"")*(Besatzung!$F$11:$F$22="x")),SUMPRODUCT((J174:U174="x")*(Besatzung!$F$11:$F$22="x"))),1))))),0))))</f>
        <v/>
      </c>
      <c r="Y174" s="106">
        <f>IF(C174="Gutschrift","",IF(G174="","",IF(Besatzung!$B$14="","",IFERROR(IF(I174="Zeitanteilig",(Besatzung!$G$14*(G174-IFERROR(H174,0))+((Besatzung!$B$14&lt;&gt;"")*IF(B174="",1,(IF(Besatzung!$C$14="",Besatzung!$B$5,Besatzung!$C$14)&lt;=B174)*(IF(Besatzung!$D$14="",Besatzung!$B$6,Besatzung!$D$14)&gt;=B174)))*(Besatzung!$F$14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$14&lt;&gt;"")*IF(B174="",1,(IF(Besatzung!$C$14="",Besatzung!$B$5,Besatzung!$C$14)&lt;=B174)*(IF(Besatzung!$D$14="",Besatzung!$B$6,Besatzung!$D$14)&gt;=B174)))*((G174-IFERROR(H174,0))/IFERROR(SUMPRODUCT((Besatzung!$B$11:$B$22&lt;&gt;"")*(IF(Besatzung!$C$11:$C$22="",Besatzung!$B$5,Besatzung!$C$11:$C$22)&lt;=B174)*(IF(Besatzung!$D$11:$D$22="",Besatzung!$B$6,Besatzung!$D$11:$D$22)&gt;=B174)),1)+(Besatzung!$F$14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M174="x")*((G174-IFERROR(H174,0))/IFERROR(COUNTIF(J174:U174,"x"),1)+(Besatzung!$F$14="x")*IFERROR(H174,0)/IFERROR(SUMPRODUCT((J174:U174="x")*(Besatzung!$F$11:$F$22="x")),1))),(IF(COUNTIF(J174:U174,"x")=0,IF(Besatzung!$B$14&lt;&gt;"",1,0),(M174="x"))*(G174-IFERROR(H174,0))/IFERROR(IF(COUNTIF(J174:U174,"x")=0,COUNTA(Besatzung!$B$11:$B$22),COUNTIF(J174:U174,"x")),1)+IF(COUNTIF(J174:U174,"x")=0,(Besatzung!$F$14="x"),(M174="x")*(Besatzung!$F$14="x"))*IFERROR(H174,0)/IFERROR(IF(COUNTIF(J174:U174,"x")=0,SUMPRODUCT((Besatzung!$B$11:$B$22&lt;&gt;"")*(Besatzung!$F$11:$F$22="x")),SUMPRODUCT((J174:U174="x")*(Besatzung!$F$11:$F$22="x"))),1))))),0))))</f>
        <v/>
      </c>
      <c r="Z174" s="106">
        <f>IF(C174="Gutschrift","",IF(G174="","",IF(Besatzung!$B$13="","",IFERROR(IF(I174="Zeitanteilig",(Besatzung!$G$15*(G174-IFERROR(H174,0))+((Besatzung!$B$13&lt;&gt;"")*IF(B174="",1,(IF(Besatzung!$C$15="",Besatzung!$B$5,Besatzung!$C$15)&lt;=B174)*(IF(Besatzung!$D$15="",Besatzung!$B$6,Besatzung!$D$15)&gt;=B174)))*(Besatzung!$F$15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$13&lt;&gt;"")*IF(B174="",1,(IF(Besatzung!$C$15="",Besatzung!$B$5,Besatzung!$C$15)&lt;=B174)*(IF(Besatzung!$D$15="",Besatzung!$B$6,Besatzung!$D$15)&gt;=B174)))*((G174-IFERROR(H174,0))/IFERROR(SUMPRODUCT((Besatzung!$B$11:$B$22&lt;&gt;"")*(IF(Besatzung!$C$11:$C$22="",Besatzung!$B$5,Besatzung!$C$11:$C$22)&lt;=B174)*(IF(Besatzung!$D$11:$D$22="",Besatzung!$B$6,Besatzung!$D$11:$D$22)&gt;=B174)),1)+(Besatzung!$F$15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N174="x")*((G174-IFERROR(H174,0))/IFERROR(COUNTIF(J174:U174,"x"),1)+(Besatzung!$F$15="x")*IFERROR(H174,0)/IFERROR(SUMPRODUCT((J174:U174="x")*(Besatzung!$F$11:$F$22="x")),1))),(IF(COUNTIF(J174:U174,"x")=0,IF(Besatzung!$B$13&lt;&gt;"",1,0),(N174="x"))*(G174-IFERROR(H174,0))/IFERROR(IF(COUNTIF(J174:U174,"x")=0,COUNTA(Besatzung!$B$11:$B$22),COUNTIF(J174:U174,"x")),1)+IF(COUNTIF(J174:U174,"x")=0,(Besatzung!$F$15="x"),(N174="x")*(Besatzung!$F$15="x"))*IFERROR(H174,0)/IFERROR(IF(COUNTIF(J174:U174,"x")=0,SUMPRODUCT((Besatzung!$B$11:$B$22&lt;&gt;"")*(Besatzung!$F$11:$F$22="x")),SUMPRODUCT((J174:U174="x")*(Besatzung!$F$11:$F$22="x"))),1))))),0))))</f>
        <v/>
      </c>
      <c r="AA174" s="106">
        <f>IF(C174="Gutschrift","",IF(G174="","",IF(Besatzung!$B$15="","",IFERROR(IF(I174="Zeitanteilig",(Besatzung!$G$16*(G174-IFERROR(H174,0))+((Besatzung!$B$15&lt;&gt;"")*IF(B174="",1,(IF(Besatzung!$C$16="",Besatzung!$B$5,Besatzung!$C$16)&lt;=B174)*(IF(Besatzung!$D$16="",Besatzung!$B$6,Besatzung!$D$16)&gt;=B174)))*(Besatzung!$F$16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$15&lt;&gt;"")*IF(B174="",1,(IF(Besatzung!$C$16="",Besatzung!$B$5,Besatzung!$C$16)&lt;=B174)*(IF(Besatzung!$D$16="",Besatzung!$B$6,Besatzung!$D$16)&gt;=B174)))*((G174-IFERROR(H174,0))/IFERROR(SUMPRODUCT((Besatzung!$B$11:$B$22&lt;&gt;"")*(IF(Besatzung!$C$11:$C$22="",Besatzung!$B$5,Besatzung!$C$11:$C$22)&lt;=B174)*(IF(Besatzung!$D$11:$D$22="",Besatzung!$B$6,Besatzung!$D$11:$D$22)&gt;=B174)),1)+(Besatzung!$F$16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O174="x")*((G174-IFERROR(H174,0))/IFERROR(COUNTIF(J174:U174,"x"),1)+(Besatzung!$F$16="x")*IFERROR(H174,0)/IFERROR(SUMPRODUCT((J174:U174="x")*(Besatzung!$F$11:$F$22="x")),1))),(IF(COUNTIF(J174:U174,"x")=0,IF(Besatzung!$B$15&lt;&gt;"",1,0),(O174="x"))*(G174-IFERROR(H174,0))/IFERROR(IF(COUNTIF(J174:U174,"x")=0,COUNTA(Besatzung!$B$11:$B$22),COUNTIF(J174:U174,"x")),1)+IF(COUNTIF(J174:U174,"x")=0,(Besatzung!$F$16="x"),(O174="x")*(Besatzung!$F$16="x"))*IFERROR(H174,0)/IFERROR(IF(COUNTIF(J174:U174,"x")=0,SUMPRODUCT((Besatzung!$B$11:$B$22&lt;&gt;"")*(Besatzung!$F$11:$F$22="x")),SUMPRODUCT((J174:U174="x")*(Besatzung!$F$11:$F$22="x"))),1))))),0))))</f>
        <v/>
      </c>
      <c r="AB174" s="106">
        <f>IF(C174="Gutschrift","",IF(G174="","",IF(Besatzung!$B$17="","",IFERROR(IF(I174="Zeitanteilig",(Besatzung!$G$17*(G174-IFERROR(H174,0))+((Besatzung!$B$17&lt;&gt;"")*IF(B174="",1,(IF(Besatzung!$C$17="",Besatzung!$B$5,Besatzung!$C$17)&lt;=B174)*(IF(Besatzung!$D$17="",Besatzung!$B$6,Besatzung!$D$17)&gt;=B174)))*(Besatzung!$F$17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$17&lt;&gt;"")*IF(B174="",1,(IF(Besatzung!$C$17="",Besatzung!$B$5,Besatzung!$C$17)&lt;=B174)*(IF(Besatzung!$D$17="",Besatzung!$B$6,Besatzung!$D$17)&gt;=B174)))*((G174-IFERROR(H174,0))/IFERROR(SUMPRODUCT((Besatzung!$B$11:$B$22&lt;&gt;"")*(IF(Besatzung!$C$11:$C$22="",Besatzung!$B$5,Besatzung!$C$11:$C$22)&lt;=B174)*(IF(Besatzung!$D$11:$D$22="",Besatzung!$B$6,Besatzung!$D$11:$D$22)&gt;=B174)),1)+(Besatzung!$F$17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P174="x")*((G174-IFERROR(H174,0))/IFERROR(COUNTIF(J174:U174,"x"),1)+(Besatzung!$F$17="x")*IFERROR(H174,0)/IFERROR(SUMPRODUCT((J174:U174="x")*(Besatzung!$F$11:$F$22="x")),1))),(IF(COUNTIF(J174:U174,"x")=0,IF(Besatzung!$B$17&lt;&gt;"",1,0),(P174="x"))*(G174-IFERROR(H174,0))/IFERROR(IF(COUNTIF(J174:U174,"x")=0,COUNTA(Besatzung!$B$11:$B$22),COUNTIF(J174:U174,"x")),1)+IF(COUNTIF(J174:U174,"x")=0,(Besatzung!$F$17="x"),(P174="x")*(Besatzung!$F$17="x"))*IFERROR(H174,0)/IFERROR(IF(COUNTIF(J174:U174,"x")=0,SUMPRODUCT((Besatzung!$B$11:$B$22&lt;&gt;"")*(Besatzung!$F$11:$F$22="x")),SUMPRODUCT((J174:U174="x")*(Besatzung!$F$11:$F$22="x"))),1))))),0))))</f>
        <v/>
      </c>
      <c r="AC174" s="106">
        <f>IF(C174="Gutschrift","",IF(G174="","",IF(Besatzung!$B$18="","",IFERROR(IF(I174="Zeitanteilig",(Besatzung!$G$18*(G174-IFERROR(H174,0))+((Besatzung!$B$18&lt;&gt;"")*IF(B174="",1,(IF(Besatzung!$C$18="",Besatzung!$B$5,Besatzung!$C$18)&lt;=B174)*(IF(Besatzung!$D$18="",Besatzung!$B$6,Besatzung!$D$18)&gt;=B174)))*(Besatzung!$F$18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$18&lt;&gt;"")*IF(B174="",1,(IF(Besatzung!$C$18="",Besatzung!$B$5,Besatzung!$C$18)&lt;=B174)*(IF(Besatzung!$D$18="",Besatzung!$B$6,Besatzung!$D$18)&gt;=B174)))*((G174-IFERROR(H174,0))/IFERROR(SUMPRODUCT((Besatzung!$B$11:$B$22&lt;&gt;"")*(IF(Besatzung!$C$11:$C$22="",Besatzung!$B$5,Besatzung!$C$11:$C$22)&lt;=B174)*(IF(Besatzung!$D$11:$D$22="",Besatzung!$B$6,Besatzung!$D$11:$D$22)&gt;=B174)),1)+(Besatzung!$F$18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Q174="x")*((G174-IFERROR(H174,0))/IFERROR(COUNTIF(J174:U174,"x"),1)+(Besatzung!$F$18="x")*IFERROR(H174,0)/IFERROR(SUMPRODUCT((J174:U174="x")*(Besatzung!$F$11:$F$22="x")),1))),(IF(COUNTIF(J174:U174,"x")=0,IF(Besatzung!$B$18&lt;&gt;"",1,0),(Q174="x"))*(G174-IFERROR(H174,0))/IFERROR(IF(COUNTIF(J174:U174,"x")=0,COUNTA(Besatzung!$B$11:$B$22),COUNTIF(J174:U174,"x")),1)+IF(COUNTIF(J174:U174,"x")=0,(Besatzung!$F$18="x"),(Q174="x")*(Besatzung!$F$18="x"))*IFERROR(H174,0)/IFERROR(IF(COUNTIF(J174:U174,"x")=0,SUMPRODUCT((Besatzung!$B$11:$B$22&lt;&gt;"")*(Besatzung!$F$11:$F$22="x")),SUMPRODUCT((J174:U174="x")*(Besatzung!$F$11:$F$22="x"))),1))))),0))))</f>
        <v/>
      </c>
      <c r="AD174" s="106">
        <f>IF(C174="Gutschrift","",IF(G174="","",IF(Besatzung!$B$19="","",IFERROR(IF(I174="Zeitanteilig",(Besatzung!$G$19*(G174-IFERROR(H174,0))+((Besatzung!$B$19&lt;&gt;"")*IF(B174="",1,(IF(Besatzung!$C$19="",Besatzung!$B$5,Besatzung!$C$19)&lt;=B174)*(IF(Besatzung!$D$19="",Besatzung!$B$6,Besatzung!$D$19)&gt;=B174)))*(Besatzung!$F$19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$19&lt;&gt;"")*IF(B174="",1,(IF(Besatzung!$C$19="",Besatzung!$B$5,Besatzung!$C$19)&lt;=B174)*(IF(Besatzung!$D$19="",Besatzung!$B$6,Besatzung!$D$19)&gt;=B174)))*((G174-IFERROR(H174,0))/IFERROR(SUMPRODUCT((Besatzung!$B$11:$B$22&lt;&gt;"")*(IF(Besatzung!$C$11:$C$22="",Besatzung!$B$5,Besatzung!$C$11:$C$22)&lt;=B174)*(IF(Besatzung!$D$11:$D$22="",Besatzung!$B$6,Besatzung!$D$11:$D$22)&gt;=B174)),1)+(Besatzung!$F$19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R174="x")*((G174-IFERROR(H174,0))/IFERROR(COUNTIF(J174:U174,"x"),1)+(Besatzung!$F$19="x")*IFERROR(H174,0)/IFERROR(SUMPRODUCT((J174:U174="x")*(Besatzung!$F$11:$F$22="x")),1))),(IF(COUNTIF(J174:U174,"x")=0,IF(Besatzung!$B$19&lt;&gt;"",1,0),(R174="x"))*(G174-IFERROR(H174,0))/IFERROR(IF(COUNTIF(J174:U174,"x")=0,COUNTA(Besatzung!$B$11:$B$22),COUNTIF(J174:U174,"x")),1)+IF(COUNTIF(J174:U174,"x")=0,(Besatzung!$F$19="x"),(R174="x")*(Besatzung!$F$19="x"))*IFERROR(H174,0)/IFERROR(IF(COUNTIF(J174:U174,"x")=0,SUMPRODUCT((Besatzung!$B$11:$B$22&lt;&gt;"")*(Besatzung!$F$11:$F$22="x")),SUMPRODUCT((J174:U174="x")*(Besatzung!$F$11:$F$22="x"))),1))))),0))))</f>
        <v/>
      </c>
      <c r="AE174" s="106">
        <f>IF(C174="Gutschrift","",IF(G174="","",IF(Besatzung!$B$20="","",IFERROR(IF(I174="Zeitanteilig",(Besatzung!$G$20*(G174-IFERROR(H174,0))+((Besatzung!$B$20&lt;&gt;"")*IF(B174="",1,(IF(Besatzung!$C$20="",Besatzung!$B$5,Besatzung!$C$20)&lt;=B174)*(IF(Besatzung!$D$20="",Besatzung!$B$6,Besatzung!$D$20)&gt;=B174)))*(Besatzung!$F$20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$20&lt;&gt;"")*IF(B174="",1,(IF(Besatzung!$C$20="",Besatzung!$B$5,Besatzung!$C$20)&lt;=B174)*(IF(Besatzung!$D$20="",Besatzung!$B$6,Besatzung!$D$20)&gt;=B174)))*((G174-IFERROR(H174,0))/IFERROR(SUMPRODUCT((Besatzung!$B$11:$B$22&lt;&gt;"")*(IF(Besatzung!$C$11:$C$22="",Besatzung!$B$5,Besatzung!$C$11:$C$22)&lt;=B174)*(IF(Besatzung!$D$11:$D$22="",Besatzung!$B$6,Besatzung!$D$11:$D$22)&gt;=B174)),1)+(Besatzung!$F$20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S174="x")*((G174-IFERROR(H174,0))/IFERROR(COUNTIF(J174:U174,"x"),1)+(Besatzung!$F$20="x")*IFERROR(H174,0)/IFERROR(SUMPRODUCT((J174:U174="x")*(Besatzung!$F$11:$F$22="x")),1))),(IF(COUNTIF(J174:U174,"x")=0,IF(Besatzung!$B$20&lt;&gt;"",1,0),(S174="x"))*(G174-IFERROR(H174,0))/IFERROR(IF(COUNTIF(J174:U174,"x")=0,COUNTA(Besatzung!$B$11:$B$22),COUNTIF(J174:U174,"x")),1)+IF(COUNTIF(J174:U174,"x")=0,(Besatzung!$F$20="x"),(S174="x")*(Besatzung!$F$20="x"))*IFERROR(H174,0)/IFERROR(IF(COUNTIF(J174:U174,"x")=0,SUMPRODUCT((Besatzung!$B$11:$B$22&lt;&gt;"")*(Besatzung!$F$11:$F$22="x")),SUMPRODUCT((J174:U174="x")*(Besatzung!$F$11:$F$22="x"))),1))))),0))))</f>
        <v/>
      </c>
      <c r="AF174" s="106">
        <f>IF(C174="Gutschrift","",IF(G174="","",IF(Besatzung!$B$21="","",IFERROR(IF(I174="Zeitanteilig",(Besatzung!$G$21*(G174-IFERROR(H174,0))+((Besatzung!$B$21&lt;&gt;"")*IF(B174="",1,(IF(Besatzung!$C$21="",Besatzung!$B$5,Besatzung!$C$21)&lt;=B174)*(IF(Besatzung!$D$21="",Besatzung!$B$6,Besatzung!$D$21)&gt;=B174)))*(Besatzung!$F$21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$21&lt;&gt;"")*IF(B174="",1,(IF(Besatzung!$C$21="",Besatzung!$B$5,Besatzung!$C$21)&lt;=B174)*(IF(Besatzung!$D$21="",Besatzung!$B$6,Besatzung!$D$21)&gt;=B174)))*((G174-IFERROR(H174,0))/IFERROR(SUMPRODUCT((Besatzung!$B$11:$B$22&lt;&gt;"")*(IF(Besatzung!$C$11:$C$22="",Besatzung!$B$5,Besatzung!$C$11:$C$22)&lt;=B174)*(IF(Besatzung!$D$11:$D$22="",Besatzung!$B$6,Besatzung!$D$11:$D$22)&gt;=B174)),1)+(Besatzung!$F$21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T174="x")*((G174-IFERROR(H174,0))/IFERROR(COUNTIF(J174:U174,"x"),1)+(Besatzung!$F$21="x")*IFERROR(H174,0)/IFERROR(SUMPRODUCT((J174:U174="x")*(Besatzung!$F$11:$F$22="x")),1))),(IF(COUNTIF(J174:U174,"x")=0,IF(Besatzung!$B$21&lt;&gt;"",1,0),(T174="x"))*(G174-IFERROR(H174,0))/IFERROR(IF(COUNTIF(J174:U174,"x")=0,COUNTA(Besatzung!$B$11:$B$22),COUNTIF(J174:U174,"x")),1)+IF(COUNTIF(J174:U174,"x")=0,(Besatzung!$F$21="x"),(T174="x")*(Besatzung!$F$21="x"))*IFERROR(H174,0)/IFERROR(IF(COUNTIF(J174:U174,"x")=0,SUMPRODUCT((Besatzung!$B$11:$B$22&lt;&gt;"")*(Besatzung!$F$11:$F$22="x")),SUMPRODUCT((J174:U174="x")*(Besatzung!$F$11:$F$22="x"))),1))))),0))))</f>
        <v/>
      </c>
      <c r="AG174" s="106">
        <f>IF(C174="Gutschrift","",IF(G174="","",IF(Besatzung!$B$22="","",IFERROR(IF(I174="Zeitanteilig",(Besatzung!$G$22*(G174-IFERROR(H174,0))+((Besatzung!$B$22&lt;&gt;"")*IF(B174="",1,(IF(Besatzung!$C$22="",Besatzung!$B$5,Besatzung!$C$22)&lt;=B174)*(IF(Besatzung!$D$22="",Besatzung!$B$6,Besatzung!$D$22)&gt;=B174)))*(Besatzung!$F$22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$22&lt;&gt;"")*IF(B174="",1,(IF(Besatzung!$C$22="",Besatzung!$B$5,Besatzung!$C$22)&lt;=B174)*(IF(Besatzung!$D$22="",Besatzung!$B$6,Besatzung!$D$22)&gt;=B174)))*((G174-IFERROR(H174,0))/IFERROR(SUMPRODUCT((Besatzung!$B$11:$B$22&lt;&gt;"")*(IF(Besatzung!$C$11:$C$22="",Besatzung!$B$5,Besatzung!$C$11:$C$22)&lt;=B174)*(IF(Besatzung!$D$11:$D$22="",Besatzung!$B$6,Besatzung!$D$11:$D$22)&gt;=B174)),1)+(Besatzung!$F$22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U174="x")*((G174-IFERROR(H174,0))/IFERROR(COUNTIF(J174:U174,"x"),1)+(Besatzung!$F$22="x")*IFERROR(H174,0)/IFERROR(SUMPRODUCT((J174:U174="x")*(Besatzung!$F$11:$F$22="x")),1))),(IF(COUNTIF(J174:U174,"x")=0,IF(Besatzung!$B$22&lt;&gt;"",1,0),(U174="x"))*(G174-IFERROR(H174,0))/IFERROR(IF(COUNTIF(J174:U174,"x")=0,COUNTA(Besatzung!$B$11:$B$22),COUNTIF(J174:U174,"x")),1)+IF(COUNTIF(J174:U174,"x")=0,(Besatzung!$F$22="x"),(U174="x")*(Besatzung!$F$22="x"))*IFERROR(H174,0)/IFERROR(IF(COUNTIF(J174:U174,"x")=0,SUMPRODUCT((Besatzung!$B$11:$B$22&lt;&gt;"")*(Besatzung!$F$11:$F$22="x")),SUMPRODUCT((J174:U174="x")*(Besatzung!$F$11:$F$22="x"))),1))))),0))))</f>
        <v/>
      </c>
      <c r="AH174" s="107" t="n"/>
      <c r="AI174" s="107" t="n"/>
    </row>
    <row r="175" ht="21.75" customHeight="1" s="182">
      <c r="A175" s="97">
        <f>IF(AND(D175="",C175=""),"",172)</f>
        <v/>
      </c>
      <c r="B175" s="63" t="n"/>
      <c r="C175" s="108" t="n"/>
      <c r="D175" s="109" t="n"/>
      <c r="E175" s="110" t="n"/>
      <c r="F175" s="111" t="n"/>
      <c r="G175" s="112" t="n"/>
      <c r="H175" s="113" t="n"/>
      <c r="I175" s="114" t="n"/>
      <c r="J175" s="115" t="n"/>
      <c r="K175" s="115" t="n"/>
      <c r="L175" s="115" t="n"/>
      <c r="M175" s="115" t="n"/>
      <c r="N175" s="115" t="n"/>
      <c r="O175" s="115" t="n"/>
      <c r="P175" s="115" t="n"/>
      <c r="Q175" s="115" t="n"/>
      <c r="R175" s="115" t="n"/>
      <c r="S175" s="115" t="n"/>
      <c r="T175" s="115" t="n"/>
      <c r="U175" s="115" t="n"/>
      <c r="V175" s="106">
        <f>IF(C175="Gutschrift","",IF(G175="","",IF(Besatzung!$B$11="","",IFERROR(IF(I175="Zeitanteilig",(Besatzung!$G$11*(G175-IFERROR(H175,0))+((Besatzung!$B$11&lt;&gt;"")*IF(B175="",1,(IF(Besatzung!$C$11="",Besatzung!$B$5,Besatzung!$C$11)&lt;=B175)*(IF(Besatzung!$D$11="",Besatzung!$B$6,Besatzung!$D$11)&gt;=B175)))*(Besatzung!$F$11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$11&lt;&gt;"")*IF(B175="",1,(IF(Besatzung!$C$11="",Besatzung!$B$5,Besatzung!$C$11)&lt;=B175)*(IF(Besatzung!$D$11="",Besatzung!$B$6,Besatzung!$D$11)&gt;=B175)))*((G175-IFERROR(H175,0))/IFERROR(SUMPRODUCT((Besatzung!$B$11:$B$22&lt;&gt;"")*(IF(Besatzung!$C$11:$C$22="",Besatzung!$B$5,Besatzung!$C$11:$C$22)&lt;=B175)*(IF(Besatzung!$D$11:$D$22="",Besatzung!$B$6,Besatzung!$D$11:$D$22)&gt;=B175)),1)+(Besatzung!$F$11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J175="x")*((G175-IFERROR(H175,0))/IFERROR(COUNTIF(J175:U175,"x"),1)+(Besatzung!$F$11="x")*IFERROR(H175,0)/IFERROR(SUMPRODUCT((J175:U175="x")*(Besatzung!$F$11:$F$22="x")),1))),(IF(COUNTIF(J175:U175,"x")=0,IF(Besatzung!$B$11&lt;&gt;"",1,0),(J175="x"))*(G175-IFERROR(H175,0))/IFERROR(IF(COUNTIF(J175:U175,"x")=0,COUNTA(Besatzung!$B$11:$B$22),COUNTIF(J175:U175,"x")),1)+IF(COUNTIF(J175:U175,"x")=0,(Besatzung!$F$11="x"),(J175="x")*(Besatzung!$F$11="x"))*IFERROR(H175,0)/IFERROR(IF(COUNTIF(J175:U175,"x")=0,SUMPRODUCT((Besatzung!$B$11:$B$22&lt;&gt;"")*(Besatzung!$F$11:$F$22="x")),SUMPRODUCT((J175:U175="x")*(Besatzung!$F$11:$F$22="x"))),1))))),0))))</f>
        <v/>
      </c>
      <c r="W175" s="106">
        <f>IF(C175="Gutschrift","",IF(G175="","",IF(Besatzung!$B$12="","",IFERROR(IF(I175="Zeitanteilig",(Besatzung!$G$12*(G175-IFERROR(H175,0))+((Besatzung!$B$12&lt;&gt;"")*IF(B175="",1,(IF(Besatzung!$C$12="",Besatzung!$B$5,Besatzung!$C$12)&lt;=B175)*(IF(Besatzung!$D$12="",Besatzung!$B$6,Besatzung!$D$12)&gt;=B175)))*(Besatzung!$F$12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$12&lt;&gt;"")*IF(B175="",1,(IF(Besatzung!$C$12="",Besatzung!$B$5,Besatzung!$C$12)&lt;=B175)*(IF(Besatzung!$D$12="",Besatzung!$B$6,Besatzung!$D$12)&gt;=B175)))*((G175-IFERROR(H175,0))/IFERROR(SUMPRODUCT((Besatzung!$B$11:$B$22&lt;&gt;"")*(IF(Besatzung!$C$11:$C$22="",Besatzung!$B$5,Besatzung!$C$11:$C$22)&lt;=B175)*(IF(Besatzung!$D$11:$D$22="",Besatzung!$B$6,Besatzung!$D$11:$D$22)&gt;=B175)),1)+(Besatzung!$F$12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K175="x")*((G175-IFERROR(H175,0))/IFERROR(COUNTIF(J175:U175,"x"),1)+(Besatzung!$F$12="x")*IFERROR(H175,0)/IFERROR(SUMPRODUCT((J175:U175="x")*(Besatzung!$F$11:$F$22="x")),1))),(IF(COUNTIF(J175:U175,"x")=0,IF(Besatzung!$B$12&lt;&gt;"",1,0),(K175="x"))*(G175-IFERROR(H175,0))/IFERROR(IF(COUNTIF(J175:U175,"x")=0,COUNTA(Besatzung!$B$11:$B$22),COUNTIF(J175:U175,"x")),1)+IF(COUNTIF(J175:U175,"x")=0,(Besatzung!$F$12="x"),(K175="x")*(Besatzung!$F$12="x"))*IFERROR(H175,0)/IFERROR(IF(COUNTIF(J175:U175,"x")=0,SUMPRODUCT((Besatzung!$B$11:$B$22&lt;&gt;"")*(Besatzung!$F$11:$F$22="x")),SUMPRODUCT((J175:U175="x")*(Besatzung!$F$11:$F$22="x"))),1))))),0))))</f>
        <v/>
      </c>
      <c r="X175" s="106">
        <f>IF(C175="Gutschrift","",IF(G175="","",IF(Besatzung!$B$13="","",IFERROR(IF(I175="Zeitanteilig",(Besatzung!$G$13*(G175-IFERROR(H175,0))+((Besatzung!$B$13&lt;&gt;"")*IF(B175="",1,(IF(Besatzung!$C$13="",Besatzung!$B$5,Besatzung!$C$13)&lt;=B175)*(IF(Besatzung!$D$13="",Besatzung!$B$6,Besatzung!$D$13)&gt;=B175)))*(Besatzung!$F$13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$13&lt;&gt;"")*IF(B175="",1,(IF(Besatzung!$C$13="",Besatzung!$B$5,Besatzung!$C$13)&lt;=B175)*(IF(Besatzung!$D$13="",Besatzung!$B$6,Besatzung!$D$13)&gt;=B175)))*((G175-IFERROR(H175,0))/IFERROR(SUMPRODUCT((Besatzung!$B$11:$B$22&lt;&gt;"")*(IF(Besatzung!$C$11:$C$22="",Besatzung!$B$5,Besatzung!$C$11:$C$22)&lt;=B175)*(IF(Besatzung!$D$11:$D$22="",Besatzung!$B$6,Besatzung!$D$11:$D$22)&gt;=B175)),1)+(Besatzung!$F$13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K175="x")*((G175-IFERROR(H175,0))/IFERROR(COUNTIF(J175:U175,"x"),1)+(Besatzung!$F$13="x")*IFERROR(H175,0)/IFERROR(SUMPRODUCT((J175:U175="x")*(Besatzung!$F$11:$F$22="x")),1))),(IF(COUNTIF(J175:U175,"x")=0,IF(Besatzung!$B$13&lt;&gt;"",1,0),(K175="x"))*(G175-IFERROR(H175,0))/IFERROR(IF(COUNTIF(J175:U175,"x")=0,COUNTA(Besatzung!$B$11:$B$22),COUNTIF(J175:U175,"x")),1)+IF(COUNTIF(J175:U175,"x")=0,(Besatzung!$F$13="x"),(K175="x")*(Besatzung!$F$13="x"))*IFERROR(H175,0)/IFERROR(IF(COUNTIF(J175:U175,"x")=0,SUMPRODUCT((Besatzung!$B$11:$B$22&lt;&gt;"")*(Besatzung!$F$11:$F$22="x")),SUMPRODUCT((J175:U175="x")*(Besatzung!$F$11:$F$22="x"))),1))))),0))))</f>
        <v/>
      </c>
      <c r="Y175" s="106">
        <f>IF(C175="Gutschrift","",IF(G175="","",IF(Besatzung!$B$14="","",IFERROR(IF(I175="Zeitanteilig",(Besatzung!$G$14*(G175-IFERROR(H175,0))+((Besatzung!$B$14&lt;&gt;"")*IF(B175="",1,(IF(Besatzung!$C$14="",Besatzung!$B$5,Besatzung!$C$14)&lt;=B175)*(IF(Besatzung!$D$14="",Besatzung!$B$6,Besatzung!$D$14)&gt;=B175)))*(Besatzung!$F$14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$14&lt;&gt;"")*IF(B175="",1,(IF(Besatzung!$C$14="",Besatzung!$B$5,Besatzung!$C$14)&lt;=B175)*(IF(Besatzung!$D$14="",Besatzung!$B$6,Besatzung!$D$14)&gt;=B175)))*((G175-IFERROR(H175,0))/IFERROR(SUMPRODUCT((Besatzung!$B$11:$B$22&lt;&gt;"")*(IF(Besatzung!$C$11:$C$22="",Besatzung!$B$5,Besatzung!$C$11:$C$22)&lt;=B175)*(IF(Besatzung!$D$11:$D$22="",Besatzung!$B$6,Besatzung!$D$11:$D$22)&gt;=B175)),1)+(Besatzung!$F$14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M175="x")*((G175-IFERROR(H175,0))/IFERROR(COUNTIF(J175:U175,"x"),1)+(Besatzung!$F$14="x")*IFERROR(H175,0)/IFERROR(SUMPRODUCT((J175:U175="x")*(Besatzung!$F$11:$F$22="x")),1))),(IF(COUNTIF(J175:U175,"x")=0,IF(Besatzung!$B$14&lt;&gt;"",1,0),(M175="x"))*(G175-IFERROR(H175,0))/IFERROR(IF(COUNTIF(J175:U175,"x")=0,COUNTA(Besatzung!$B$11:$B$22),COUNTIF(J175:U175,"x")),1)+IF(COUNTIF(J175:U175,"x")=0,(Besatzung!$F$14="x"),(M175="x")*(Besatzung!$F$14="x"))*IFERROR(H175,0)/IFERROR(IF(COUNTIF(J175:U175,"x")=0,SUMPRODUCT((Besatzung!$B$11:$B$22&lt;&gt;"")*(Besatzung!$F$11:$F$22="x")),SUMPRODUCT((J175:U175="x")*(Besatzung!$F$11:$F$22="x"))),1))))),0))))</f>
        <v/>
      </c>
      <c r="Z175" s="106">
        <f>IF(C175="Gutschrift","",IF(G175="","",IF(Besatzung!$B$13="","",IFERROR(IF(I175="Zeitanteilig",(Besatzung!$G$15*(G175-IFERROR(H175,0))+((Besatzung!$B$13&lt;&gt;"")*IF(B175="",1,(IF(Besatzung!$C$15="",Besatzung!$B$5,Besatzung!$C$15)&lt;=B175)*(IF(Besatzung!$D$15="",Besatzung!$B$6,Besatzung!$D$15)&gt;=B175)))*(Besatzung!$F$15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$13&lt;&gt;"")*IF(B175="",1,(IF(Besatzung!$C$15="",Besatzung!$B$5,Besatzung!$C$15)&lt;=B175)*(IF(Besatzung!$D$15="",Besatzung!$B$6,Besatzung!$D$15)&gt;=B175)))*((G175-IFERROR(H175,0))/IFERROR(SUMPRODUCT((Besatzung!$B$11:$B$22&lt;&gt;"")*(IF(Besatzung!$C$11:$C$22="",Besatzung!$B$5,Besatzung!$C$11:$C$22)&lt;=B175)*(IF(Besatzung!$D$11:$D$22="",Besatzung!$B$6,Besatzung!$D$11:$D$22)&gt;=B175)),1)+(Besatzung!$F$15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N175="x")*((G175-IFERROR(H175,0))/IFERROR(COUNTIF(J175:U175,"x"),1)+(Besatzung!$F$15="x")*IFERROR(H175,0)/IFERROR(SUMPRODUCT((J175:U175="x")*(Besatzung!$F$11:$F$22="x")),1))),(IF(COUNTIF(J175:U175,"x")=0,IF(Besatzung!$B$13&lt;&gt;"",1,0),(N175="x"))*(G175-IFERROR(H175,0))/IFERROR(IF(COUNTIF(J175:U175,"x")=0,COUNTA(Besatzung!$B$11:$B$22),COUNTIF(J175:U175,"x")),1)+IF(COUNTIF(J175:U175,"x")=0,(Besatzung!$F$15="x"),(N175="x")*(Besatzung!$F$15="x"))*IFERROR(H175,0)/IFERROR(IF(COUNTIF(J175:U175,"x")=0,SUMPRODUCT((Besatzung!$B$11:$B$22&lt;&gt;"")*(Besatzung!$F$11:$F$22="x")),SUMPRODUCT((J175:U175="x")*(Besatzung!$F$11:$F$22="x"))),1))))),0))))</f>
        <v/>
      </c>
      <c r="AA175" s="106">
        <f>IF(C175="Gutschrift","",IF(G175="","",IF(Besatzung!$B$15="","",IFERROR(IF(I175="Zeitanteilig",(Besatzung!$G$16*(G175-IFERROR(H175,0))+((Besatzung!$B$15&lt;&gt;"")*IF(B175="",1,(IF(Besatzung!$C$16="",Besatzung!$B$5,Besatzung!$C$16)&lt;=B175)*(IF(Besatzung!$D$16="",Besatzung!$B$6,Besatzung!$D$16)&gt;=B175)))*(Besatzung!$F$16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$15&lt;&gt;"")*IF(B175="",1,(IF(Besatzung!$C$16="",Besatzung!$B$5,Besatzung!$C$16)&lt;=B175)*(IF(Besatzung!$D$16="",Besatzung!$B$6,Besatzung!$D$16)&gt;=B175)))*((G175-IFERROR(H175,0))/IFERROR(SUMPRODUCT((Besatzung!$B$11:$B$22&lt;&gt;"")*(IF(Besatzung!$C$11:$C$22="",Besatzung!$B$5,Besatzung!$C$11:$C$22)&lt;=B175)*(IF(Besatzung!$D$11:$D$22="",Besatzung!$B$6,Besatzung!$D$11:$D$22)&gt;=B175)),1)+(Besatzung!$F$16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O175="x")*((G175-IFERROR(H175,0))/IFERROR(COUNTIF(J175:U175,"x"),1)+(Besatzung!$F$16="x")*IFERROR(H175,0)/IFERROR(SUMPRODUCT((J175:U175="x")*(Besatzung!$F$11:$F$22="x")),1))),(IF(COUNTIF(J175:U175,"x")=0,IF(Besatzung!$B$15&lt;&gt;"",1,0),(O175="x"))*(G175-IFERROR(H175,0))/IFERROR(IF(COUNTIF(J175:U175,"x")=0,COUNTA(Besatzung!$B$11:$B$22),COUNTIF(J175:U175,"x")),1)+IF(COUNTIF(J175:U175,"x")=0,(Besatzung!$F$16="x"),(O175="x")*(Besatzung!$F$16="x"))*IFERROR(H175,0)/IFERROR(IF(COUNTIF(J175:U175,"x")=0,SUMPRODUCT((Besatzung!$B$11:$B$22&lt;&gt;"")*(Besatzung!$F$11:$F$22="x")),SUMPRODUCT((J175:U175="x")*(Besatzung!$F$11:$F$22="x"))),1))))),0))))</f>
        <v/>
      </c>
      <c r="AB175" s="106">
        <f>IF(C175="Gutschrift","",IF(G175="","",IF(Besatzung!$B$17="","",IFERROR(IF(I175="Zeitanteilig",(Besatzung!$G$17*(G175-IFERROR(H175,0))+((Besatzung!$B$17&lt;&gt;"")*IF(B175="",1,(IF(Besatzung!$C$17="",Besatzung!$B$5,Besatzung!$C$17)&lt;=B175)*(IF(Besatzung!$D$17="",Besatzung!$B$6,Besatzung!$D$17)&gt;=B175)))*(Besatzung!$F$17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$17&lt;&gt;"")*IF(B175="",1,(IF(Besatzung!$C$17="",Besatzung!$B$5,Besatzung!$C$17)&lt;=B175)*(IF(Besatzung!$D$17="",Besatzung!$B$6,Besatzung!$D$17)&gt;=B175)))*((G175-IFERROR(H175,0))/IFERROR(SUMPRODUCT((Besatzung!$B$11:$B$22&lt;&gt;"")*(IF(Besatzung!$C$11:$C$22="",Besatzung!$B$5,Besatzung!$C$11:$C$22)&lt;=B175)*(IF(Besatzung!$D$11:$D$22="",Besatzung!$B$6,Besatzung!$D$11:$D$22)&gt;=B175)),1)+(Besatzung!$F$17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P175="x")*((G175-IFERROR(H175,0))/IFERROR(COUNTIF(J175:U175,"x"),1)+(Besatzung!$F$17="x")*IFERROR(H175,0)/IFERROR(SUMPRODUCT((J175:U175="x")*(Besatzung!$F$11:$F$22="x")),1))),(IF(COUNTIF(J175:U175,"x")=0,IF(Besatzung!$B$17&lt;&gt;"",1,0),(P175="x"))*(G175-IFERROR(H175,0))/IFERROR(IF(COUNTIF(J175:U175,"x")=0,COUNTA(Besatzung!$B$11:$B$22),COUNTIF(J175:U175,"x")),1)+IF(COUNTIF(J175:U175,"x")=0,(Besatzung!$F$17="x"),(P175="x")*(Besatzung!$F$17="x"))*IFERROR(H175,0)/IFERROR(IF(COUNTIF(J175:U175,"x")=0,SUMPRODUCT((Besatzung!$B$11:$B$22&lt;&gt;"")*(Besatzung!$F$11:$F$22="x")),SUMPRODUCT((J175:U175="x")*(Besatzung!$F$11:$F$22="x"))),1))))),0))))</f>
        <v/>
      </c>
      <c r="AC175" s="106">
        <f>IF(C175="Gutschrift","",IF(G175="","",IF(Besatzung!$B$18="","",IFERROR(IF(I175="Zeitanteilig",(Besatzung!$G$18*(G175-IFERROR(H175,0))+((Besatzung!$B$18&lt;&gt;"")*IF(B175="",1,(IF(Besatzung!$C$18="",Besatzung!$B$5,Besatzung!$C$18)&lt;=B175)*(IF(Besatzung!$D$18="",Besatzung!$B$6,Besatzung!$D$18)&gt;=B175)))*(Besatzung!$F$18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$18&lt;&gt;"")*IF(B175="",1,(IF(Besatzung!$C$18="",Besatzung!$B$5,Besatzung!$C$18)&lt;=B175)*(IF(Besatzung!$D$18="",Besatzung!$B$6,Besatzung!$D$18)&gt;=B175)))*((G175-IFERROR(H175,0))/IFERROR(SUMPRODUCT((Besatzung!$B$11:$B$22&lt;&gt;"")*(IF(Besatzung!$C$11:$C$22="",Besatzung!$B$5,Besatzung!$C$11:$C$22)&lt;=B175)*(IF(Besatzung!$D$11:$D$22="",Besatzung!$B$6,Besatzung!$D$11:$D$22)&gt;=B175)),1)+(Besatzung!$F$18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Q175="x")*((G175-IFERROR(H175,0))/IFERROR(COUNTIF(J175:U175,"x"),1)+(Besatzung!$F$18="x")*IFERROR(H175,0)/IFERROR(SUMPRODUCT((J175:U175="x")*(Besatzung!$F$11:$F$22="x")),1))),(IF(COUNTIF(J175:U175,"x")=0,IF(Besatzung!$B$18&lt;&gt;"",1,0),(Q175="x"))*(G175-IFERROR(H175,0))/IFERROR(IF(COUNTIF(J175:U175,"x")=0,COUNTA(Besatzung!$B$11:$B$22),COUNTIF(J175:U175,"x")),1)+IF(COUNTIF(J175:U175,"x")=0,(Besatzung!$F$18="x"),(Q175="x")*(Besatzung!$F$18="x"))*IFERROR(H175,0)/IFERROR(IF(COUNTIF(J175:U175,"x")=0,SUMPRODUCT((Besatzung!$B$11:$B$22&lt;&gt;"")*(Besatzung!$F$11:$F$22="x")),SUMPRODUCT((J175:U175="x")*(Besatzung!$F$11:$F$22="x"))),1))))),0))))</f>
        <v/>
      </c>
      <c r="AD175" s="106">
        <f>IF(C175="Gutschrift","",IF(G175="","",IF(Besatzung!$B$19="","",IFERROR(IF(I175="Zeitanteilig",(Besatzung!$G$19*(G175-IFERROR(H175,0))+((Besatzung!$B$19&lt;&gt;"")*IF(B175="",1,(IF(Besatzung!$C$19="",Besatzung!$B$5,Besatzung!$C$19)&lt;=B175)*(IF(Besatzung!$D$19="",Besatzung!$B$6,Besatzung!$D$19)&gt;=B175)))*(Besatzung!$F$19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$19&lt;&gt;"")*IF(B175="",1,(IF(Besatzung!$C$19="",Besatzung!$B$5,Besatzung!$C$19)&lt;=B175)*(IF(Besatzung!$D$19="",Besatzung!$B$6,Besatzung!$D$19)&gt;=B175)))*((G175-IFERROR(H175,0))/IFERROR(SUMPRODUCT((Besatzung!$B$11:$B$22&lt;&gt;"")*(IF(Besatzung!$C$11:$C$22="",Besatzung!$B$5,Besatzung!$C$11:$C$22)&lt;=B175)*(IF(Besatzung!$D$11:$D$22="",Besatzung!$B$6,Besatzung!$D$11:$D$22)&gt;=B175)),1)+(Besatzung!$F$19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R175="x")*((G175-IFERROR(H175,0))/IFERROR(COUNTIF(J175:U175,"x"),1)+(Besatzung!$F$19="x")*IFERROR(H175,0)/IFERROR(SUMPRODUCT((J175:U175="x")*(Besatzung!$F$11:$F$22="x")),1))),(IF(COUNTIF(J175:U175,"x")=0,IF(Besatzung!$B$19&lt;&gt;"",1,0),(R175="x"))*(G175-IFERROR(H175,0))/IFERROR(IF(COUNTIF(J175:U175,"x")=0,COUNTA(Besatzung!$B$11:$B$22),COUNTIF(J175:U175,"x")),1)+IF(COUNTIF(J175:U175,"x")=0,(Besatzung!$F$19="x"),(R175="x")*(Besatzung!$F$19="x"))*IFERROR(H175,0)/IFERROR(IF(COUNTIF(J175:U175,"x")=0,SUMPRODUCT((Besatzung!$B$11:$B$22&lt;&gt;"")*(Besatzung!$F$11:$F$22="x")),SUMPRODUCT((J175:U175="x")*(Besatzung!$F$11:$F$22="x"))),1))))),0))))</f>
        <v/>
      </c>
      <c r="AE175" s="106">
        <f>IF(C175="Gutschrift","",IF(G175="","",IF(Besatzung!$B$20="","",IFERROR(IF(I175="Zeitanteilig",(Besatzung!$G$20*(G175-IFERROR(H175,0))+((Besatzung!$B$20&lt;&gt;"")*IF(B175="",1,(IF(Besatzung!$C$20="",Besatzung!$B$5,Besatzung!$C$20)&lt;=B175)*(IF(Besatzung!$D$20="",Besatzung!$B$6,Besatzung!$D$20)&gt;=B175)))*(Besatzung!$F$20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$20&lt;&gt;"")*IF(B175="",1,(IF(Besatzung!$C$20="",Besatzung!$B$5,Besatzung!$C$20)&lt;=B175)*(IF(Besatzung!$D$20="",Besatzung!$B$6,Besatzung!$D$20)&gt;=B175)))*((G175-IFERROR(H175,0))/IFERROR(SUMPRODUCT((Besatzung!$B$11:$B$22&lt;&gt;"")*(IF(Besatzung!$C$11:$C$22="",Besatzung!$B$5,Besatzung!$C$11:$C$22)&lt;=B175)*(IF(Besatzung!$D$11:$D$22="",Besatzung!$B$6,Besatzung!$D$11:$D$22)&gt;=B175)),1)+(Besatzung!$F$20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S175="x")*((G175-IFERROR(H175,0))/IFERROR(COUNTIF(J175:U175,"x"),1)+(Besatzung!$F$20="x")*IFERROR(H175,0)/IFERROR(SUMPRODUCT((J175:U175="x")*(Besatzung!$F$11:$F$22="x")),1))),(IF(COUNTIF(J175:U175,"x")=0,IF(Besatzung!$B$20&lt;&gt;"",1,0),(S175="x"))*(G175-IFERROR(H175,0))/IFERROR(IF(COUNTIF(J175:U175,"x")=0,COUNTA(Besatzung!$B$11:$B$22),COUNTIF(J175:U175,"x")),1)+IF(COUNTIF(J175:U175,"x")=0,(Besatzung!$F$20="x"),(S175="x")*(Besatzung!$F$20="x"))*IFERROR(H175,0)/IFERROR(IF(COUNTIF(J175:U175,"x")=0,SUMPRODUCT((Besatzung!$B$11:$B$22&lt;&gt;"")*(Besatzung!$F$11:$F$22="x")),SUMPRODUCT((J175:U175="x")*(Besatzung!$F$11:$F$22="x"))),1))))),0))))</f>
        <v/>
      </c>
      <c r="AF175" s="106">
        <f>IF(C175="Gutschrift","",IF(G175="","",IF(Besatzung!$B$21="","",IFERROR(IF(I175="Zeitanteilig",(Besatzung!$G$21*(G175-IFERROR(H175,0))+((Besatzung!$B$21&lt;&gt;"")*IF(B175="",1,(IF(Besatzung!$C$21="",Besatzung!$B$5,Besatzung!$C$21)&lt;=B175)*(IF(Besatzung!$D$21="",Besatzung!$B$6,Besatzung!$D$21)&gt;=B175)))*(Besatzung!$F$21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$21&lt;&gt;"")*IF(B175="",1,(IF(Besatzung!$C$21="",Besatzung!$B$5,Besatzung!$C$21)&lt;=B175)*(IF(Besatzung!$D$21="",Besatzung!$B$6,Besatzung!$D$21)&gt;=B175)))*((G175-IFERROR(H175,0))/IFERROR(SUMPRODUCT((Besatzung!$B$11:$B$22&lt;&gt;"")*(IF(Besatzung!$C$11:$C$22="",Besatzung!$B$5,Besatzung!$C$11:$C$22)&lt;=B175)*(IF(Besatzung!$D$11:$D$22="",Besatzung!$B$6,Besatzung!$D$11:$D$22)&gt;=B175)),1)+(Besatzung!$F$21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T175="x")*((G175-IFERROR(H175,0))/IFERROR(COUNTIF(J175:U175,"x"),1)+(Besatzung!$F$21="x")*IFERROR(H175,0)/IFERROR(SUMPRODUCT((J175:U175="x")*(Besatzung!$F$11:$F$22="x")),1))),(IF(COUNTIF(J175:U175,"x")=0,IF(Besatzung!$B$21&lt;&gt;"",1,0),(T175="x"))*(G175-IFERROR(H175,0))/IFERROR(IF(COUNTIF(J175:U175,"x")=0,COUNTA(Besatzung!$B$11:$B$22),COUNTIF(J175:U175,"x")),1)+IF(COUNTIF(J175:U175,"x")=0,(Besatzung!$F$21="x"),(T175="x")*(Besatzung!$F$21="x"))*IFERROR(H175,0)/IFERROR(IF(COUNTIF(J175:U175,"x")=0,SUMPRODUCT((Besatzung!$B$11:$B$22&lt;&gt;"")*(Besatzung!$F$11:$F$22="x")),SUMPRODUCT((J175:U175="x")*(Besatzung!$F$11:$F$22="x"))),1))))),0))))</f>
        <v/>
      </c>
      <c r="AG175" s="106">
        <f>IF(C175="Gutschrift","",IF(G175="","",IF(Besatzung!$B$22="","",IFERROR(IF(I175="Zeitanteilig",(Besatzung!$G$22*(G175-IFERROR(H175,0))+((Besatzung!$B$22&lt;&gt;"")*IF(B175="",1,(IF(Besatzung!$C$22="",Besatzung!$B$5,Besatzung!$C$22)&lt;=B175)*(IF(Besatzung!$D$22="",Besatzung!$B$6,Besatzung!$D$22)&gt;=B175)))*(Besatzung!$F$22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$22&lt;&gt;"")*IF(B175="",1,(IF(Besatzung!$C$22="",Besatzung!$B$5,Besatzung!$C$22)&lt;=B175)*(IF(Besatzung!$D$22="",Besatzung!$B$6,Besatzung!$D$22)&gt;=B175)))*((G175-IFERROR(H175,0))/IFERROR(SUMPRODUCT((Besatzung!$B$11:$B$22&lt;&gt;"")*(IF(Besatzung!$C$11:$C$22="",Besatzung!$B$5,Besatzung!$C$11:$C$22)&lt;=B175)*(IF(Besatzung!$D$11:$D$22="",Besatzung!$B$6,Besatzung!$D$11:$D$22)&gt;=B175)),1)+(Besatzung!$F$22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U175="x")*((G175-IFERROR(H175,0))/IFERROR(COUNTIF(J175:U175,"x"),1)+(Besatzung!$F$22="x")*IFERROR(H175,0)/IFERROR(SUMPRODUCT((J175:U175="x")*(Besatzung!$F$11:$F$22="x")),1))),(IF(COUNTIF(J175:U175,"x")=0,IF(Besatzung!$B$22&lt;&gt;"",1,0),(U175="x"))*(G175-IFERROR(H175,0))/IFERROR(IF(COUNTIF(J175:U175,"x")=0,COUNTA(Besatzung!$B$11:$B$22),COUNTIF(J175:U175,"x")),1)+IF(COUNTIF(J175:U175,"x")=0,(Besatzung!$F$22="x"),(U175="x")*(Besatzung!$F$22="x"))*IFERROR(H175,0)/IFERROR(IF(COUNTIF(J175:U175,"x")=0,SUMPRODUCT((Besatzung!$B$11:$B$22&lt;&gt;"")*(Besatzung!$F$11:$F$22="x")),SUMPRODUCT((J175:U175="x")*(Besatzung!$F$11:$F$22="x"))),1))))),0))))</f>
        <v/>
      </c>
      <c r="AH175" s="107" t="n"/>
      <c r="AI175" s="107" t="n"/>
    </row>
    <row r="176" ht="21.75" customHeight="1" s="182">
      <c r="A176" s="97">
        <f>IF(AND(D176="",C176=""),"",173)</f>
        <v/>
      </c>
      <c r="B176" s="56" t="n"/>
      <c r="C176" s="98" t="n"/>
      <c r="D176" s="99" t="n"/>
      <c r="E176" s="100" t="n"/>
      <c r="F176" s="101" t="n"/>
      <c r="G176" s="102" t="n"/>
      <c r="H176" s="103" t="n"/>
      <c r="I176" s="104" t="n"/>
      <c r="J176" s="105" t="n"/>
      <c r="K176" s="105" t="n"/>
      <c r="L176" s="105" t="n"/>
      <c r="M176" s="105" t="n"/>
      <c r="N176" s="105" t="n"/>
      <c r="O176" s="105" t="n"/>
      <c r="P176" s="105" t="n"/>
      <c r="Q176" s="105" t="n"/>
      <c r="R176" s="105" t="n"/>
      <c r="S176" s="105" t="n"/>
      <c r="T176" s="105" t="n"/>
      <c r="U176" s="105" t="n"/>
      <c r="V176" s="106">
        <f>IF(C176="Gutschrift","",IF(G176="","",IF(Besatzung!$B$11="","",IFERROR(IF(I176="Zeitanteilig",(Besatzung!$G$11*(G176-IFERROR(H176,0))+((Besatzung!$B$11&lt;&gt;"")*IF(B176="",1,(IF(Besatzung!$C$11="",Besatzung!$B$5,Besatzung!$C$11)&lt;=B176)*(IF(Besatzung!$D$11="",Besatzung!$B$6,Besatzung!$D$11)&gt;=B176)))*(Besatzung!$F$11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$11&lt;&gt;"")*IF(B176="",1,(IF(Besatzung!$C$11="",Besatzung!$B$5,Besatzung!$C$11)&lt;=B176)*(IF(Besatzung!$D$11="",Besatzung!$B$6,Besatzung!$D$11)&gt;=B176)))*((G176-IFERROR(H176,0))/IFERROR(SUMPRODUCT((Besatzung!$B$11:$B$22&lt;&gt;"")*(IF(Besatzung!$C$11:$C$22="",Besatzung!$B$5,Besatzung!$C$11:$C$22)&lt;=B176)*(IF(Besatzung!$D$11:$D$22="",Besatzung!$B$6,Besatzung!$D$11:$D$22)&gt;=B176)),1)+(Besatzung!$F$11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J176="x")*((G176-IFERROR(H176,0))/IFERROR(COUNTIF(J176:U176,"x"),1)+(Besatzung!$F$11="x")*IFERROR(H176,0)/IFERROR(SUMPRODUCT((J176:U176="x")*(Besatzung!$F$11:$F$22="x")),1))),(IF(COUNTIF(J176:U176,"x")=0,IF(Besatzung!$B$11&lt;&gt;"",1,0),(J176="x"))*(G176-IFERROR(H176,0))/IFERROR(IF(COUNTIF(J176:U176,"x")=0,COUNTA(Besatzung!$B$11:$B$22),COUNTIF(J176:U176,"x")),1)+IF(COUNTIF(J176:U176,"x")=0,(Besatzung!$F$11="x"),(J176="x")*(Besatzung!$F$11="x"))*IFERROR(H176,0)/IFERROR(IF(COUNTIF(J176:U176,"x")=0,SUMPRODUCT((Besatzung!$B$11:$B$22&lt;&gt;"")*(Besatzung!$F$11:$F$22="x")),SUMPRODUCT((J176:U176="x")*(Besatzung!$F$11:$F$22="x"))),1))))),0))))</f>
        <v/>
      </c>
      <c r="W176" s="106">
        <f>IF(C176="Gutschrift","",IF(G176="","",IF(Besatzung!$B$12="","",IFERROR(IF(I176="Zeitanteilig",(Besatzung!$G$12*(G176-IFERROR(H176,0))+((Besatzung!$B$12&lt;&gt;"")*IF(B176="",1,(IF(Besatzung!$C$12="",Besatzung!$B$5,Besatzung!$C$12)&lt;=B176)*(IF(Besatzung!$D$12="",Besatzung!$B$6,Besatzung!$D$12)&gt;=B176)))*(Besatzung!$F$12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$12&lt;&gt;"")*IF(B176="",1,(IF(Besatzung!$C$12="",Besatzung!$B$5,Besatzung!$C$12)&lt;=B176)*(IF(Besatzung!$D$12="",Besatzung!$B$6,Besatzung!$D$12)&gt;=B176)))*((G176-IFERROR(H176,0))/IFERROR(SUMPRODUCT((Besatzung!$B$11:$B$22&lt;&gt;"")*(IF(Besatzung!$C$11:$C$22="",Besatzung!$B$5,Besatzung!$C$11:$C$22)&lt;=B176)*(IF(Besatzung!$D$11:$D$22="",Besatzung!$B$6,Besatzung!$D$11:$D$22)&gt;=B176)),1)+(Besatzung!$F$12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K176="x")*((G176-IFERROR(H176,0))/IFERROR(COUNTIF(J176:U176,"x"),1)+(Besatzung!$F$12="x")*IFERROR(H176,0)/IFERROR(SUMPRODUCT((J176:U176="x")*(Besatzung!$F$11:$F$22="x")),1))),(IF(COUNTIF(J176:U176,"x")=0,IF(Besatzung!$B$12&lt;&gt;"",1,0),(K176="x"))*(G176-IFERROR(H176,0))/IFERROR(IF(COUNTIF(J176:U176,"x")=0,COUNTA(Besatzung!$B$11:$B$22),COUNTIF(J176:U176,"x")),1)+IF(COUNTIF(J176:U176,"x")=0,(Besatzung!$F$12="x"),(K176="x")*(Besatzung!$F$12="x"))*IFERROR(H176,0)/IFERROR(IF(COUNTIF(J176:U176,"x")=0,SUMPRODUCT((Besatzung!$B$11:$B$22&lt;&gt;"")*(Besatzung!$F$11:$F$22="x")),SUMPRODUCT((J176:U176="x")*(Besatzung!$F$11:$F$22="x"))),1))))),0))))</f>
        <v/>
      </c>
      <c r="X176" s="106">
        <f>IF(C176="Gutschrift","",IF(G176="","",IF(Besatzung!$B$13="","",IFERROR(IF(I176="Zeitanteilig",(Besatzung!$G$13*(G176-IFERROR(H176,0))+((Besatzung!$B$13&lt;&gt;"")*IF(B176="",1,(IF(Besatzung!$C$13="",Besatzung!$B$5,Besatzung!$C$13)&lt;=B176)*(IF(Besatzung!$D$13="",Besatzung!$B$6,Besatzung!$D$13)&gt;=B176)))*(Besatzung!$F$13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$13&lt;&gt;"")*IF(B176="",1,(IF(Besatzung!$C$13="",Besatzung!$B$5,Besatzung!$C$13)&lt;=B176)*(IF(Besatzung!$D$13="",Besatzung!$B$6,Besatzung!$D$13)&gt;=B176)))*((G176-IFERROR(H176,0))/IFERROR(SUMPRODUCT((Besatzung!$B$11:$B$22&lt;&gt;"")*(IF(Besatzung!$C$11:$C$22="",Besatzung!$B$5,Besatzung!$C$11:$C$22)&lt;=B176)*(IF(Besatzung!$D$11:$D$22="",Besatzung!$B$6,Besatzung!$D$11:$D$22)&gt;=B176)),1)+(Besatzung!$F$13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K176="x")*((G176-IFERROR(H176,0))/IFERROR(COUNTIF(J176:U176,"x"),1)+(Besatzung!$F$13="x")*IFERROR(H176,0)/IFERROR(SUMPRODUCT((J176:U176="x")*(Besatzung!$F$11:$F$22="x")),1))),(IF(COUNTIF(J176:U176,"x")=0,IF(Besatzung!$B$13&lt;&gt;"",1,0),(K176="x"))*(G176-IFERROR(H176,0))/IFERROR(IF(COUNTIF(J176:U176,"x")=0,COUNTA(Besatzung!$B$11:$B$22),COUNTIF(J176:U176,"x")),1)+IF(COUNTIF(J176:U176,"x")=0,(Besatzung!$F$13="x"),(K176="x")*(Besatzung!$F$13="x"))*IFERROR(H176,0)/IFERROR(IF(COUNTIF(J176:U176,"x")=0,SUMPRODUCT((Besatzung!$B$11:$B$22&lt;&gt;"")*(Besatzung!$F$11:$F$22="x")),SUMPRODUCT((J176:U176="x")*(Besatzung!$F$11:$F$22="x"))),1))))),0))))</f>
        <v/>
      </c>
      <c r="Y176" s="106">
        <f>IF(C176="Gutschrift","",IF(G176="","",IF(Besatzung!$B$14="","",IFERROR(IF(I176="Zeitanteilig",(Besatzung!$G$14*(G176-IFERROR(H176,0))+((Besatzung!$B$14&lt;&gt;"")*IF(B176="",1,(IF(Besatzung!$C$14="",Besatzung!$B$5,Besatzung!$C$14)&lt;=B176)*(IF(Besatzung!$D$14="",Besatzung!$B$6,Besatzung!$D$14)&gt;=B176)))*(Besatzung!$F$14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$14&lt;&gt;"")*IF(B176="",1,(IF(Besatzung!$C$14="",Besatzung!$B$5,Besatzung!$C$14)&lt;=B176)*(IF(Besatzung!$D$14="",Besatzung!$B$6,Besatzung!$D$14)&gt;=B176)))*((G176-IFERROR(H176,0))/IFERROR(SUMPRODUCT((Besatzung!$B$11:$B$22&lt;&gt;"")*(IF(Besatzung!$C$11:$C$22="",Besatzung!$B$5,Besatzung!$C$11:$C$22)&lt;=B176)*(IF(Besatzung!$D$11:$D$22="",Besatzung!$B$6,Besatzung!$D$11:$D$22)&gt;=B176)),1)+(Besatzung!$F$14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M176="x")*((G176-IFERROR(H176,0))/IFERROR(COUNTIF(J176:U176,"x"),1)+(Besatzung!$F$14="x")*IFERROR(H176,0)/IFERROR(SUMPRODUCT((J176:U176="x")*(Besatzung!$F$11:$F$22="x")),1))),(IF(COUNTIF(J176:U176,"x")=0,IF(Besatzung!$B$14&lt;&gt;"",1,0),(M176="x"))*(G176-IFERROR(H176,0))/IFERROR(IF(COUNTIF(J176:U176,"x")=0,COUNTA(Besatzung!$B$11:$B$22),COUNTIF(J176:U176,"x")),1)+IF(COUNTIF(J176:U176,"x")=0,(Besatzung!$F$14="x"),(M176="x")*(Besatzung!$F$14="x"))*IFERROR(H176,0)/IFERROR(IF(COUNTIF(J176:U176,"x")=0,SUMPRODUCT((Besatzung!$B$11:$B$22&lt;&gt;"")*(Besatzung!$F$11:$F$22="x")),SUMPRODUCT((J176:U176="x")*(Besatzung!$F$11:$F$22="x"))),1))))),0))))</f>
        <v/>
      </c>
      <c r="Z176" s="106">
        <f>IF(C176="Gutschrift","",IF(G176="","",IF(Besatzung!$B$13="","",IFERROR(IF(I176="Zeitanteilig",(Besatzung!$G$15*(G176-IFERROR(H176,0))+((Besatzung!$B$13&lt;&gt;"")*IF(B176="",1,(IF(Besatzung!$C$15="",Besatzung!$B$5,Besatzung!$C$15)&lt;=B176)*(IF(Besatzung!$D$15="",Besatzung!$B$6,Besatzung!$D$15)&gt;=B176)))*(Besatzung!$F$15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$13&lt;&gt;"")*IF(B176="",1,(IF(Besatzung!$C$15="",Besatzung!$B$5,Besatzung!$C$15)&lt;=B176)*(IF(Besatzung!$D$15="",Besatzung!$B$6,Besatzung!$D$15)&gt;=B176)))*((G176-IFERROR(H176,0))/IFERROR(SUMPRODUCT((Besatzung!$B$11:$B$22&lt;&gt;"")*(IF(Besatzung!$C$11:$C$22="",Besatzung!$B$5,Besatzung!$C$11:$C$22)&lt;=B176)*(IF(Besatzung!$D$11:$D$22="",Besatzung!$B$6,Besatzung!$D$11:$D$22)&gt;=B176)),1)+(Besatzung!$F$15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N176="x")*((G176-IFERROR(H176,0))/IFERROR(COUNTIF(J176:U176,"x"),1)+(Besatzung!$F$15="x")*IFERROR(H176,0)/IFERROR(SUMPRODUCT((J176:U176="x")*(Besatzung!$F$11:$F$22="x")),1))),(IF(COUNTIF(J176:U176,"x")=0,IF(Besatzung!$B$13&lt;&gt;"",1,0),(N176="x"))*(G176-IFERROR(H176,0))/IFERROR(IF(COUNTIF(J176:U176,"x")=0,COUNTA(Besatzung!$B$11:$B$22),COUNTIF(J176:U176,"x")),1)+IF(COUNTIF(J176:U176,"x")=0,(Besatzung!$F$15="x"),(N176="x")*(Besatzung!$F$15="x"))*IFERROR(H176,0)/IFERROR(IF(COUNTIF(J176:U176,"x")=0,SUMPRODUCT((Besatzung!$B$11:$B$22&lt;&gt;"")*(Besatzung!$F$11:$F$22="x")),SUMPRODUCT((J176:U176="x")*(Besatzung!$F$11:$F$22="x"))),1))))),0))))</f>
        <v/>
      </c>
      <c r="AA176" s="106">
        <f>IF(C176="Gutschrift","",IF(G176="","",IF(Besatzung!$B$15="","",IFERROR(IF(I176="Zeitanteilig",(Besatzung!$G$16*(G176-IFERROR(H176,0))+((Besatzung!$B$15&lt;&gt;"")*IF(B176="",1,(IF(Besatzung!$C$16="",Besatzung!$B$5,Besatzung!$C$16)&lt;=B176)*(IF(Besatzung!$D$16="",Besatzung!$B$6,Besatzung!$D$16)&gt;=B176)))*(Besatzung!$F$16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$15&lt;&gt;"")*IF(B176="",1,(IF(Besatzung!$C$16="",Besatzung!$B$5,Besatzung!$C$16)&lt;=B176)*(IF(Besatzung!$D$16="",Besatzung!$B$6,Besatzung!$D$16)&gt;=B176)))*((G176-IFERROR(H176,0))/IFERROR(SUMPRODUCT((Besatzung!$B$11:$B$22&lt;&gt;"")*(IF(Besatzung!$C$11:$C$22="",Besatzung!$B$5,Besatzung!$C$11:$C$22)&lt;=B176)*(IF(Besatzung!$D$11:$D$22="",Besatzung!$B$6,Besatzung!$D$11:$D$22)&gt;=B176)),1)+(Besatzung!$F$16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O176="x")*((G176-IFERROR(H176,0))/IFERROR(COUNTIF(J176:U176,"x"),1)+(Besatzung!$F$16="x")*IFERROR(H176,0)/IFERROR(SUMPRODUCT((J176:U176="x")*(Besatzung!$F$11:$F$22="x")),1))),(IF(COUNTIF(J176:U176,"x")=0,IF(Besatzung!$B$15&lt;&gt;"",1,0),(O176="x"))*(G176-IFERROR(H176,0))/IFERROR(IF(COUNTIF(J176:U176,"x")=0,COUNTA(Besatzung!$B$11:$B$22),COUNTIF(J176:U176,"x")),1)+IF(COUNTIF(J176:U176,"x")=0,(Besatzung!$F$16="x"),(O176="x")*(Besatzung!$F$16="x"))*IFERROR(H176,0)/IFERROR(IF(COUNTIF(J176:U176,"x")=0,SUMPRODUCT((Besatzung!$B$11:$B$22&lt;&gt;"")*(Besatzung!$F$11:$F$22="x")),SUMPRODUCT((J176:U176="x")*(Besatzung!$F$11:$F$22="x"))),1))))),0))))</f>
        <v/>
      </c>
      <c r="AB176" s="106">
        <f>IF(C176="Gutschrift","",IF(G176="","",IF(Besatzung!$B$17="","",IFERROR(IF(I176="Zeitanteilig",(Besatzung!$G$17*(G176-IFERROR(H176,0))+((Besatzung!$B$17&lt;&gt;"")*IF(B176="",1,(IF(Besatzung!$C$17="",Besatzung!$B$5,Besatzung!$C$17)&lt;=B176)*(IF(Besatzung!$D$17="",Besatzung!$B$6,Besatzung!$D$17)&gt;=B176)))*(Besatzung!$F$17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$17&lt;&gt;"")*IF(B176="",1,(IF(Besatzung!$C$17="",Besatzung!$B$5,Besatzung!$C$17)&lt;=B176)*(IF(Besatzung!$D$17="",Besatzung!$B$6,Besatzung!$D$17)&gt;=B176)))*((G176-IFERROR(H176,0))/IFERROR(SUMPRODUCT((Besatzung!$B$11:$B$22&lt;&gt;"")*(IF(Besatzung!$C$11:$C$22="",Besatzung!$B$5,Besatzung!$C$11:$C$22)&lt;=B176)*(IF(Besatzung!$D$11:$D$22="",Besatzung!$B$6,Besatzung!$D$11:$D$22)&gt;=B176)),1)+(Besatzung!$F$17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P176="x")*((G176-IFERROR(H176,0))/IFERROR(COUNTIF(J176:U176,"x"),1)+(Besatzung!$F$17="x")*IFERROR(H176,0)/IFERROR(SUMPRODUCT((J176:U176="x")*(Besatzung!$F$11:$F$22="x")),1))),(IF(COUNTIF(J176:U176,"x")=0,IF(Besatzung!$B$17&lt;&gt;"",1,0),(P176="x"))*(G176-IFERROR(H176,0))/IFERROR(IF(COUNTIF(J176:U176,"x")=0,COUNTA(Besatzung!$B$11:$B$22),COUNTIF(J176:U176,"x")),1)+IF(COUNTIF(J176:U176,"x")=0,(Besatzung!$F$17="x"),(P176="x")*(Besatzung!$F$17="x"))*IFERROR(H176,0)/IFERROR(IF(COUNTIF(J176:U176,"x")=0,SUMPRODUCT((Besatzung!$B$11:$B$22&lt;&gt;"")*(Besatzung!$F$11:$F$22="x")),SUMPRODUCT((J176:U176="x")*(Besatzung!$F$11:$F$22="x"))),1))))),0))))</f>
        <v/>
      </c>
      <c r="AC176" s="106">
        <f>IF(C176="Gutschrift","",IF(G176="","",IF(Besatzung!$B$18="","",IFERROR(IF(I176="Zeitanteilig",(Besatzung!$G$18*(G176-IFERROR(H176,0))+((Besatzung!$B$18&lt;&gt;"")*IF(B176="",1,(IF(Besatzung!$C$18="",Besatzung!$B$5,Besatzung!$C$18)&lt;=B176)*(IF(Besatzung!$D$18="",Besatzung!$B$6,Besatzung!$D$18)&gt;=B176)))*(Besatzung!$F$18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$18&lt;&gt;"")*IF(B176="",1,(IF(Besatzung!$C$18="",Besatzung!$B$5,Besatzung!$C$18)&lt;=B176)*(IF(Besatzung!$D$18="",Besatzung!$B$6,Besatzung!$D$18)&gt;=B176)))*((G176-IFERROR(H176,0))/IFERROR(SUMPRODUCT((Besatzung!$B$11:$B$22&lt;&gt;"")*(IF(Besatzung!$C$11:$C$22="",Besatzung!$B$5,Besatzung!$C$11:$C$22)&lt;=B176)*(IF(Besatzung!$D$11:$D$22="",Besatzung!$B$6,Besatzung!$D$11:$D$22)&gt;=B176)),1)+(Besatzung!$F$18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Q176="x")*((G176-IFERROR(H176,0))/IFERROR(COUNTIF(J176:U176,"x"),1)+(Besatzung!$F$18="x")*IFERROR(H176,0)/IFERROR(SUMPRODUCT((J176:U176="x")*(Besatzung!$F$11:$F$22="x")),1))),(IF(COUNTIF(J176:U176,"x")=0,IF(Besatzung!$B$18&lt;&gt;"",1,0),(Q176="x"))*(G176-IFERROR(H176,0))/IFERROR(IF(COUNTIF(J176:U176,"x")=0,COUNTA(Besatzung!$B$11:$B$22),COUNTIF(J176:U176,"x")),1)+IF(COUNTIF(J176:U176,"x")=0,(Besatzung!$F$18="x"),(Q176="x")*(Besatzung!$F$18="x"))*IFERROR(H176,0)/IFERROR(IF(COUNTIF(J176:U176,"x")=0,SUMPRODUCT((Besatzung!$B$11:$B$22&lt;&gt;"")*(Besatzung!$F$11:$F$22="x")),SUMPRODUCT((J176:U176="x")*(Besatzung!$F$11:$F$22="x"))),1))))),0))))</f>
        <v/>
      </c>
      <c r="AD176" s="106">
        <f>IF(C176="Gutschrift","",IF(G176="","",IF(Besatzung!$B$19="","",IFERROR(IF(I176="Zeitanteilig",(Besatzung!$G$19*(G176-IFERROR(H176,0))+((Besatzung!$B$19&lt;&gt;"")*IF(B176="",1,(IF(Besatzung!$C$19="",Besatzung!$B$5,Besatzung!$C$19)&lt;=B176)*(IF(Besatzung!$D$19="",Besatzung!$B$6,Besatzung!$D$19)&gt;=B176)))*(Besatzung!$F$19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$19&lt;&gt;"")*IF(B176="",1,(IF(Besatzung!$C$19="",Besatzung!$B$5,Besatzung!$C$19)&lt;=B176)*(IF(Besatzung!$D$19="",Besatzung!$B$6,Besatzung!$D$19)&gt;=B176)))*((G176-IFERROR(H176,0))/IFERROR(SUMPRODUCT((Besatzung!$B$11:$B$22&lt;&gt;"")*(IF(Besatzung!$C$11:$C$22="",Besatzung!$B$5,Besatzung!$C$11:$C$22)&lt;=B176)*(IF(Besatzung!$D$11:$D$22="",Besatzung!$B$6,Besatzung!$D$11:$D$22)&gt;=B176)),1)+(Besatzung!$F$19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R176="x")*((G176-IFERROR(H176,0))/IFERROR(COUNTIF(J176:U176,"x"),1)+(Besatzung!$F$19="x")*IFERROR(H176,0)/IFERROR(SUMPRODUCT((J176:U176="x")*(Besatzung!$F$11:$F$22="x")),1))),(IF(COUNTIF(J176:U176,"x")=0,IF(Besatzung!$B$19&lt;&gt;"",1,0),(R176="x"))*(G176-IFERROR(H176,0))/IFERROR(IF(COUNTIF(J176:U176,"x")=0,COUNTA(Besatzung!$B$11:$B$22),COUNTIF(J176:U176,"x")),1)+IF(COUNTIF(J176:U176,"x")=0,(Besatzung!$F$19="x"),(R176="x")*(Besatzung!$F$19="x"))*IFERROR(H176,0)/IFERROR(IF(COUNTIF(J176:U176,"x")=0,SUMPRODUCT((Besatzung!$B$11:$B$22&lt;&gt;"")*(Besatzung!$F$11:$F$22="x")),SUMPRODUCT((J176:U176="x")*(Besatzung!$F$11:$F$22="x"))),1))))),0))))</f>
        <v/>
      </c>
      <c r="AE176" s="106">
        <f>IF(C176="Gutschrift","",IF(G176="","",IF(Besatzung!$B$20="","",IFERROR(IF(I176="Zeitanteilig",(Besatzung!$G$20*(G176-IFERROR(H176,0))+((Besatzung!$B$20&lt;&gt;"")*IF(B176="",1,(IF(Besatzung!$C$20="",Besatzung!$B$5,Besatzung!$C$20)&lt;=B176)*(IF(Besatzung!$D$20="",Besatzung!$B$6,Besatzung!$D$20)&gt;=B176)))*(Besatzung!$F$20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$20&lt;&gt;"")*IF(B176="",1,(IF(Besatzung!$C$20="",Besatzung!$B$5,Besatzung!$C$20)&lt;=B176)*(IF(Besatzung!$D$20="",Besatzung!$B$6,Besatzung!$D$20)&gt;=B176)))*((G176-IFERROR(H176,0))/IFERROR(SUMPRODUCT((Besatzung!$B$11:$B$22&lt;&gt;"")*(IF(Besatzung!$C$11:$C$22="",Besatzung!$B$5,Besatzung!$C$11:$C$22)&lt;=B176)*(IF(Besatzung!$D$11:$D$22="",Besatzung!$B$6,Besatzung!$D$11:$D$22)&gt;=B176)),1)+(Besatzung!$F$20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S176="x")*((G176-IFERROR(H176,0))/IFERROR(COUNTIF(J176:U176,"x"),1)+(Besatzung!$F$20="x")*IFERROR(H176,0)/IFERROR(SUMPRODUCT((J176:U176="x")*(Besatzung!$F$11:$F$22="x")),1))),(IF(COUNTIF(J176:U176,"x")=0,IF(Besatzung!$B$20&lt;&gt;"",1,0),(S176="x"))*(G176-IFERROR(H176,0))/IFERROR(IF(COUNTIF(J176:U176,"x")=0,COUNTA(Besatzung!$B$11:$B$22),COUNTIF(J176:U176,"x")),1)+IF(COUNTIF(J176:U176,"x")=0,(Besatzung!$F$20="x"),(S176="x")*(Besatzung!$F$20="x"))*IFERROR(H176,0)/IFERROR(IF(COUNTIF(J176:U176,"x")=0,SUMPRODUCT((Besatzung!$B$11:$B$22&lt;&gt;"")*(Besatzung!$F$11:$F$22="x")),SUMPRODUCT((J176:U176="x")*(Besatzung!$F$11:$F$22="x"))),1))))),0))))</f>
        <v/>
      </c>
      <c r="AF176" s="106">
        <f>IF(C176="Gutschrift","",IF(G176="","",IF(Besatzung!$B$21="","",IFERROR(IF(I176="Zeitanteilig",(Besatzung!$G$21*(G176-IFERROR(H176,0))+((Besatzung!$B$21&lt;&gt;"")*IF(B176="",1,(IF(Besatzung!$C$21="",Besatzung!$B$5,Besatzung!$C$21)&lt;=B176)*(IF(Besatzung!$D$21="",Besatzung!$B$6,Besatzung!$D$21)&gt;=B176)))*(Besatzung!$F$21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$21&lt;&gt;"")*IF(B176="",1,(IF(Besatzung!$C$21="",Besatzung!$B$5,Besatzung!$C$21)&lt;=B176)*(IF(Besatzung!$D$21="",Besatzung!$B$6,Besatzung!$D$21)&gt;=B176)))*((G176-IFERROR(H176,0))/IFERROR(SUMPRODUCT((Besatzung!$B$11:$B$22&lt;&gt;"")*(IF(Besatzung!$C$11:$C$22="",Besatzung!$B$5,Besatzung!$C$11:$C$22)&lt;=B176)*(IF(Besatzung!$D$11:$D$22="",Besatzung!$B$6,Besatzung!$D$11:$D$22)&gt;=B176)),1)+(Besatzung!$F$21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T176="x")*((G176-IFERROR(H176,0))/IFERROR(COUNTIF(J176:U176,"x"),1)+(Besatzung!$F$21="x")*IFERROR(H176,0)/IFERROR(SUMPRODUCT((J176:U176="x")*(Besatzung!$F$11:$F$22="x")),1))),(IF(COUNTIF(J176:U176,"x")=0,IF(Besatzung!$B$21&lt;&gt;"",1,0),(T176="x"))*(G176-IFERROR(H176,0))/IFERROR(IF(COUNTIF(J176:U176,"x")=0,COUNTA(Besatzung!$B$11:$B$22),COUNTIF(J176:U176,"x")),1)+IF(COUNTIF(J176:U176,"x")=0,(Besatzung!$F$21="x"),(T176="x")*(Besatzung!$F$21="x"))*IFERROR(H176,0)/IFERROR(IF(COUNTIF(J176:U176,"x")=0,SUMPRODUCT((Besatzung!$B$11:$B$22&lt;&gt;"")*(Besatzung!$F$11:$F$22="x")),SUMPRODUCT((J176:U176="x")*(Besatzung!$F$11:$F$22="x"))),1))))),0))))</f>
        <v/>
      </c>
      <c r="AG176" s="106">
        <f>IF(C176="Gutschrift","",IF(G176="","",IF(Besatzung!$B$22="","",IFERROR(IF(I176="Zeitanteilig",(Besatzung!$G$22*(G176-IFERROR(H176,0))+((Besatzung!$B$22&lt;&gt;"")*IF(B176="",1,(IF(Besatzung!$C$22="",Besatzung!$B$5,Besatzung!$C$22)&lt;=B176)*(IF(Besatzung!$D$22="",Besatzung!$B$6,Besatzung!$D$22)&gt;=B176)))*(Besatzung!$F$22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$22&lt;&gt;"")*IF(B176="",1,(IF(Besatzung!$C$22="",Besatzung!$B$5,Besatzung!$C$22)&lt;=B176)*(IF(Besatzung!$D$22="",Besatzung!$B$6,Besatzung!$D$22)&gt;=B176)))*((G176-IFERROR(H176,0))/IFERROR(SUMPRODUCT((Besatzung!$B$11:$B$22&lt;&gt;"")*(IF(Besatzung!$C$11:$C$22="",Besatzung!$B$5,Besatzung!$C$11:$C$22)&lt;=B176)*(IF(Besatzung!$D$11:$D$22="",Besatzung!$B$6,Besatzung!$D$11:$D$22)&gt;=B176)),1)+(Besatzung!$F$22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U176="x")*((G176-IFERROR(H176,0))/IFERROR(COUNTIF(J176:U176,"x"),1)+(Besatzung!$F$22="x")*IFERROR(H176,0)/IFERROR(SUMPRODUCT((J176:U176="x")*(Besatzung!$F$11:$F$22="x")),1))),(IF(COUNTIF(J176:U176,"x")=0,IF(Besatzung!$B$22&lt;&gt;"",1,0),(U176="x"))*(G176-IFERROR(H176,0))/IFERROR(IF(COUNTIF(J176:U176,"x")=0,COUNTA(Besatzung!$B$11:$B$22),COUNTIF(J176:U176,"x")),1)+IF(COUNTIF(J176:U176,"x")=0,(Besatzung!$F$22="x"),(U176="x")*(Besatzung!$F$22="x"))*IFERROR(H176,0)/IFERROR(IF(COUNTIF(J176:U176,"x")=0,SUMPRODUCT((Besatzung!$B$11:$B$22&lt;&gt;"")*(Besatzung!$F$11:$F$22="x")),SUMPRODUCT((J176:U176="x")*(Besatzung!$F$11:$F$22="x"))),1))))),0))))</f>
        <v/>
      </c>
      <c r="AH176" s="107" t="n"/>
      <c r="AI176" s="107" t="n"/>
    </row>
    <row r="177" ht="21.75" customHeight="1" s="182">
      <c r="A177" s="97">
        <f>IF(AND(D177="",C177=""),"",174)</f>
        <v/>
      </c>
      <c r="B177" s="63" t="n"/>
      <c r="C177" s="108" t="n"/>
      <c r="D177" s="109" t="n"/>
      <c r="E177" s="110" t="n"/>
      <c r="F177" s="111" t="n"/>
      <c r="G177" s="112" t="n"/>
      <c r="H177" s="113" t="n"/>
      <c r="I177" s="114" t="n"/>
      <c r="J177" s="115" t="n"/>
      <c r="K177" s="115" t="n"/>
      <c r="L177" s="115" t="n"/>
      <c r="M177" s="115" t="n"/>
      <c r="N177" s="115" t="n"/>
      <c r="O177" s="115" t="n"/>
      <c r="P177" s="115" t="n"/>
      <c r="Q177" s="115" t="n"/>
      <c r="R177" s="115" t="n"/>
      <c r="S177" s="115" t="n"/>
      <c r="T177" s="115" t="n"/>
      <c r="U177" s="115" t="n"/>
      <c r="V177" s="106">
        <f>IF(C177="Gutschrift","",IF(G177="","",IF(Besatzung!$B$11="","",IFERROR(IF(I177="Zeitanteilig",(Besatzung!$G$11*(G177-IFERROR(H177,0))+((Besatzung!$B$11&lt;&gt;"")*IF(B177="",1,(IF(Besatzung!$C$11="",Besatzung!$B$5,Besatzung!$C$11)&lt;=B177)*(IF(Besatzung!$D$11="",Besatzung!$B$6,Besatzung!$D$11)&gt;=B177)))*(Besatzung!$F$11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$11&lt;&gt;"")*IF(B177="",1,(IF(Besatzung!$C$11="",Besatzung!$B$5,Besatzung!$C$11)&lt;=B177)*(IF(Besatzung!$D$11="",Besatzung!$B$6,Besatzung!$D$11)&gt;=B177)))*((G177-IFERROR(H177,0))/IFERROR(SUMPRODUCT((Besatzung!$B$11:$B$22&lt;&gt;"")*(IF(Besatzung!$C$11:$C$22="",Besatzung!$B$5,Besatzung!$C$11:$C$22)&lt;=B177)*(IF(Besatzung!$D$11:$D$22="",Besatzung!$B$6,Besatzung!$D$11:$D$22)&gt;=B177)),1)+(Besatzung!$F$11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J177="x")*((G177-IFERROR(H177,0))/IFERROR(COUNTIF(J177:U177,"x"),1)+(Besatzung!$F$11="x")*IFERROR(H177,0)/IFERROR(SUMPRODUCT((J177:U177="x")*(Besatzung!$F$11:$F$22="x")),1))),(IF(COUNTIF(J177:U177,"x")=0,IF(Besatzung!$B$11&lt;&gt;"",1,0),(J177="x"))*(G177-IFERROR(H177,0))/IFERROR(IF(COUNTIF(J177:U177,"x")=0,COUNTA(Besatzung!$B$11:$B$22),COUNTIF(J177:U177,"x")),1)+IF(COUNTIF(J177:U177,"x")=0,(Besatzung!$F$11="x"),(J177="x")*(Besatzung!$F$11="x"))*IFERROR(H177,0)/IFERROR(IF(COUNTIF(J177:U177,"x")=0,SUMPRODUCT((Besatzung!$B$11:$B$22&lt;&gt;"")*(Besatzung!$F$11:$F$22="x")),SUMPRODUCT((J177:U177="x")*(Besatzung!$F$11:$F$22="x"))),1))))),0))))</f>
        <v/>
      </c>
      <c r="W177" s="106">
        <f>IF(C177="Gutschrift","",IF(G177="","",IF(Besatzung!$B$12="","",IFERROR(IF(I177="Zeitanteilig",(Besatzung!$G$12*(G177-IFERROR(H177,0))+((Besatzung!$B$12&lt;&gt;"")*IF(B177="",1,(IF(Besatzung!$C$12="",Besatzung!$B$5,Besatzung!$C$12)&lt;=B177)*(IF(Besatzung!$D$12="",Besatzung!$B$6,Besatzung!$D$12)&gt;=B177)))*(Besatzung!$F$12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$12&lt;&gt;"")*IF(B177="",1,(IF(Besatzung!$C$12="",Besatzung!$B$5,Besatzung!$C$12)&lt;=B177)*(IF(Besatzung!$D$12="",Besatzung!$B$6,Besatzung!$D$12)&gt;=B177)))*((G177-IFERROR(H177,0))/IFERROR(SUMPRODUCT((Besatzung!$B$11:$B$22&lt;&gt;"")*(IF(Besatzung!$C$11:$C$22="",Besatzung!$B$5,Besatzung!$C$11:$C$22)&lt;=B177)*(IF(Besatzung!$D$11:$D$22="",Besatzung!$B$6,Besatzung!$D$11:$D$22)&gt;=B177)),1)+(Besatzung!$F$12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K177="x")*((G177-IFERROR(H177,0))/IFERROR(COUNTIF(J177:U177,"x"),1)+(Besatzung!$F$12="x")*IFERROR(H177,0)/IFERROR(SUMPRODUCT((J177:U177="x")*(Besatzung!$F$11:$F$22="x")),1))),(IF(COUNTIF(J177:U177,"x")=0,IF(Besatzung!$B$12&lt;&gt;"",1,0),(K177="x"))*(G177-IFERROR(H177,0))/IFERROR(IF(COUNTIF(J177:U177,"x")=0,COUNTA(Besatzung!$B$11:$B$22),COUNTIF(J177:U177,"x")),1)+IF(COUNTIF(J177:U177,"x")=0,(Besatzung!$F$12="x"),(K177="x")*(Besatzung!$F$12="x"))*IFERROR(H177,0)/IFERROR(IF(COUNTIF(J177:U177,"x")=0,SUMPRODUCT((Besatzung!$B$11:$B$22&lt;&gt;"")*(Besatzung!$F$11:$F$22="x")),SUMPRODUCT((J177:U177="x")*(Besatzung!$F$11:$F$22="x"))),1))))),0))))</f>
        <v/>
      </c>
      <c r="X177" s="106">
        <f>IF(C177="Gutschrift","",IF(G177="","",IF(Besatzung!$B$13="","",IFERROR(IF(I177="Zeitanteilig",(Besatzung!$G$13*(G177-IFERROR(H177,0))+((Besatzung!$B$13&lt;&gt;"")*IF(B177="",1,(IF(Besatzung!$C$13="",Besatzung!$B$5,Besatzung!$C$13)&lt;=B177)*(IF(Besatzung!$D$13="",Besatzung!$B$6,Besatzung!$D$13)&gt;=B177)))*(Besatzung!$F$13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$13&lt;&gt;"")*IF(B177="",1,(IF(Besatzung!$C$13="",Besatzung!$B$5,Besatzung!$C$13)&lt;=B177)*(IF(Besatzung!$D$13="",Besatzung!$B$6,Besatzung!$D$13)&gt;=B177)))*((G177-IFERROR(H177,0))/IFERROR(SUMPRODUCT((Besatzung!$B$11:$B$22&lt;&gt;"")*(IF(Besatzung!$C$11:$C$22="",Besatzung!$B$5,Besatzung!$C$11:$C$22)&lt;=B177)*(IF(Besatzung!$D$11:$D$22="",Besatzung!$B$6,Besatzung!$D$11:$D$22)&gt;=B177)),1)+(Besatzung!$F$13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K177="x")*((G177-IFERROR(H177,0))/IFERROR(COUNTIF(J177:U177,"x"),1)+(Besatzung!$F$13="x")*IFERROR(H177,0)/IFERROR(SUMPRODUCT((J177:U177="x")*(Besatzung!$F$11:$F$22="x")),1))),(IF(COUNTIF(J177:U177,"x")=0,IF(Besatzung!$B$13&lt;&gt;"",1,0),(K177="x"))*(G177-IFERROR(H177,0))/IFERROR(IF(COUNTIF(J177:U177,"x")=0,COUNTA(Besatzung!$B$11:$B$22),COUNTIF(J177:U177,"x")),1)+IF(COUNTIF(J177:U177,"x")=0,(Besatzung!$F$13="x"),(K177="x")*(Besatzung!$F$13="x"))*IFERROR(H177,0)/IFERROR(IF(COUNTIF(J177:U177,"x")=0,SUMPRODUCT((Besatzung!$B$11:$B$22&lt;&gt;"")*(Besatzung!$F$11:$F$22="x")),SUMPRODUCT((J177:U177="x")*(Besatzung!$F$11:$F$22="x"))),1))))),0))))</f>
        <v/>
      </c>
      <c r="Y177" s="106">
        <f>IF(C177="Gutschrift","",IF(G177="","",IF(Besatzung!$B$14="","",IFERROR(IF(I177="Zeitanteilig",(Besatzung!$G$14*(G177-IFERROR(H177,0))+((Besatzung!$B$14&lt;&gt;"")*IF(B177="",1,(IF(Besatzung!$C$14="",Besatzung!$B$5,Besatzung!$C$14)&lt;=B177)*(IF(Besatzung!$D$14="",Besatzung!$B$6,Besatzung!$D$14)&gt;=B177)))*(Besatzung!$F$14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$14&lt;&gt;"")*IF(B177="",1,(IF(Besatzung!$C$14="",Besatzung!$B$5,Besatzung!$C$14)&lt;=B177)*(IF(Besatzung!$D$14="",Besatzung!$B$6,Besatzung!$D$14)&gt;=B177)))*((G177-IFERROR(H177,0))/IFERROR(SUMPRODUCT((Besatzung!$B$11:$B$22&lt;&gt;"")*(IF(Besatzung!$C$11:$C$22="",Besatzung!$B$5,Besatzung!$C$11:$C$22)&lt;=B177)*(IF(Besatzung!$D$11:$D$22="",Besatzung!$B$6,Besatzung!$D$11:$D$22)&gt;=B177)),1)+(Besatzung!$F$14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M177="x")*((G177-IFERROR(H177,0))/IFERROR(COUNTIF(J177:U177,"x"),1)+(Besatzung!$F$14="x")*IFERROR(H177,0)/IFERROR(SUMPRODUCT((J177:U177="x")*(Besatzung!$F$11:$F$22="x")),1))),(IF(COUNTIF(J177:U177,"x")=0,IF(Besatzung!$B$14&lt;&gt;"",1,0),(M177="x"))*(G177-IFERROR(H177,0))/IFERROR(IF(COUNTIF(J177:U177,"x")=0,COUNTA(Besatzung!$B$11:$B$22),COUNTIF(J177:U177,"x")),1)+IF(COUNTIF(J177:U177,"x")=0,(Besatzung!$F$14="x"),(M177="x")*(Besatzung!$F$14="x"))*IFERROR(H177,0)/IFERROR(IF(COUNTIF(J177:U177,"x")=0,SUMPRODUCT((Besatzung!$B$11:$B$22&lt;&gt;"")*(Besatzung!$F$11:$F$22="x")),SUMPRODUCT((J177:U177="x")*(Besatzung!$F$11:$F$22="x"))),1))))),0))))</f>
        <v/>
      </c>
      <c r="Z177" s="106">
        <f>IF(C177="Gutschrift","",IF(G177="","",IF(Besatzung!$B$13="","",IFERROR(IF(I177="Zeitanteilig",(Besatzung!$G$15*(G177-IFERROR(H177,0))+((Besatzung!$B$13&lt;&gt;"")*IF(B177="",1,(IF(Besatzung!$C$15="",Besatzung!$B$5,Besatzung!$C$15)&lt;=B177)*(IF(Besatzung!$D$15="",Besatzung!$B$6,Besatzung!$D$15)&gt;=B177)))*(Besatzung!$F$15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$13&lt;&gt;"")*IF(B177="",1,(IF(Besatzung!$C$15="",Besatzung!$B$5,Besatzung!$C$15)&lt;=B177)*(IF(Besatzung!$D$15="",Besatzung!$B$6,Besatzung!$D$15)&gt;=B177)))*((G177-IFERROR(H177,0))/IFERROR(SUMPRODUCT((Besatzung!$B$11:$B$22&lt;&gt;"")*(IF(Besatzung!$C$11:$C$22="",Besatzung!$B$5,Besatzung!$C$11:$C$22)&lt;=B177)*(IF(Besatzung!$D$11:$D$22="",Besatzung!$B$6,Besatzung!$D$11:$D$22)&gt;=B177)),1)+(Besatzung!$F$15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N177="x")*((G177-IFERROR(H177,0))/IFERROR(COUNTIF(J177:U177,"x"),1)+(Besatzung!$F$15="x")*IFERROR(H177,0)/IFERROR(SUMPRODUCT((J177:U177="x")*(Besatzung!$F$11:$F$22="x")),1))),(IF(COUNTIF(J177:U177,"x")=0,IF(Besatzung!$B$13&lt;&gt;"",1,0),(N177="x"))*(G177-IFERROR(H177,0))/IFERROR(IF(COUNTIF(J177:U177,"x")=0,COUNTA(Besatzung!$B$11:$B$22),COUNTIF(J177:U177,"x")),1)+IF(COUNTIF(J177:U177,"x")=0,(Besatzung!$F$15="x"),(N177="x")*(Besatzung!$F$15="x"))*IFERROR(H177,0)/IFERROR(IF(COUNTIF(J177:U177,"x")=0,SUMPRODUCT((Besatzung!$B$11:$B$22&lt;&gt;"")*(Besatzung!$F$11:$F$22="x")),SUMPRODUCT((J177:U177="x")*(Besatzung!$F$11:$F$22="x"))),1))))),0))))</f>
        <v/>
      </c>
      <c r="AA177" s="106">
        <f>IF(C177="Gutschrift","",IF(G177="","",IF(Besatzung!$B$15="","",IFERROR(IF(I177="Zeitanteilig",(Besatzung!$G$16*(G177-IFERROR(H177,0))+((Besatzung!$B$15&lt;&gt;"")*IF(B177="",1,(IF(Besatzung!$C$16="",Besatzung!$B$5,Besatzung!$C$16)&lt;=B177)*(IF(Besatzung!$D$16="",Besatzung!$B$6,Besatzung!$D$16)&gt;=B177)))*(Besatzung!$F$16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$15&lt;&gt;"")*IF(B177="",1,(IF(Besatzung!$C$16="",Besatzung!$B$5,Besatzung!$C$16)&lt;=B177)*(IF(Besatzung!$D$16="",Besatzung!$B$6,Besatzung!$D$16)&gt;=B177)))*((G177-IFERROR(H177,0))/IFERROR(SUMPRODUCT((Besatzung!$B$11:$B$22&lt;&gt;"")*(IF(Besatzung!$C$11:$C$22="",Besatzung!$B$5,Besatzung!$C$11:$C$22)&lt;=B177)*(IF(Besatzung!$D$11:$D$22="",Besatzung!$B$6,Besatzung!$D$11:$D$22)&gt;=B177)),1)+(Besatzung!$F$16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O177="x")*((G177-IFERROR(H177,0))/IFERROR(COUNTIF(J177:U177,"x"),1)+(Besatzung!$F$16="x")*IFERROR(H177,0)/IFERROR(SUMPRODUCT((J177:U177="x")*(Besatzung!$F$11:$F$22="x")),1))),(IF(COUNTIF(J177:U177,"x")=0,IF(Besatzung!$B$15&lt;&gt;"",1,0),(O177="x"))*(G177-IFERROR(H177,0))/IFERROR(IF(COUNTIF(J177:U177,"x")=0,COUNTA(Besatzung!$B$11:$B$22),COUNTIF(J177:U177,"x")),1)+IF(COUNTIF(J177:U177,"x")=0,(Besatzung!$F$16="x"),(O177="x")*(Besatzung!$F$16="x"))*IFERROR(H177,0)/IFERROR(IF(COUNTIF(J177:U177,"x")=0,SUMPRODUCT((Besatzung!$B$11:$B$22&lt;&gt;"")*(Besatzung!$F$11:$F$22="x")),SUMPRODUCT((J177:U177="x")*(Besatzung!$F$11:$F$22="x"))),1))))),0))))</f>
        <v/>
      </c>
      <c r="AB177" s="106">
        <f>IF(C177="Gutschrift","",IF(G177="","",IF(Besatzung!$B$17="","",IFERROR(IF(I177="Zeitanteilig",(Besatzung!$G$17*(G177-IFERROR(H177,0))+((Besatzung!$B$17&lt;&gt;"")*IF(B177="",1,(IF(Besatzung!$C$17="",Besatzung!$B$5,Besatzung!$C$17)&lt;=B177)*(IF(Besatzung!$D$17="",Besatzung!$B$6,Besatzung!$D$17)&gt;=B177)))*(Besatzung!$F$17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$17&lt;&gt;"")*IF(B177="",1,(IF(Besatzung!$C$17="",Besatzung!$B$5,Besatzung!$C$17)&lt;=B177)*(IF(Besatzung!$D$17="",Besatzung!$B$6,Besatzung!$D$17)&gt;=B177)))*((G177-IFERROR(H177,0))/IFERROR(SUMPRODUCT((Besatzung!$B$11:$B$22&lt;&gt;"")*(IF(Besatzung!$C$11:$C$22="",Besatzung!$B$5,Besatzung!$C$11:$C$22)&lt;=B177)*(IF(Besatzung!$D$11:$D$22="",Besatzung!$B$6,Besatzung!$D$11:$D$22)&gt;=B177)),1)+(Besatzung!$F$17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P177="x")*((G177-IFERROR(H177,0))/IFERROR(COUNTIF(J177:U177,"x"),1)+(Besatzung!$F$17="x")*IFERROR(H177,0)/IFERROR(SUMPRODUCT((J177:U177="x")*(Besatzung!$F$11:$F$22="x")),1))),(IF(COUNTIF(J177:U177,"x")=0,IF(Besatzung!$B$17&lt;&gt;"",1,0),(P177="x"))*(G177-IFERROR(H177,0))/IFERROR(IF(COUNTIF(J177:U177,"x")=0,COUNTA(Besatzung!$B$11:$B$22),COUNTIF(J177:U177,"x")),1)+IF(COUNTIF(J177:U177,"x")=0,(Besatzung!$F$17="x"),(P177="x")*(Besatzung!$F$17="x"))*IFERROR(H177,0)/IFERROR(IF(COUNTIF(J177:U177,"x")=0,SUMPRODUCT((Besatzung!$B$11:$B$22&lt;&gt;"")*(Besatzung!$F$11:$F$22="x")),SUMPRODUCT((J177:U177="x")*(Besatzung!$F$11:$F$22="x"))),1))))),0))))</f>
        <v/>
      </c>
      <c r="AC177" s="106">
        <f>IF(C177="Gutschrift","",IF(G177="","",IF(Besatzung!$B$18="","",IFERROR(IF(I177="Zeitanteilig",(Besatzung!$G$18*(G177-IFERROR(H177,0))+((Besatzung!$B$18&lt;&gt;"")*IF(B177="",1,(IF(Besatzung!$C$18="",Besatzung!$B$5,Besatzung!$C$18)&lt;=B177)*(IF(Besatzung!$D$18="",Besatzung!$B$6,Besatzung!$D$18)&gt;=B177)))*(Besatzung!$F$18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$18&lt;&gt;"")*IF(B177="",1,(IF(Besatzung!$C$18="",Besatzung!$B$5,Besatzung!$C$18)&lt;=B177)*(IF(Besatzung!$D$18="",Besatzung!$B$6,Besatzung!$D$18)&gt;=B177)))*((G177-IFERROR(H177,0))/IFERROR(SUMPRODUCT((Besatzung!$B$11:$B$22&lt;&gt;"")*(IF(Besatzung!$C$11:$C$22="",Besatzung!$B$5,Besatzung!$C$11:$C$22)&lt;=B177)*(IF(Besatzung!$D$11:$D$22="",Besatzung!$B$6,Besatzung!$D$11:$D$22)&gt;=B177)),1)+(Besatzung!$F$18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Q177="x")*((G177-IFERROR(H177,0))/IFERROR(COUNTIF(J177:U177,"x"),1)+(Besatzung!$F$18="x")*IFERROR(H177,0)/IFERROR(SUMPRODUCT((J177:U177="x")*(Besatzung!$F$11:$F$22="x")),1))),(IF(COUNTIF(J177:U177,"x")=0,IF(Besatzung!$B$18&lt;&gt;"",1,0),(Q177="x"))*(G177-IFERROR(H177,0))/IFERROR(IF(COUNTIF(J177:U177,"x")=0,COUNTA(Besatzung!$B$11:$B$22),COUNTIF(J177:U177,"x")),1)+IF(COUNTIF(J177:U177,"x")=0,(Besatzung!$F$18="x"),(Q177="x")*(Besatzung!$F$18="x"))*IFERROR(H177,0)/IFERROR(IF(COUNTIF(J177:U177,"x")=0,SUMPRODUCT((Besatzung!$B$11:$B$22&lt;&gt;"")*(Besatzung!$F$11:$F$22="x")),SUMPRODUCT((J177:U177="x")*(Besatzung!$F$11:$F$22="x"))),1))))),0))))</f>
        <v/>
      </c>
      <c r="AD177" s="106">
        <f>IF(C177="Gutschrift","",IF(G177="","",IF(Besatzung!$B$19="","",IFERROR(IF(I177="Zeitanteilig",(Besatzung!$G$19*(G177-IFERROR(H177,0))+((Besatzung!$B$19&lt;&gt;"")*IF(B177="",1,(IF(Besatzung!$C$19="",Besatzung!$B$5,Besatzung!$C$19)&lt;=B177)*(IF(Besatzung!$D$19="",Besatzung!$B$6,Besatzung!$D$19)&gt;=B177)))*(Besatzung!$F$19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$19&lt;&gt;"")*IF(B177="",1,(IF(Besatzung!$C$19="",Besatzung!$B$5,Besatzung!$C$19)&lt;=B177)*(IF(Besatzung!$D$19="",Besatzung!$B$6,Besatzung!$D$19)&gt;=B177)))*((G177-IFERROR(H177,0))/IFERROR(SUMPRODUCT((Besatzung!$B$11:$B$22&lt;&gt;"")*(IF(Besatzung!$C$11:$C$22="",Besatzung!$B$5,Besatzung!$C$11:$C$22)&lt;=B177)*(IF(Besatzung!$D$11:$D$22="",Besatzung!$B$6,Besatzung!$D$11:$D$22)&gt;=B177)),1)+(Besatzung!$F$19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R177="x")*((G177-IFERROR(H177,0))/IFERROR(COUNTIF(J177:U177,"x"),1)+(Besatzung!$F$19="x")*IFERROR(H177,0)/IFERROR(SUMPRODUCT((J177:U177="x")*(Besatzung!$F$11:$F$22="x")),1))),(IF(COUNTIF(J177:U177,"x")=0,IF(Besatzung!$B$19&lt;&gt;"",1,0),(R177="x"))*(G177-IFERROR(H177,0))/IFERROR(IF(COUNTIF(J177:U177,"x")=0,COUNTA(Besatzung!$B$11:$B$22),COUNTIF(J177:U177,"x")),1)+IF(COUNTIF(J177:U177,"x")=0,(Besatzung!$F$19="x"),(R177="x")*(Besatzung!$F$19="x"))*IFERROR(H177,0)/IFERROR(IF(COUNTIF(J177:U177,"x")=0,SUMPRODUCT((Besatzung!$B$11:$B$22&lt;&gt;"")*(Besatzung!$F$11:$F$22="x")),SUMPRODUCT((J177:U177="x")*(Besatzung!$F$11:$F$22="x"))),1))))),0))))</f>
        <v/>
      </c>
      <c r="AE177" s="106">
        <f>IF(C177="Gutschrift","",IF(G177="","",IF(Besatzung!$B$20="","",IFERROR(IF(I177="Zeitanteilig",(Besatzung!$G$20*(G177-IFERROR(H177,0))+((Besatzung!$B$20&lt;&gt;"")*IF(B177="",1,(IF(Besatzung!$C$20="",Besatzung!$B$5,Besatzung!$C$20)&lt;=B177)*(IF(Besatzung!$D$20="",Besatzung!$B$6,Besatzung!$D$20)&gt;=B177)))*(Besatzung!$F$20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$20&lt;&gt;"")*IF(B177="",1,(IF(Besatzung!$C$20="",Besatzung!$B$5,Besatzung!$C$20)&lt;=B177)*(IF(Besatzung!$D$20="",Besatzung!$B$6,Besatzung!$D$20)&gt;=B177)))*((G177-IFERROR(H177,0))/IFERROR(SUMPRODUCT((Besatzung!$B$11:$B$22&lt;&gt;"")*(IF(Besatzung!$C$11:$C$22="",Besatzung!$B$5,Besatzung!$C$11:$C$22)&lt;=B177)*(IF(Besatzung!$D$11:$D$22="",Besatzung!$B$6,Besatzung!$D$11:$D$22)&gt;=B177)),1)+(Besatzung!$F$20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S177="x")*((G177-IFERROR(H177,0))/IFERROR(COUNTIF(J177:U177,"x"),1)+(Besatzung!$F$20="x")*IFERROR(H177,0)/IFERROR(SUMPRODUCT((J177:U177="x")*(Besatzung!$F$11:$F$22="x")),1))),(IF(COUNTIF(J177:U177,"x")=0,IF(Besatzung!$B$20&lt;&gt;"",1,0),(S177="x"))*(G177-IFERROR(H177,0))/IFERROR(IF(COUNTIF(J177:U177,"x")=0,COUNTA(Besatzung!$B$11:$B$22),COUNTIF(J177:U177,"x")),1)+IF(COUNTIF(J177:U177,"x")=0,(Besatzung!$F$20="x"),(S177="x")*(Besatzung!$F$20="x"))*IFERROR(H177,0)/IFERROR(IF(COUNTIF(J177:U177,"x")=0,SUMPRODUCT((Besatzung!$B$11:$B$22&lt;&gt;"")*(Besatzung!$F$11:$F$22="x")),SUMPRODUCT((J177:U177="x")*(Besatzung!$F$11:$F$22="x"))),1))))),0))))</f>
        <v/>
      </c>
      <c r="AF177" s="106">
        <f>IF(C177="Gutschrift","",IF(G177="","",IF(Besatzung!$B$21="","",IFERROR(IF(I177="Zeitanteilig",(Besatzung!$G$21*(G177-IFERROR(H177,0))+((Besatzung!$B$21&lt;&gt;"")*IF(B177="",1,(IF(Besatzung!$C$21="",Besatzung!$B$5,Besatzung!$C$21)&lt;=B177)*(IF(Besatzung!$D$21="",Besatzung!$B$6,Besatzung!$D$21)&gt;=B177)))*(Besatzung!$F$21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$21&lt;&gt;"")*IF(B177="",1,(IF(Besatzung!$C$21="",Besatzung!$B$5,Besatzung!$C$21)&lt;=B177)*(IF(Besatzung!$D$21="",Besatzung!$B$6,Besatzung!$D$21)&gt;=B177)))*((G177-IFERROR(H177,0))/IFERROR(SUMPRODUCT((Besatzung!$B$11:$B$22&lt;&gt;"")*(IF(Besatzung!$C$11:$C$22="",Besatzung!$B$5,Besatzung!$C$11:$C$22)&lt;=B177)*(IF(Besatzung!$D$11:$D$22="",Besatzung!$B$6,Besatzung!$D$11:$D$22)&gt;=B177)),1)+(Besatzung!$F$21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T177="x")*((G177-IFERROR(H177,0))/IFERROR(COUNTIF(J177:U177,"x"),1)+(Besatzung!$F$21="x")*IFERROR(H177,0)/IFERROR(SUMPRODUCT((J177:U177="x")*(Besatzung!$F$11:$F$22="x")),1))),(IF(COUNTIF(J177:U177,"x")=0,IF(Besatzung!$B$21&lt;&gt;"",1,0),(T177="x"))*(G177-IFERROR(H177,0))/IFERROR(IF(COUNTIF(J177:U177,"x")=0,COUNTA(Besatzung!$B$11:$B$22),COUNTIF(J177:U177,"x")),1)+IF(COUNTIF(J177:U177,"x")=0,(Besatzung!$F$21="x"),(T177="x")*(Besatzung!$F$21="x"))*IFERROR(H177,0)/IFERROR(IF(COUNTIF(J177:U177,"x")=0,SUMPRODUCT((Besatzung!$B$11:$B$22&lt;&gt;"")*(Besatzung!$F$11:$F$22="x")),SUMPRODUCT((J177:U177="x")*(Besatzung!$F$11:$F$22="x"))),1))))),0))))</f>
        <v/>
      </c>
      <c r="AG177" s="106">
        <f>IF(C177="Gutschrift","",IF(G177="","",IF(Besatzung!$B$22="","",IFERROR(IF(I177="Zeitanteilig",(Besatzung!$G$22*(G177-IFERROR(H177,0))+((Besatzung!$B$22&lt;&gt;"")*IF(B177="",1,(IF(Besatzung!$C$22="",Besatzung!$B$5,Besatzung!$C$22)&lt;=B177)*(IF(Besatzung!$D$22="",Besatzung!$B$6,Besatzung!$D$22)&gt;=B177)))*(Besatzung!$F$22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$22&lt;&gt;"")*IF(B177="",1,(IF(Besatzung!$C$22="",Besatzung!$B$5,Besatzung!$C$22)&lt;=B177)*(IF(Besatzung!$D$22="",Besatzung!$B$6,Besatzung!$D$22)&gt;=B177)))*((G177-IFERROR(H177,0))/IFERROR(SUMPRODUCT((Besatzung!$B$11:$B$22&lt;&gt;"")*(IF(Besatzung!$C$11:$C$22="",Besatzung!$B$5,Besatzung!$C$11:$C$22)&lt;=B177)*(IF(Besatzung!$D$11:$D$22="",Besatzung!$B$6,Besatzung!$D$11:$D$22)&gt;=B177)),1)+(Besatzung!$F$22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U177="x")*((G177-IFERROR(H177,0))/IFERROR(COUNTIF(J177:U177,"x"),1)+(Besatzung!$F$22="x")*IFERROR(H177,0)/IFERROR(SUMPRODUCT((J177:U177="x")*(Besatzung!$F$11:$F$22="x")),1))),(IF(COUNTIF(J177:U177,"x")=0,IF(Besatzung!$B$22&lt;&gt;"",1,0),(U177="x"))*(G177-IFERROR(H177,0))/IFERROR(IF(COUNTIF(J177:U177,"x")=0,COUNTA(Besatzung!$B$11:$B$22),COUNTIF(J177:U177,"x")),1)+IF(COUNTIF(J177:U177,"x")=0,(Besatzung!$F$22="x"),(U177="x")*(Besatzung!$F$22="x"))*IFERROR(H177,0)/IFERROR(IF(COUNTIF(J177:U177,"x")=0,SUMPRODUCT((Besatzung!$B$11:$B$22&lt;&gt;"")*(Besatzung!$F$11:$F$22="x")),SUMPRODUCT((J177:U177="x")*(Besatzung!$F$11:$F$22="x"))),1))))),0))))</f>
        <v/>
      </c>
      <c r="AH177" s="107" t="n"/>
      <c r="AI177" s="107" t="n"/>
    </row>
    <row r="178" ht="21.75" customHeight="1" s="182">
      <c r="A178" s="97">
        <f>IF(AND(D178="",C178=""),"",175)</f>
        <v/>
      </c>
      <c r="B178" s="56" t="n"/>
      <c r="C178" s="98" t="n"/>
      <c r="D178" s="99" t="n"/>
      <c r="E178" s="100" t="n"/>
      <c r="F178" s="101" t="n"/>
      <c r="G178" s="102" t="n"/>
      <c r="H178" s="103" t="n"/>
      <c r="I178" s="104" t="n"/>
      <c r="J178" s="105" t="n"/>
      <c r="K178" s="105" t="n"/>
      <c r="L178" s="105" t="n"/>
      <c r="M178" s="105" t="n"/>
      <c r="N178" s="105" t="n"/>
      <c r="O178" s="105" t="n"/>
      <c r="P178" s="105" t="n"/>
      <c r="Q178" s="105" t="n"/>
      <c r="R178" s="105" t="n"/>
      <c r="S178" s="105" t="n"/>
      <c r="T178" s="105" t="n"/>
      <c r="U178" s="105" t="n"/>
      <c r="V178" s="106">
        <f>IF(C178="Gutschrift","",IF(G178="","",IF(Besatzung!$B$11="","",IFERROR(IF(I178="Zeitanteilig",(Besatzung!$G$11*(G178-IFERROR(H178,0))+((Besatzung!$B$11&lt;&gt;"")*IF(B178="",1,(IF(Besatzung!$C$11="",Besatzung!$B$5,Besatzung!$C$11)&lt;=B178)*(IF(Besatzung!$D$11="",Besatzung!$B$6,Besatzung!$D$11)&gt;=B178)))*(Besatzung!$F$11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$11&lt;&gt;"")*IF(B178="",1,(IF(Besatzung!$C$11="",Besatzung!$B$5,Besatzung!$C$11)&lt;=B178)*(IF(Besatzung!$D$11="",Besatzung!$B$6,Besatzung!$D$11)&gt;=B178)))*((G178-IFERROR(H178,0))/IFERROR(SUMPRODUCT((Besatzung!$B$11:$B$22&lt;&gt;"")*(IF(Besatzung!$C$11:$C$22="",Besatzung!$B$5,Besatzung!$C$11:$C$22)&lt;=B178)*(IF(Besatzung!$D$11:$D$22="",Besatzung!$B$6,Besatzung!$D$11:$D$22)&gt;=B178)),1)+(Besatzung!$F$11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J178="x")*((G178-IFERROR(H178,0))/IFERROR(COUNTIF(J178:U178,"x"),1)+(Besatzung!$F$11="x")*IFERROR(H178,0)/IFERROR(SUMPRODUCT((J178:U178="x")*(Besatzung!$F$11:$F$22="x")),1))),(IF(COUNTIF(J178:U178,"x")=0,IF(Besatzung!$B$11&lt;&gt;"",1,0),(J178="x"))*(G178-IFERROR(H178,0))/IFERROR(IF(COUNTIF(J178:U178,"x")=0,COUNTA(Besatzung!$B$11:$B$22),COUNTIF(J178:U178,"x")),1)+IF(COUNTIF(J178:U178,"x")=0,(Besatzung!$F$11="x"),(J178="x")*(Besatzung!$F$11="x"))*IFERROR(H178,0)/IFERROR(IF(COUNTIF(J178:U178,"x")=0,SUMPRODUCT((Besatzung!$B$11:$B$22&lt;&gt;"")*(Besatzung!$F$11:$F$22="x")),SUMPRODUCT((J178:U178="x")*(Besatzung!$F$11:$F$22="x"))),1))))),0))))</f>
        <v/>
      </c>
      <c r="W178" s="106">
        <f>IF(C178="Gutschrift","",IF(G178="","",IF(Besatzung!$B$12="","",IFERROR(IF(I178="Zeitanteilig",(Besatzung!$G$12*(G178-IFERROR(H178,0))+((Besatzung!$B$12&lt;&gt;"")*IF(B178="",1,(IF(Besatzung!$C$12="",Besatzung!$B$5,Besatzung!$C$12)&lt;=B178)*(IF(Besatzung!$D$12="",Besatzung!$B$6,Besatzung!$D$12)&gt;=B178)))*(Besatzung!$F$12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$12&lt;&gt;"")*IF(B178="",1,(IF(Besatzung!$C$12="",Besatzung!$B$5,Besatzung!$C$12)&lt;=B178)*(IF(Besatzung!$D$12="",Besatzung!$B$6,Besatzung!$D$12)&gt;=B178)))*((G178-IFERROR(H178,0))/IFERROR(SUMPRODUCT((Besatzung!$B$11:$B$22&lt;&gt;"")*(IF(Besatzung!$C$11:$C$22="",Besatzung!$B$5,Besatzung!$C$11:$C$22)&lt;=B178)*(IF(Besatzung!$D$11:$D$22="",Besatzung!$B$6,Besatzung!$D$11:$D$22)&gt;=B178)),1)+(Besatzung!$F$12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K178="x")*((G178-IFERROR(H178,0))/IFERROR(COUNTIF(J178:U178,"x"),1)+(Besatzung!$F$12="x")*IFERROR(H178,0)/IFERROR(SUMPRODUCT((J178:U178="x")*(Besatzung!$F$11:$F$22="x")),1))),(IF(COUNTIF(J178:U178,"x")=0,IF(Besatzung!$B$12&lt;&gt;"",1,0),(K178="x"))*(G178-IFERROR(H178,0))/IFERROR(IF(COUNTIF(J178:U178,"x")=0,COUNTA(Besatzung!$B$11:$B$22),COUNTIF(J178:U178,"x")),1)+IF(COUNTIF(J178:U178,"x")=0,(Besatzung!$F$12="x"),(K178="x")*(Besatzung!$F$12="x"))*IFERROR(H178,0)/IFERROR(IF(COUNTIF(J178:U178,"x")=0,SUMPRODUCT((Besatzung!$B$11:$B$22&lt;&gt;"")*(Besatzung!$F$11:$F$22="x")),SUMPRODUCT((J178:U178="x")*(Besatzung!$F$11:$F$22="x"))),1))))),0))))</f>
        <v/>
      </c>
      <c r="X178" s="106">
        <f>IF(C178="Gutschrift","",IF(G178="","",IF(Besatzung!$B$13="","",IFERROR(IF(I178="Zeitanteilig",(Besatzung!$G$13*(G178-IFERROR(H178,0))+((Besatzung!$B$13&lt;&gt;"")*IF(B178="",1,(IF(Besatzung!$C$13="",Besatzung!$B$5,Besatzung!$C$13)&lt;=B178)*(IF(Besatzung!$D$13="",Besatzung!$B$6,Besatzung!$D$13)&gt;=B178)))*(Besatzung!$F$13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$13&lt;&gt;"")*IF(B178="",1,(IF(Besatzung!$C$13="",Besatzung!$B$5,Besatzung!$C$13)&lt;=B178)*(IF(Besatzung!$D$13="",Besatzung!$B$6,Besatzung!$D$13)&gt;=B178)))*((G178-IFERROR(H178,0))/IFERROR(SUMPRODUCT((Besatzung!$B$11:$B$22&lt;&gt;"")*(IF(Besatzung!$C$11:$C$22="",Besatzung!$B$5,Besatzung!$C$11:$C$22)&lt;=B178)*(IF(Besatzung!$D$11:$D$22="",Besatzung!$B$6,Besatzung!$D$11:$D$22)&gt;=B178)),1)+(Besatzung!$F$13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K178="x")*((G178-IFERROR(H178,0))/IFERROR(COUNTIF(J178:U178,"x"),1)+(Besatzung!$F$13="x")*IFERROR(H178,0)/IFERROR(SUMPRODUCT((J178:U178="x")*(Besatzung!$F$11:$F$22="x")),1))),(IF(COUNTIF(J178:U178,"x")=0,IF(Besatzung!$B$13&lt;&gt;"",1,0),(K178="x"))*(G178-IFERROR(H178,0))/IFERROR(IF(COUNTIF(J178:U178,"x")=0,COUNTA(Besatzung!$B$11:$B$22),COUNTIF(J178:U178,"x")),1)+IF(COUNTIF(J178:U178,"x")=0,(Besatzung!$F$13="x"),(K178="x")*(Besatzung!$F$13="x"))*IFERROR(H178,0)/IFERROR(IF(COUNTIF(J178:U178,"x")=0,SUMPRODUCT((Besatzung!$B$11:$B$22&lt;&gt;"")*(Besatzung!$F$11:$F$22="x")),SUMPRODUCT((J178:U178="x")*(Besatzung!$F$11:$F$22="x"))),1))))),0))))</f>
        <v/>
      </c>
      <c r="Y178" s="106">
        <f>IF(C178="Gutschrift","",IF(G178="","",IF(Besatzung!$B$14="","",IFERROR(IF(I178="Zeitanteilig",(Besatzung!$G$14*(G178-IFERROR(H178,0))+((Besatzung!$B$14&lt;&gt;"")*IF(B178="",1,(IF(Besatzung!$C$14="",Besatzung!$B$5,Besatzung!$C$14)&lt;=B178)*(IF(Besatzung!$D$14="",Besatzung!$B$6,Besatzung!$D$14)&gt;=B178)))*(Besatzung!$F$14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$14&lt;&gt;"")*IF(B178="",1,(IF(Besatzung!$C$14="",Besatzung!$B$5,Besatzung!$C$14)&lt;=B178)*(IF(Besatzung!$D$14="",Besatzung!$B$6,Besatzung!$D$14)&gt;=B178)))*((G178-IFERROR(H178,0))/IFERROR(SUMPRODUCT((Besatzung!$B$11:$B$22&lt;&gt;"")*(IF(Besatzung!$C$11:$C$22="",Besatzung!$B$5,Besatzung!$C$11:$C$22)&lt;=B178)*(IF(Besatzung!$D$11:$D$22="",Besatzung!$B$6,Besatzung!$D$11:$D$22)&gt;=B178)),1)+(Besatzung!$F$14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M178="x")*((G178-IFERROR(H178,0))/IFERROR(COUNTIF(J178:U178,"x"),1)+(Besatzung!$F$14="x")*IFERROR(H178,0)/IFERROR(SUMPRODUCT((J178:U178="x")*(Besatzung!$F$11:$F$22="x")),1))),(IF(COUNTIF(J178:U178,"x")=0,IF(Besatzung!$B$14&lt;&gt;"",1,0),(M178="x"))*(G178-IFERROR(H178,0))/IFERROR(IF(COUNTIF(J178:U178,"x")=0,COUNTA(Besatzung!$B$11:$B$22),COUNTIF(J178:U178,"x")),1)+IF(COUNTIF(J178:U178,"x")=0,(Besatzung!$F$14="x"),(M178="x")*(Besatzung!$F$14="x"))*IFERROR(H178,0)/IFERROR(IF(COUNTIF(J178:U178,"x")=0,SUMPRODUCT((Besatzung!$B$11:$B$22&lt;&gt;"")*(Besatzung!$F$11:$F$22="x")),SUMPRODUCT((J178:U178="x")*(Besatzung!$F$11:$F$22="x"))),1))))),0))))</f>
        <v/>
      </c>
      <c r="Z178" s="106">
        <f>IF(C178="Gutschrift","",IF(G178="","",IF(Besatzung!$B$13="","",IFERROR(IF(I178="Zeitanteilig",(Besatzung!$G$15*(G178-IFERROR(H178,0))+((Besatzung!$B$13&lt;&gt;"")*IF(B178="",1,(IF(Besatzung!$C$15="",Besatzung!$B$5,Besatzung!$C$15)&lt;=B178)*(IF(Besatzung!$D$15="",Besatzung!$B$6,Besatzung!$D$15)&gt;=B178)))*(Besatzung!$F$15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$13&lt;&gt;"")*IF(B178="",1,(IF(Besatzung!$C$15="",Besatzung!$B$5,Besatzung!$C$15)&lt;=B178)*(IF(Besatzung!$D$15="",Besatzung!$B$6,Besatzung!$D$15)&gt;=B178)))*((G178-IFERROR(H178,0))/IFERROR(SUMPRODUCT((Besatzung!$B$11:$B$22&lt;&gt;"")*(IF(Besatzung!$C$11:$C$22="",Besatzung!$B$5,Besatzung!$C$11:$C$22)&lt;=B178)*(IF(Besatzung!$D$11:$D$22="",Besatzung!$B$6,Besatzung!$D$11:$D$22)&gt;=B178)),1)+(Besatzung!$F$15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N178="x")*((G178-IFERROR(H178,0))/IFERROR(COUNTIF(J178:U178,"x"),1)+(Besatzung!$F$15="x")*IFERROR(H178,0)/IFERROR(SUMPRODUCT((J178:U178="x")*(Besatzung!$F$11:$F$22="x")),1))),(IF(COUNTIF(J178:U178,"x")=0,IF(Besatzung!$B$13&lt;&gt;"",1,0),(N178="x"))*(G178-IFERROR(H178,0))/IFERROR(IF(COUNTIF(J178:U178,"x")=0,COUNTA(Besatzung!$B$11:$B$22),COUNTIF(J178:U178,"x")),1)+IF(COUNTIF(J178:U178,"x")=0,(Besatzung!$F$15="x"),(N178="x")*(Besatzung!$F$15="x"))*IFERROR(H178,0)/IFERROR(IF(COUNTIF(J178:U178,"x")=0,SUMPRODUCT((Besatzung!$B$11:$B$22&lt;&gt;"")*(Besatzung!$F$11:$F$22="x")),SUMPRODUCT((J178:U178="x")*(Besatzung!$F$11:$F$22="x"))),1))))),0))))</f>
        <v/>
      </c>
      <c r="AA178" s="106">
        <f>IF(C178="Gutschrift","",IF(G178="","",IF(Besatzung!$B$15="","",IFERROR(IF(I178="Zeitanteilig",(Besatzung!$G$16*(G178-IFERROR(H178,0))+((Besatzung!$B$15&lt;&gt;"")*IF(B178="",1,(IF(Besatzung!$C$16="",Besatzung!$B$5,Besatzung!$C$16)&lt;=B178)*(IF(Besatzung!$D$16="",Besatzung!$B$6,Besatzung!$D$16)&gt;=B178)))*(Besatzung!$F$16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$15&lt;&gt;"")*IF(B178="",1,(IF(Besatzung!$C$16="",Besatzung!$B$5,Besatzung!$C$16)&lt;=B178)*(IF(Besatzung!$D$16="",Besatzung!$B$6,Besatzung!$D$16)&gt;=B178)))*((G178-IFERROR(H178,0))/IFERROR(SUMPRODUCT((Besatzung!$B$11:$B$22&lt;&gt;"")*(IF(Besatzung!$C$11:$C$22="",Besatzung!$B$5,Besatzung!$C$11:$C$22)&lt;=B178)*(IF(Besatzung!$D$11:$D$22="",Besatzung!$B$6,Besatzung!$D$11:$D$22)&gt;=B178)),1)+(Besatzung!$F$16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O178="x")*((G178-IFERROR(H178,0))/IFERROR(COUNTIF(J178:U178,"x"),1)+(Besatzung!$F$16="x")*IFERROR(H178,0)/IFERROR(SUMPRODUCT((J178:U178="x")*(Besatzung!$F$11:$F$22="x")),1))),(IF(COUNTIF(J178:U178,"x")=0,IF(Besatzung!$B$15&lt;&gt;"",1,0),(O178="x"))*(G178-IFERROR(H178,0))/IFERROR(IF(COUNTIF(J178:U178,"x")=0,COUNTA(Besatzung!$B$11:$B$22),COUNTIF(J178:U178,"x")),1)+IF(COUNTIF(J178:U178,"x")=0,(Besatzung!$F$16="x"),(O178="x")*(Besatzung!$F$16="x"))*IFERROR(H178,0)/IFERROR(IF(COUNTIF(J178:U178,"x")=0,SUMPRODUCT((Besatzung!$B$11:$B$22&lt;&gt;"")*(Besatzung!$F$11:$F$22="x")),SUMPRODUCT((J178:U178="x")*(Besatzung!$F$11:$F$22="x"))),1))))),0))))</f>
        <v/>
      </c>
      <c r="AB178" s="106">
        <f>IF(C178="Gutschrift","",IF(G178="","",IF(Besatzung!$B$17="","",IFERROR(IF(I178="Zeitanteilig",(Besatzung!$G$17*(G178-IFERROR(H178,0))+((Besatzung!$B$17&lt;&gt;"")*IF(B178="",1,(IF(Besatzung!$C$17="",Besatzung!$B$5,Besatzung!$C$17)&lt;=B178)*(IF(Besatzung!$D$17="",Besatzung!$B$6,Besatzung!$D$17)&gt;=B178)))*(Besatzung!$F$17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$17&lt;&gt;"")*IF(B178="",1,(IF(Besatzung!$C$17="",Besatzung!$B$5,Besatzung!$C$17)&lt;=B178)*(IF(Besatzung!$D$17="",Besatzung!$B$6,Besatzung!$D$17)&gt;=B178)))*((G178-IFERROR(H178,0))/IFERROR(SUMPRODUCT((Besatzung!$B$11:$B$22&lt;&gt;"")*(IF(Besatzung!$C$11:$C$22="",Besatzung!$B$5,Besatzung!$C$11:$C$22)&lt;=B178)*(IF(Besatzung!$D$11:$D$22="",Besatzung!$B$6,Besatzung!$D$11:$D$22)&gt;=B178)),1)+(Besatzung!$F$17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P178="x")*((G178-IFERROR(H178,0))/IFERROR(COUNTIF(J178:U178,"x"),1)+(Besatzung!$F$17="x")*IFERROR(H178,0)/IFERROR(SUMPRODUCT((J178:U178="x")*(Besatzung!$F$11:$F$22="x")),1))),(IF(COUNTIF(J178:U178,"x")=0,IF(Besatzung!$B$17&lt;&gt;"",1,0),(P178="x"))*(G178-IFERROR(H178,0))/IFERROR(IF(COUNTIF(J178:U178,"x")=0,COUNTA(Besatzung!$B$11:$B$22),COUNTIF(J178:U178,"x")),1)+IF(COUNTIF(J178:U178,"x")=0,(Besatzung!$F$17="x"),(P178="x")*(Besatzung!$F$17="x"))*IFERROR(H178,0)/IFERROR(IF(COUNTIF(J178:U178,"x")=0,SUMPRODUCT((Besatzung!$B$11:$B$22&lt;&gt;"")*(Besatzung!$F$11:$F$22="x")),SUMPRODUCT((J178:U178="x")*(Besatzung!$F$11:$F$22="x"))),1))))),0))))</f>
        <v/>
      </c>
      <c r="AC178" s="106">
        <f>IF(C178="Gutschrift","",IF(G178="","",IF(Besatzung!$B$18="","",IFERROR(IF(I178="Zeitanteilig",(Besatzung!$G$18*(G178-IFERROR(H178,0))+((Besatzung!$B$18&lt;&gt;"")*IF(B178="",1,(IF(Besatzung!$C$18="",Besatzung!$B$5,Besatzung!$C$18)&lt;=B178)*(IF(Besatzung!$D$18="",Besatzung!$B$6,Besatzung!$D$18)&gt;=B178)))*(Besatzung!$F$18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$18&lt;&gt;"")*IF(B178="",1,(IF(Besatzung!$C$18="",Besatzung!$B$5,Besatzung!$C$18)&lt;=B178)*(IF(Besatzung!$D$18="",Besatzung!$B$6,Besatzung!$D$18)&gt;=B178)))*((G178-IFERROR(H178,0))/IFERROR(SUMPRODUCT((Besatzung!$B$11:$B$22&lt;&gt;"")*(IF(Besatzung!$C$11:$C$22="",Besatzung!$B$5,Besatzung!$C$11:$C$22)&lt;=B178)*(IF(Besatzung!$D$11:$D$22="",Besatzung!$B$6,Besatzung!$D$11:$D$22)&gt;=B178)),1)+(Besatzung!$F$18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Q178="x")*((G178-IFERROR(H178,0))/IFERROR(COUNTIF(J178:U178,"x"),1)+(Besatzung!$F$18="x")*IFERROR(H178,0)/IFERROR(SUMPRODUCT((J178:U178="x")*(Besatzung!$F$11:$F$22="x")),1))),(IF(COUNTIF(J178:U178,"x")=0,IF(Besatzung!$B$18&lt;&gt;"",1,0),(Q178="x"))*(G178-IFERROR(H178,0))/IFERROR(IF(COUNTIF(J178:U178,"x")=0,COUNTA(Besatzung!$B$11:$B$22),COUNTIF(J178:U178,"x")),1)+IF(COUNTIF(J178:U178,"x")=0,(Besatzung!$F$18="x"),(Q178="x")*(Besatzung!$F$18="x"))*IFERROR(H178,0)/IFERROR(IF(COUNTIF(J178:U178,"x")=0,SUMPRODUCT((Besatzung!$B$11:$B$22&lt;&gt;"")*(Besatzung!$F$11:$F$22="x")),SUMPRODUCT((J178:U178="x")*(Besatzung!$F$11:$F$22="x"))),1))))),0))))</f>
        <v/>
      </c>
      <c r="AD178" s="106">
        <f>IF(C178="Gutschrift","",IF(G178="","",IF(Besatzung!$B$19="","",IFERROR(IF(I178="Zeitanteilig",(Besatzung!$G$19*(G178-IFERROR(H178,0))+((Besatzung!$B$19&lt;&gt;"")*IF(B178="",1,(IF(Besatzung!$C$19="",Besatzung!$B$5,Besatzung!$C$19)&lt;=B178)*(IF(Besatzung!$D$19="",Besatzung!$B$6,Besatzung!$D$19)&gt;=B178)))*(Besatzung!$F$19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$19&lt;&gt;"")*IF(B178="",1,(IF(Besatzung!$C$19="",Besatzung!$B$5,Besatzung!$C$19)&lt;=B178)*(IF(Besatzung!$D$19="",Besatzung!$B$6,Besatzung!$D$19)&gt;=B178)))*((G178-IFERROR(H178,0))/IFERROR(SUMPRODUCT((Besatzung!$B$11:$B$22&lt;&gt;"")*(IF(Besatzung!$C$11:$C$22="",Besatzung!$B$5,Besatzung!$C$11:$C$22)&lt;=B178)*(IF(Besatzung!$D$11:$D$22="",Besatzung!$B$6,Besatzung!$D$11:$D$22)&gt;=B178)),1)+(Besatzung!$F$19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R178="x")*((G178-IFERROR(H178,0))/IFERROR(COUNTIF(J178:U178,"x"),1)+(Besatzung!$F$19="x")*IFERROR(H178,0)/IFERROR(SUMPRODUCT((J178:U178="x")*(Besatzung!$F$11:$F$22="x")),1))),(IF(COUNTIF(J178:U178,"x")=0,IF(Besatzung!$B$19&lt;&gt;"",1,0),(R178="x"))*(G178-IFERROR(H178,0))/IFERROR(IF(COUNTIF(J178:U178,"x")=0,COUNTA(Besatzung!$B$11:$B$22),COUNTIF(J178:U178,"x")),1)+IF(COUNTIF(J178:U178,"x")=0,(Besatzung!$F$19="x"),(R178="x")*(Besatzung!$F$19="x"))*IFERROR(H178,0)/IFERROR(IF(COUNTIF(J178:U178,"x")=0,SUMPRODUCT((Besatzung!$B$11:$B$22&lt;&gt;"")*(Besatzung!$F$11:$F$22="x")),SUMPRODUCT((J178:U178="x")*(Besatzung!$F$11:$F$22="x"))),1))))),0))))</f>
        <v/>
      </c>
      <c r="AE178" s="106">
        <f>IF(C178="Gutschrift","",IF(G178="","",IF(Besatzung!$B$20="","",IFERROR(IF(I178="Zeitanteilig",(Besatzung!$G$20*(G178-IFERROR(H178,0))+((Besatzung!$B$20&lt;&gt;"")*IF(B178="",1,(IF(Besatzung!$C$20="",Besatzung!$B$5,Besatzung!$C$20)&lt;=B178)*(IF(Besatzung!$D$20="",Besatzung!$B$6,Besatzung!$D$20)&gt;=B178)))*(Besatzung!$F$20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$20&lt;&gt;"")*IF(B178="",1,(IF(Besatzung!$C$20="",Besatzung!$B$5,Besatzung!$C$20)&lt;=B178)*(IF(Besatzung!$D$20="",Besatzung!$B$6,Besatzung!$D$20)&gt;=B178)))*((G178-IFERROR(H178,0))/IFERROR(SUMPRODUCT((Besatzung!$B$11:$B$22&lt;&gt;"")*(IF(Besatzung!$C$11:$C$22="",Besatzung!$B$5,Besatzung!$C$11:$C$22)&lt;=B178)*(IF(Besatzung!$D$11:$D$22="",Besatzung!$B$6,Besatzung!$D$11:$D$22)&gt;=B178)),1)+(Besatzung!$F$20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S178="x")*((G178-IFERROR(H178,0))/IFERROR(COUNTIF(J178:U178,"x"),1)+(Besatzung!$F$20="x")*IFERROR(H178,0)/IFERROR(SUMPRODUCT((J178:U178="x")*(Besatzung!$F$11:$F$22="x")),1))),(IF(COUNTIF(J178:U178,"x")=0,IF(Besatzung!$B$20&lt;&gt;"",1,0),(S178="x"))*(G178-IFERROR(H178,0))/IFERROR(IF(COUNTIF(J178:U178,"x")=0,COUNTA(Besatzung!$B$11:$B$22),COUNTIF(J178:U178,"x")),1)+IF(COUNTIF(J178:U178,"x")=0,(Besatzung!$F$20="x"),(S178="x")*(Besatzung!$F$20="x"))*IFERROR(H178,0)/IFERROR(IF(COUNTIF(J178:U178,"x")=0,SUMPRODUCT((Besatzung!$B$11:$B$22&lt;&gt;"")*(Besatzung!$F$11:$F$22="x")),SUMPRODUCT((J178:U178="x")*(Besatzung!$F$11:$F$22="x"))),1))))),0))))</f>
        <v/>
      </c>
      <c r="AF178" s="106">
        <f>IF(C178="Gutschrift","",IF(G178="","",IF(Besatzung!$B$21="","",IFERROR(IF(I178="Zeitanteilig",(Besatzung!$G$21*(G178-IFERROR(H178,0))+((Besatzung!$B$21&lt;&gt;"")*IF(B178="",1,(IF(Besatzung!$C$21="",Besatzung!$B$5,Besatzung!$C$21)&lt;=B178)*(IF(Besatzung!$D$21="",Besatzung!$B$6,Besatzung!$D$21)&gt;=B178)))*(Besatzung!$F$21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$21&lt;&gt;"")*IF(B178="",1,(IF(Besatzung!$C$21="",Besatzung!$B$5,Besatzung!$C$21)&lt;=B178)*(IF(Besatzung!$D$21="",Besatzung!$B$6,Besatzung!$D$21)&gt;=B178)))*((G178-IFERROR(H178,0))/IFERROR(SUMPRODUCT((Besatzung!$B$11:$B$22&lt;&gt;"")*(IF(Besatzung!$C$11:$C$22="",Besatzung!$B$5,Besatzung!$C$11:$C$22)&lt;=B178)*(IF(Besatzung!$D$11:$D$22="",Besatzung!$B$6,Besatzung!$D$11:$D$22)&gt;=B178)),1)+(Besatzung!$F$21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T178="x")*((G178-IFERROR(H178,0))/IFERROR(COUNTIF(J178:U178,"x"),1)+(Besatzung!$F$21="x")*IFERROR(H178,0)/IFERROR(SUMPRODUCT((J178:U178="x")*(Besatzung!$F$11:$F$22="x")),1))),(IF(COUNTIF(J178:U178,"x")=0,IF(Besatzung!$B$21&lt;&gt;"",1,0),(T178="x"))*(G178-IFERROR(H178,0))/IFERROR(IF(COUNTIF(J178:U178,"x")=0,COUNTA(Besatzung!$B$11:$B$22),COUNTIF(J178:U178,"x")),1)+IF(COUNTIF(J178:U178,"x")=0,(Besatzung!$F$21="x"),(T178="x")*(Besatzung!$F$21="x"))*IFERROR(H178,0)/IFERROR(IF(COUNTIF(J178:U178,"x")=0,SUMPRODUCT((Besatzung!$B$11:$B$22&lt;&gt;"")*(Besatzung!$F$11:$F$22="x")),SUMPRODUCT((J178:U178="x")*(Besatzung!$F$11:$F$22="x"))),1))))),0))))</f>
        <v/>
      </c>
      <c r="AG178" s="106">
        <f>IF(C178="Gutschrift","",IF(G178="","",IF(Besatzung!$B$22="","",IFERROR(IF(I178="Zeitanteilig",(Besatzung!$G$22*(G178-IFERROR(H178,0))+((Besatzung!$B$22&lt;&gt;"")*IF(B178="",1,(IF(Besatzung!$C$22="",Besatzung!$B$5,Besatzung!$C$22)&lt;=B178)*(IF(Besatzung!$D$22="",Besatzung!$B$6,Besatzung!$D$22)&gt;=B178)))*(Besatzung!$F$22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$22&lt;&gt;"")*IF(B178="",1,(IF(Besatzung!$C$22="",Besatzung!$B$5,Besatzung!$C$22)&lt;=B178)*(IF(Besatzung!$D$22="",Besatzung!$B$6,Besatzung!$D$22)&gt;=B178)))*((G178-IFERROR(H178,0))/IFERROR(SUMPRODUCT((Besatzung!$B$11:$B$22&lt;&gt;"")*(IF(Besatzung!$C$11:$C$22="",Besatzung!$B$5,Besatzung!$C$11:$C$22)&lt;=B178)*(IF(Besatzung!$D$11:$D$22="",Besatzung!$B$6,Besatzung!$D$11:$D$22)&gt;=B178)),1)+(Besatzung!$F$22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U178="x")*((G178-IFERROR(H178,0))/IFERROR(COUNTIF(J178:U178,"x"),1)+(Besatzung!$F$22="x")*IFERROR(H178,0)/IFERROR(SUMPRODUCT((J178:U178="x")*(Besatzung!$F$11:$F$22="x")),1))),(IF(COUNTIF(J178:U178,"x")=0,IF(Besatzung!$B$22&lt;&gt;"",1,0),(U178="x"))*(G178-IFERROR(H178,0))/IFERROR(IF(COUNTIF(J178:U178,"x")=0,COUNTA(Besatzung!$B$11:$B$22),COUNTIF(J178:U178,"x")),1)+IF(COUNTIF(J178:U178,"x")=0,(Besatzung!$F$22="x"),(U178="x")*(Besatzung!$F$22="x"))*IFERROR(H178,0)/IFERROR(IF(COUNTIF(J178:U178,"x")=0,SUMPRODUCT((Besatzung!$B$11:$B$22&lt;&gt;"")*(Besatzung!$F$11:$F$22="x")),SUMPRODUCT((J178:U178="x")*(Besatzung!$F$11:$F$22="x"))),1))))),0))))</f>
        <v/>
      </c>
      <c r="AH178" s="107" t="n"/>
      <c r="AI178" s="107" t="n"/>
    </row>
    <row r="179" ht="21.75" customHeight="1" s="182">
      <c r="A179" s="97">
        <f>IF(AND(D179="",C179=""),"",176)</f>
        <v/>
      </c>
      <c r="B179" s="63" t="n"/>
      <c r="C179" s="108" t="n"/>
      <c r="D179" s="109" t="n"/>
      <c r="E179" s="110" t="n"/>
      <c r="F179" s="111" t="n"/>
      <c r="G179" s="112" t="n"/>
      <c r="H179" s="113" t="n"/>
      <c r="I179" s="114" t="n"/>
      <c r="J179" s="115" t="n"/>
      <c r="K179" s="115" t="n"/>
      <c r="L179" s="115" t="n"/>
      <c r="M179" s="115" t="n"/>
      <c r="N179" s="115" t="n"/>
      <c r="O179" s="115" t="n"/>
      <c r="P179" s="115" t="n"/>
      <c r="Q179" s="115" t="n"/>
      <c r="R179" s="115" t="n"/>
      <c r="S179" s="115" t="n"/>
      <c r="T179" s="115" t="n"/>
      <c r="U179" s="115" t="n"/>
      <c r="V179" s="106">
        <f>IF(C179="Gutschrift","",IF(G179="","",IF(Besatzung!$B$11="","",IFERROR(IF(I179="Zeitanteilig",(Besatzung!$G$11*(G179-IFERROR(H179,0))+((Besatzung!$B$11&lt;&gt;"")*IF(B179="",1,(IF(Besatzung!$C$11="",Besatzung!$B$5,Besatzung!$C$11)&lt;=B179)*(IF(Besatzung!$D$11="",Besatzung!$B$6,Besatzung!$D$11)&gt;=B179)))*(Besatzung!$F$11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$11&lt;&gt;"")*IF(B179="",1,(IF(Besatzung!$C$11="",Besatzung!$B$5,Besatzung!$C$11)&lt;=B179)*(IF(Besatzung!$D$11="",Besatzung!$B$6,Besatzung!$D$11)&gt;=B179)))*((G179-IFERROR(H179,0))/IFERROR(SUMPRODUCT((Besatzung!$B$11:$B$22&lt;&gt;"")*(IF(Besatzung!$C$11:$C$22="",Besatzung!$B$5,Besatzung!$C$11:$C$22)&lt;=B179)*(IF(Besatzung!$D$11:$D$22="",Besatzung!$B$6,Besatzung!$D$11:$D$22)&gt;=B179)),1)+(Besatzung!$F$11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J179="x")*((G179-IFERROR(H179,0))/IFERROR(COUNTIF(J179:U179,"x"),1)+(Besatzung!$F$11="x")*IFERROR(H179,0)/IFERROR(SUMPRODUCT((J179:U179="x")*(Besatzung!$F$11:$F$22="x")),1))),(IF(COUNTIF(J179:U179,"x")=0,IF(Besatzung!$B$11&lt;&gt;"",1,0),(J179="x"))*(G179-IFERROR(H179,0))/IFERROR(IF(COUNTIF(J179:U179,"x")=0,COUNTA(Besatzung!$B$11:$B$22),COUNTIF(J179:U179,"x")),1)+IF(COUNTIF(J179:U179,"x")=0,(Besatzung!$F$11="x"),(J179="x")*(Besatzung!$F$11="x"))*IFERROR(H179,0)/IFERROR(IF(COUNTIF(J179:U179,"x")=0,SUMPRODUCT((Besatzung!$B$11:$B$22&lt;&gt;"")*(Besatzung!$F$11:$F$22="x")),SUMPRODUCT((J179:U179="x")*(Besatzung!$F$11:$F$22="x"))),1))))),0))))</f>
        <v/>
      </c>
      <c r="W179" s="106">
        <f>IF(C179="Gutschrift","",IF(G179="","",IF(Besatzung!$B$12="","",IFERROR(IF(I179="Zeitanteilig",(Besatzung!$G$12*(G179-IFERROR(H179,0))+((Besatzung!$B$12&lt;&gt;"")*IF(B179="",1,(IF(Besatzung!$C$12="",Besatzung!$B$5,Besatzung!$C$12)&lt;=B179)*(IF(Besatzung!$D$12="",Besatzung!$B$6,Besatzung!$D$12)&gt;=B179)))*(Besatzung!$F$12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$12&lt;&gt;"")*IF(B179="",1,(IF(Besatzung!$C$12="",Besatzung!$B$5,Besatzung!$C$12)&lt;=B179)*(IF(Besatzung!$D$12="",Besatzung!$B$6,Besatzung!$D$12)&gt;=B179)))*((G179-IFERROR(H179,0))/IFERROR(SUMPRODUCT((Besatzung!$B$11:$B$22&lt;&gt;"")*(IF(Besatzung!$C$11:$C$22="",Besatzung!$B$5,Besatzung!$C$11:$C$22)&lt;=B179)*(IF(Besatzung!$D$11:$D$22="",Besatzung!$B$6,Besatzung!$D$11:$D$22)&gt;=B179)),1)+(Besatzung!$F$12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K179="x")*((G179-IFERROR(H179,0))/IFERROR(COUNTIF(J179:U179,"x"),1)+(Besatzung!$F$12="x")*IFERROR(H179,0)/IFERROR(SUMPRODUCT((J179:U179="x")*(Besatzung!$F$11:$F$22="x")),1))),(IF(COUNTIF(J179:U179,"x")=0,IF(Besatzung!$B$12&lt;&gt;"",1,0),(K179="x"))*(G179-IFERROR(H179,0))/IFERROR(IF(COUNTIF(J179:U179,"x")=0,COUNTA(Besatzung!$B$11:$B$22),COUNTIF(J179:U179,"x")),1)+IF(COUNTIF(J179:U179,"x")=0,(Besatzung!$F$12="x"),(K179="x")*(Besatzung!$F$12="x"))*IFERROR(H179,0)/IFERROR(IF(COUNTIF(J179:U179,"x")=0,SUMPRODUCT((Besatzung!$B$11:$B$22&lt;&gt;"")*(Besatzung!$F$11:$F$22="x")),SUMPRODUCT((J179:U179="x")*(Besatzung!$F$11:$F$22="x"))),1))))),0))))</f>
        <v/>
      </c>
      <c r="X179" s="106">
        <f>IF(C179="Gutschrift","",IF(G179="","",IF(Besatzung!$B$13="","",IFERROR(IF(I179="Zeitanteilig",(Besatzung!$G$13*(G179-IFERROR(H179,0))+((Besatzung!$B$13&lt;&gt;"")*IF(B179="",1,(IF(Besatzung!$C$13="",Besatzung!$B$5,Besatzung!$C$13)&lt;=B179)*(IF(Besatzung!$D$13="",Besatzung!$B$6,Besatzung!$D$13)&gt;=B179)))*(Besatzung!$F$13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$13&lt;&gt;"")*IF(B179="",1,(IF(Besatzung!$C$13="",Besatzung!$B$5,Besatzung!$C$13)&lt;=B179)*(IF(Besatzung!$D$13="",Besatzung!$B$6,Besatzung!$D$13)&gt;=B179)))*((G179-IFERROR(H179,0))/IFERROR(SUMPRODUCT((Besatzung!$B$11:$B$22&lt;&gt;"")*(IF(Besatzung!$C$11:$C$22="",Besatzung!$B$5,Besatzung!$C$11:$C$22)&lt;=B179)*(IF(Besatzung!$D$11:$D$22="",Besatzung!$B$6,Besatzung!$D$11:$D$22)&gt;=B179)),1)+(Besatzung!$F$13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K179="x")*((G179-IFERROR(H179,0))/IFERROR(COUNTIF(J179:U179,"x"),1)+(Besatzung!$F$13="x")*IFERROR(H179,0)/IFERROR(SUMPRODUCT((J179:U179="x")*(Besatzung!$F$11:$F$22="x")),1))),(IF(COUNTIF(J179:U179,"x")=0,IF(Besatzung!$B$13&lt;&gt;"",1,0),(K179="x"))*(G179-IFERROR(H179,0))/IFERROR(IF(COUNTIF(J179:U179,"x")=0,COUNTA(Besatzung!$B$11:$B$22),COUNTIF(J179:U179,"x")),1)+IF(COUNTIF(J179:U179,"x")=0,(Besatzung!$F$13="x"),(K179="x")*(Besatzung!$F$13="x"))*IFERROR(H179,0)/IFERROR(IF(COUNTIF(J179:U179,"x")=0,SUMPRODUCT((Besatzung!$B$11:$B$22&lt;&gt;"")*(Besatzung!$F$11:$F$22="x")),SUMPRODUCT((J179:U179="x")*(Besatzung!$F$11:$F$22="x"))),1))))),0))))</f>
        <v/>
      </c>
      <c r="Y179" s="106">
        <f>IF(C179="Gutschrift","",IF(G179="","",IF(Besatzung!$B$14="","",IFERROR(IF(I179="Zeitanteilig",(Besatzung!$G$14*(G179-IFERROR(H179,0))+((Besatzung!$B$14&lt;&gt;"")*IF(B179="",1,(IF(Besatzung!$C$14="",Besatzung!$B$5,Besatzung!$C$14)&lt;=B179)*(IF(Besatzung!$D$14="",Besatzung!$B$6,Besatzung!$D$14)&gt;=B179)))*(Besatzung!$F$14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$14&lt;&gt;"")*IF(B179="",1,(IF(Besatzung!$C$14="",Besatzung!$B$5,Besatzung!$C$14)&lt;=B179)*(IF(Besatzung!$D$14="",Besatzung!$B$6,Besatzung!$D$14)&gt;=B179)))*((G179-IFERROR(H179,0))/IFERROR(SUMPRODUCT((Besatzung!$B$11:$B$22&lt;&gt;"")*(IF(Besatzung!$C$11:$C$22="",Besatzung!$B$5,Besatzung!$C$11:$C$22)&lt;=B179)*(IF(Besatzung!$D$11:$D$22="",Besatzung!$B$6,Besatzung!$D$11:$D$22)&gt;=B179)),1)+(Besatzung!$F$14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M179="x")*((G179-IFERROR(H179,0))/IFERROR(COUNTIF(J179:U179,"x"),1)+(Besatzung!$F$14="x")*IFERROR(H179,0)/IFERROR(SUMPRODUCT((J179:U179="x")*(Besatzung!$F$11:$F$22="x")),1))),(IF(COUNTIF(J179:U179,"x")=0,IF(Besatzung!$B$14&lt;&gt;"",1,0),(M179="x"))*(G179-IFERROR(H179,0))/IFERROR(IF(COUNTIF(J179:U179,"x")=0,COUNTA(Besatzung!$B$11:$B$22),COUNTIF(J179:U179,"x")),1)+IF(COUNTIF(J179:U179,"x")=0,(Besatzung!$F$14="x"),(M179="x")*(Besatzung!$F$14="x"))*IFERROR(H179,0)/IFERROR(IF(COUNTIF(J179:U179,"x")=0,SUMPRODUCT((Besatzung!$B$11:$B$22&lt;&gt;"")*(Besatzung!$F$11:$F$22="x")),SUMPRODUCT((J179:U179="x")*(Besatzung!$F$11:$F$22="x"))),1))))),0))))</f>
        <v/>
      </c>
      <c r="Z179" s="106">
        <f>IF(C179="Gutschrift","",IF(G179="","",IF(Besatzung!$B$13="","",IFERROR(IF(I179="Zeitanteilig",(Besatzung!$G$15*(G179-IFERROR(H179,0))+((Besatzung!$B$13&lt;&gt;"")*IF(B179="",1,(IF(Besatzung!$C$15="",Besatzung!$B$5,Besatzung!$C$15)&lt;=B179)*(IF(Besatzung!$D$15="",Besatzung!$B$6,Besatzung!$D$15)&gt;=B179)))*(Besatzung!$F$15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$13&lt;&gt;"")*IF(B179="",1,(IF(Besatzung!$C$15="",Besatzung!$B$5,Besatzung!$C$15)&lt;=B179)*(IF(Besatzung!$D$15="",Besatzung!$B$6,Besatzung!$D$15)&gt;=B179)))*((G179-IFERROR(H179,0))/IFERROR(SUMPRODUCT((Besatzung!$B$11:$B$22&lt;&gt;"")*(IF(Besatzung!$C$11:$C$22="",Besatzung!$B$5,Besatzung!$C$11:$C$22)&lt;=B179)*(IF(Besatzung!$D$11:$D$22="",Besatzung!$B$6,Besatzung!$D$11:$D$22)&gt;=B179)),1)+(Besatzung!$F$15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N179="x")*((G179-IFERROR(H179,0))/IFERROR(COUNTIF(J179:U179,"x"),1)+(Besatzung!$F$15="x")*IFERROR(H179,0)/IFERROR(SUMPRODUCT((J179:U179="x")*(Besatzung!$F$11:$F$22="x")),1))),(IF(COUNTIF(J179:U179,"x")=0,IF(Besatzung!$B$13&lt;&gt;"",1,0),(N179="x"))*(G179-IFERROR(H179,0))/IFERROR(IF(COUNTIF(J179:U179,"x")=0,COUNTA(Besatzung!$B$11:$B$22),COUNTIF(J179:U179,"x")),1)+IF(COUNTIF(J179:U179,"x")=0,(Besatzung!$F$15="x"),(N179="x")*(Besatzung!$F$15="x"))*IFERROR(H179,0)/IFERROR(IF(COUNTIF(J179:U179,"x")=0,SUMPRODUCT((Besatzung!$B$11:$B$22&lt;&gt;"")*(Besatzung!$F$11:$F$22="x")),SUMPRODUCT((J179:U179="x")*(Besatzung!$F$11:$F$22="x"))),1))))),0))))</f>
        <v/>
      </c>
      <c r="AA179" s="106">
        <f>IF(C179="Gutschrift","",IF(G179="","",IF(Besatzung!$B$15="","",IFERROR(IF(I179="Zeitanteilig",(Besatzung!$G$16*(G179-IFERROR(H179,0))+((Besatzung!$B$15&lt;&gt;"")*IF(B179="",1,(IF(Besatzung!$C$16="",Besatzung!$B$5,Besatzung!$C$16)&lt;=B179)*(IF(Besatzung!$D$16="",Besatzung!$B$6,Besatzung!$D$16)&gt;=B179)))*(Besatzung!$F$16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$15&lt;&gt;"")*IF(B179="",1,(IF(Besatzung!$C$16="",Besatzung!$B$5,Besatzung!$C$16)&lt;=B179)*(IF(Besatzung!$D$16="",Besatzung!$B$6,Besatzung!$D$16)&gt;=B179)))*((G179-IFERROR(H179,0))/IFERROR(SUMPRODUCT((Besatzung!$B$11:$B$22&lt;&gt;"")*(IF(Besatzung!$C$11:$C$22="",Besatzung!$B$5,Besatzung!$C$11:$C$22)&lt;=B179)*(IF(Besatzung!$D$11:$D$22="",Besatzung!$B$6,Besatzung!$D$11:$D$22)&gt;=B179)),1)+(Besatzung!$F$16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O179="x")*((G179-IFERROR(H179,0))/IFERROR(COUNTIF(J179:U179,"x"),1)+(Besatzung!$F$16="x")*IFERROR(H179,0)/IFERROR(SUMPRODUCT((J179:U179="x")*(Besatzung!$F$11:$F$22="x")),1))),(IF(COUNTIF(J179:U179,"x")=0,IF(Besatzung!$B$15&lt;&gt;"",1,0),(O179="x"))*(G179-IFERROR(H179,0))/IFERROR(IF(COUNTIF(J179:U179,"x")=0,COUNTA(Besatzung!$B$11:$B$22),COUNTIF(J179:U179,"x")),1)+IF(COUNTIF(J179:U179,"x")=0,(Besatzung!$F$16="x"),(O179="x")*(Besatzung!$F$16="x"))*IFERROR(H179,0)/IFERROR(IF(COUNTIF(J179:U179,"x")=0,SUMPRODUCT((Besatzung!$B$11:$B$22&lt;&gt;"")*(Besatzung!$F$11:$F$22="x")),SUMPRODUCT((J179:U179="x")*(Besatzung!$F$11:$F$22="x"))),1))))),0))))</f>
        <v/>
      </c>
      <c r="AB179" s="106">
        <f>IF(C179="Gutschrift","",IF(G179="","",IF(Besatzung!$B$17="","",IFERROR(IF(I179="Zeitanteilig",(Besatzung!$G$17*(G179-IFERROR(H179,0))+((Besatzung!$B$17&lt;&gt;"")*IF(B179="",1,(IF(Besatzung!$C$17="",Besatzung!$B$5,Besatzung!$C$17)&lt;=B179)*(IF(Besatzung!$D$17="",Besatzung!$B$6,Besatzung!$D$17)&gt;=B179)))*(Besatzung!$F$17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$17&lt;&gt;"")*IF(B179="",1,(IF(Besatzung!$C$17="",Besatzung!$B$5,Besatzung!$C$17)&lt;=B179)*(IF(Besatzung!$D$17="",Besatzung!$B$6,Besatzung!$D$17)&gt;=B179)))*((G179-IFERROR(H179,0))/IFERROR(SUMPRODUCT((Besatzung!$B$11:$B$22&lt;&gt;"")*(IF(Besatzung!$C$11:$C$22="",Besatzung!$B$5,Besatzung!$C$11:$C$22)&lt;=B179)*(IF(Besatzung!$D$11:$D$22="",Besatzung!$B$6,Besatzung!$D$11:$D$22)&gt;=B179)),1)+(Besatzung!$F$17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P179="x")*((G179-IFERROR(H179,0))/IFERROR(COUNTIF(J179:U179,"x"),1)+(Besatzung!$F$17="x")*IFERROR(H179,0)/IFERROR(SUMPRODUCT((J179:U179="x")*(Besatzung!$F$11:$F$22="x")),1))),(IF(COUNTIF(J179:U179,"x")=0,IF(Besatzung!$B$17&lt;&gt;"",1,0),(P179="x"))*(G179-IFERROR(H179,0))/IFERROR(IF(COUNTIF(J179:U179,"x")=0,COUNTA(Besatzung!$B$11:$B$22),COUNTIF(J179:U179,"x")),1)+IF(COUNTIF(J179:U179,"x")=0,(Besatzung!$F$17="x"),(P179="x")*(Besatzung!$F$17="x"))*IFERROR(H179,0)/IFERROR(IF(COUNTIF(J179:U179,"x")=0,SUMPRODUCT((Besatzung!$B$11:$B$22&lt;&gt;"")*(Besatzung!$F$11:$F$22="x")),SUMPRODUCT((J179:U179="x")*(Besatzung!$F$11:$F$22="x"))),1))))),0))))</f>
        <v/>
      </c>
      <c r="AC179" s="106">
        <f>IF(C179="Gutschrift","",IF(G179="","",IF(Besatzung!$B$18="","",IFERROR(IF(I179="Zeitanteilig",(Besatzung!$G$18*(G179-IFERROR(H179,0))+((Besatzung!$B$18&lt;&gt;"")*IF(B179="",1,(IF(Besatzung!$C$18="",Besatzung!$B$5,Besatzung!$C$18)&lt;=B179)*(IF(Besatzung!$D$18="",Besatzung!$B$6,Besatzung!$D$18)&gt;=B179)))*(Besatzung!$F$18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$18&lt;&gt;"")*IF(B179="",1,(IF(Besatzung!$C$18="",Besatzung!$B$5,Besatzung!$C$18)&lt;=B179)*(IF(Besatzung!$D$18="",Besatzung!$B$6,Besatzung!$D$18)&gt;=B179)))*((G179-IFERROR(H179,0))/IFERROR(SUMPRODUCT((Besatzung!$B$11:$B$22&lt;&gt;"")*(IF(Besatzung!$C$11:$C$22="",Besatzung!$B$5,Besatzung!$C$11:$C$22)&lt;=B179)*(IF(Besatzung!$D$11:$D$22="",Besatzung!$B$6,Besatzung!$D$11:$D$22)&gt;=B179)),1)+(Besatzung!$F$18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Q179="x")*((G179-IFERROR(H179,0))/IFERROR(COUNTIF(J179:U179,"x"),1)+(Besatzung!$F$18="x")*IFERROR(H179,0)/IFERROR(SUMPRODUCT((J179:U179="x")*(Besatzung!$F$11:$F$22="x")),1))),(IF(COUNTIF(J179:U179,"x")=0,IF(Besatzung!$B$18&lt;&gt;"",1,0),(Q179="x"))*(G179-IFERROR(H179,0))/IFERROR(IF(COUNTIF(J179:U179,"x")=0,COUNTA(Besatzung!$B$11:$B$22),COUNTIF(J179:U179,"x")),1)+IF(COUNTIF(J179:U179,"x")=0,(Besatzung!$F$18="x"),(Q179="x")*(Besatzung!$F$18="x"))*IFERROR(H179,0)/IFERROR(IF(COUNTIF(J179:U179,"x")=0,SUMPRODUCT((Besatzung!$B$11:$B$22&lt;&gt;"")*(Besatzung!$F$11:$F$22="x")),SUMPRODUCT((J179:U179="x")*(Besatzung!$F$11:$F$22="x"))),1))))),0))))</f>
        <v/>
      </c>
      <c r="AD179" s="106">
        <f>IF(C179="Gutschrift","",IF(G179="","",IF(Besatzung!$B$19="","",IFERROR(IF(I179="Zeitanteilig",(Besatzung!$G$19*(G179-IFERROR(H179,0))+((Besatzung!$B$19&lt;&gt;"")*IF(B179="",1,(IF(Besatzung!$C$19="",Besatzung!$B$5,Besatzung!$C$19)&lt;=B179)*(IF(Besatzung!$D$19="",Besatzung!$B$6,Besatzung!$D$19)&gt;=B179)))*(Besatzung!$F$19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$19&lt;&gt;"")*IF(B179="",1,(IF(Besatzung!$C$19="",Besatzung!$B$5,Besatzung!$C$19)&lt;=B179)*(IF(Besatzung!$D$19="",Besatzung!$B$6,Besatzung!$D$19)&gt;=B179)))*((G179-IFERROR(H179,0))/IFERROR(SUMPRODUCT((Besatzung!$B$11:$B$22&lt;&gt;"")*(IF(Besatzung!$C$11:$C$22="",Besatzung!$B$5,Besatzung!$C$11:$C$22)&lt;=B179)*(IF(Besatzung!$D$11:$D$22="",Besatzung!$B$6,Besatzung!$D$11:$D$22)&gt;=B179)),1)+(Besatzung!$F$19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R179="x")*((G179-IFERROR(H179,0))/IFERROR(COUNTIF(J179:U179,"x"),1)+(Besatzung!$F$19="x")*IFERROR(H179,0)/IFERROR(SUMPRODUCT((J179:U179="x")*(Besatzung!$F$11:$F$22="x")),1))),(IF(COUNTIF(J179:U179,"x")=0,IF(Besatzung!$B$19&lt;&gt;"",1,0),(R179="x"))*(G179-IFERROR(H179,0))/IFERROR(IF(COUNTIF(J179:U179,"x")=0,COUNTA(Besatzung!$B$11:$B$22),COUNTIF(J179:U179,"x")),1)+IF(COUNTIF(J179:U179,"x")=0,(Besatzung!$F$19="x"),(R179="x")*(Besatzung!$F$19="x"))*IFERROR(H179,0)/IFERROR(IF(COUNTIF(J179:U179,"x")=0,SUMPRODUCT((Besatzung!$B$11:$B$22&lt;&gt;"")*(Besatzung!$F$11:$F$22="x")),SUMPRODUCT((J179:U179="x")*(Besatzung!$F$11:$F$22="x"))),1))))),0))))</f>
        <v/>
      </c>
      <c r="AE179" s="106">
        <f>IF(C179="Gutschrift","",IF(G179="","",IF(Besatzung!$B$20="","",IFERROR(IF(I179="Zeitanteilig",(Besatzung!$G$20*(G179-IFERROR(H179,0))+((Besatzung!$B$20&lt;&gt;"")*IF(B179="",1,(IF(Besatzung!$C$20="",Besatzung!$B$5,Besatzung!$C$20)&lt;=B179)*(IF(Besatzung!$D$20="",Besatzung!$B$6,Besatzung!$D$20)&gt;=B179)))*(Besatzung!$F$20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$20&lt;&gt;"")*IF(B179="",1,(IF(Besatzung!$C$20="",Besatzung!$B$5,Besatzung!$C$20)&lt;=B179)*(IF(Besatzung!$D$20="",Besatzung!$B$6,Besatzung!$D$20)&gt;=B179)))*((G179-IFERROR(H179,0))/IFERROR(SUMPRODUCT((Besatzung!$B$11:$B$22&lt;&gt;"")*(IF(Besatzung!$C$11:$C$22="",Besatzung!$B$5,Besatzung!$C$11:$C$22)&lt;=B179)*(IF(Besatzung!$D$11:$D$22="",Besatzung!$B$6,Besatzung!$D$11:$D$22)&gt;=B179)),1)+(Besatzung!$F$20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S179="x")*((G179-IFERROR(H179,0))/IFERROR(COUNTIF(J179:U179,"x"),1)+(Besatzung!$F$20="x")*IFERROR(H179,0)/IFERROR(SUMPRODUCT((J179:U179="x")*(Besatzung!$F$11:$F$22="x")),1))),(IF(COUNTIF(J179:U179,"x")=0,IF(Besatzung!$B$20&lt;&gt;"",1,0),(S179="x"))*(G179-IFERROR(H179,0))/IFERROR(IF(COUNTIF(J179:U179,"x")=0,COUNTA(Besatzung!$B$11:$B$22),COUNTIF(J179:U179,"x")),1)+IF(COUNTIF(J179:U179,"x")=0,(Besatzung!$F$20="x"),(S179="x")*(Besatzung!$F$20="x"))*IFERROR(H179,0)/IFERROR(IF(COUNTIF(J179:U179,"x")=0,SUMPRODUCT((Besatzung!$B$11:$B$22&lt;&gt;"")*(Besatzung!$F$11:$F$22="x")),SUMPRODUCT((J179:U179="x")*(Besatzung!$F$11:$F$22="x"))),1))))),0))))</f>
        <v/>
      </c>
      <c r="AF179" s="106">
        <f>IF(C179="Gutschrift","",IF(G179="","",IF(Besatzung!$B$21="","",IFERROR(IF(I179="Zeitanteilig",(Besatzung!$G$21*(G179-IFERROR(H179,0))+((Besatzung!$B$21&lt;&gt;"")*IF(B179="",1,(IF(Besatzung!$C$21="",Besatzung!$B$5,Besatzung!$C$21)&lt;=B179)*(IF(Besatzung!$D$21="",Besatzung!$B$6,Besatzung!$D$21)&gt;=B179)))*(Besatzung!$F$21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$21&lt;&gt;"")*IF(B179="",1,(IF(Besatzung!$C$21="",Besatzung!$B$5,Besatzung!$C$21)&lt;=B179)*(IF(Besatzung!$D$21="",Besatzung!$B$6,Besatzung!$D$21)&gt;=B179)))*((G179-IFERROR(H179,0))/IFERROR(SUMPRODUCT((Besatzung!$B$11:$B$22&lt;&gt;"")*(IF(Besatzung!$C$11:$C$22="",Besatzung!$B$5,Besatzung!$C$11:$C$22)&lt;=B179)*(IF(Besatzung!$D$11:$D$22="",Besatzung!$B$6,Besatzung!$D$11:$D$22)&gt;=B179)),1)+(Besatzung!$F$21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T179="x")*((G179-IFERROR(H179,0))/IFERROR(COUNTIF(J179:U179,"x"),1)+(Besatzung!$F$21="x")*IFERROR(H179,0)/IFERROR(SUMPRODUCT((J179:U179="x")*(Besatzung!$F$11:$F$22="x")),1))),(IF(COUNTIF(J179:U179,"x")=0,IF(Besatzung!$B$21&lt;&gt;"",1,0),(T179="x"))*(G179-IFERROR(H179,0))/IFERROR(IF(COUNTIF(J179:U179,"x")=0,COUNTA(Besatzung!$B$11:$B$22),COUNTIF(J179:U179,"x")),1)+IF(COUNTIF(J179:U179,"x")=0,(Besatzung!$F$21="x"),(T179="x")*(Besatzung!$F$21="x"))*IFERROR(H179,0)/IFERROR(IF(COUNTIF(J179:U179,"x")=0,SUMPRODUCT((Besatzung!$B$11:$B$22&lt;&gt;"")*(Besatzung!$F$11:$F$22="x")),SUMPRODUCT((J179:U179="x")*(Besatzung!$F$11:$F$22="x"))),1))))),0))))</f>
        <v/>
      </c>
      <c r="AG179" s="106">
        <f>IF(C179="Gutschrift","",IF(G179="","",IF(Besatzung!$B$22="","",IFERROR(IF(I179="Zeitanteilig",(Besatzung!$G$22*(G179-IFERROR(H179,0))+((Besatzung!$B$22&lt;&gt;"")*IF(B179="",1,(IF(Besatzung!$C$22="",Besatzung!$B$5,Besatzung!$C$22)&lt;=B179)*(IF(Besatzung!$D$22="",Besatzung!$B$6,Besatzung!$D$22)&gt;=B179)))*(Besatzung!$F$22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$22&lt;&gt;"")*IF(B179="",1,(IF(Besatzung!$C$22="",Besatzung!$B$5,Besatzung!$C$22)&lt;=B179)*(IF(Besatzung!$D$22="",Besatzung!$B$6,Besatzung!$D$22)&gt;=B179)))*((G179-IFERROR(H179,0))/IFERROR(SUMPRODUCT((Besatzung!$B$11:$B$22&lt;&gt;"")*(IF(Besatzung!$C$11:$C$22="",Besatzung!$B$5,Besatzung!$C$11:$C$22)&lt;=B179)*(IF(Besatzung!$D$11:$D$22="",Besatzung!$B$6,Besatzung!$D$11:$D$22)&gt;=B179)),1)+(Besatzung!$F$22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U179="x")*((G179-IFERROR(H179,0))/IFERROR(COUNTIF(J179:U179,"x"),1)+(Besatzung!$F$22="x")*IFERROR(H179,0)/IFERROR(SUMPRODUCT((J179:U179="x")*(Besatzung!$F$11:$F$22="x")),1))),(IF(COUNTIF(J179:U179,"x")=0,IF(Besatzung!$B$22&lt;&gt;"",1,0),(U179="x"))*(G179-IFERROR(H179,0))/IFERROR(IF(COUNTIF(J179:U179,"x")=0,COUNTA(Besatzung!$B$11:$B$22),COUNTIF(J179:U179,"x")),1)+IF(COUNTIF(J179:U179,"x")=0,(Besatzung!$F$22="x"),(U179="x")*(Besatzung!$F$22="x"))*IFERROR(H179,0)/IFERROR(IF(COUNTIF(J179:U179,"x")=0,SUMPRODUCT((Besatzung!$B$11:$B$22&lt;&gt;"")*(Besatzung!$F$11:$F$22="x")),SUMPRODUCT((J179:U179="x")*(Besatzung!$F$11:$F$22="x"))),1))))),0))))</f>
        <v/>
      </c>
      <c r="AH179" s="107" t="n"/>
      <c r="AI179" s="107" t="n"/>
    </row>
    <row r="180" ht="21.75" customHeight="1" s="182">
      <c r="A180" s="97">
        <f>IF(AND(D180="",C180=""),"",177)</f>
        <v/>
      </c>
      <c r="B180" s="56" t="n"/>
      <c r="C180" s="98" t="n"/>
      <c r="D180" s="99" t="n"/>
      <c r="E180" s="100" t="n"/>
      <c r="F180" s="101" t="n"/>
      <c r="G180" s="102" t="n"/>
      <c r="H180" s="103" t="n"/>
      <c r="I180" s="104" t="n"/>
      <c r="J180" s="105" t="n"/>
      <c r="K180" s="105" t="n"/>
      <c r="L180" s="105" t="n"/>
      <c r="M180" s="105" t="n"/>
      <c r="N180" s="105" t="n"/>
      <c r="O180" s="105" t="n"/>
      <c r="P180" s="105" t="n"/>
      <c r="Q180" s="105" t="n"/>
      <c r="R180" s="105" t="n"/>
      <c r="S180" s="105" t="n"/>
      <c r="T180" s="105" t="n"/>
      <c r="U180" s="105" t="n"/>
      <c r="V180" s="106">
        <f>IF(C180="Gutschrift","",IF(G180="","",IF(Besatzung!$B$11="","",IFERROR(IF(I180="Zeitanteilig",(Besatzung!$G$11*(G180-IFERROR(H180,0))+((Besatzung!$B$11&lt;&gt;"")*IF(B180="",1,(IF(Besatzung!$C$11="",Besatzung!$B$5,Besatzung!$C$11)&lt;=B180)*(IF(Besatzung!$D$11="",Besatzung!$B$6,Besatzung!$D$11)&gt;=B180)))*(Besatzung!$F$11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$11&lt;&gt;"")*IF(B180="",1,(IF(Besatzung!$C$11="",Besatzung!$B$5,Besatzung!$C$11)&lt;=B180)*(IF(Besatzung!$D$11="",Besatzung!$B$6,Besatzung!$D$11)&gt;=B180)))*((G180-IFERROR(H180,0))/IFERROR(SUMPRODUCT((Besatzung!$B$11:$B$22&lt;&gt;"")*(IF(Besatzung!$C$11:$C$22="",Besatzung!$B$5,Besatzung!$C$11:$C$22)&lt;=B180)*(IF(Besatzung!$D$11:$D$22="",Besatzung!$B$6,Besatzung!$D$11:$D$22)&gt;=B180)),1)+(Besatzung!$F$11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J180="x")*((G180-IFERROR(H180,0))/IFERROR(COUNTIF(J180:U180,"x"),1)+(Besatzung!$F$11="x")*IFERROR(H180,0)/IFERROR(SUMPRODUCT((J180:U180="x")*(Besatzung!$F$11:$F$22="x")),1))),(IF(COUNTIF(J180:U180,"x")=0,IF(Besatzung!$B$11&lt;&gt;"",1,0),(J180="x"))*(G180-IFERROR(H180,0))/IFERROR(IF(COUNTIF(J180:U180,"x")=0,COUNTA(Besatzung!$B$11:$B$22),COUNTIF(J180:U180,"x")),1)+IF(COUNTIF(J180:U180,"x")=0,(Besatzung!$F$11="x"),(J180="x")*(Besatzung!$F$11="x"))*IFERROR(H180,0)/IFERROR(IF(COUNTIF(J180:U180,"x")=0,SUMPRODUCT((Besatzung!$B$11:$B$22&lt;&gt;"")*(Besatzung!$F$11:$F$22="x")),SUMPRODUCT((J180:U180="x")*(Besatzung!$F$11:$F$22="x"))),1))))),0))))</f>
        <v/>
      </c>
      <c r="W180" s="106">
        <f>IF(C180="Gutschrift","",IF(G180="","",IF(Besatzung!$B$12="","",IFERROR(IF(I180="Zeitanteilig",(Besatzung!$G$12*(G180-IFERROR(H180,0))+((Besatzung!$B$12&lt;&gt;"")*IF(B180="",1,(IF(Besatzung!$C$12="",Besatzung!$B$5,Besatzung!$C$12)&lt;=B180)*(IF(Besatzung!$D$12="",Besatzung!$B$6,Besatzung!$D$12)&gt;=B180)))*(Besatzung!$F$12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$12&lt;&gt;"")*IF(B180="",1,(IF(Besatzung!$C$12="",Besatzung!$B$5,Besatzung!$C$12)&lt;=B180)*(IF(Besatzung!$D$12="",Besatzung!$B$6,Besatzung!$D$12)&gt;=B180)))*((G180-IFERROR(H180,0))/IFERROR(SUMPRODUCT((Besatzung!$B$11:$B$22&lt;&gt;"")*(IF(Besatzung!$C$11:$C$22="",Besatzung!$B$5,Besatzung!$C$11:$C$22)&lt;=B180)*(IF(Besatzung!$D$11:$D$22="",Besatzung!$B$6,Besatzung!$D$11:$D$22)&gt;=B180)),1)+(Besatzung!$F$12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K180="x")*((G180-IFERROR(H180,0))/IFERROR(COUNTIF(J180:U180,"x"),1)+(Besatzung!$F$12="x")*IFERROR(H180,0)/IFERROR(SUMPRODUCT((J180:U180="x")*(Besatzung!$F$11:$F$22="x")),1))),(IF(COUNTIF(J180:U180,"x")=0,IF(Besatzung!$B$12&lt;&gt;"",1,0),(K180="x"))*(G180-IFERROR(H180,0))/IFERROR(IF(COUNTIF(J180:U180,"x")=0,COUNTA(Besatzung!$B$11:$B$22),COUNTIF(J180:U180,"x")),1)+IF(COUNTIF(J180:U180,"x")=0,(Besatzung!$F$12="x"),(K180="x")*(Besatzung!$F$12="x"))*IFERROR(H180,0)/IFERROR(IF(COUNTIF(J180:U180,"x")=0,SUMPRODUCT((Besatzung!$B$11:$B$22&lt;&gt;"")*(Besatzung!$F$11:$F$22="x")),SUMPRODUCT((J180:U180="x")*(Besatzung!$F$11:$F$22="x"))),1))))),0))))</f>
        <v/>
      </c>
      <c r="X180" s="106">
        <f>IF(C180="Gutschrift","",IF(G180="","",IF(Besatzung!$B$13="","",IFERROR(IF(I180="Zeitanteilig",(Besatzung!$G$13*(G180-IFERROR(H180,0))+((Besatzung!$B$13&lt;&gt;"")*IF(B180="",1,(IF(Besatzung!$C$13="",Besatzung!$B$5,Besatzung!$C$13)&lt;=B180)*(IF(Besatzung!$D$13="",Besatzung!$B$6,Besatzung!$D$13)&gt;=B180)))*(Besatzung!$F$13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$13&lt;&gt;"")*IF(B180="",1,(IF(Besatzung!$C$13="",Besatzung!$B$5,Besatzung!$C$13)&lt;=B180)*(IF(Besatzung!$D$13="",Besatzung!$B$6,Besatzung!$D$13)&gt;=B180)))*((G180-IFERROR(H180,0))/IFERROR(SUMPRODUCT((Besatzung!$B$11:$B$22&lt;&gt;"")*(IF(Besatzung!$C$11:$C$22="",Besatzung!$B$5,Besatzung!$C$11:$C$22)&lt;=B180)*(IF(Besatzung!$D$11:$D$22="",Besatzung!$B$6,Besatzung!$D$11:$D$22)&gt;=B180)),1)+(Besatzung!$F$13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K180="x")*((G180-IFERROR(H180,0))/IFERROR(COUNTIF(J180:U180,"x"),1)+(Besatzung!$F$13="x")*IFERROR(H180,0)/IFERROR(SUMPRODUCT((J180:U180="x")*(Besatzung!$F$11:$F$22="x")),1))),(IF(COUNTIF(J180:U180,"x")=0,IF(Besatzung!$B$13&lt;&gt;"",1,0),(K180="x"))*(G180-IFERROR(H180,0))/IFERROR(IF(COUNTIF(J180:U180,"x")=0,COUNTA(Besatzung!$B$11:$B$22),COUNTIF(J180:U180,"x")),1)+IF(COUNTIF(J180:U180,"x")=0,(Besatzung!$F$13="x"),(K180="x")*(Besatzung!$F$13="x"))*IFERROR(H180,0)/IFERROR(IF(COUNTIF(J180:U180,"x")=0,SUMPRODUCT((Besatzung!$B$11:$B$22&lt;&gt;"")*(Besatzung!$F$11:$F$22="x")),SUMPRODUCT((J180:U180="x")*(Besatzung!$F$11:$F$22="x"))),1))))),0))))</f>
        <v/>
      </c>
      <c r="Y180" s="106">
        <f>IF(C180="Gutschrift","",IF(G180="","",IF(Besatzung!$B$14="","",IFERROR(IF(I180="Zeitanteilig",(Besatzung!$G$14*(G180-IFERROR(H180,0))+((Besatzung!$B$14&lt;&gt;"")*IF(B180="",1,(IF(Besatzung!$C$14="",Besatzung!$B$5,Besatzung!$C$14)&lt;=B180)*(IF(Besatzung!$D$14="",Besatzung!$B$6,Besatzung!$D$14)&gt;=B180)))*(Besatzung!$F$14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$14&lt;&gt;"")*IF(B180="",1,(IF(Besatzung!$C$14="",Besatzung!$B$5,Besatzung!$C$14)&lt;=B180)*(IF(Besatzung!$D$14="",Besatzung!$B$6,Besatzung!$D$14)&gt;=B180)))*((G180-IFERROR(H180,0))/IFERROR(SUMPRODUCT((Besatzung!$B$11:$B$22&lt;&gt;"")*(IF(Besatzung!$C$11:$C$22="",Besatzung!$B$5,Besatzung!$C$11:$C$22)&lt;=B180)*(IF(Besatzung!$D$11:$D$22="",Besatzung!$B$6,Besatzung!$D$11:$D$22)&gt;=B180)),1)+(Besatzung!$F$14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M180="x")*((G180-IFERROR(H180,0))/IFERROR(COUNTIF(J180:U180,"x"),1)+(Besatzung!$F$14="x")*IFERROR(H180,0)/IFERROR(SUMPRODUCT((J180:U180="x")*(Besatzung!$F$11:$F$22="x")),1))),(IF(COUNTIF(J180:U180,"x")=0,IF(Besatzung!$B$14&lt;&gt;"",1,0),(M180="x"))*(G180-IFERROR(H180,0))/IFERROR(IF(COUNTIF(J180:U180,"x")=0,COUNTA(Besatzung!$B$11:$B$22),COUNTIF(J180:U180,"x")),1)+IF(COUNTIF(J180:U180,"x")=0,(Besatzung!$F$14="x"),(M180="x")*(Besatzung!$F$14="x"))*IFERROR(H180,0)/IFERROR(IF(COUNTIF(J180:U180,"x")=0,SUMPRODUCT((Besatzung!$B$11:$B$22&lt;&gt;"")*(Besatzung!$F$11:$F$22="x")),SUMPRODUCT((J180:U180="x")*(Besatzung!$F$11:$F$22="x"))),1))))),0))))</f>
        <v/>
      </c>
      <c r="Z180" s="106">
        <f>IF(C180="Gutschrift","",IF(G180="","",IF(Besatzung!$B$13="","",IFERROR(IF(I180="Zeitanteilig",(Besatzung!$G$15*(G180-IFERROR(H180,0))+((Besatzung!$B$13&lt;&gt;"")*IF(B180="",1,(IF(Besatzung!$C$15="",Besatzung!$B$5,Besatzung!$C$15)&lt;=B180)*(IF(Besatzung!$D$15="",Besatzung!$B$6,Besatzung!$D$15)&gt;=B180)))*(Besatzung!$F$15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$13&lt;&gt;"")*IF(B180="",1,(IF(Besatzung!$C$15="",Besatzung!$B$5,Besatzung!$C$15)&lt;=B180)*(IF(Besatzung!$D$15="",Besatzung!$B$6,Besatzung!$D$15)&gt;=B180)))*((G180-IFERROR(H180,0))/IFERROR(SUMPRODUCT((Besatzung!$B$11:$B$22&lt;&gt;"")*(IF(Besatzung!$C$11:$C$22="",Besatzung!$B$5,Besatzung!$C$11:$C$22)&lt;=B180)*(IF(Besatzung!$D$11:$D$22="",Besatzung!$B$6,Besatzung!$D$11:$D$22)&gt;=B180)),1)+(Besatzung!$F$15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N180="x")*((G180-IFERROR(H180,0))/IFERROR(COUNTIF(J180:U180,"x"),1)+(Besatzung!$F$15="x")*IFERROR(H180,0)/IFERROR(SUMPRODUCT((J180:U180="x")*(Besatzung!$F$11:$F$22="x")),1))),(IF(COUNTIF(J180:U180,"x")=0,IF(Besatzung!$B$13&lt;&gt;"",1,0),(N180="x"))*(G180-IFERROR(H180,0))/IFERROR(IF(COUNTIF(J180:U180,"x")=0,COUNTA(Besatzung!$B$11:$B$22),COUNTIF(J180:U180,"x")),1)+IF(COUNTIF(J180:U180,"x")=0,(Besatzung!$F$15="x"),(N180="x")*(Besatzung!$F$15="x"))*IFERROR(H180,0)/IFERROR(IF(COUNTIF(J180:U180,"x")=0,SUMPRODUCT((Besatzung!$B$11:$B$22&lt;&gt;"")*(Besatzung!$F$11:$F$22="x")),SUMPRODUCT((J180:U180="x")*(Besatzung!$F$11:$F$22="x"))),1))))),0))))</f>
        <v/>
      </c>
      <c r="AA180" s="106">
        <f>IF(C180="Gutschrift","",IF(G180="","",IF(Besatzung!$B$15="","",IFERROR(IF(I180="Zeitanteilig",(Besatzung!$G$16*(G180-IFERROR(H180,0))+((Besatzung!$B$15&lt;&gt;"")*IF(B180="",1,(IF(Besatzung!$C$16="",Besatzung!$B$5,Besatzung!$C$16)&lt;=B180)*(IF(Besatzung!$D$16="",Besatzung!$B$6,Besatzung!$D$16)&gt;=B180)))*(Besatzung!$F$16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$15&lt;&gt;"")*IF(B180="",1,(IF(Besatzung!$C$16="",Besatzung!$B$5,Besatzung!$C$16)&lt;=B180)*(IF(Besatzung!$D$16="",Besatzung!$B$6,Besatzung!$D$16)&gt;=B180)))*((G180-IFERROR(H180,0))/IFERROR(SUMPRODUCT((Besatzung!$B$11:$B$22&lt;&gt;"")*(IF(Besatzung!$C$11:$C$22="",Besatzung!$B$5,Besatzung!$C$11:$C$22)&lt;=B180)*(IF(Besatzung!$D$11:$D$22="",Besatzung!$B$6,Besatzung!$D$11:$D$22)&gt;=B180)),1)+(Besatzung!$F$16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O180="x")*((G180-IFERROR(H180,0))/IFERROR(COUNTIF(J180:U180,"x"),1)+(Besatzung!$F$16="x")*IFERROR(H180,0)/IFERROR(SUMPRODUCT((J180:U180="x")*(Besatzung!$F$11:$F$22="x")),1))),(IF(COUNTIF(J180:U180,"x")=0,IF(Besatzung!$B$15&lt;&gt;"",1,0),(O180="x"))*(G180-IFERROR(H180,0))/IFERROR(IF(COUNTIF(J180:U180,"x")=0,COUNTA(Besatzung!$B$11:$B$22),COUNTIF(J180:U180,"x")),1)+IF(COUNTIF(J180:U180,"x")=0,(Besatzung!$F$16="x"),(O180="x")*(Besatzung!$F$16="x"))*IFERROR(H180,0)/IFERROR(IF(COUNTIF(J180:U180,"x")=0,SUMPRODUCT((Besatzung!$B$11:$B$22&lt;&gt;"")*(Besatzung!$F$11:$F$22="x")),SUMPRODUCT((J180:U180="x")*(Besatzung!$F$11:$F$22="x"))),1))))),0))))</f>
        <v/>
      </c>
      <c r="AB180" s="106">
        <f>IF(C180="Gutschrift","",IF(G180="","",IF(Besatzung!$B$17="","",IFERROR(IF(I180="Zeitanteilig",(Besatzung!$G$17*(G180-IFERROR(H180,0))+((Besatzung!$B$17&lt;&gt;"")*IF(B180="",1,(IF(Besatzung!$C$17="",Besatzung!$B$5,Besatzung!$C$17)&lt;=B180)*(IF(Besatzung!$D$17="",Besatzung!$B$6,Besatzung!$D$17)&gt;=B180)))*(Besatzung!$F$17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$17&lt;&gt;"")*IF(B180="",1,(IF(Besatzung!$C$17="",Besatzung!$B$5,Besatzung!$C$17)&lt;=B180)*(IF(Besatzung!$D$17="",Besatzung!$B$6,Besatzung!$D$17)&gt;=B180)))*((G180-IFERROR(H180,0))/IFERROR(SUMPRODUCT((Besatzung!$B$11:$B$22&lt;&gt;"")*(IF(Besatzung!$C$11:$C$22="",Besatzung!$B$5,Besatzung!$C$11:$C$22)&lt;=B180)*(IF(Besatzung!$D$11:$D$22="",Besatzung!$B$6,Besatzung!$D$11:$D$22)&gt;=B180)),1)+(Besatzung!$F$17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P180="x")*((G180-IFERROR(H180,0))/IFERROR(COUNTIF(J180:U180,"x"),1)+(Besatzung!$F$17="x")*IFERROR(H180,0)/IFERROR(SUMPRODUCT((J180:U180="x")*(Besatzung!$F$11:$F$22="x")),1))),(IF(COUNTIF(J180:U180,"x")=0,IF(Besatzung!$B$17&lt;&gt;"",1,0),(P180="x"))*(G180-IFERROR(H180,0))/IFERROR(IF(COUNTIF(J180:U180,"x")=0,COUNTA(Besatzung!$B$11:$B$22),COUNTIF(J180:U180,"x")),1)+IF(COUNTIF(J180:U180,"x")=0,(Besatzung!$F$17="x"),(P180="x")*(Besatzung!$F$17="x"))*IFERROR(H180,0)/IFERROR(IF(COUNTIF(J180:U180,"x")=0,SUMPRODUCT((Besatzung!$B$11:$B$22&lt;&gt;"")*(Besatzung!$F$11:$F$22="x")),SUMPRODUCT((J180:U180="x")*(Besatzung!$F$11:$F$22="x"))),1))))),0))))</f>
        <v/>
      </c>
      <c r="AC180" s="106">
        <f>IF(C180="Gutschrift","",IF(G180="","",IF(Besatzung!$B$18="","",IFERROR(IF(I180="Zeitanteilig",(Besatzung!$G$18*(G180-IFERROR(H180,0))+((Besatzung!$B$18&lt;&gt;"")*IF(B180="",1,(IF(Besatzung!$C$18="",Besatzung!$B$5,Besatzung!$C$18)&lt;=B180)*(IF(Besatzung!$D$18="",Besatzung!$B$6,Besatzung!$D$18)&gt;=B180)))*(Besatzung!$F$18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$18&lt;&gt;"")*IF(B180="",1,(IF(Besatzung!$C$18="",Besatzung!$B$5,Besatzung!$C$18)&lt;=B180)*(IF(Besatzung!$D$18="",Besatzung!$B$6,Besatzung!$D$18)&gt;=B180)))*((G180-IFERROR(H180,0))/IFERROR(SUMPRODUCT((Besatzung!$B$11:$B$22&lt;&gt;"")*(IF(Besatzung!$C$11:$C$22="",Besatzung!$B$5,Besatzung!$C$11:$C$22)&lt;=B180)*(IF(Besatzung!$D$11:$D$22="",Besatzung!$B$6,Besatzung!$D$11:$D$22)&gt;=B180)),1)+(Besatzung!$F$18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Q180="x")*((G180-IFERROR(H180,0))/IFERROR(COUNTIF(J180:U180,"x"),1)+(Besatzung!$F$18="x")*IFERROR(H180,0)/IFERROR(SUMPRODUCT((J180:U180="x")*(Besatzung!$F$11:$F$22="x")),1))),(IF(COUNTIF(J180:U180,"x")=0,IF(Besatzung!$B$18&lt;&gt;"",1,0),(Q180="x"))*(G180-IFERROR(H180,0))/IFERROR(IF(COUNTIF(J180:U180,"x")=0,COUNTA(Besatzung!$B$11:$B$22),COUNTIF(J180:U180,"x")),1)+IF(COUNTIF(J180:U180,"x")=0,(Besatzung!$F$18="x"),(Q180="x")*(Besatzung!$F$18="x"))*IFERROR(H180,0)/IFERROR(IF(COUNTIF(J180:U180,"x")=0,SUMPRODUCT((Besatzung!$B$11:$B$22&lt;&gt;"")*(Besatzung!$F$11:$F$22="x")),SUMPRODUCT((J180:U180="x")*(Besatzung!$F$11:$F$22="x"))),1))))),0))))</f>
        <v/>
      </c>
      <c r="AD180" s="106">
        <f>IF(C180="Gutschrift","",IF(G180="","",IF(Besatzung!$B$19="","",IFERROR(IF(I180="Zeitanteilig",(Besatzung!$G$19*(G180-IFERROR(H180,0))+((Besatzung!$B$19&lt;&gt;"")*IF(B180="",1,(IF(Besatzung!$C$19="",Besatzung!$B$5,Besatzung!$C$19)&lt;=B180)*(IF(Besatzung!$D$19="",Besatzung!$B$6,Besatzung!$D$19)&gt;=B180)))*(Besatzung!$F$19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$19&lt;&gt;"")*IF(B180="",1,(IF(Besatzung!$C$19="",Besatzung!$B$5,Besatzung!$C$19)&lt;=B180)*(IF(Besatzung!$D$19="",Besatzung!$B$6,Besatzung!$D$19)&gt;=B180)))*((G180-IFERROR(H180,0))/IFERROR(SUMPRODUCT((Besatzung!$B$11:$B$22&lt;&gt;"")*(IF(Besatzung!$C$11:$C$22="",Besatzung!$B$5,Besatzung!$C$11:$C$22)&lt;=B180)*(IF(Besatzung!$D$11:$D$22="",Besatzung!$B$6,Besatzung!$D$11:$D$22)&gt;=B180)),1)+(Besatzung!$F$19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R180="x")*((G180-IFERROR(H180,0))/IFERROR(COUNTIF(J180:U180,"x"),1)+(Besatzung!$F$19="x")*IFERROR(H180,0)/IFERROR(SUMPRODUCT((J180:U180="x")*(Besatzung!$F$11:$F$22="x")),1))),(IF(COUNTIF(J180:U180,"x")=0,IF(Besatzung!$B$19&lt;&gt;"",1,0),(R180="x"))*(G180-IFERROR(H180,0))/IFERROR(IF(COUNTIF(J180:U180,"x")=0,COUNTA(Besatzung!$B$11:$B$22),COUNTIF(J180:U180,"x")),1)+IF(COUNTIF(J180:U180,"x")=0,(Besatzung!$F$19="x"),(R180="x")*(Besatzung!$F$19="x"))*IFERROR(H180,0)/IFERROR(IF(COUNTIF(J180:U180,"x")=0,SUMPRODUCT((Besatzung!$B$11:$B$22&lt;&gt;"")*(Besatzung!$F$11:$F$22="x")),SUMPRODUCT((J180:U180="x")*(Besatzung!$F$11:$F$22="x"))),1))))),0))))</f>
        <v/>
      </c>
      <c r="AE180" s="106">
        <f>IF(C180="Gutschrift","",IF(G180="","",IF(Besatzung!$B$20="","",IFERROR(IF(I180="Zeitanteilig",(Besatzung!$G$20*(G180-IFERROR(H180,0))+((Besatzung!$B$20&lt;&gt;"")*IF(B180="",1,(IF(Besatzung!$C$20="",Besatzung!$B$5,Besatzung!$C$20)&lt;=B180)*(IF(Besatzung!$D$20="",Besatzung!$B$6,Besatzung!$D$20)&gt;=B180)))*(Besatzung!$F$20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$20&lt;&gt;"")*IF(B180="",1,(IF(Besatzung!$C$20="",Besatzung!$B$5,Besatzung!$C$20)&lt;=B180)*(IF(Besatzung!$D$20="",Besatzung!$B$6,Besatzung!$D$20)&gt;=B180)))*((G180-IFERROR(H180,0))/IFERROR(SUMPRODUCT((Besatzung!$B$11:$B$22&lt;&gt;"")*(IF(Besatzung!$C$11:$C$22="",Besatzung!$B$5,Besatzung!$C$11:$C$22)&lt;=B180)*(IF(Besatzung!$D$11:$D$22="",Besatzung!$B$6,Besatzung!$D$11:$D$22)&gt;=B180)),1)+(Besatzung!$F$20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S180="x")*((G180-IFERROR(H180,0))/IFERROR(COUNTIF(J180:U180,"x"),1)+(Besatzung!$F$20="x")*IFERROR(H180,0)/IFERROR(SUMPRODUCT((J180:U180="x")*(Besatzung!$F$11:$F$22="x")),1))),(IF(COUNTIF(J180:U180,"x")=0,IF(Besatzung!$B$20&lt;&gt;"",1,0),(S180="x"))*(G180-IFERROR(H180,0))/IFERROR(IF(COUNTIF(J180:U180,"x")=0,COUNTA(Besatzung!$B$11:$B$22),COUNTIF(J180:U180,"x")),1)+IF(COUNTIF(J180:U180,"x")=0,(Besatzung!$F$20="x"),(S180="x")*(Besatzung!$F$20="x"))*IFERROR(H180,0)/IFERROR(IF(COUNTIF(J180:U180,"x")=0,SUMPRODUCT((Besatzung!$B$11:$B$22&lt;&gt;"")*(Besatzung!$F$11:$F$22="x")),SUMPRODUCT((J180:U180="x")*(Besatzung!$F$11:$F$22="x"))),1))))),0))))</f>
        <v/>
      </c>
      <c r="AF180" s="106">
        <f>IF(C180="Gutschrift","",IF(G180="","",IF(Besatzung!$B$21="","",IFERROR(IF(I180="Zeitanteilig",(Besatzung!$G$21*(G180-IFERROR(H180,0))+((Besatzung!$B$21&lt;&gt;"")*IF(B180="",1,(IF(Besatzung!$C$21="",Besatzung!$B$5,Besatzung!$C$21)&lt;=B180)*(IF(Besatzung!$D$21="",Besatzung!$B$6,Besatzung!$D$21)&gt;=B180)))*(Besatzung!$F$21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$21&lt;&gt;"")*IF(B180="",1,(IF(Besatzung!$C$21="",Besatzung!$B$5,Besatzung!$C$21)&lt;=B180)*(IF(Besatzung!$D$21="",Besatzung!$B$6,Besatzung!$D$21)&gt;=B180)))*((G180-IFERROR(H180,0))/IFERROR(SUMPRODUCT((Besatzung!$B$11:$B$22&lt;&gt;"")*(IF(Besatzung!$C$11:$C$22="",Besatzung!$B$5,Besatzung!$C$11:$C$22)&lt;=B180)*(IF(Besatzung!$D$11:$D$22="",Besatzung!$B$6,Besatzung!$D$11:$D$22)&gt;=B180)),1)+(Besatzung!$F$21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T180="x")*((G180-IFERROR(H180,0))/IFERROR(COUNTIF(J180:U180,"x"),1)+(Besatzung!$F$21="x")*IFERROR(H180,0)/IFERROR(SUMPRODUCT((J180:U180="x")*(Besatzung!$F$11:$F$22="x")),1))),(IF(COUNTIF(J180:U180,"x")=0,IF(Besatzung!$B$21&lt;&gt;"",1,0),(T180="x"))*(G180-IFERROR(H180,0))/IFERROR(IF(COUNTIF(J180:U180,"x")=0,COUNTA(Besatzung!$B$11:$B$22),COUNTIF(J180:U180,"x")),1)+IF(COUNTIF(J180:U180,"x")=0,(Besatzung!$F$21="x"),(T180="x")*(Besatzung!$F$21="x"))*IFERROR(H180,0)/IFERROR(IF(COUNTIF(J180:U180,"x")=0,SUMPRODUCT((Besatzung!$B$11:$B$22&lt;&gt;"")*(Besatzung!$F$11:$F$22="x")),SUMPRODUCT((J180:U180="x")*(Besatzung!$F$11:$F$22="x"))),1))))),0))))</f>
        <v/>
      </c>
      <c r="AG180" s="106">
        <f>IF(C180="Gutschrift","",IF(G180="","",IF(Besatzung!$B$22="","",IFERROR(IF(I180="Zeitanteilig",(Besatzung!$G$22*(G180-IFERROR(H180,0))+((Besatzung!$B$22&lt;&gt;"")*IF(B180="",1,(IF(Besatzung!$C$22="",Besatzung!$B$5,Besatzung!$C$22)&lt;=B180)*(IF(Besatzung!$D$22="",Besatzung!$B$6,Besatzung!$D$22)&gt;=B180)))*(Besatzung!$F$22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$22&lt;&gt;"")*IF(B180="",1,(IF(Besatzung!$C$22="",Besatzung!$B$5,Besatzung!$C$22)&lt;=B180)*(IF(Besatzung!$D$22="",Besatzung!$B$6,Besatzung!$D$22)&gt;=B180)))*((G180-IFERROR(H180,0))/IFERROR(SUMPRODUCT((Besatzung!$B$11:$B$22&lt;&gt;"")*(IF(Besatzung!$C$11:$C$22="",Besatzung!$B$5,Besatzung!$C$11:$C$22)&lt;=B180)*(IF(Besatzung!$D$11:$D$22="",Besatzung!$B$6,Besatzung!$D$11:$D$22)&gt;=B180)),1)+(Besatzung!$F$22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U180="x")*((G180-IFERROR(H180,0))/IFERROR(COUNTIF(J180:U180,"x"),1)+(Besatzung!$F$22="x")*IFERROR(H180,0)/IFERROR(SUMPRODUCT((J180:U180="x")*(Besatzung!$F$11:$F$22="x")),1))),(IF(COUNTIF(J180:U180,"x")=0,IF(Besatzung!$B$22&lt;&gt;"",1,0),(U180="x"))*(G180-IFERROR(H180,0))/IFERROR(IF(COUNTIF(J180:U180,"x")=0,COUNTA(Besatzung!$B$11:$B$22),COUNTIF(J180:U180,"x")),1)+IF(COUNTIF(J180:U180,"x")=0,(Besatzung!$F$22="x"),(U180="x")*(Besatzung!$F$22="x"))*IFERROR(H180,0)/IFERROR(IF(COUNTIF(J180:U180,"x")=0,SUMPRODUCT((Besatzung!$B$11:$B$22&lt;&gt;"")*(Besatzung!$F$11:$F$22="x")),SUMPRODUCT((J180:U180="x")*(Besatzung!$F$11:$F$22="x"))),1))))),0))))</f>
        <v/>
      </c>
      <c r="AH180" s="107" t="n"/>
      <c r="AI180" s="107" t="n"/>
    </row>
    <row r="181" ht="21.75" customHeight="1" s="182">
      <c r="A181" s="97">
        <f>IF(AND(D181="",C181=""),"",178)</f>
        <v/>
      </c>
      <c r="B181" s="63" t="n"/>
      <c r="C181" s="108" t="n"/>
      <c r="D181" s="109" t="n"/>
      <c r="E181" s="110" t="n"/>
      <c r="F181" s="111" t="n"/>
      <c r="G181" s="112" t="n"/>
      <c r="H181" s="113" t="n"/>
      <c r="I181" s="114" t="n"/>
      <c r="J181" s="115" t="n"/>
      <c r="K181" s="115" t="n"/>
      <c r="L181" s="115" t="n"/>
      <c r="M181" s="115" t="n"/>
      <c r="N181" s="115" t="n"/>
      <c r="O181" s="115" t="n"/>
      <c r="P181" s="115" t="n"/>
      <c r="Q181" s="115" t="n"/>
      <c r="R181" s="115" t="n"/>
      <c r="S181" s="115" t="n"/>
      <c r="T181" s="115" t="n"/>
      <c r="U181" s="115" t="n"/>
      <c r="V181" s="106">
        <f>IF(C181="Gutschrift","",IF(G181="","",IF(Besatzung!$B$11="","",IFERROR(IF(I181="Zeitanteilig",(Besatzung!$G$11*(G181-IFERROR(H181,0))+((Besatzung!$B$11&lt;&gt;"")*IF(B181="",1,(IF(Besatzung!$C$11="",Besatzung!$B$5,Besatzung!$C$11)&lt;=B181)*(IF(Besatzung!$D$11="",Besatzung!$B$6,Besatzung!$D$11)&gt;=B181)))*(Besatzung!$F$11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$11&lt;&gt;"")*IF(B181="",1,(IF(Besatzung!$C$11="",Besatzung!$B$5,Besatzung!$C$11)&lt;=B181)*(IF(Besatzung!$D$11="",Besatzung!$B$6,Besatzung!$D$11)&gt;=B181)))*((G181-IFERROR(H181,0))/IFERROR(SUMPRODUCT((Besatzung!$B$11:$B$22&lt;&gt;"")*(IF(Besatzung!$C$11:$C$22="",Besatzung!$B$5,Besatzung!$C$11:$C$22)&lt;=B181)*(IF(Besatzung!$D$11:$D$22="",Besatzung!$B$6,Besatzung!$D$11:$D$22)&gt;=B181)),1)+(Besatzung!$F$11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J181="x")*((G181-IFERROR(H181,0))/IFERROR(COUNTIF(J181:U181,"x"),1)+(Besatzung!$F$11="x")*IFERROR(H181,0)/IFERROR(SUMPRODUCT((J181:U181="x")*(Besatzung!$F$11:$F$22="x")),1))),(IF(COUNTIF(J181:U181,"x")=0,IF(Besatzung!$B$11&lt;&gt;"",1,0),(J181="x"))*(G181-IFERROR(H181,0))/IFERROR(IF(COUNTIF(J181:U181,"x")=0,COUNTA(Besatzung!$B$11:$B$22),COUNTIF(J181:U181,"x")),1)+IF(COUNTIF(J181:U181,"x")=0,(Besatzung!$F$11="x"),(J181="x")*(Besatzung!$F$11="x"))*IFERROR(H181,0)/IFERROR(IF(COUNTIF(J181:U181,"x")=0,SUMPRODUCT((Besatzung!$B$11:$B$22&lt;&gt;"")*(Besatzung!$F$11:$F$22="x")),SUMPRODUCT((J181:U181="x")*(Besatzung!$F$11:$F$22="x"))),1))))),0))))</f>
        <v/>
      </c>
      <c r="W181" s="106">
        <f>IF(C181="Gutschrift","",IF(G181="","",IF(Besatzung!$B$12="","",IFERROR(IF(I181="Zeitanteilig",(Besatzung!$G$12*(G181-IFERROR(H181,0))+((Besatzung!$B$12&lt;&gt;"")*IF(B181="",1,(IF(Besatzung!$C$12="",Besatzung!$B$5,Besatzung!$C$12)&lt;=B181)*(IF(Besatzung!$D$12="",Besatzung!$B$6,Besatzung!$D$12)&gt;=B181)))*(Besatzung!$F$12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$12&lt;&gt;"")*IF(B181="",1,(IF(Besatzung!$C$12="",Besatzung!$B$5,Besatzung!$C$12)&lt;=B181)*(IF(Besatzung!$D$12="",Besatzung!$B$6,Besatzung!$D$12)&gt;=B181)))*((G181-IFERROR(H181,0))/IFERROR(SUMPRODUCT((Besatzung!$B$11:$B$22&lt;&gt;"")*(IF(Besatzung!$C$11:$C$22="",Besatzung!$B$5,Besatzung!$C$11:$C$22)&lt;=B181)*(IF(Besatzung!$D$11:$D$22="",Besatzung!$B$6,Besatzung!$D$11:$D$22)&gt;=B181)),1)+(Besatzung!$F$12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K181="x")*((G181-IFERROR(H181,0))/IFERROR(COUNTIF(J181:U181,"x"),1)+(Besatzung!$F$12="x")*IFERROR(H181,0)/IFERROR(SUMPRODUCT((J181:U181="x")*(Besatzung!$F$11:$F$22="x")),1))),(IF(COUNTIF(J181:U181,"x")=0,IF(Besatzung!$B$12&lt;&gt;"",1,0),(K181="x"))*(G181-IFERROR(H181,0))/IFERROR(IF(COUNTIF(J181:U181,"x")=0,COUNTA(Besatzung!$B$11:$B$22),COUNTIF(J181:U181,"x")),1)+IF(COUNTIF(J181:U181,"x")=0,(Besatzung!$F$12="x"),(K181="x")*(Besatzung!$F$12="x"))*IFERROR(H181,0)/IFERROR(IF(COUNTIF(J181:U181,"x")=0,SUMPRODUCT((Besatzung!$B$11:$B$22&lt;&gt;"")*(Besatzung!$F$11:$F$22="x")),SUMPRODUCT((J181:U181="x")*(Besatzung!$F$11:$F$22="x"))),1))))),0))))</f>
        <v/>
      </c>
      <c r="X181" s="106">
        <f>IF(C181="Gutschrift","",IF(G181="","",IF(Besatzung!$B$13="","",IFERROR(IF(I181="Zeitanteilig",(Besatzung!$G$13*(G181-IFERROR(H181,0))+((Besatzung!$B$13&lt;&gt;"")*IF(B181="",1,(IF(Besatzung!$C$13="",Besatzung!$B$5,Besatzung!$C$13)&lt;=B181)*(IF(Besatzung!$D$13="",Besatzung!$B$6,Besatzung!$D$13)&gt;=B181)))*(Besatzung!$F$13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$13&lt;&gt;"")*IF(B181="",1,(IF(Besatzung!$C$13="",Besatzung!$B$5,Besatzung!$C$13)&lt;=B181)*(IF(Besatzung!$D$13="",Besatzung!$B$6,Besatzung!$D$13)&gt;=B181)))*((G181-IFERROR(H181,0))/IFERROR(SUMPRODUCT((Besatzung!$B$11:$B$22&lt;&gt;"")*(IF(Besatzung!$C$11:$C$22="",Besatzung!$B$5,Besatzung!$C$11:$C$22)&lt;=B181)*(IF(Besatzung!$D$11:$D$22="",Besatzung!$B$6,Besatzung!$D$11:$D$22)&gt;=B181)),1)+(Besatzung!$F$13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K181="x")*((G181-IFERROR(H181,0))/IFERROR(COUNTIF(J181:U181,"x"),1)+(Besatzung!$F$13="x")*IFERROR(H181,0)/IFERROR(SUMPRODUCT((J181:U181="x")*(Besatzung!$F$11:$F$22="x")),1))),(IF(COUNTIF(J181:U181,"x")=0,IF(Besatzung!$B$13&lt;&gt;"",1,0),(K181="x"))*(G181-IFERROR(H181,0))/IFERROR(IF(COUNTIF(J181:U181,"x")=0,COUNTA(Besatzung!$B$11:$B$22),COUNTIF(J181:U181,"x")),1)+IF(COUNTIF(J181:U181,"x")=0,(Besatzung!$F$13="x"),(K181="x")*(Besatzung!$F$13="x"))*IFERROR(H181,0)/IFERROR(IF(COUNTIF(J181:U181,"x")=0,SUMPRODUCT((Besatzung!$B$11:$B$22&lt;&gt;"")*(Besatzung!$F$11:$F$22="x")),SUMPRODUCT((J181:U181="x")*(Besatzung!$F$11:$F$22="x"))),1))))),0))))</f>
        <v/>
      </c>
      <c r="Y181" s="106">
        <f>IF(C181="Gutschrift","",IF(G181="","",IF(Besatzung!$B$14="","",IFERROR(IF(I181="Zeitanteilig",(Besatzung!$G$14*(G181-IFERROR(H181,0))+((Besatzung!$B$14&lt;&gt;"")*IF(B181="",1,(IF(Besatzung!$C$14="",Besatzung!$B$5,Besatzung!$C$14)&lt;=B181)*(IF(Besatzung!$D$14="",Besatzung!$B$6,Besatzung!$D$14)&gt;=B181)))*(Besatzung!$F$14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$14&lt;&gt;"")*IF(B181="",1,(IF(Besatzung!$C$14="",Besatzung!$B$5,Besatzung!$C$14)&lt;=B181)*(IF(Besatzung!$D$14="",Besatzung!$B$6,Besatzung!$D$14)&gt;=B181)))*((G181-IFERROR(H181,0))/IFERROR(SUMPRODUCT((Besatzung!$B$11:$B$22&lt;&gt;"")*(IF(Besatzung!$C$11:$C$22="",Besatzung!$B$5,Besatzung!$C$11:$C$22)&lt;=B181)*(IF(Besatzung!$D$11:$D$22="",Besatzung!$B$6,Besatzung!$D$11:$D$22)&gt;=B181)),1)+(Besatzung!$F$14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M181="x")*((G181-IFERROR(H181,0))/IFERROR(COUNTIF(J181:U181,"x"),1)+(Besatzung!$F$14="x")*IFERROR(H181,0)/IFERROR(SUMPRODUCT((J181:U181="x")*(Besatzung!$F$11:$F$22="x")),1))),(IF(COUNTIF(J181:U181,"x")=0,IF(Besatzung!$B$14&lt;&gt;"",1,0),(M181="x"))*(G181-IFERROR(H181,0))/IFERROR(IF(COUNTIF(J181:U181,"x")=0,COUNTA(Besatzung!$B$11:$B$22),COUNTIF(J181:U181,"x")),1)+IF(COUNTIF(J181:U181,"x")=0,(Besatzung!$F$14="x"),(M181="x")*(Besatzung!$F$14="x"))*IFERROR(H181,0)/IFERROR(IF(COUNTIF(J181:U181,"x")=0,SUMPRODUCT((Besatzung!$B$11:$B$22&lt;&gt;"")*(Besatzung!$F$11:$F$22="x")),SUMPRODUCT((J181:U181="x")*(Besatzung!$F$11:$F$22="x"))),1))))),0))))</f>
        <v/>
      </c>
      <c r="Z181" s="106">
        <f>IF(C181="Gutschrift","",IF(G181="","",IF(Besatzung!$B$13="","",IFERROR(IF(I181="Zeitanteilig",(Besatzung!$G$15*(G181-IFERROR(H181,0))+((Besatzung!$B$13&lt;&gt;"")*IF(B181="",1,(IF(Besatzung!$C$15="",Besatzung!$B$5,Besatzung!$C$15)&lt;=B181)*(IF(Besatzung!$D$15="",Besatzung!$B$6,Besatzung!$D$15)&gt;=B181)))*(Besatzung!$F$15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$13&lt;&gt;"")*IF(B181="",1,(IF(Besatzung!$C$15="",Besatzung!$B$5,Besatzung!$C$15)&lt;=B181)*(IF(Besatzung!$D$15="",Besatzung!$B$6,Besatzung!$D$15)&gt;=B181)))*((G181-IFERROR(H181,0))/IFERROR(SUMPRODUCT((Besatzung!$B$11:$B$22&lt;&gt;"")*(IF(Besatzung!$C$11:$C$22="",Besatzung!$B$5,Besatzung!$C$11:$C$22)&lt;=B181)*(IF(Besatzung!$D$11:$D$22="",Besatzung!$B$6,Besatzung!$D$11:$D$22)&gt;=B181)),1)+(Besatzung!$F$15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N181="x")*((G181-IFERROR(H181,0))/IFERROR(COUNTIF(J181:U181,"x"),1)+(Besatzung!$F$15="x")*IFERROR(H181,0)/IFERROR(SUMPRODUCT((J181:U181="x")*(Besatzung!$F$11:$F$22="x")),1))),(IF(COUNTIF(J181:U181,"x")=0,IF(Besatzung!$B$13&lt;&gt;"",1,0),(N181="x"))*(G181-IFERROR(H181,0))/IFERROR(IF(COUNTIF(J181:U181,"x")=0,COUNTA(Besatzung!$B$11:$B$22),COUNTIF(J181:U181,"x")),1)+IF(COUNTIF(J181:U181,"x")=0,(Besatzung!$F$15="x"),(N181="x")*(Besatzung!$F$15="x"))*IFERROR(H181,0)/IFERROR(IF(COUNTIF(J181:U181,"x")=0,SUMPRODUCT((Besatzung!$B$11:$B$22&lt;&gt;"")*(Besatzung!$F$11:$F$22="x")),SUMPRODUCT((J181:U181="x")*(Besatzung!$F$11:$F$22="x"))),1))))),0))))</f>
        <v/>
      </c>
      <c r="AA181" s="106">
        <f>IF(C181="Gutschrift","",IF(G181="","",IF(Besatzung!$B$15="","",IFERROR(IF(I181="Zeitanteilig",(Besatzung!$G$16*(G181-IFERROR(H181,0))+((Besatzung!$B$15&lt;&gt;"")*IF(B181="",1,(IF(Besatzung!$C$16="",Besatzung!$B$5,Besatzung!$C$16)&lt;=B181)*(IF(Besatzung!$D$16="",Besatzung!$B$6,Besatzung!$D$16)&gt;=B181)))*(Besatzung!$F$16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$15&lt;&gt;"")*IF(B181="",1,(IF(Besatzung!$C$16="",Besatzung!$B$5,Besatzung!$C$16)&lt;=B181)*(IF(Besatzung!$D$16="",Besatzung!$B$6,Besatzung!$D$16)&gt;=B181)))*((G181-IFERROR(H181,0))/IFERROR(SUMPRODUCT((Besatzung!$B$11:$B$22&lt;&gt;"")*(IF(Besatzung!$C$11:$C$22="",Besatzung!$B$5,Besatzung!$C$11:$C$22)&lt;=B181)*(IF(Besatzung!$D$11:$D$22="",Besatzung!$B$6,Besatzung!$D$11:$D$22)&gt;=B181)),1)+(Besatzung!$F$16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O181="x")*((G181-IFERROR(H181,0))/IFERROR(COUNTIF(J181:U181,"x"),1)+(Besatzung!$F$16="x")*IFERROR(H181,0)/IFERROR(SUMPRODUCT((J181:U181="x")*(Besatzung!$F$11:$F$22="x")),1))),(IF(COUNTIF(J181:U181,"x")=0,IF(Besatzung!$B$15&lt;&gt;"",1,0),(O181="x"))*(G181-IFERROR(H181,0))/IFERROR(IF(COUNTIF(J181:U181,"x")=0,COUNTA(Besatzung!$B$11:$B$22),COUNTIF(J181:U181,"x")),1)+IF(COUNTIF(J181:U181,"x")=0,(Besatzung!$F$16="x"),(O181="x")*(Besatzung!$F$16="x"))*IFERROR(H181,0)/IFERROR(IF(COUNTIF(J181:U181,"x")=0,SUMPRODUCT((Besatzung!$B$11:$B$22&lt;&gt;"")*(Besatzung!$F$11:$F$22="x")),SUMPRODUCT((J181:U181="x")*(Besatzung!$F$11:$F$22="x"))),1))))),0))))</f>
        <v/>
      </c>
      <c r="AB181" s="106">
        <f>IF(C181="Gutschrift","",IF(G181="","",IF(Besatzung!$B$17="","",IFERROR(IF(I181="Zeitanteilig",(Besatzung!$G$17*(G181-IFERROR(H181,0))+((Besatzung!$B$17&lt;&gt;"")*IF(B181="",1,(IF(Besatzung!$C$17="",Besatzung!$B$5,Besatzung!$C$17)&lt;=B181)*(IF(Besatzung!$D$17="",Besatzung!$B$6,Besatzung!$D$17)&gt;=B181)))*(Besatzung!$F$17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$17&lt;&gt;"")*IF(B181="",1,(IF(Besatzung!$C$17="",Besatzung!$B$5,Besatzung!$C$17)&lt;=B181)*(IF(Besatzung!$D$17="",Besatzung!$B$6,Besatzung!$D$17)&gt;=B181)))*((G181-IFERROR(H181,0))/IFERROR(SUMPRODUCT((Besatzung!$B$11:$B$22&lt;&gt;"")*(IF(Besatzung!$C$11:$C$22="",Besatzung!$B$5,Besatzung!$C$11:$C$22)&lt;=B181)*(IF(Besatzung!$D$11:$D$22="",Besatzung!$B$6,Besatzung!$D$11:$D$22)&gt;=B181)),1)+(Besatzung!$F$17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P181="x")*((G181-IFERROR(H181,0))/IFERROR(COUNTIF(J181:U181,"x"),1)+(Besatzung!$F$17="x")*IFERROR(H181,0)/IFERROR(SUMPRODUCT((J181:U181="x")*(Besatzung!$F$11:$F$22="x")),1))),(IF(COUNTIF(J181:U181,"x")=0,IF(Besatzung!$B$17&lt;&gt;"",1,0),(P181="x"))*(G181-IFERROR(H181,0))/IFERROR(IF(COUNTIF(J181:U181,"x")=0,COUNTA(Besatzung!$B$11:$B$22),COUNTIF(J181:U181,"x")),1)+IF(COUNTIF(J181:U181,"x")=0,(Besatzung!$F$17="x"),(P181="x")*(Besatzung!$F$17="x"))*IFERROR(H181,0)/IFERROR(IF(COUNTIF(J181:U181,"x")=0,SUMPRODUCT((Besatzung!$B$11:$B$22&lt;&gt;"")*(Besatzung!$F$11:$F$22="x")),SUMPRODUCT((J181:U181="x")*(Besatzung!$F$11:$F$22="x"))),1))))),0))))</f>
        <v/>
      </c>
      <c r="AC181" s="106">
        <f>IF(C181="Gutschrift","",IF(G181="","",IF(Besatzung!$B$18="","",IFERROR(IF(I181="Zeitanteilig",(Besatzung!$G$18*(G181-IFERROR(H181,0))+((Besatzung!$B$18&lt;&gt;"")*IF(B181="",1,(IF(Besatzung!$C$18="",Besatzung!$B$5,Besatzung!$C$18)&lt;=B181)*(IF(Besatzung!$D$18="",Besatzung!$B$6,Besatzung!$D$18)&gt;=B181)))*(Besatzung!$F$18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$18&lt;&gt;"")*IF(B181="",1,(IF(Besatzung!$C$18="",Besatzung!$B$5,Besatzung!$C$18)&lt;=B181)*(IF(Besatzung!$D$18="",Besatzung!$B$6,Besatzung!$D$18)&gt;=B181)))*((G181-IFERROR(H181,0))/IFERROR(SUMPRODUCT((Besatzung!$B$11:$B$22&lt;&gt;"")*(IF(Besatzung!$C$11:$C$22="",Besatzung!$B$5,Besatzung!$C$11:$C$22)&lt;=B181)*(IF(Besatzung!$D$11:$D$22="",Besatzung!$B$6,Besatzung!$D$11:$D$22)&gt;=B181)),1)+(Besatzung!$F$18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Q181="x")*((G181-IFERROR(H181,0))/IFERROR(COUNTIF(J181:U181,"x"),1)+(Besatzung!$F$18="x")*IFERROR(H181,0)/IFERROR(SUMPRODUCT((J181:U181="x")*(Besatzung!$F$11:$F$22="x")),1))),(IF(COUNTIF(J181:U181,"x")=0,IF(Besatzung!$B$18&lt;&gt;"",1,0),(Q181="x"))*(G181-IFERROR(H181,0))/IFERROR(IF(COUNTIF(J181:U181,"x")=0,COUNTA(Besatzung!$B$11:$B$22),COUNTIF(J181:U181,"x")),1)+IF(COUNTIF(J181:U181,"x")=0,(Besatzung!$F$18="x"),(Q181="x")*(Besatzung!$F$18="x"))*IFERROR(H181,0)/IFERROR(IF(COUNTIF(J181:U181,"x")=0,SUMPRODUCT((Besatzung!$B$11:$B$22&lt;&gt;"")*(Besatzung!$F$11:$F$22="x")),SUMPRODUCT((J181:U181="x")*(Besatzung!$F$11:$F$22="x"))),1))))),0))))</f>
        <v/>
      </c>
      <c r="AD181" s="106">
        <f>IF(C181="Gutschrift","",IF(G181="","",IF(Besatzung!$B$19="","",IFERROR(IF(I181="Zeitanteilig",(Besatzung!$G$19*(G181-IFERROR(H181,0))+((Besatzung!$B$19&lt;&gt;"")*IF(B181="",1,(IF(Besatzung!$C$19="",Besatzung!$B$5,Besatzung!$C$19)&lt;=B181)*(IF(Besatzung!$D$19="",Besatzung!$B$6,Besatzung!$D$19)&gt;=B181)))*(Besatzung!$F$19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$19&lt;&gt;"")*IF(B181="",1,(IF(Besatzung!$C$19="",Besatzung!$B$5,Besatzung!$C$19)&lt;=B181)*(IF(Besatzung!$D$19="",Besatzung!$B$6,Besatzung!$D$19)&gt;=B181)))*((G181-IFERROR(H181,0))/IFERROR(SUMPRODUCT((Besatzung!$B$11:$B$22&lt;&gt;"")*(IF(Besatzung!$C$11:$C$22="",Besatzung!$B$5,Besatzung!$C$11:$C$22)&lt;=B181)*(IF(Besatzung!$D$11:$D$22="",Besatzung!$B$6,Besatzung!$D$11:$D$22)&gt;=B181)),1)+(Besatzung!$F$19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R181="x")*((G181-IFERROR(H181,0))/IFERROR(COUNTIF(J181:U181,"x"),1)+(Besatzung!$F$19="x")*IFERROR(H181,0)/IFERROR(SUMPRODUCT((J181:U181="x")*(Besatzung!$F$11:$F$22="x")),1))),(IF(COUNTIF(J181:U181,"x")=0,IF(Besatzung!$B$19&lt;&gt;"",1,0),(R181="x"))*(G181-IFERROR(H181,0))/IFERROR(IF(COUNTIF(J181:U181,"x")=0,COUNTA(Besatzung!$B$11:$B$22),COUNTIF(J181:U181,"x")),1)+IF(COUNTIF(J181:U181,"x")=0,(Besatzung!$F$19="x"),(R181="x")*(Besatzung!$F$19="x"))*IFERROR(H181,0)/IFERROR(IF(COUNTIF(J181:U181,"x")=0,SUMPRODUCT((Besatzung!$B$11:$B$22&lt;&gt;"")*(Besatzung!$F$11:$F$22="x")),SUMPRODUCT((J181:U181="x")*(Besatzung!$F$11:$F$22="x"))),1))))),0))))</f>
        <v/>
      </c>
      <c r="AE181" s="106">
        <f>IF(C181="Gutschrift","",IF(G181="","",IF(Besatzung!$B$20="","",IFERROR(IF(I181="Zeitanteilig",(Besatzung!$G$20*(G181-IFERROR(H181,0))+((Besatzung!$B$20&lt;&gt;"")*IF(B181="",1,(IF(Besatzung!$C$20="",Besatzung!$B$5,Besatzung!$C$20)&lt;=B181)*(IF(Besatzung!$D$20="",Besatzung!$B$6,Besatzung!$D$20)&gt;=B181)))*(Besatzung!$F$20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$20&lt;&gt;"")*IF(B181="",1,(IF(Besatzung!$C$20="",Besatzung!$B$5,Besatzung!$C$20)&lt;=B181)*(IF(Besatzung!$D$20="",Besatzung!$B$6,Besatzung!$D$20)&gt;=B181)))*((G181-IFERROR(H181,0))/IFERROR(SUMPRODUCT((Besatzung!$B$11:$B$22&lt;&gt;"")*(IF(Besatzung!$C$11:$C$22="",Besatzung!$B$5,Besatzung!$C$11:$C$22)&lt;=B181)*(IF(Besatzung!$D$11:$D$22="",Besatzung!$B$6,Besatzung!$D$11:$D$22)&gt;=B181)),1)+(Besatzung!$F$20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S181="x")*((G181-IFERROR(H181,0))/IFERROR(COUNTIF(J181:U181,"x"),1)+(Besatzung!$F$20="x")*IFERROR(H181,0)/IFERROR(SUMPRODUCT((J181:U181="x")*(Besatzung!$F$11:$F$22="x")),1))),(IF(COUNTIF(J181:U181,"x")=0,IF(Besatzung!$B$20&lt;&gt;"",1,0),(S181="x"))*(G181-IFERROR(H181,0))/IFERROR(IF(COUNTIF(J181:U181,"x")=0,COUNTA(Besatzung!$B$11:$B$22),COUNTIF(J181:U181,"x")),1)+IF(COUNTIF(J181:U181,"x")=0,(Besatzung!$F$20="x"),(S181="x")*(Besatzung!$F$20="x"))*IFERROR(H181,0)/IFERROR(IF(COUNTIF(J181:U181,"x")=0,SUMPRODUCT((Besatzung!$B$11:$B$22&lt;&gt;"")*(Besatzung!$F$11:$F$22="x")),SUMPRODUCT((J181:U181="x")*(Besatzung!$F$11:$F$22="x"))),1))))),0))))</f>
        <v/>
      </c>
      <c r="AF181" s="106">
        <f>IF(C181="Gutschrift","",IF(G181="","",IF(Besatzung!$B$21="","",IFERROR(IF(I181="Zeitanteilig",(Besatzung!$G$21*(G181-IFERROR(H181,0))+((Besatzung!$B$21&lt;&gt;"")*IF(B181="",1,(IF(Besatzung!$C$21="",Besatzung!$B$5,Besatzung!$C$21)&lt;=B181)*(IF(Besatzung!$D$21="",Besatzung!$B$6,Besatzung!$D$21)&gt;=B181)))*(Besatzung!$F$21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$21&lt;&gt;"")*IF(B181="",1,(IF(Besatzung!$C$21="",Besatzung!$B$5,Besatzung!$C$21)&lt;=B181)*(IF(Besatzung!$D$21="",Besatzung!$B$6,Besatzung!$D$21)&gt;=B181)))*((G181-IFERROR(H181,0))/IFERROR(SUMPRODUCT((Besatzung!$B$11:$B$22&lt;&gt;"")*(IF(Besatzung!$C$11:$C$22="",Besatzung!$B$5,Besatzung!$C$11:$C$22)&lt;=B181)*(IF(Besatzung!$D$11:$D$22="",Besatzung!$B$6,Besatzung!$D$11:$D$22)&gt;=B181)),1)+(Besatzung!$F$21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T181="x")*((G181-IFERROR(H181,0))/IFERROR(COUNTIF(J181:U181,"x"),1)+(Besatzung!$F$21="x")*IFERROR(H181,0)/IFERROR(SUMPRODUCT((J181:U181="x")*(Besatzung!$F$11:$F$22="x")),1))),(IF(COUNTIF(J181:U181,"x")=0,IF(Besatzung!$B$21&lt;&gt;"",1,0),(T181="x"))*(G181-IFERROR(H181,0))/IFERROR(IF(COUNTIF(J181:U181,"x")=0,COUNTA(Besatzung!$B$11:$B$22),COUNTIF(J181:U181,"x")),1)+IF(COUNTIF(J181:U181,"x")=0,(Besatzung!$F$21="x"),(T181="x")*(Besatzung!$F$21="x"))*IFERROR(H181,0)/IFERROR(IF(COUNTIF(J181:U181,"x")=0,SUMPRODUCT((Besatzung!$B$11:$B$22&lt;&gt;"")*(Besatzung!$F$11:$F$22="x")),SUMPRODUCT((J181:U181="x")*(Besatzung!$F$11:$F$22="x"))),1))))),0))))</f>
        <v/>
      </c>
      <c r="AG181" s="106">
        <f>IF(C181="Gutschrift","",IF(G181="","",IF(Besatzung!$B$22="","",IFERROR(IF(I181="Zeitanteilig",(Besatzung!$G$22*(G181-IFERROR(H181,0))+((Besatzung!$B$22&lt;&gt;"")*IF(B181="",1,(IF(Besatzung!$C$22="",Besatzung!$B$5,Besatzung!$C$22)&lt;=B181)*(IF(Besatzung!$D$22="",Besatzung!$B$6,Besatzung!$D$22)&gt;=B181)))*(Besatzung!$F$22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$22&lt;&gt;"")*IF(B181="",1,(IF(Besatzung!$C$22="",Besatzung!$B$5,Besatzung!$C$22)&lt;=B181)*(IF(Besatzung!$D$22="",Besatzung!$B$6,Besatzung!$D$22)&gt;=B181)))*((G181-IFERROR(H181,0))/IFERROR(SUMPRODUCT((Besatzung!$B$11:$B$22&lt;&gt;"")*(IF(Besatzung!$C$11:$C$22="",Besatzung!$B$5,Besatzung!$C$11:$C$22)&lt;=B181)*(IF(Besatzung!$D$11:$D$22="",Besatzung!$B$6,Besatzung!$D$11:$D$22)&gt;=B181)),1)+(Besatzung!$F$22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U181="x")*((G181-IFERROR(H181,0))/IFERROR(COUNTIF(J181:U181,"x"),1)+(Besatzung!$F$22="x")*IFERROR(H181,0)/IFERROR(SUMPRODUCT((J181:U181="x")*(Besatzung!$F$11:$F$22="x")),1))),(IF(COUNTIF(J181:U181,"x")=0,IF(Besatzung!$B$22&lt;&gt;"",1,0),(U181="x"))*(G181-IFERROR(H181,0))/IFERROR(IF(COUNTIF(J181:U181,"x")=0,COUNTA(Besatzung!$B$11:$B$22),COUNTIF(J181:U181,"x")),1)+IF(COUNTIF(J181:U181,"x")=0,(Besatzung!$F$22="x"),(U181="x")*(Besatzung!$F$22="x"))*IFERROR(H181,0)/IFERROR(IF(COUNTIF(J181:U181,"x")=0,SUMPRODUCT((Besatzung!$B$11:$B$22&lt;&gt;"")*(Besatzung!$F$11:$F$22="x")),SUMPRODUCT((J181:U181="x")*(Besatzung!$F$11:$F$22="x"))),1))))),0))))</f>
        <v/>
      </c>
      <c r="AH181" s="107" t="n"/>
      <c r="AI181" s="107" t="n"/>
    </row>
    <row r="182" ht="21.75" customHeight="1" s="182">
      <c r="A182" s="97">
        <f>IF(AND(D182="",C182=""),"",179)</f>
        <v/>
      </c>
      <c r="B182" s="56" t="n"/>
      <c r="C182" s="98" t="n"/>
      <c r="D182" s="99" t="n"/>
      <c r="E182" s="100" t="n"/>
      <c r="F182" s="101" t="n"/>
      <c r="G182" s="102" t="n"/>
      <c r="H182" s="103" t="n"/>
      <c r="I182" s="104" t="n"/>
      <c r="J182" s="105" t="n"/>
      <c r="K182" s="105" t="n"/>
      <c r="L182" s="105" t="n"/>
      <c r="M182" s="105" t="n"/>
      <c r="N182" s="105" t="n"/>
      <c r="O182" s="105" t="n"/>
      <c r="P182" s="105" t="n"/>
      <c r="Q182" s="105" t="n"/>
      <c r="R182" s="105" t="n"/>
      <c r="S182" s="105" t="n"/>
      <c r="T182" s="105" t="n"/>
      <c r="U182" s="105" t="n"/>
      <c r="V182" s="106">
        <f>IF(C182="Gutschrift","",IF(G182="","",IF(Besatzung!$B$11="","",IFERROR(IF(I182="Zeitanteilig",(Besatzung!$G$11*(G182-IFERROR(H182,0))+((Besatzung!$B$11&lt;&gt;"")*IF(B182="",1,(IF(Besatzung!$C$11="",Besatzung!$B$5,Besatzung!$C$11)&lt;=B182)*(IF(Besatzung!$D$11="",Besatzung!$B$6,Besatzung!$D$11)&gt;=B182)))*(Besatzung!$F$11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$11&lt;&gt;"")*IF(B182="",1,(IF(Besatzung!$C$11="",Besatzung!$B$5,Besatzung!$C$11)&lt;=B182)*(IF(Besatzung!$D$11="",Besatzung!$B$6,Besatzung!$D$11)&gt;=B182)))*((G182-IFERROR(H182,0))/IFERROR(SUMPRODUCT((Besatzung!$B$11:$B$22&lt;&gt;"")*(IF(Besatzung!$C$11:$C$22="",Besatzung!$B$5,Besatzung!$C$11:$C$22)&lt;=B182)*(IF(Besatzung!$D$11:$D$22="",Besatzung!$B$6,Besatzung!$D$11:$D$22)&gt;=B182)),1)+(Besatzung!$F$11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J182="x")*((G182-IFERROR(H182,0))/IFERROR(COUNTIF(J182:U182,"x"),1)+(Besatzung!$F$11="x")*IFERROR(H182,0)/IFERROR(SUMPRODUCT((J182:U182="x")*(Besatzung!$F$11:$F$22="x")),1))),(IF(COUNTIF(J182:U182,"x")=0,IF(Besatzung!$B$11&lt;&gt;"",1,0),(J182="x"))*(G182-IFERROR(H182,0))/IFERROR(IF(COUNTIF(J182:U182,"x")=0,COUNTA(Besatzung!$B$11:$B$22),COUNTIF(J182:U182,"x")),1)+IF(COUNTIF(J182:U182,"x")=0,(Besatzung!$F$11="x"),(J182="x")*(Besatzung!$F$11="x"))*IFERROR(H182,0)/IFERROR(IF(COUNTIF(J182:U182,"x")=0,SUMPRODUCT((Besatzung!$B$11:$B$22&lt;&gt;"")*(Besatzung!$F$11:$F$22="x")),SUMPRODUCT((J182:U182="x")*(Besatzung!$F$11:$F$22="x"))),1))))),0))))</f>
        <v/>
      </c>
      <c r="W182" s="106">
        <f>IF(C182="Gutschrift","",IF(G182="","",IF(Besatzung!$B$12="","",IFERROR(IF(I182="Zeitanteilig",(Besatzung!$G$12*(G182-IFERROR(H182,0))+((Besatzung!$B$12&lt;&gt;"")*IF(B182="",1,(IF(Besatzung!$C$12="",Besatzung!$B$5,Besatzung!$C$12)&lt;=B182)*(IF(Besatzung!$D$12="",Besatzung!$B$6,Besatzung!$D$12)&gt;=B182)))*(Besatzung!$F$12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$12&lt;&gt;"")*IF(B182="",1,(IF(Besatzung!$C$12="",Besatzung!$B$5,Besatzung!$C$12)&lt;=B182)*(IF(Besatzung!$D$12="",Besatzung!$B$6,Besatzung!$D$12)&gt;=B182)))*((G182-IFERROR(H182,0))/IFERROR(SUMPRODUCT((Besatzung!$B$11:$B$22&lt;&gt;"")*(IF(Besatzung!$C$11:$C$22="",Besatzung!$B$5,Besatzung!$C$11:$C$22)&lt;=B182)*(IF(Besatzung!$D$11:$D$22="",Besatzung!$B$6,Besatzung!$D$11:$D$22)&gt;=B182)),1)+(Besatzung!$F$12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K182="x")*((G182-IFERROR(H182,0))/IFERROR(COUNTIF(J182:U182,"x"),1)+(Besatzung!$F$12="x")*IFERROR(H182,0)/IFERROR(SUMPRODUCT((J182:U182="x")*(Besatzung!$F$11:$F$22="x")),1))),(IF(COUNTIF(J182:U182,"x")=0,IF(Besatzung!$B$12&lt;&gt;"",1,0),(K182="x"))*(G182-IFERROR(H182,0))/IFERROR(IF(COUNTIF(J182:U182,"x")=0,COUNTA(Besatzung!$B$11:$B$22),COUNTIF(J182:U182,"x")),1)+IF(COUNTIF(J182:U182,"x")=0,(Besatzung!$F$12="x"),(K182="x")*(Besatzung!$F$12="x"))*IFERROR(H182,0)/IFERROR(IF(COUNTIF(J182:U182,"x")=0,SUMPRODUCT((Besatzung!$B$11:$B$22&lt;&gt;"")*(Besatzung!$F$11:$F$22="x")),SUMPRODUCT((J182:U182="x")*(Besatzung!$F$11:$F$22="x"))),1))))),0))))</f>
        <v/>
      </c>
      <c r="X182" s="106">
        <f>IF(C182="Gutschrift","",IF(G182="","",IF(Besatzung!$B$13="","",IFERROR(IF(I182="Zeitanteilig",(Besatzung!$G$13*(G182-IFERROR(H182,0))+((Besatzung!$B$13&lt;&gt;"")*IF(B182="",1,(IF(Besatzung!$C$13="",Besatzung!$B$5,Besatzung!$C$13)&lt;=B182)*(IF(Besatzung!$D$13="",Besatzung!$B$6,Besatzung!$D$13)&gt;=B182)))*(Besatzung!$F$13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$13&lt;&gt;"")*IF(B182="",1,(IF(Besatzung!$C$13="",Besatzung!$B$5,Besatzung!$C$13)&lt;=B182)*(IF(Besatzung!$D$13="",Besatzung!$B$6,Besatzung!$D$13)&gt;=B182)))*((G182-IFERROR(H182,0))/IFERROR(SUMPRODUCT((Besatzung!$B$11:$B$22&lt;&gt;"")*(IF(Besatzung!$C$11:$C$22="",Besatzung!$B$5,Besatzung!$C$11:$C$22)&lt;=B182)*(IF(Besatzung!$D$11:$D$22="",Besatzung!$B$6,Besatzung!$D$11:$D$22)&gt;=B182)),1)+(Besatzung!$F$13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K182="x")*((G182-IFERROR(H182,0))/IFERROR(COUNTIF(J182:U182,"x"),1)+(Besatzung!$F$13="x")*IFERROR(H182,0)/IFERROR(SUMPRODUCT((J182:U182="x")*(Besatzung!$F$11:$F$22="x")),1))),(IF(COUNTIF(J182:U182,"x")=0,IF(Besatzung!$B$13&lt;&gt;"",1,0),(K182="x"))*(G182-IFERROR(H182,0))/IFERROR(IF(COUNTIF(J182:U182,"x")=0,COUNTA(Besatzung!$B$11:$B$22),COUNTIF(J182:U182,"x")),1)+IF(COUNTIF(J182:U182,"x")=0,(Besatzung!$F$13="x"),(K182="x")*(Besatzung!$F$13="x"))*IFERROR(H182,0)/IFERROR(IF(COUNTIF(J182:U182,"x")=0,SUMPRODUCT((Besatzung!$B$11:$B$22&lt;&gt;"")*(Besatzung!$F$11:$F$22="x")),SUMPRODUCT((J182:U182="x")*(Besatzung!$F$11:$F$22="x"))),1))))),0))))</f>
        <v/>
      </c>
      <c r="Y182" s="106">
        <f>IF(C182="Gutschrift","",IF(G182="","",IF(Besatzung!$B$14="","",IFERROR(IF(I182="Zeitanteilig",(Besatzung!$G$14*(G182-IFERROR(H182,0))+((Besatzung!$B$14&lt;&gt;"")*IF(B182="",1,(IF(Besatzung!$C$14="",Besatzung!$B$5,Besatzung!$C$14)&lt;=B182)*(IF(Besatzung!$D$14="",Besatzung!$B$6,Besatzung!$D$14)&gt;=B182)))*(Besatzung!$F$14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$14&lt;&gt;"")*IF(B182="",1,(IF(Besatzung!$C$14="",Besatzung!$B$5,Besatzung!$C$14)&lt;=B182)*(IF(Besatzung!$D$14="",Besatzung!$B$6,Besatzung!$D$14)&gt;=B182)))*((G182-IFERROR(H182,0))/IFERROR(SUMPRODUCT((Besatzung!$B$11:$B$22&lt;&gt;"")*(IF(Besatzung!$C$11:$C$22="",Besatzung!$B$5,Besatzung!$C$11:$C$22)&lt;=B182)*(IF(Besatzung!$D$11:$D$22="",Besatzung!$B$6,Besatzung!$D$11:$D$22)&gt;=B182)),1)+(Besatzung!$F$14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M182="x")*((G182-IFERROR(H182,0))/IFERROR(COUNTIF(J182:U182,"x"),1)+(Besatzung!$F$14="x")*IFERROR(H182,0)/IFERROR(SUMPRODUCT((J182:U182="x")*(Besatzung!$F$11:$F$22="x")),1))),(IF(COUNTIF(J182:U182,"x")=0,IF(Besatzung!$B$14&lt;&gt;"",1,0),(M182="x"))*(G182-IFERROR(H182,0))/IFERROR(IF(COUNTIF(J182:U182,"x")=0,COUNTA(Besatzung!$B$11:$B$22),COUNTIF(J182:U182,"x")),1)+IF(COUNTIF(J182:U182,"x")=0,(Besatzung!$F$14="x"),(M182="x")*(Besatzung!$F$14="x"))*IFERROR(H182,0)/IFERROR(IF(COUNTIF(J182:U182,"x")=0,SUMPRODUCT((Besatzung!$B$11:$B$22&lt;&gt;"")*(Besatzung!$F$11:$F$22="x")),SUMPRODUCT((J182:U182="x")*(Besatzung!$F$11:$F$22="x"))),1))))),0))))</f>
        <v/>
      </c>
      <c r="Z182" s="106">
        <f>IF(C182="Gutschrift","",IF(G182="","",IF(Besatzung!$B$13="","",IFERROR(IF(I182="Zeitanteilig",(Besatzung!$G$15*(G182-IFERROR(H182,0))+((Besatzung!$B$13&lt;&gt;"")*IF(B182="",1,(IF(Besatzung!$C$15="",Besatzung!$B$5,Besatzung!$C$15)&lt;=B182)*(IF(Besatzung!$D$15="",Besatzung!$B$6,Besatzung!$D$15)&gt;=B182)))*(Besatzung!$F$15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$13&lt;&gt;"")*IF(B182="",1,(IF(Besatzung!$C$15="",Besatzung!$B$5,Besatzung!$C$15)&lt;=B182)*(IF(Besatzung!$D$15="",Besatzung!$B$6,Besatzung!$D$15)&gt;=B182)))*((G182-IFERROR(H182,0))/IFERROR(SUMPRODUCT((Besatzung!$B$11:$B$22&lt;&gt;"")*(IF(Besatzung!$C$11:$C$22="",Besatzung!$B$5,Besatzung!$C$11:$C$22)&lt;=B182)*(IF(Besatzung!$D$11:$D$22="",Besatzung!$B$6,Besatzung!$D$11:$D$22)&gt;=B182)),1)+(Besatzung!$F$15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N182="x")*((G182-IFERROR(H182,0))/IFERROR(COUNTIF(J182:U182,"x"),1)+(Besatzung!$F$15="x")*IFERROR(H182,0)/IFERROR(SUMPRODUCT((J182:U182="x")*(Besatzung!$F$11:$F$22="x")),1))),(IF(COUNTIF(J182:U182,"x")=0,IF(Besatzung!$B$13&lt;&gt;"",1,0),(N182="x"))*(G182-IFERROR(H182,0))/IFERROR(IF(COUNTIF(J182:U182,"x")=0,COUNTA(Besatzung!$B$11:$B$22),COUNTIF(J182:U182,"x")),1)+IF(COUNTIF(J182:U182,"x")=0,(Besatzung!$F$15="x"),(N182="x")*(Besatzung!$F$15="x"))*IFERROR(H182,0)/IFERROR(IF(COUNTIF(J182:U182,"x")=0,SUMPRODUCT((Besatzung!$B$11:$B$22&lt;&gt;"")*(Besatzung!$F$11:$F$22="x")),SUMPRODUCT((J182:U182="x")*(Besatzung!$F$11:$F$22="x"))),1))))),0))))</f>
        <v/>
      </c>
      <c r="AA182" s="106">
        <f>IF(C182="Gutschrift","",IF(G182="","",IF(Besatzung!$B$15="","",IFERROR(IF(I182="Zeitanteilig",(Besatzung!$G$16*(G182-IFERROR(H182,0))+((Besatzung!$B$15&lt;&gt;"")*IF(B182="",1,(IF(Besatzung!$C$16="",Besatzung!$B$5,Besatzung!$C$16)&lt;=B182)*(IF(Besatzung!$D$16="",Besatzung!$B$6,Besatzung!$D$16)&gt;=B182)))*(Besatzung!$F$16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$15&lt;&gt;"")*IF(B182="",1,(IF(Besatzung!$C$16="",Besatzung!$B$5,Besatzung!$C$16)&lt;=B182)*(IF(Besatzung!$D$16="",Besatzung!$B$6,Besatzung!$D$16)&gt;=B182)))*((G182-IFERROR(H182,0))/IFERROR(SUMPRODUCT((Besatzung!$B$11:$B$22&lt;&gt;"")*(IF(Besatzung!$C$11:$C$22="",Besatzung!$B$5,Besatzung!$C$11:$C$22)&lt;=B182)*(IF(Besatzung!$D$11:$D$22="",Besatzung!$B$6,Besatzung!$D$11:$D$22)&gt;=B182)),1)+(Besatzung!$F$16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O182="x")*((G182-IFERROR(H182,0))/IFERROR(COUNTIF(J182:U182,"x"),1)+(Besatzung!$F$16="x")*IFERROR(H182,0)/IFERROR(SUMPRODUCT((J182:U182="x")*(Besatzung!$F$11:$F$22="x")),1))),(IF(COUNTIF(J182:U182,"x")=0,IF(Besatzung!$B$15&lt;&gt;"",1,0),(O182="x"))*(G182-IFERROR(H182,0))/IFERROR(IF(COUNTIF(J182:U182,"x")=0,COUNTA(Besatzung!$B$11:$B$22),COUNTIF(J182:U182,"x")),1)+IF(COUNTIF(J182:U182,"x")=0,(Besatzung!$F$16="x"),(O182="x")*(Besatzung!$F$16="x"))*IFERROR(H182,0)/IFERROR(IF(COUNTIF(J182:U182,"x")=0,SUMPRODUCT((Besatzung!$B$11:$B$22&lt;&gt;"")*(Besatzung!$F$11:$F$22="x")),SUMPRODUCT((J182:U182="x")*(Besatzung!$F$11:$F$22="x"))),1))))),0))))</f>
        <v/>
      </c>
      <c r="AB182" s="106">
        <f>IF(C182="Gutschrift","",IF(G182="","",IF(Besatzung!$B$17="","",IFERROR(IF(I182="Zeitanteilig",(Besatzung!$G$17*(G182-IFERROR(H182,0))+((Besatzung!$B$17&lt;&gt;"")*IF(B182="",1,(IF(Besatzung!$C$17="",Besatzung!$B$5,Besatzung!$C$17)&lt;=B182)*(IF(Besatzung!$D$17="",Besatzung!$B$6,Besatzung!$D$17)&gt;=B182)))*(Besatzung!$F$17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$17&lt;&gt;"")*IF(B182="",1,(IF(Besatzung!$C$17="",Besatzung!$B$5,Besatzung!$C$17)&lt;=B182)*(IF(Besatzung!$D$17="",Besatzung!$B$6,Besatzung!$D$17)&gt;=B182)))*((G182-IFERROR(H182,0))/IFERROR(SUMPRODUCT((Besatzung!$B$11:$B$22&lt;&gt;"")*(IF(Besatzung!$C$11:$C$22="",Besatzung!$B$5,Besatzung!$C$11:$C$22)&lt;=B182)*(IF(Besatzung!$D$11:$D$22="",Besatzung!$B$6,Besatzung!$D$11:$D$22)&gt;=B182)),1)+(Besatzung!$F$17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P182="x")*((G182-IFERROR(H182,0))/IFERROR(COUNTIF(J182:U182,"x"),1)+(Besatzung!$F$17="x")*IFERROR(H182,0)/IFERROR(SUMPRODUCT((J182:U182="x")*(Besatzung!$F$11:$F$22="x")),1))),(IF(COUNTIF(J182:U182,"x")=0,IF(Besatzung!$B$17&lt;&gt;"",1,0),(P182="x"))*(G182-IFERROR(H182,0))/IFERROR(IF(COUNTIF(J182:U182,"x")=0,COUNTA(Besatzung!$B$11:$B$22),COUNTIF(J182:U182,"x")),1)+IF(COUNTIF(J182:U182,"x")=0,(Besatzung!$F$17="x"),(P182="x")*(Besatzung!$F$17="x"))*IFERROR(H182,0)/IFERROR(IF(COUNTIF(J182:U182,"x")=0,SUMPRODUCT((Besatzung!$B$11:$B$22&lt;&gt;"")*(Besatzung!$F$11:$F$22="x")),SUMPRODUCT((J182:U182="x")*(Besatzung!$F$11:$F$22="x"))),1))))),0))))</f>
        <v/>
      </c>
      <c r="AC182" s="106">
        <f>IF(C182="Gutschrift","",IF(G182="","",IF(Besatzung!$B$18="","",IFERROR(IF(I182="Zeitanteilig",(Besatzung!$G$18*(G182-IFERROR(H182,0))+((Besatzung!$B$18&lt;&gt;"")*IF(B182="",1,(IF(Besatzung!$C$18="",Besatzung!$B$5,Besatzung!$C$18)&lt;=B182)*(IF(Besatzung!$D$18="",Besatzung!$B$6,Besatzung!$D$18)&gt;=B182)))*(Besatzung!$F$18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$18&lt;&gt;"")*IF(B182="",1,(IF(Besatzung!$C$18="",Besatzung!$B$5,Besatzung!$C$18)&lt;=B182)*(IF(Besatzung!$D$18="",Besatzung!$B$6,Besatzung!$D$18)&gt;=B182)))*((G182-IFERROR(H182,0))/IFERROR(SUMPRODUCT((Besatzung!$B$11:$B$22&lt;&gt;"")*(IF(Besatzung!$C$11:$C$22="",Besatzung!$B$5,Besatzung!$C$11:$C$22)&lt;=B182)*(IF(Besatzung!$D$11:$D$22="",Besatzung!$B$6,Besatzung!$D$11:$D$22)&gt;=B182)),1)+(Besatzung!$F$18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Q182="x")*((G182-IFERROR(H182,0))/IFERROR(COUNTIF(J182:U182,"x"),1)+(Besatzung!$F$18="x")*IFERROR(H182,0)/IFERROR(SUMPRODUCT((J182:U182="x")*(Besatzung!$F$11:$F$22="x")),1))),(IF(COUNTIF(J182:U182,"x")=0,IF(Besatzung!$B$18&lt;&gt;"",1,0),(Q182="x"))*(G182-IFERROR(H182,0))/IFERROR(IF(COUNTIF(J182:U182,"x")=0,COUNTA(Besatzung!$B$11:$B$22),COUNTIF(J182:U182,"x")),1)+IF(COUNTIF(J182:U182,"x")=0,(Besatzung!$F$18="x"),(Q182="x")*(Besatzung!$F$18="x"))*IFERROR(H182,0)/IFERROR(IF(COUNTIF(J182:U182,"x")=0,SUMPRODUCT((Besatzung!$B$11:$B$22&lt;&gt;"")*(Besatzung!$F$11:$F$22="x")),SUMPRODUCT((J182:U182="x")*(Besatzung!$F$11:$F$22="x"))),1))))),0))))</f>
        <v/>
      </c>
      <c r="AD182" s="106">
        <f>IF(C182="Gutschrift","",IF(G182="","",IF(Besatzung!$B$19="","",IFERROR(IF(I182="Zeitanteilig",(Besatzung!$G$19*(G182-IFERROR(H182,0))+((Besatzung!$B$19&lt;&gt;"")*IF(B182="",1,(IF(Besatzung!$C$19="",Besatzung!$B$5,Besatzung!$C$19)&lt;=B182)*(IF(Besatzung!$D$19="",Besatzung!$B$6,Besatzung!$D$19)&gt;=B182)))*(Besatzung!$F$19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$19&lt;&gt;"")*IF(B182="",1,(IF(Besatzung!$C$19="",Besatzung!$B$5,Besatzung!$C$19)&lt;=B182)*(IF(Besatzung!$D$19="",Besatzung!$B$6,Besatzung!$D$19)&gt;=B182)))*((G182-IFERROR(H182,0))/IFERROR(SUMPRODUCT((Besatzung!$B$11:$B$22&lt;&gt;"")*(IF(Besatzung!$C$11:$C$22="",Besatzung!$B$5,Besatzung!$C$11:$C$22)&lt;=B182)*(IF(Besatzung!$D$11:$D$22="",Besatzung!$B$6,Besatzung!$D$11:$D$22)&gt;=B182)),1)+(Besatzung!$F$19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R182="x")*((G182-IFERROR(H182,0))/IFERROR(COUNTIF(J182:U182,"x"),1)+(Besatzung!$F$19="x")*IFERROR(H182,0)/IFERROR(SUMPRODUCT((J182:U182="x")*(Besatzung!$F$11:$F$22="x")),1))),(IF(COUNTIF(J182:U182,"x")=0,IF(Besatzung!$B$19&lt;&gt;"",1,0),(R182="x"))*(G182-IFERROR(H182,0))/IFERROR(IF(COUNTIF(J182:U182,"x")=0,COUNTA(Besatzung!$B$11:$B$22),COUNTIF(J182:U182,"x")),1)+IF(COUNTIF(J182:U182,"x")=0,(Besatzung!$F$19="x"),(R182="x")*(Besatzung!$F$19="x"))*IFERROR(H182,0)/IFERROR(IF(COUNTIF(J182:U182,"x")=0,SUMPRODUCT((Besatzung!$B$11:$B$22&lt;&gt;"")*(Besatzung!$F$11:$F$22="x")),SUMPRODUCT((J182:U182="x")*(Besatzung!$F$11:$F$22="x"))),1))))),0))))</f>
        <v/>
      </c>
      <c r="AE182" s="106">
        <f>IF(C182="Gutschrift","",IF(G182="","",IF(Besatzung!$B$20="","",IFERROR(IF(I182="Zeitanteilig",(Besatzung!$G$20*(G182-IFERROR(H182,0))+((Besatzung!$B$20&lt;&gt;"")*IF(B182="",1,(IF(Besatzung!$C$20="",Besatzung!$B$5,Besatzung!$C$20)&lt;=B182)*(IF(Besatzung!$D$20="",Besatzung!$B$6,Besatzung!$D$20)&gt;=B182)))*(Besatzung!$F$20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$20&lt;&gt;"")*IF(B182="",1,(IF(Besatzung!$C$20="",Besatzung!$B$5,Besatzung!$C$20)&lt;=B182)*(IF(Besatzung!$D$20="",Besatzung!$B$6,Besatzung!$D$20)&gt;=B182)))*((G182-IFERROR(H182,0))/IFERROR(SUMPRODUCT((Besatzung!$B$11:$B$22&lt;&gt;"")*(IF(Besatzung!$C$11:$C$22="",Besatzung!$B$5,Besatzung!$C$11:$C$22)&lt;=B182)*(IF(Besatzung!$D$11:$D$22="",Besatzung!$B$6,Besatzung!$D$11:$D$22)&gt;=B182)),1)+(Besatzung!$F$20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S182="x")*((G182-IFERROR(H182,0))/IFERROR(COUNTIF(J182:U182,"x"),1)+(Besatzung!$F$20="x")*IFERROR(H182,0)/IFERROR(SUMPRODUCT((J182:U182="x")*(Besatzung!$F$11:$F$22="x")),1))),(IF(COUNTIF(J182:U182,"x")=0,IF(Besatzung!$B$20&lt;&gt;"",1,0),(S182="x"))*(G182-IFERROR(H182,0))/IFERROR(IF(COUNTIF(J182:U182,"x")=0,COUNTA(Besatzung!$B$11:$B$22),COUNTIF(J182:U182,"x")),1)+IF(COUNTIF(J182:U182,"x")=0,(Besatzung!$F$20="x"),(S182="x")*(Besatzung!$F$20="x"))*IFERROR(H182,0)/IFERROR(IF(COUNTIF(J182:U182,"x")=0,SUMPRODUCT((Besatzung!$B$11:$B$22&lt;&gt;"")*(Besatzung!$F$11:$F$22="x")),SUMPRODUCT((J182:U182="x")*(Besatzung!$F$11:$F$22="x"))),1))))),0))))</f>
        <v/>
      </c>
      <c r="AF182" s="106">
        <f>IF(C182="Gutschrift","",IF(G182="","",IF(Besatzung!$B$21="","",IFERROR(IF(I182="Zeitanteilig",(Besatzung!$G$21*(G182-IFERROR(H182,0))+((Besatzung!$B$21&lt;&gt;"")*IF(B182="",1,(IF(Besatzung!$C$21="",Besatzung!$B$5,Besatzung!$C$21)&lt;=B182)*(IF(Besatzung!$D$21="",Besatzung!$B$6,Besatzung!$D$21)&gt;=B182)))*(Besatzung!$F$21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$21&lt;&gt;"")*IF(B182="",1,(IF(Besatzung!$C$21="",Besatzung!$B$5,Besatzung!$C$21)&lt;=B182)*(IF(Besatzung!$D$21="",Besatzung!$B$6,Besatzung!$D$21)&gt;=B182)))*((G182-IFERROR(H182,0))/IFERROR(SUMPRODUCT((Besatzung!$B$11:$B$22&lt;&gt;"")*(IF(Besatzung!$C$11:$C$22="",Besatzung!$B$5,Besatzung!$C$11:$C$22)&lt;=B182)*(IF(Besatzung!$D$11:$D$22="",Besatzung!$B$6,Besatzung!$D$11:$D$22)&gt;=B182)),1)+(Besatzung!$F$21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T182="x")*((G182-IFERROR(H182,0))/IFERROR(COUNTIF(J182:U182,"x"),1)+(Besatzung!$F$21="x")*IFERROR(H182,0)/IFERROR(SUMPRODUCT((J182:U182="x")*(Besatzung!$F$11:$F$22="x")),1))),(IF(COUNTIF(J182:U182,"x")=0,IF(Besatzung!$B$21&lt;&gt;"",1,0),(T182="x"))*(G182-IFERROR(H182,0))/IFERROR(IF(COUNTIF(J182:U182,"x")=0,COUNTA(Besatzung!$B$11:$B$22),COUNTIF(J182:U182,"x")),1)+IF(COUNTIF(J182:U182,"x")=0,(Besatzung!$F$21="x"),(T182="x")*(Besatzung!$F$21="x"))*IFERROR(H182,0)/IFERROR(IF(COUNTIF(J182:U182,"x")=0,SUMPRODUCT((Besatzung!$B$11:$B$22&lt;&gt;"")*(Besatzung!$F$11:$F$22="x")),SUMPRODUCT((J182:U182="x")*(Besatzung!$F$11:$F$22="x"))),1))))),0))))</f>
        <v/>
      </c>
      <c r="AG182" s="106">
        <f>IF(C182="Gutschrift","",IF(G182="","",IF(Besatzung!$B$22="","",IFERROR(IF(I182="Zeitanteilig",(Besatzung!$G$22*(G182-IFERROR(H182,0))+((Besatzung!$B$22&lt;&gt;"")*IF(B182="",1,(IF(Besatzung!$C$22="",Besatzung!$B$5,Besatzung!$C$22)&lt;=B182)*(IF(Besatzung!$D$22="",Besatzung!$B$6,Besatzung!$D$22)&gt;=B182)))*(Besatzung!$F$22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$22&lt;&gt;"")*IF(B182="",1,(IF(Besatzung!$C$22="",Besatzung!$B$5,Besatzung!$C$22)&lt;=B182)*(IF(Besatzung!$D$22="",Besatzung!$B$6,Besatzung!$D$22)&gt;=B182)))*((G182-IFERROR(H182,0))/IFERROR(SUMPRODUCT((Besatzung!$B$11:$B$22&lt;&gt;"")*(IF(Besatzung!$C$11:$C$22="",Besatzung!$B$5,Besatzung!$C$11:$C$22)&lt;=B182)*(IF(Besatzung!$D$11:$D$22="",Besatzung!$B$6,Besatzung!$D$11:$D$22)&gt;=B182)),1)+(Besatzung!$F$22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U182="x")*((G182-IFERROR(H182,0))/IFERROR(COUNTIF(J182:U182,"x"),1)+(Besatzung!$F$22="x")*IFERROR(H182,0)/IFERROR(SUMPRODUCT((J182:U182="x")*(Besatzung!$F$11:$F$22="x")),1))),(IF(COUNTIF(J182:U182,"x")=0,IF(Besatzung!$B$22&lt;&gt;"",1,0),(U182="x"))*(G182-IFERROR(H182,0))/IFERROR(IF(COUNTIF(J182:U182,"x")=0,COUNTA(Besatzung!$B$11:$B$22),COUNTIF(J182:U182,"x")),1)+IF(COUNTIF(J182:U182,"x")=0,(Besatzung!$F$22="x"),(U182="x")*(Besatzung!$F$22="x"))*IFERROR(H182,0)/IFERROR(IF(COUNTIF(J182:U182,"x")=0,SUMPRODUCT((Besatzung!$B$11:$B$22&lt;&gt;"")*(Besatzung!$F$11:$F$22="x")),SUMPRODUCT((J182:U182="x")*(Besatzung!$F$11:$F$22="x"))),1))))),0))))</f>
        <v/>
      </c>
      <c r="AH182" s="107" t="n"/>
      <c r="AI182" s="107" t="n"/>
    </row>
    <row r="183" ht="21.75" customHeight="1" s="182">
      <c r="A183" s="97">
        <f>IF(AND(D183="",C183=""),"",180)</f>
        <v/>
      </c>
      <c r="B183" s="63" t="n"/>
      <c r="C183" s="108" t="n"/>
      <c r="D183" s="109" t="n"/>
      <c r="E183" s="110" t="n"/>
      <c r="F183" s="111" t="n"/>
      <c r="G183" s="112" t="n"/>
      <c r="H183" s="113" t="n"/>
      <c r="I183" s="114" t="n"/>
      <c r="J183" s="115" t="n"/>
      <c r="K183" s="115" t="n"/>
      <c r="L183" s="115" t="n"/>
      <c r="M183" s="115" t="n"/>
      <c r="N183" s="115" t="n"/>
      <c r="O183" s="115" t="n"/>
      <c r="P183" s="115" t="n"/>
      <c r="Q183" s="115" t="n"/>
      <c r="R183" s="115" t="n"/>
      <c r="S183" s="115" t="n"/>
      <c r="T183" s="115" t="n"/>
      <c r="U183" s="115" t="n"/>
      <c r="V183" s="106">
        <f>IF(C183="Gutschrift","",IF(G183="","",IF(Besatzung!$B$11="","",IFERROR(IF(I183="Zeitanteilig",(Besatzung!$G$11*(G183-IFERROR(H183,0))+((Besatzung!$B$11&lt;&gt;"")*IF(B183="",1,(IF(Besatzung!$C$11="",Besatzung!$B$5,Besatzung!$C$11)&lt;=B183)*(IF(Besatzung!$D$11="",Besatzung!$B$6,Besatzung!$D$11)&gt;=B183)))*(Besatzung!$F$11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$11&lt;&gt;"")*IF(B183="",1,(IF(Besatzung!$C$11="",Besatzung!$B$5,Besatzung!$C$11)&lt;=B183)*(IF(Besatzung!$D$11="",Besatzung!$B$6,Besatzung!$D$11)&gt;=B183)))*((G183-IFERROR(H183,0))/IFERROR(SUMPRODUCT((Besatzung!$B$11:$B$22&lt;&gt;"")*(IF(Besatzung!$C$11:$C$22="",Besatzung!$B$5,Besatzung!$C$11:$C$22)&lt;=B183)*(IF(Besatzung!$D$11:$D$22="",Besatzung!$B$6,Besatzung!$D$11:$D$22)&gt;=B183)),1)+(Besatzung!$F$11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J183="x")*((G183-IFERROR(H183,0))/IFERROR(COUNTIF(J183:U183,"x"),1)+(Besatzung!$F$11="x")*IFERROR(H183,0)/IFERROR(SUMPRODUCT((J183:U183="x")*(Besatzung!$F$11:$F$22="x")),1))),(IF(COUNTIF(J183:U183,"x")=0,IF(Besatzung!$B$11&lt;&gt;"",1,0),(J183="x"))*(G183-IFERROR(H183,0))/IFERROR(IF(COUNTIF(J183:U183,"x")=0,COUNTA(Besatzung!$B$11:$B$22),COUNTIF(J183:U183,"x")),1)+IF(COUNTIF(J183:U183,"x")=0,(Besatzung!$F$11="x"),(J183="x")*(Besatzung!$F$11="x"))*IFERROR(H183,0)/IFERROR(IF(COUNTIF(J183:U183,"x")=0,SUMPRODUCT((Besatzung!$B$11:$B$22&lt;&gt;"")*(Besatzung!$F$11:$F$22="x")),SUMPRODUCT((J183:U183="x")*(Besatzung!$F$11:$F$22="x"))),1))))),0))))</f>
        <v/>
      </c>
      <c r="W183" s="106">
        <f>IF(C183="Gutschrift","",IF(G183="","",IF(Besatzung!$B$12="","",IFERROR(IF(I183="Zeitanteilig",(Besatzung!$G$12*(G183-IFERROR(H183,0))+((Besatzung!$B$12&lt;&gt;"")*IF(B183="",1,(IF(Besatzung!$C$12="",Besatzung!$B$5,Besatzung!$C$12)&lt;=B183)*(IF(Besatzung!$D$12="",Besatzung!$B$6,Besatzung!$D$12)&gt;=B183)))*(Besatzung!$F$12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$12&lt;&gt;"")*IF(B183="",1,(IF(Besatzung!$C$12="",Besatzung!$B$5,Besatzung!$C$12)&lt;=B183)*(IF(Besatzung!$D$12="",Besatzung!$B$6,Besatzung!$D$12)&gt;=B183)))*((G183-IFERROR(H183,0))/IFERROR(SUMPRODUCT((Besatzung!$B$11:$B$22&lt;&gt;"")*(IF(Besatzung!$C$11:$C$22="",Besatzung!$B$5,Besatzung!$C$11:$C$22)&lt;=B183)*(IF(Besatzung!$D$11:$D$22="",Besatzung!$B$6,Besatzung!$D$11:$D$22)&gt;=B183)),1)+(Besatzung!$F$12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K183="x")*((G183-IFERROR(H183,0))/IFERROR(COUNTIF(J183:U183,"x"),1)+(Besatzung!$F$12="x")*IFERROR(H183,0)/IFERROR(SUMPRODUCT((J183:U183="x")*(Besatzung!$F$11:$F$22="x")),1))),(IF(COUNTIF(J183:U183,"x")=0,IF(Besatzung!$B$12&lt;&gt;"",1,0),(K183="x"))*(G183-IFERROR(H183,0))/IFERROR(IF(COUNTIF(J183:U183,"x")=0,COUNTA(Besatzung!$B$11:$B$22),COUNTIF(J183:U183,"x")),1)+IF(COUNTIF(J183:U183,"x")=0,(Besatzung!$F$12="x"),(K183="x")*(Besatzung!$F$12="x"))*IFERROR(H183,0)/IFERROR(IF(COUNTIF(J183:U183,"x")=0,SUMPRODUCT((Besatzung!$B$11:$B$22&lt;&gt;"")*(Besatzung!$F$11:$F$22="x")),SUMPRODUCT((J183:U183="x")*(Besatzung!$F$11:$F$22="x"))),1))))),0))))</f>
        <v/>
      </c>
      <c r="X183" s="106">
        <f>IF(C183="Gutschrift","",IF(G183="","",IF(Besatzung!$B$13="","",IFERROR(IF(I183="Zeitanteilig",(Besatzung!$G$13*(G183-IFERROR(H183,0))+((Besatzung!$B$13&lt;&gt;"")*IF(B183="",1,(IF(Besatzung!$C$13="",Besatzung!$B$5,Besatzung!$C$13)&lt;=B183)*(IF(Besatzung!$D$13="",Besatzung!$B$6,Besatzung!$D$13)&gt;=B183)))*(Besatzung!$F$13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$13&lt;&gt;"")*IF(B183="",1,(IF(Besatzung!$C$13="",Besatzung!$B$5,Besatzung!$C$13)&lt;=B183)*(IF(Besatzung!$D$13="",Besatzung!$B$6,Besatzung!$D$13)&gt;=B183)))*((G183-IFERROR(H183,0))/IFERROR(SUMPRODUCT((Besatzung!$B$11:$B$22&lt;&gt;"")*(IF(Besatzung!$C$11:$C$22="",Besatzung!$B$5,Besatzung!$C$11:$C$22)&lt;=B183)*(IF(Besatzung!$D$11:$D$22="",Besatzung!$B$6,Besatzung!$D$11:$D$22)&gt;=B183)),1)+(Besatzung!$F$13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K183="x")*((G183-IFERROR(H183,0))/IFERROR(COUNTIF(J183:U183,"x"),1)+(Besatzung!$F$13="x")*IFERROR(H183,0)/IFERROR(SUMPRODUCT((J183:U183="x")*(Besatzung!$F$11:$F$22="x")),1))),(IF(COUNTIF(J183:U183,"x")=0,IF(Besatzung!$B$13&lt;&gt;"",1,0),(K183="x"))*(G183-IFERROR(H183,0))/IFERROR(IF(COUNTIF(J183:U183,"x")=0,COUNTA(Besatzung!$B$11:$B$22),COUNTIF(J183:U183,"x")),1)+IF(COUNTIF(J183:U183,"x")=0,(Besatzung!$F$13="x"),(K183="x")*(Besatzung!$F$13="x"))*IFERROR(H183,0)/IFERROR(IF(COUNTIF(J183:U183,"x")=0,SUMPRODUCT((Besatzung!$B$11:$B$22&lt;&gt;"")*(Besatzung!$F$11:$F$22="x")),SUMPRODUCT((J183:U183="x")*(Besatzung!$F$11:$F$22="x"))),1))))),0))))</f>
        <v/>
      </c>
      <c r="Y183" s="106">
        <f>IF(C183="Gutschrift","",IF(G183="","",IF(Besatzung!$B$14="","",IFERROR(IF(I183="Zeitanteilig",(Besatzung!$G$14*(G183-IFERROR(H183,0))+((Besatzung!$B$14&lt;&gt;"")*IF(B183="",1,(IF(Besatzung!$C$14="",Besatzung!$B$5,Besatzung!$C$14)&lt;=B183)*(IF(Besatzung!$D$14="",Besatzung!$B$6,Besatzung!$D$14)&gt;=B183)))*(Besatzung!$F$14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$14&lt;&gt;"")*IF(B183="",1,(IF(Besatzung!$C$14="",Besatzung!$B$5,Besatzung!$C$14)&lt;=B183)*(IF(Besatzung!$D$14="",Besatzung!$B$6,Besatzung!$D$14)&gt;=B183)))*((G183-IFERROR(H183,0))/IFERROR(SUMPRODUCT((Besatzung!$B$11:$B$22&lt;&gt;"")*(IF(Besatzung!$C$11:$C$22="",Besatzung!$B$5,Besatzung!$C$11:$C$22)&lt;=B183)*(IF(Besatzung!$D$11:$D$22="",Besatzung!$B$6,Besatzung!$D$11:$D$22)&gt;=B183)),1)+(Besatzung!$F$14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M183="x")*((G183-IFERROR(H183,0))/IFERROR(COUNTIF(J183:U183,"x"),1)+(Besatzung!$F$14="x")*IFERROR(H183,0)/IFERROR(SUMPRODUCT((J183:U183="x")*(Besatzung!$F$11:$F$22="x")),1))),(IF(COUNTIF(J183:U183,"x")=0,IF(Besatzung!$B$14&lt;&gt;"",1,0),(M183="x"))*(G183-IFERROR(H183,0))/IFERROR(IF(COUNTIF(J183:U183,"x")=0,COUNTA(Besatzung!$B$11:$B$22),COUNTIF(J183:U183,"x")),1)+IF(COUNTIF(J183:U183,"x")=0,(Besatzung!$F$14="x"),(M183="x")*(Besatzung!$F$14="x"))*IFERROR(H183,0)/IFERROR(IF(COUNTIF(J183:U183,"x")=0,SUMPRODUCT((Besatzung!$B$11:$B$22&lt;&gt;"")*(Besatzung!$F$11:$F$22="x")),SUMPRODUCT((J183:U183="x")*(Besatzung!$F$11:$F$22="x"))),1))))),0))))</f>
        <v/>
      </c>
      <c r="Z183" s="106">
        <f>IF(C183="Gutschrift","",IF(G183="","",IF(Besatzung!$B$13="","",IFERROR(IF(I183="Zeitanteilig",(Besatzung!$G$15*(G183-IFERROR(H183,0))+((Besatzung!$B$13&lt;&gt;"")*IF(B183="",1,(IF(Besatzung!$C$15="",Besatzung!$B$5,Besatzung!$C$15)&lt;=B183)*(IF(Besatzung!$D$15="",Besatzung!$B$6,Besatzung!$D$15)&gt;=B183)))*(Besatzung!$F$15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$13&lt;&gt;"")*IF(B183="",1,(IF(Besatzung!$C$15="",Besatzung!$B$5,Besatzung!$C$15)&lt;=B183)*(IF(Besatzung!$D$15="",Besatzung!$B$6,Besatzung!$D$15)&gt;=B183)))*((G183-IFERROR(H183,0))/IFERROR(SUMPRODUCT((Besatzung!$B$11:$B$22&lt;&gt;"")*(IF(Besatzung!$C$11:$C$22="",Besatzung!$B$5,Besatzung!$C$11:$C$22)&lt;=B183)*(IF(Besatzung!$D$11:$D$22="",Besatzung!$B$6,Besatzung!$D$11:$D$22)&gt;=B183)),1)+(Besatzung!$F$15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N183="x")*((G183-IFERROR(H183,0))/IFERROR(COUNTIF(J183:U183,"x"),1)+(Besatzung!$F$15="x")*IFERROR(H183,0)/IFERROR(SUMPRODUCT((J183:U183="x")*(Besatzung!$F$11:$F$22="x")),1))),(IF(COUNTIF(J183:U183,"x")=0,IF(Besatzung!$B$13&lt;&gt;"",1,0),(N183="x"))*(G183-IFERROR(H183,0))/IFERROR(IF(COUNTIF(J183:U183,"x")=0,COUNTA(Besatzung!$B$11:$B$22),COUNTIF(J183:U183,"x")),1)+IF(COUNTIF(J183:U183,"x")=0,(Besatzung!$F$15="x"),(N183="x")*(Besatzung!$F$15="x"))*IFERROR(H183,0)/IFERROR(IF(COUNTIF(J183:U183,"x")=0,SUMPRODUCT((Besatzung!$B$11:$B$22&lt;&gt;"")*(Besatzung!$F$11:$F$22="x")),SUMPRODUCT((J183:U183="x")*(Besatzung!$F$11:$F$22="x"))),1))))),0))))</f>
        <v/>
      </c>
      <c r="AA183" s="106">
        <f>IF(C183="Gutschrift","",IF(G183="","",IF(Besatzung!$B$15="","",IFERROR(IF(I183="Zeitanteilig",(Besatzung!$G$16*(G183-IFERROR(H183,0))+((Besatzung!$B$15&lt;&gt;"")*IF(B183="",1,(IF(Besatzung!$C$16="",Besatzung!$B$5,Besatzung!$C$16)&lt;=B183)*(IF(Besatzung!$D$16="",Besatzung!$B$6,Besatzung!$D$16)&gt;=B183)))*(Besatzung!$F$16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$15&lt;&gt;"")*IF(B183="",1,(IF(Besatzung!$C$16="",Besatzung!$B$5,Besatzung!$C$16)&lt;=B183)*(IF(Besatzung!$D$16="",Besatzung!$B$6,Besatzung!$D$16)&gt;=B183)))*((G183-IFERROR(H183,0))/IFERROR(SUMPRODUCT((Besatzung!$B$11:$B$22&lt;&gt;"")*(IF(Besatzung!$C$11:$C$22="",Besatzung!$B$5,Besatzung!$C$11:$C$22)&lt;=B183)*(IF(Besatzung!$D$11:$D$22="",Besatzung!$B$6,Besatzung!$D$11:$D$22)&gt;=B183)),1)+(Besatzung!$F$16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O183="x")*((G183-IFERROR(H183,0))/IFERROR(COUNTIF(J183:U183,"x"),1)+(Besatzung!$F$16="x")*IFERROR(H183,0)/IFERROR(SUMPRODUCT((J183:U183="x")*(Besatzung!$F$11:$F$22="x")),1))),(IF(COUNTIF(J183:U183,"x")=0,IF(Besatzung!$B$15&lt;&gt;"",1,0),(O183="x"))*(G183-IFERROR(H183,0))/IFERROR(IF(COUNTIF(J183:U183,"x")=0,COUNTA(Besatzung!$B$11:$B$22),COUNTIF(J183:U183,"x")),1)+IF(COUNTIF(J183:U183,"x")=0,(Besatzung!$F$16="x"),(O183="x")*(Besatzung!$F$16="x"))*IFERROR(H183,0)/IFERROR(IF(COUNTIF(J183:U183,"x")=0,SUMPRODUCT((Besatzung!$B$11:$B$22&lt;&gt;"")*(Besatzung!$F$11:$F$22="x")),SUMPRODUCT((J183:U183="x")*(Besatzung!$F$11:$F$22="x"))),1))))),0))))</f>
        <v/>
      </c>
      <c r="AB183" s="106">
        <f>IF(C183="Gutschrift","",IF(G183="","",IF(Besatzung!$B$17="","",IFERROR(IF(I183="Zeitanteilig",(Besatzung!$G$17*(G183-IFERROR(H183,0))+((Besatzung!$B$17&lt;&gt;"")*IF(B183="",1,(IF(Besatzung!$C$17="",Besatzung!$B$5,Besatzung!$C$17)&lt;=B183)*(IF(Besatzung!$D$17="",Besatzung!$B$6,Besatzung!$D$17)&gt;=B183)))*(Besatzung!$F$17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$17&lt;&gt;"")*IF(B183="",1,(IF(Besatzung!$C$17="",Besatzung!$B$5,Besatzung!$C$17)&lt;=B183)*(IF(Besatzung!$D$17="",Besatzung!$B$6,Besatzung!$D$17)&gt;=B183)))*((G183-IFERROR(H183,0))/IFERROR(SUMPRODUCT((Besatzung!$B$11:$B$22&lt;&gt;"")*(IF(Besatzung!$C$11:$C$22="",Besatzung!$B$5,Besatzung!$C$11:$C$22)&lt;=B183)*(IF(Besatzung!$D$11:$D$22="",Besatzung!$B$6,Besatzung!$D$11:$D$22)&gt;=B183)),1)+(Besatzung!$F$17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P183="x")*((G183-IFERROR(H183,0))/IFERROR(COUNTIF(J183:U183,"x"),1)+(Besatzung!$F$17="x")*IFERROR(H183,0)/IFERROR(SUMPRODUCT((J183:U183="x")*(Besatzung!$F$11:$F$22="x")),1))),(IF(COUNTIF(J183:U183,"x")=0,IF(Besatzung!$B$17&lt;&gt;"",1,0),(P183="x"))*(G183-IFERROR(H183,0))/IFERROR(IF(COUNTIF(J183:U183,"x")=0,COUNTA(Besatzung!$B$11:$B$22),COUNTIF(J183:U183,"x")),1)+IF(COUNTIF(J183:U183,"x")=0,(Besatzung!$F$17="x"),(P183="x")*(Besatzung!$F$17="x"))*IFERROR(H183,0)/IFERROR(IF(COUNTIF(J183:U183,"x")=0,SUMPRODUCT((Besatzung!$B$11:$B$22&lt;&gt;"")*(Besatzung!$F$11:$F$22="x")),SUMPRODUCT((J183:U183="x")*(Besatzung!$F$11:$F$22="x"))),1))))),0))))</f>
        <v/>
      </c>
      <c r="AC183" s="106">
        <f>IF(C183="Gutschrift","",IF(G183="","",IF(Besatzung!$B$18="","",IFERROR(IF(I183="Zeitanteilig",(Besatzung!$G$18*(G183-IFERROR(H183,0))+((Besatzung!$B$18&lt;&gt;"")*IF(B183="",1,(IF(Besatzung!$C$18="",Besatzung!$B$5,Besatzung!$C$18)&lt;=B183)*(IF(Besatzung!$D$18="",Besatzung!$B$6,Besatzung!$D$18)&gt;=B183)))*(Besatzung!$F$18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$18&lt;&gt;"")*IF(B183="",1,(IF(Besatzung!$C$18="",Besatzung!$B$5,Besatzung!$C$18)&lt;=B183)*(IF(Besatzung!$D$18="",Besatzung!$B$6,Besatzung!$D$18)&gt;=B183)))*((G183-IFERROR(H183,0))/IFERROR(SUMPRODUCT((Besatzung!$B$11:$B$22&lt;&gt;"")*(IF(Besatzung!$C$11:$C$22="",Besatzung!$B$5,Besatzung!$C$11:$C$22)&lt;=B183)*(IF(Besatzung!$D$11:$D$22="",Besatzung!$B$6,Besatzung!$D$11:$D$22)&gt;=B183)),1)+(Besatzung!$F$18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Q183="x")*((G183-IFERROR(H183,0))/IFERROR(COUNTIF(J183:U183,"x"),1)+(Besatzung!$F$18="x")*IFERROR(H183,0)/IFERROR(SUMPRODUCT((J183:U183="x")*(Besatzung!$F$11:$F$22="x")),1))),(IF(COUNTIF(J183:U183,"x")=0,IF(Besatzung!$B$18&lt;&gt;"",1,0),(Q183="x"))*(G183-IFERROR(H183,0))/IFERROR(IF(COUNTIF(J183:U183,"x")=0,COUNTA(Besatzung!$B$11:$B$22),COUNTIF(J183:U183,"x")),1)+IF(COUNTIF(J183:U183,"x")=0,(Besatzung!$F$18="x"),(Q183="x")*(Besatzung!$F$18="x"))*IFERROR(H183,0)/IFERROR(IF(COUNTIF(J183:U183,"x")=0,SUMPRODUCT((Besatzung!$B$11:$B$22&lt;&gt;"")*(Besatzung!$F$11:$F$22="x")),SUMPRODUCT((J183:U183="x")*(Besatzung!$F$11:$F$22="x"))),1))))),0))))</f>
        <v/>
      </c>
      <c r="AD183" s="106">
        <f>IF(C183="Gutschrift","",IF(G183="","",IF(Besatzung!$B$19="","",IFERROR(IF(I183="Zeitanteilig",(Besatzung!$G$19*(G183-IFERROR(H183,0))+((Besatzung!$B$19&lt;&gt;"")*IF(B183="",1,(IF(Besatzung!$C$19="",Besatzung!$B$5,Besatzung!$C$19)&lt;=B183)*(IF(Besatzung!$D$19="",Besatzung!$B$6,Besatzung!$D$19)&gt;=B183)))*(Besatzung!$F$19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$19&lt;&gt;"")*IF(B183="",1,(IF(Besatzung!$C$19="",Besatzung!$B$5,Besatzung!$C$19)&lt;=B183)*(IF(Besatzung!$D$19="",Besatzung!$B$6,Besatzung!$D$19)&gt;=B183)))*((G183-IFERROR(H183,0))/IFERROR(SUMPRODUCT((Besatzung!$B$11:$B$22&lt;&gt;"")*(IF(Besatzung!$C$11:$C$22="",Besatzung!$B$5,Besatzung!$C$11:$C$22)&lt;=B183)*(IF(Besatzung!$D$11:$D$22="",Besatzung!$B$6,Besatzung!$D$11:$D$22)&gt;=B183)),1)+(Besatzung!$F$19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R183="x")*((G183-IFERROR(H183,0))/IFERROR(COUNTIF(J183:U183,"x"),1)+(Besatzung!$F$19="x")*IFERROR(H183,0)/IFERROR(SUMPRODUCT((J183:U183="x")*(Besatzung!$F$11:$F$22="x")),1))),(IF(COUNTIF(J183:U183,"x")=0,IF(Besatzung!$B$19&lt;&gt;"",1,0),(R183="x"))*(G183-IFERROR(H183,0))/IFERROR(IF(COUNTIF(J183:U183,"x")=0,COUNTA(Besatzung!$B$11:$B$22),COUNTIF(J183:U183,"x")),1)+IF(COUNTIF(J183:U183,"x")=0,(Besatzung!$F$19="x"),(R183="x")*(Besatzung!$F$19="x"))*IFERROR(H183,0)/IFERROR(IF(COUNTIF(J183:U183,"x")=0,SUMPRODUCT((Besatzung!$B$11:$B$22&lt;&gt;"")*(Besatzung!$F$11:$F$22="x")),SUMPRODUCT((J183:U183="x")*(Besatzung!$F$11:$F$22="x"))),1))))),0))))</f>
        <v/>
      </c>
      <c r="AE183" s="106">
        <f>IF(C183="Gutschrift","",IF(G183="","",IF(Besatzung!$B$20="","",IFERROR(IF(I183="Zeitanteilig",(Besatzung!$G$20*(G183-IFERROR(H183,0))+((Besatzung!$B$20&lt;&gt;"")*IF(B183="",1,(IF(Besatzung!$C$20="",Besatzung!$B$5,Besatzung!$C$20)&lt;=B183)*(IF(Besatzung!$D$20="",Besatzung!$B$6,Besatzung!$D$20)&gt;=B183)))*(Besatzung!$F$20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$20&lt;&gt;"")*IF(B183="",1,(IF(Besatzung!$C$20="",Besatzung!$B$5,Besatzung!$C$20)&lt;=B183)*(IF(Besatzung!$D$20="",Besatzung!$B$6,Besatzung!$D$20)&gt;=B183)))*((G183-IFERROR(H183,0))/IFERROR(SUMPRODUCT((Besatzung!$B$11:$B$22&lt;&gt;"")*(IF(Besatzung!$C$11:$C$22="",Besatzung!$B$5,Besatzung!$C$11:$C$22)&lt;=B183)*(IF(Besatzung!$D$11:$D$22="",Besatzung!$B$6,Besatzung!$D$11:$D$22)&gt;=B183)),1)+(Besatzung!$F$20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S183="x")*((G183-IFERROR(H183,0))/IFERROR(COUNTIF(J183:U183,"x"),1)+(Besatzung!$F$20="x")*IFERROR(H183,0)/IFERROR(SUMPRODUCT((J183:U183="x")*(Besatzung!$F$11:$F$22="x")),1))),(IF(COUNTIF(J183:U183,"x")=0,IF(Besatzung!$B$20&lt;&gt;"",1,0),(S183="x"))*(G183-IFERROR(H183,0))/IFERROR(IF(COUNTIF(J183:U183,"x")=0,COUNTA(Besatzung!$B$11:$B$22),COUNTIF(J183:U183,"x")),1)+IF(COUNTIF(J183:U183,"x")=0,(Besatzung!$F$20="x"),(S183="x")*(Besatzung!$F$20="x"))*IFERROR(H183,0)/IFERROR(IF(COUNTIF(J183:U183,"x")=0,SUMPRODUCT((Besatzung!$B$11:$B$22&lt;&gt;"")*(Besatzung!$F$11:$F$22="x")),SUMPRODUCT((J183:U183="x")*(Besatzung!$F$11:$F$22="x"))),1))))),0))))</f>
        <v/>
      </c>
      <c r="AF183" s="106">
        <f>IF(C183="Gutschrift","",IF(G183="","",IF(Besatzung!$B$21="","",IFERROR(IF(I183="Zeitanteilig",(Besatzung!$G$21*(G183-IFERROR(H183,0))+((Besatzung!$B$21&lt;&gt;"")*IF(B183="",1,(IF(Besatzung!$C$21="",Besatzung!$B$5,Besatzung!$C$21)&lt;=B183)*(IF(Besatzung!$D$21="",Besatzung!$B$6,Besatzung!$D$21)&gt;=B183)))*(Besatzung!$F$21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$21&lt;&gt;"")*IF(B183="",1,(IF(Besatzung!$C$21="",Besatzung!$B$5,Besatzung!$C$21)&lt;=B183)*(IF(Besatzung!$D$21="",Besatzung!$B$6,Besatzung!$D$21)&gt;=B183)))*((G183-IFERROR(H183,0))/IFERROR(SUMPRODUCT((Besatzung!$B$11:$B$22&lt;&gt;"")*(IF(Besatzung!$C$11:$C$22="",Besatzung!$B$5,Besatzung!$C$11:$C$22)&lt;=B183)*(IF(Besatzung!$D$11:$D$22="",Besatzung!$B$6,Besatzung!$D$11:$D$22)&gt;=B183)),1)+(Besatzung!$F$21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T183="x")*((G183-IFERROR(H183,0))/IFERROR(COUNTIF(J183:U183,"x"),1)+(Besatzung!$F$21="x")*IFERROR(H183,0)/IFERROR(SUMPRODUCT((J183:U183="x")*(Besatzung!$F$11:$F$22="x")),1))),(IF(COUNTIF(J183:U183,"x")=0,IF(Besatzung!$B$21&lt;&gt;"",1,0),(T183="x"))*(G183-IFERROR(H183,0))/IFERROR(IF(COUNTIF(J183:U183,"x")=0,COUNTA(Besatzung!$B$11:$B$22),COUNTIF(J183:U183,"x")),1)+IF(COUNTIF(J183:U183,"x")=0,(Besatzung!$F$21="x"),(T183="x")*(Besatzung!$F$21="x"))*IFERROR(H183,0)/IFERROR(IF(COUNTIF(J183:U183,"x")=0,SUMPRODUCT((Besatzung!$B$11:$B$22&lt;&gt;"")*(Besatzung!$F$11:$F$22="x")),SUMPRODUCT((J183:U183="x")*(Besatzung!$F$11:$F$22="x"))),1))))),0))))</f>
        <v/>
      </c>
      <c r="AG183" s="106">
        <f>IF(C183="Gutschrift","",IF(G183="","",IF(Besatzung!$B$22="","",IFERROR(IF(I183="Zeitanteilig",(Besatzung!$G$22*(G183-IFERROR(H183,0))+((Besatzung!$B$22&lt;&gt;"")*IF(B183="",1,(IF(Besatzung!$C$22="",Besatzung!$B$5,Besatzung!$C$22)&lt;=B183)*(IF(Besatzung!$D$22="",Besatzung!$B$6,Besatzung!$D$22)&gt;=B183)))*(Besatzung!$F$22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$22&lt;&gt;"")*IF(B183="",1,(IF(Besatzung!$C$22="",Besatzung!$B$5,Besatzung!$C$22)&lt;=B183)*(IF(Besatzung!$D$22="",Besatzung!$B$6,Besatzung!$D$22)&gt;=B183)))*((G183-IFERROR(H183,0))/IFERROR(SUMPRODUCT((Besatzung!$B$11:$B$22&lt;&gt;"")*(IF(Besatzung!$C$11:$C$22="",Besatzung!$B$5,Besatzung!$C$11:$C$22)&lt;=B183)*(IF(Besatzung!$D$11:$D$22="",Besatzung!$B$6,Besatzung!$D$11:$D$22)&gt;=B183)),1)+(Besatzung!$F$22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U183="x")*((G183-IFERROR(H183,0))/IFERROR(COUNTIF(J183:U183,"x"),1)+(Besatzung!$F$22="x")*IFERROR(H183,0)/IFERROR(SUMPRODUCT((J183:U183="x")*(Besatzung!$F$11:$F$22="x")),1))),(IF(COUNTIF(J183:U183,"x")=0,IF(Besatzung!$B$22&lt;&gt;"",1,0),(U183="x"))*(G183-IFERROR(H183,0))/IFERROR(IF(COUNTIF(J183:U183,"x")=0,COUNTA(Besatzung!$B$11:$B$22),COUNTIF(J183:U183,"x")),1)+IF(COUNTIF(J183:U183,"x")=0,(Besatzung!$F$22="x"),(U183="x")*(Besatzung!$F$22="x"))*IFERROR(H183,0)/IFERROR(IF(COUNTIF(J183:U183,"x")=0,SUMPRODUCT((Besatzung!$B$11:$B$22&lt;&gt;"")*(Besatzung!$F$11:$F$22="x")),SUMPRODUCT((J183:U183="x")*(Besatzung!$F$11:$F$22="x"))),1))))),0))))</f>
        <v/>
      </c>
      <c r="AH183" s="107" t="n"/>
      <c r="AI183" s="107" t="n"/>
    </row>
    <row r="184" ht="21.75" customHeight="1" s="182">
      <c r="A184" s="97">
        <f>IF(AND(D184="",C184=""),"",181)</f>
        <v/>
      </c>
      <c r="B184" s="56" t="n"/>
      <c r="C184" s="98" t="n"/>
      <c r="D184" s="99" t="n"/>
      <c r="E184" s="100" t="n"/>
      <c r="F184" s="101" t="n"/>
      <c r="G184" s="102" t="n"/>
      <c r="H184" s="103" t="n"/>
      <c r="I184" s="104" t="n"/>
      <c r="J184" s="105" t="n"/>
      <c r="K184" s="105" t="n"/>
      <c r="L184" s="105" t="n"/>
      <c r="M184" s="105" t="n"/>
      <c r="N184" s="105" t="n"/>
      <c r="O184" s="105" t="n"/>
      <c r="P184" s="105" t="n"/>
      <c r="Q184" s="105" t="n"/>
      <c r="R184" s="105" t="n"/>
      <c r="S184" s="105" t="n"/>
      <c r="T184" s="105" t="n"/>
      <c r="U184" s="105" t="n"/>
      <c r="V184" s="106">
        <f>IF(C184="Gutschrift","",IF(G184="","",IF(Besatzung!$B$11="","",IFERROR(IF(I184="Zeitanteilig",(Besatzung!$G$11*(G184-IFERROR(H184,0))+((Besatzung!$B$11&lt;&gt;"")*IF(B184="",1,(IF(Besatzung!$C$11="",Besatzung!$B$5,Besatzung!$C$11)&lt;=B184)*(IF(Besatzung!$D$11="",Besatzung!$B$6,Besatzung!$D$11)&gt;=B184)))*(Besatzung!$F$11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$11&lt;&gt;"")*IF(B184="",1,(IF(Besatzung!$C$11="",Besatzung!$B$5,Besatzung!$C$11)&lt;=B184)*(IF(Besatzung!$D$11="",Besatzung!$B$6,Besatzung!$D$11)&gt;=B184)))*((G184-IFERROR(H184,0))/IFERROR(SUMPRODUCT((Besatzung!$B$11:$B$22&lt;&gt;"")*(IF(Besatzung!$C$11:$C$22="",Besatzung!$B$5,Besatzung!$C$11:$C$22)&lt;=B184)*(IF(Besatzung!$D$11:$D$22="",Besatzung!$B$6,Besatzung!$D$11:$D$22)&gt;=B184)),1)+(Besatzung!$F$11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J184="x")*((G184-IFERROR(H184,0))/IFERROR(COUNTIF(J184:U184,"x"),1)+(Besatzung!$F$11="x")*IFERROR(H184,0)/IFERROR(SUMPRODUCT((J184:U184="x")*(Besatzung!$F$11:$F$22="x")),1))),(IF(COUNTIF(J184:U184,"x")=0,IF(Besatzung!$B$11&lt;&gt;"",1,0),(J184="x"))*(G184-IFERROR(H184,0))/IFERROR(IF(COUNTIF(J184:U184,"x")=0,COUNTA(Besatzung!$B$11:$B$22),COUNTIF(J184:U184,"x")),1)+IF(COUNTIF(J184:U184,"x")=0,(Besatzung!$F$11="x"),(J184="x")*(Besatzung!$F$11="x"))*IFERROR(H184,0)/IFERROR(IF(COUNTIF(J184:U184,"x")=0,SUMPRODUCT((Besatzung!$B$11:$B$22&lt;&gt;"")*(Besatzung!$F$11:$F$22="x")),SUMPRODUCT((J184:U184="x")*(Besatzung!$F$11:$F$22="x"))),1))))),0))))</f>
        <v/>
      </c>
      <c r="W184" s="106">
        <f>IF(C184="Gutschrift","",IF(G184="","",IF(Besatzung!$B$12="","",IFERROR(IF(I184="Zeitanteilig",(Besatzung!$G$12*(G184-IFERROR(H184,0))+((Besatzung!$B$12&lt;&gt;"")*IF(B184="",1,(IF(Besatzung!$C$12="",Besatzung!$B$5,Besatzung!$C$12)&lt;=B184)*(IF(Besatzung!$D$12="",Besatzung!$B$6,Besatzung!$D$12)&gt;=B184)))*(Besatzung!$F$12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$12&lt;&gt;"")*IF(B184="",1,(IF(Besatzung!$C$12="",Besatzung!$B$5,Besatzung!$C$12)&lt;=B184)*(IF(Besatzung!$D$12="",Besatzung!$B$6,Besatzung!$D$12)&gt;=B184)))*((G184-IFERROR(H184,0))/IFERROR(SUMPRODUCT((Besatzung!$B$11:$B$22&lt;&gt;"")*(IF(Besatzung!$C$11:$C$22="",Besatzung!$B$5,Besatzung!$C$11:$C$22)&lt;=B184)*(IF(Besatzung!$D$11:$D$22="",Besatzung!$B$6,Besatzung!$D$11:$D$22)&gt;=B184)),1)+(Besatzung!$F$12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K184="x")*((G184-IFERROR(H184,0))/IFERROR(COUNTIF(J184:U184,"x"),1)+(Besatzung!$F$12="x")*IFERROR(H184,0)/IFERROR(SUMPRODUCT((J184:U184="x")*(Besatzung!$F$11:$F$22="x")),1))),(IF(COUNTIF(J184:U184,"x")=0,IF(Besatzung!$B$12&lt;&gt;"",1,0),(K184="x"))*(G184-IFERROR(H184,0))/IFERROR(IF(COUNTIF(J184:U184,"x")=0,COUNTA(Besatzung!$B$11:$B$22),COUNTIF(J184:U184,"x")),1)+IF(COUNTIF(J184:U184,"x")=0,(Besatzung!$F$12="x"),(K184="x")*(Besatzung!$F$12="x"))*IFERROR(H184,0)/IFERROR(IF(COUNTIF(J184:U184,"x")=0,SUMPRODUCT((Besatzung!$B$11:$B$22&lt;&gt;"")*(Besatzung!$F$11:$F$22="x")),SUMPRODUCT((J184:U184="x")*(Besatzung!$F$11:$F$22="x"))),1))))),0))))</f>
        <v/>
      </c>
      <c r="X184" s="106">
        <f>IF(C184="Gutschrift","",IF(G184="","",IF(Besatzung!$B$13="","",IFERROR(IF(I184="Zeitanteilig",(Besatzung!$G$13*(G184-IFERROR(H184,0))+((Besatzung!$B$13&lt;&gt;"")*IF(B184="",1,(IF(Besatzung!$C$13="",Besatzung!$B$5,Besatzung!$C$13)&lt;=B184)*(IF(Besatzung!$D$13="",Besatzung!$B$6,Besatzung!$D$13)&gt;=B184)))*(Besatzung!$F$13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$13&lt;&gt;"")*IF(B184="",1,(IF(Besatzung!$C$13="",Besatzung!$B$5,Besatzung!$C$13)&lt;=B184)*(IF(Besatzung!$D$13="",Besatzung!$B$6,Besatzung!$D$13)&gt;=B184)))*((G184-IFERROR(H184,0))/IFERROR(SUMPRODUCT((Besatzung!$B$11:$B$22&lt;&gt;"")*(IF(Besatzung!$C$11:$C$22="",Besatzung!$B$5,Besatzung!$C$11:$C$22)&lt;=B184)*(IF(Besatzung!$D$11:$D$22="",Besatzung!$B$6,Besatzung!$D$11:$D$22)&gt;=B184)),1)+(Besatzung!$F$13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K184="x")*((G184-IFERROR(H184,0))/IFERROR(COUNTIF(J184:U184,"x"),1)+(Besatzung!$F$13="x")*IFERROR(H184,0)/IFERROR(SUMPRODUCT((J184:U184="x")*(Besatzung!$F$11:$F$22="x")),1))),(IF(COUNTIF(J184:U184,"x")=0,IF(Besatzung!$B$13&lt;&gt;"",1,0),(K184="x"))*(G184-IFERROR(H184,0))/IFERROR(IF(COUNTIF(J184:U184,"x")=0,COUNTA(Besatzung!$B$11:$B$22),COUNTIF(J184:U184,"x")),1)+IF(COUNTIF(J184:U184,"x")=0,(Besatzung!$F$13="x"),(K184="x")*(Besatzung!$F$13="x"))*IFERROR(H184,0)/IFERROR(IF(COUNTIF(J184:U184,"x")=0,SUMPRODUCT((Besatzung!$B$11:$B$22&lt;&gt;"")*(Besatzung!$F$11:$F$22="x")),SUMPRODUCT((J184:U184="x")*(Besatzung!$F$11:$F$22="x"))),1))))),0))))</f>
        <v/>
      </c>
      <c r="Y184" s="106">
        <f>IF(C184="Gutschrift","",IF(G184="","",IF(Besatzung!$B$14="","",IFERROR(IF(I184="Zeitanteilig",(Besatzung!$G$14*(G184-IFERROR(H184,0))+((Besatzung!$B$14&lt;&gt;"")*IF(B184="",1,(IF(Besatzung!$C$14="",Besatzung!$B$5,Besatzung!$C$14)&lt;=B184)*(IF(Besatzung!$D$14="",Besatzung!$B$6,Besatzung!$D$14)&gt;=B184)))*(Besatzung!$F$14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$14&lt;&gt;"")*IF(B184="",1,(IF(Besatzung!$C$14="",Besatzung!$B$5,Besatzung!$C$14)&lt;=B184)*(IF(Besatzung!$D$14="",Besatzung!$B$6,Besatzung!$D$14)&gt;=B184)))*((G184-IFERROR(H184,0))/IFERROR(SUMPRODUCT((Besatzung!$B$11:$B$22&lt;&gt;"")*(IF(Besatzung!$C$11:$C$22="",Besatzung!$B$5,Besatzung!$C$11:$C$22)&lt;=B184)*(IF(Besatzung!$D$11:$D$22="",Besatzung!$B$6,Besatzung!$D$11:$D$22)&gt;=B184)),1)+(Besatzung!$F$14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M184="x")*((G184-IFERROR(H184,0))/IFERROR(COUNTIF(J184:U184,"x"),1)+(Besatzung!$F$14="x")*IFERROR(H184,0)/IFERROR(SUMPRODUCT((J184:U184="x")*(Besatzung!$F$11:$F$22="x")),1))),(IF(COUNTIF(J184:U184,"x")=0,IF(Besatzung!$B$14&lt;&gt;"",1,0),(M184="x"))*(G184-IFERROR(H184,0))/IFERROR(IF(COUNTIF(J184:U184,"x")=0,COUNTA(Besatzung!$B$11:$B$22),COUNTIF(J184:U184,"x")),1)+IF(COUNTIF(J184:U184,"x")=0,(Besatzung!$F$14="x"),(M184="x")*(Besatzung!$F$14="x"))*IFERROR(H184,0)/IFERROR(IF(COUNTIF(J184:U184,"x")=0,SUMPRODUCT((Besatzung!$B$11:$B$22&lt;&gt;"")*(Besatzung!$F$11:$F$22="x")),SUMPRODUCT((J184:U184="x")*(Besatzung!$F$11:$F$22="x"))),1))))),0))))</f>
        <v/>
      </c>
      <c r="Z184" s="106">
        <f>IF(C184="Gutschrift","",IF(G184="","",IF(Besatzung!$B$13="","",IFERROR(IF(I184="Zeitanteilig",(Besatzung!$G$15*(G184-IFERROR(H184,0))+((Besatzung!$B$13&lt;&gt;"")*IF(B184="",1,(IF(Besatzung!$C$15="",Besatzung!$B$5,Besatzung!$C$15)&lt;=B184)*(IF(Besatzung!$D$15="",Besatzung!$B$6,Besatzung!$D$15)&gt;=B184)))*(Besatzung!$F$15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$13&lt;&gt;"")*IF(B184="",1,(IF(Besatzung!$C$15="",Besatzung!$B$5,Besatzung!$C$15)&lt;=B184)*(IF(Besatzung!$D$15="",Besatzung!$B$6,Besatzung!$D$15)&gt;=B184)))*((G184-IFERROR(H184,0))/IFERROR(SUMPRODUCT((Besatzung!$B$11:$B$22&lt;&gt;"")*(IF(Besatzung!$C$11:$C$22="",Besatzung!$B$5,Besatzung!$C$11:$C$22)&lt;=B184)*(IF(Besatzung!$D$11:$D$22="",Besatzung!$B$6,Besatzung!$D$11:$D$22)&gt;=B184)),1)+(Besatzung!$F$15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N184="x")*((G184-IFERROR(H184,0))/IFERROR(COUNTIF(J184:U184,"x"),1)+(Besatzung!$F$15="x")*IFERROR(H184,0)/IFERROR(SUMPRODUCT((J184:U184="x")*(Besatzung!$F$11:$F$22="x")),1))),(IF(COUNTIF(J184:U184,"x")=0,IF(Besatzung!$B$13&lt;&gt;"",1,0),(N184="x"))*(G184-IFERROR(H184,0))/IFERROR(IF(COUNTIF(J184:U184,"x")=0,COUNTA(Besatzung!$B$11:$B$22),COUNTIF(J184:U184,"x")),1)+IF(COUNTIF(J184:U184,"x")=0,(Besatzung!$F$15="x"),(N184="x")*(Besatzung!$F$15="x"))*IFERROR(H184,0)/IFERROR(IF(COUNTIF(J184:U184,"x")=0,SUMPRODUCT((Besatzung!$B$11:$B$22&lt;&gt;"")*(Besatzung!$F$11:$F$22="x")),SUMPRODUCT((J184:U184="x")*(Besatzung!$F$11:$F$22="x"))),1))))),0))))</f>
        <v/>
      </c>
      <c r="AA184" s="106">
        <f>IF(C184="Gutschrift","",IF(G184="","",IF(Besatzung!$B$15="","",IFERROR(IF(I184="Zeitanteilig",(Besatzung!$G$16*(G184-IFERROR(H184,0))+((Besatzung!$B$15&lt;&gt;"")*IF(B184="",1,(IF(Besatzung!$C$16="",Besatzung!$B$5,Besatzung!$C$16)&lt;=B184)*(IF(Besatzung!$D$16="",Besatzung!$B$6,Besatzung!$D$16)&gt;=B184)))*(Besatzung!$F$16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$15&lt;&gt;"")*IF(B184="",1,(IF(Besatzung!$C$16="",Besatzung!$B$5,Besatzung!$C$16)&lt;=B184)*(IF(Besatzung!$D$16="",Besatzung!$B$6,Besatzung!$D$16)&gt;=B184)))*((G184-IFERROR(H184,0))/IFERROR(SUMPRODUCT((Besatzung!$B$11:$B$22&lt;&gt;"")*(IF(Besatzung!$C$11:$C$22="",Besatzung!$B$5,Besatzung!$C$11:$C$22)&lt;=B184)*(IF(Besatzung!$D$11:$D$22="",Besatzung!$B$6,Besatzung!$D$11:$D$22)&gt;=B184)),1)+(Besatzung!$F$16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O184="x")*((G184-IFERROR(H184,0))/IFERROR(COUNTIF(J184:U184,"x"),1)+(Besatzung!$F$16="x")*IFERROR(H184,0)/IFERROR(SUMPRODUCT((J184:U184="x")*(Besatzung!$F$11:$F$22="x")),1))),(IF(COUNTIF(J184:U184,"x")=0,IF(Besatzung!$B$15&lt;&gt;"",1,0),(O184="x"))*(G184-IFERROR(H184,0))/IFERROR(IF(COUNTIF(J184:U184,"x")=0,COUNTA(Besatzung!$B$11:$B$22),COUNTIF(J184:U184,"x")),1)+IF(COUNTIF(J184:U184,"x")=0,(Besatzung!$F$16="x"),(O184="x")*(Besatzung!$F$16="x"))*IFERROR(H184,0)/IFERROR(IF(COUNTIF(J184:U184,"x")=0,SUMPRODUCT((Besatzung!$B$11:$B$22&lt;&gt;"")*(Besatzung!$F$11:$F$22="x")),SUMPRODUCT((J184:U184="x")*(Besatzung!$F$11:$F$22="x"))),1))))),0))))</f>
        <v/>
      </c>
      <c r="AB184" s="106">
        <f>IF(C184="Gutschrift","",IF(G184="","",IF(Besatzung!$B$17="","",IFERROR(IF(I184="Zeitanteilig",(Besatzung!$G$17*(G184-IFERROR(H184,0))+((Besatzung!$B$17&lt;&gt;"")*IF(B184="",1,(IF(Besatzung!$C$17="",Besatzung!$B$5,Besatzung!$C$17)&lt;=B184)*(IF(Besatzung!$D$17="",Besatzung!$B$6,Besatzung!$D$17)&gt;=B184)))*(Besatzung!$F$17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$17&lt;&gt;"")*IF(B184="",1,(IF(Besatzung!$C$17="",Besatzung!$B$5,Besatzung!$C$17)&lt;=B184)*(IF(Besatzung!$D$17="",Besatzung!$B$6,Besatzung!$D$17)&gt;=B184)))*((G184-IFERROR(H184,0))/IFERROR(SUMPRODUCT((Besatzung!$B$11:$B$22&lt;&gt;"")*(IF(Besatzung!$C$11:$C$22="",Besatzung!$B$5,Besatzung!$C$11:$C$22)&lt;=B184)*(IF(Besatzung!$D$11:$D$22="",Besatzung!$B$6,Besatzung!$D$11:$D$22)&gt;=B184)),1)+(Besatzung!$F$17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P184="x")*((G184-IFERROR(H184,0))/IFERROR(COUNTIF(J184:U184,"x"),1)+(Besatzung!$F$17="x")*IFERROR(H184,0)/IFERROR(SUMPRODUCT((J184:U184="x")*(Besatzung!$F$11:$F$22="x")),1))),(IF(COUNTIF(J184:U184,"x")=0,IF(Besatzung!$B$17&lt;&gt;"",1,0),(P184="x"))*(G184-IFERROR(H184,0))/IFERROR(IF(COUNTIF(J184:U184,"x")=0,COUNTA(Besatzung!$B$11:$B$22),COUNTIF(J184:U184,"x")),1)+IF(COUNTIF(J184:U184,"x")=0,(Besatzung!$F$17="x"),(P184="x")*(Besatzung!$F$17="x"))*IFERROR(H184,0)/IFERROR(IF(COUNTIF(J184:U184,"x")=0,SUMPRODUCT((Besatzung!$B$11:$B$22&lt;&gt;"")*(Besatzung!$F$11:$F$22="x")),SUMPRODUCT((J184:U184="x")*(Besatzung!$F$11:$F$22="x"))),1))))),0))))</f>
        <v/>
      </c>
      <c r="AC184" s="106">
        <f>IF(C184="Gutschrift","",IF(G184="","",IF(Besatzung!$B$18="","",IFERROR(IF(I184="Zeitanteilig",(Besatzung!$G$18*(G184-IFERROR(H184,0))+((Besatzung!$B$18&lt;&gt;"")*IF(B184="",1,(IF(Besatzung!$C$18="",Besatzung!$B$5,Besatzung!$C$18)&lt;=B184)*(IF(Besatzung!$D$18="",Besatzung!$B$6,Besatzung!$D$18)&gt;=B184)))*(Besatzung!$F$18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$18&lt;&gt;"")*IF(B184="",1,(IF(Besatzung!$C$18="",Besatzung!$B$5,Besatzung!$C$18)&lt;=B184)*(IF(Besatzung!$D$18="",Besatzung!$B$6,Besatzung!$D$18)&gt;=B184)))*((G184-IFERROR(H184,0))/IFERROR(SUMPRODUCT((Besatzung!$B$11:$B$22&lt;&gt;"")*(IF(Besatzung!$C$11:$C$22="",Besatzung!$B$5,Besatzung!$C$11:$C$22)&lt;=B184)*(IF(Besatzung!$D$11:$D$22="",Besatzung!$B$6,Besatzung!$D$11:$D$22)&gt;=B184)),1)+(Besatzung!$F$18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Q184="x")*((G184-IFERROR(H184,0))/IFERROR(COUNTIF(J184:U184,"x"),1)+(Besatzung!$F$18="x")*IFERROR(H184,0)/IFERROR(SUMPRODUCT((J184:U184="x")*(Besatzung!$F$11:$F$22="x")),1))),(IF(COUNTIF(J184:U184,"x")=0,IF(Besatzung!$B$18&lt;&gt;"",1,0),(Q184="x"))*(G184-IFERROR(H184,0))/IFERROR(IF(COUNTIF(J184:U184,"x")=0,COUNTA(Besatzung!$B$11:$B$22),COUNTIF(J184:U184,"x")),1)+IF(COUNTIF(J184:U184,"x")=0,(Besatzung!$F$18="x"),(Q184="x")*(Besatzung!$F$18="x"))*IFERROR(H184,0)/IFERROR(IF(COUNTIF(J184:U184,"x")=0,SUMPRODUCT((Besatzung!$B$11:$B$22&lt;&gt;"")*(Besatzung!$F$11:$F$22="x")),SUMPRODUCT((J184:U184="x")*(Besatzung!$F$11:$F$22="x"))),1))))),0))))</f>
        <v/>
      </c>
      <c r="AD184" s="106">
        <f>IF(C184="Gutschrift","",IF(G184="","",IF(Besatzung!$B$19="","",IFERROR(IF(I184="Zeitanteilig",(Besatzung!$G$19*(G184-IFERROR(H184,0))+((Besatzung!$B$19&lt;&gt;"")*IF(B184="",1,(IF(Besatzung!$C$19="",Besatzung!$B$5,Besatzung!$C$19)&lt;=B184)*(IF(Besatzung!$D$19="",Besatzung!$B$6,Besatzung!$D$19)&gt;=B184)))*(Besatzung!$F$19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$19&lt;&gt;"")*IF(B184="",1,(IF(Besatzung!$C$19="",Besatzung!$B$5,Besatzung!$C$19)&lt;=B184)*(IF(Besatzung!$D$19="",Besatzung!$B$6,Besatzung!$D$19)&gt;=B184)))*((G184-IFERROR(H184,0))/IFERROR(SUMPRODUCT((Besatzung!$B$11:$B$22&lt;&gt;"")*(IF(Besatzung!$C$11:$C$22="",Besatzung!$B$5,Besatzung!$C$11:$C$22)&lt;=B184)*(IF(Besatzung!$D$11:$D$22="",Besatzung!$B$6,Besatzung!$D$11:$D$22)&gt;=B184)),1)+(Besatzung!$F$19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R184="x")*((G184-IFERROR(H184,0))/IFERROR(COUNTIF(J184:U184,"x"),1)+(Besatzung!$F$19="x")*IFERROR(H184,0)/IFERROR(SUMPRODUCT((J184:U184="x")*(Besatzung!$F$11:$F$22="x")),1))),(IF(COUNTIF(J184:U184,"x")=0,IF(Besatzung!$B$19&lt;&gt;"",1,0),(R184="x"))*(G184-IFERROR(H184,0))/IFERROR(IF(COUNTIF(J184:U184,"x")=0,COUNTA(Besatzung!$B$11:$B$22),COUNTIF(J184:U184,"x")),1)+IF(COUNTIF(J184:U184,"x")=0,(Besatzung!$F$19="x"),(R184="x")*(Besatzung!$F$19="x"))*IFERROR(H184,0)/IFERROR(IF(COUNTIF(J184:U184,"x")=0,SUMPRODUCT((Besatzung!$B$11:$B$22&lt;&gt;"")*(Besatzung!$F$11:$F$22="x")),SUMPRODUCT((J184:U184="x")*(Besatzung!$F$11:$F$22="x"))),1))))),0))))</f>
        <v/>
      </c>
      <c r="AE184" s="106">
        <f>IF(C184="Gutschrift","",IF(G184="","",IF(Besatzung!$B$20="","",IFERROR(IF(I184="Zeitanteilig",(Besatzung!$G$20*(G184-IFERROR(H184,0))+((Besatzung!$B$20&lt;&gt;"")*IF(B184="",1,(IF(Besatzung!$C$20="",Besatzung!$B$5,Besatzung!$C$20)&lt;=B184)*(IF(Besatzung!$D$20="",Besatzung!$B$6,Besatzung!$D$20)&gt;=B184)))*(Besatzung!$F$20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$20&lt;&gt;"")*IF(B184="",1,(IF(Besatzung!$C$20="",Besatzung!$B$5,Besatzung!$C$20)&lt;=B184)*(IF(Besatzung!$D$20="",Besatzung!$B$6,Besatzung!$D$20)&gt;=B184)))*((G184-IFERROR(H184,0))/IFERROR(SUMPRODUCT((Besatzung!$B$11:$B$22&lt;&gt;"")*(IF(Besatzung!$C$11:$C$22="",Besatzung!$B$5,Besatzung!$C$11:$C$22)&lt;=B184)*(IF(Besatzung!$D$11:$D$22="",Besatzung!$B$6,Besatzung!$D$11:$D$22)&gt;=B184)),1)+(Besatzung!$F$20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S184="x")*((G184-IFERROR(H184,0))/IFERROR(COUNTIF(J184:U184,"x"),1)+(Besatzung!$F$20="x")*IFERROR(H184,0)/IFERROR(SUMPRODUCT((J184:U184="x")*(Besatzung!$F$11:$F$22="x")),1))),(IF(COUNTIF(J184:U184,"x")=0,IF(Besatzung!$B$20&lt;&gt;"",1,0),(S184="x"))*(G184-IFERROR(H184,0))/IFERROR(IF(COUNTIF(J184:U184,"x")=0,COUNTA(Besatzung!$B$11:$B$22),COUNTIF(J184:U184,"x")),1)+IF(COUNTIF(J184:U184,"x")=0,(Besatzung!$F$20="x"),(S184="x")*(Besatzung!$F$20="x"))*IFERROR(H184,0)/IFERROR(IF(COUNTIF(J184:U184,"x")=0,SUMPRODUCT((Besatzung!$B$11:$B$22&lt;&gt;"")*(Besatzung!$F$11:$F$22="x")),SUMPRODUCT((J184:U184="x")*(Besatzung!$F$11:$F$22="x"))),1))))),0))))</f>
        <v/>
      </c>
      <c r="AF184" s="106">
        <f>IF(C184="Gutschrift","",IF(G184="","",IF(Besatzung!$B$21="","",IFERROR(IF(I184="Zeitanteilig",(Besatzung!$G$21*(G184-IFERROR(H184,0))+((Besatzung!$B$21&lt;&gt;"")*IF(B184="",1,(IF(Besatzung!$C$21="",Besatzung!$B$5,Besatzung!$C$21)&lt;=B184)*(IF(Besatzung!$D$21="",Besatzung!$B$6,Besatzung!$D$21)&gt;=B184)))*(Besatzung!$F$21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$21&lt;&gt;"")*IF(B184="",1,(IF(Besatzung!$C$21="",Besatzung!$B$5,Besatzung!$C$21)&lt;=B184)*(IF(Besatzung!$D$21="",Besatzung!$B$6,Besatzung!$D$21)&gt;=B184)))*((G184-IFERROR(H184,0))/IFERROR(SUMPRODUCT((Besatzung!$B$11:$B$22&lt;&gt;"")*(IF(Besatzung!$C$11:$C$22="",Besatzung!$B$5,Besatzung!$C$11:$C$22)&lt;=B184)*(IF(Besatzung!$D$11:$D$22="",Besatzung!$B$6,Besatzung!$D$11:$D$22)&gt;=B184)),1)+(Besatzung!$F$21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T184="x")*((G184-IFERROR(H184,0))/IFERROR(COUNTIF(J184:U184,"x"),1)+(Besatzung!$F$21="x")*IFERROR(H184,0)/IFERROR(SUMPRODUCT((J184:U184="x")*(Besatzung!$F$11:$F$22="x")),1))),(IF(COUNTIF(J184:U184,"x")=0,IF(Besatzung!$B$21&lt;&gt;"",1,0),(T184="x"))*(G184-IFERROR(H184,0))/IFERROR(IF(COUNTIF(J184:U184,"x")=0,COUNTA(Besatzung!$B$11:$B$22),COUNTIF(J184:U184,"x")),1)+IF(COUNTIF(J184:U184,"x")=0,(Besatzung!$F$21="x"),(T184="x")*(Besatzung!$F$21="x"))*IFERROR(H184,0)/IFERROR(IF(COUNTIF(J184:U184,"x")=0,SUMPRODUCT((Besatzung!$B$11:$B$22&lt;&gt;"")*(Besatzung!$F$11:$F$22="x")),SUMPRODUCT((J184:U184="x")*(Besatzung!$F$11:$F$22="x"))),1))))),0))))</f>
        <v/>
      </c>
      <c r="AG184" s="106">
        <f>IF(C184="Gutschrift","",IF(G184="","",IF(Besatzung!$B$22="","",IFERROR(IF(I184="Zeitanteilig",(Besatzung!$G$22*(G184-IFERROR(H184,0))+((Besatzung!$B$22&lt;&gt;"")*IF(B184="",1,(IF(Besatzung!$C$22="",Besatzung!$B$5,Besatzung!$C$22)&lt;=B184)*(IF(Besatzung!$D$22="",Besatzung!$B$6,Besatzung!$D$22)&gt;=B184)))*(Besatzung!$F$22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$22&lt;&gt;"")*IF(B184="",1,(IF(Besatzung!$C$22="",Besatzung!$B$5,Besatzung!$C$22)&lt;=B184)*(IF(Besatzung!$D$22="",Besatzung!$B$6,Besatzung!$D$22)&gt;=B184)))*((G184-IFERROR(H184,0))/IFERROR(SUMPRODUCT((Besatzung!$B$11:$B$22&lt;&gt;"")*(IF(Besatzung!$C$11:$C$22="",Besatzung!$B$5,Besatzung!$C$11:$C$22)&lt;=B184)*(IF(Besatzung!$D$11:$D$22="",Besatzung!$B$6,Besatzung!$D$11:$D$22)&gt;=B184)),1)+(Besatzung!$F$22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U184="x")*((G184-IFERROR(H184,0))/IFERROR(COUNTIF(J184:U184,"x"),1)+(Besatzung!$F$22="x")*IFERROR(H184,0)/IFERROR(SUMPRODUCT((J184:U184="x")*(Besatzung!$F$11:$F$22="x")),1))),(IF(COUNTIF(J184:U184,"x")=0,IF(Besatzung!$B$22&lt;&gt;"",1,0),(U184="x"))*(G184-IFERROR(H184,0))/IFERROR(IF(COUNTIF(J184:U184,"x")=0,COUNTA(Besatzung!$B$11:$B$22),COUNTIF(J184:U184,"x")),1)+IF(COUNTIF(J184:U184,"x")=0,(Besatzung!$F$22="x"),(U184="x")*(Besatzung!$F$22="x"))*IFERROR(H184,0)/IFERROR(IF(COUNTIF(J184:U184,"x")=0,SUMPRODUCT((Besatzung!$B$11:$B$22&lt;&gt;"")*(Besatzung!$F$11:$F$22="x")),SUMPRODUCT((J184:U184="x")*(Besatzung!$F$11:$F$22="x"))),1))))),0))))</f>
        <v/>
      </c>
      <c r="AH184" s="107" t="n"/>
      <c r="AI184" s="107" t="n"/>
    </row>
    <row r="185" ht="21.75" customHeight="1" s="182">
      <c r="A185" s="97">
        <f>IF(AND(D185="",C185=""),"",182)</f>
        <v/>
      </c>
      <c r="B185" s="63" t="n"/>
      <c r="C185" s="108" t="n"/>
      <c r="D185" s="109" t="n"/>
      <c r="E185" s="110" t="n"/>
      <c r="F185" s="111" t="n"/>
      <c r="G185" s="112" t="n"/>
      <c r="H185" s="113" t="n"/>
      <c r="I185" s="114" t="n"/>
      <c r="J185" s="115" t="n"/>
      <c r="K185" s="115" t="n"/>
      <c r="L185" s="115" t="n"/>
      <c r="M185" s="115" t="n"/>
      <c r="N185" s="115" t="n"/>
      <c r="O185" s="115" t="n"/>
      <c r="P185" s="115" t="n"/>
      <c r="Q185" s="115" t="n"/>
      <c r="R185" s="115" t="n"/>
      <c r="S185" s="115" t="n"/>
      <c r="T185" s="115" t="n"/>
      <c r="U185" s="115" t="n"/>
      <c r="V185" s="106">
        <f>IF(C185="Gutschrift","",IF(G185="","",IF(Besatzung!$B$11="","",IFERROR(IF(I185="Zeitanteilig",(Besatzung!$G$11*(G185-IFERROR(H185,0))+((Besatzung!$B$11&lt;&gt;"")*IF(B185="",1,(IF(Besatzung!$C$11="",Besatzung!$B$5,Besatzung!$C$11)&lt;=B185)*(IF(Besatzung!$D$11="",Besatzung!$B$6,Besatzung!$D$11)&gt;=B185)))*(Besatzung!$F$11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$11&lt;&gt;"")*IF(B185="",1,(IF(Besatzung!$C$11="",Besatzung!$B$5,Besatzung!$C$11)&lt;=B185)*(IF(Besatzung!$D$11="",Besatzung!$B$6,Besatzung!$D$11)&gt;=B185)))*((G185-IFERROR(H185,0))/IFERROR(SUMPRODUCT((Besatzung!$B$11:$B$22&lt;&gt;"")*(IF(Besatzung!$C$11:$C$22="",Besatzung!$B$5,Besatzung!$C$11:$C$22)&lt;=B185)*(IF(Besatzung!$D$11:$D$22="",Besatzung!$B$6,Besatzung!$D$11:$D$22)&gt;=B185)),1)+(Besatzung!$F$11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J185="x")*((G185-IFERROR(H185,0))/IFERROR(COUNTIF(J185:U185,"x"),1)+(Besatzung!$F$11="x")*IFERROR(H185,0)/IFERROR(SUMPRODUCT((J185:U185="x")*(Besatzung!$F$11:$F$22="x")),1))),(IF(COUNTIF(J185:U185,"x")=0,IF(Besatzung!$B$11&lt;&gt;"",1,0),(J185="x"))*(G185-IFERROR(H185,0))/IFERROR(IF(COUNTIF(J185:U185,"x")=0,COUNTA(Besatzung!$B$11:$B$22),COUNTIF(J185:U185,"x")),1)+IF(COUNTIF(J185:U185,"x")=0,(Besatzung!$F$11="x"),(J185="x")*(Besatzung!$F$11="x"))*IFERROR(H185,0)/IFERROR(IF(COUNTIF(J185:U185,"x")=0,SUMPRODUCT((Besatzung!$B$11:$B$22&lt;&gt;"")*(Besatzung!$F$11:$F$22="x")),SUMPRODUCT((J185:U185="x")*(Besatzung!$F$11:$F$22="x"))),1))))),0))))</f>
        <v/>
      </c>
      <c r="W185" s="106">
        <f>IF(C185="Gutschrift","",IF(G185="","",IF(Besatzung!$B$12="","",IFERROR(IF(I185="Zeitanteilig",(Besatzung!$G$12*(G185-IFERROR(H185,0))+((Besatzung!$B$12&lt;&gt;"")*IF(B185="",1,(IF(Besatzung!$C$12="",Besatzung!$B$5,Besatzung!$C$12)&lt;=B185)*(IF(Besatzung!$D$12="",Besatzung!$B$6,Besatzung!$D$12)&gt;=B185)))*(Besatzung!$F$12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$12&lt;&gt;"")*IF(B185="",1,(IF(Besatzung!$C$12="",Besatzung!$B$5,Besatzung!$C$12)&lt;=B185)*(IF(Besatzung!$D$12="",Besatzung!$B$6,Besatzung!$D$12)&gt;=B185)))*((G185-IFERROR(H185,0))/IFERROR(SUMPRODUCT((Besatzung!$B$11:$B$22&lt;&gt;"")*(IF(Besatzung!$C$11:$C$22="",Besatzung!$B$5,Besatzung!$C$11:$C$22)&lt;=B185)*(IF(Besatzung!$D$11:$D$22="",Besatzung!$B$6,Besatzung!$D$11:$D$22)&gt;=B185)),1)+(Besatzung!$F$12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K185="x")*((G185-IFERROR(H185,0))/IFERROR(COUNTIF(J185:U185,"x"),1)+(Besatzung!$F$12="x")*IFERROR(H185,0)/IFERROR(SUMPRODUCT((J185:U185="x")*(Besatzung!$F$11:$F$22="x")),1))),(IF(COUNTIF(J185:U185,"x")=0,IF(Besatzung!$B$12&lt;&gt;"",1,0),(K185="x"))*(G185-IFERROR(H185,0))/IFERROR(IF(COUNTIF(J185:U185,"x")=0,COUNTA(Besatzung!$B$11:$B$22),COUNTIF(J185:U185,"x")),1)+IF(COUNTIF(J185:U185,"x")=0,(Besatzung!$F$12="x"),(K185="x")*(Besatzung!$F$12="x"))*IFERROR(H185,0)/IFERROR(IF(COUNTIF(J185:U185,"x")=0,SUMPRODUCT((Besatzung!$B$11:$B$22&lt;&gt;"")*(Besatzung!$F$11:$F$22="x")),SUMPRODUCT((J185:U185="x")*(Besatzung!$F$11:$F$22="x"))),1))))),0))))</f>
        <v/>
      </c>
      <c r="X185" s="106">
        <f>IF(C185="Gutschrift","",IF(G185="","",IF(Besatzung!$B$13="","",IFERROR(IF(I185="Zeitanteilig",(Besatzung!$G$13*(G185-IFERROR(H185,0))+((Besatzung!$B$13&lt;&gt;"")*IF(B185="",1,(IF(Besatzung!$C$13="",Besatzung!$B$5,Besatzung!$C$13)&lt;=B185)*(IF(Besatzung!$D$13="",Besatzung!$B$6,Besatzung!$D$13)&gt;=B185)))*(Besatzung!$F$13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$13&lt;&gt;"")*IF(B185="",1,(IF(Besatzung!$C$13="",Besatzung!$B$5,Besatzung!$C$13)&lt;=B185)*(IF(Besatzung!$D$13="",Besatzung!$B$6,Besatzung!$D$13)&gt;=B185)))*((G185-IFERROR(H185,0))/IFERROR(SUMPRODUCT((Besatzung!$B$11:$B$22&lt;&gt;"")*(IF(Besatzung!$C$11:$C$22="",Besatzung!$B$5,Besatzung!$C$11:$C$22)&lt;=B185)*(IF(Besatzung!$D$11:$D$22="",Besatzung!$B$6,Besatzung!$D$11:$D$22)&gt;=B185)),1)+(Besatzung!$F$13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K185="x")*((G185-IFERROR(H185,0))/IFERROR(COUNTIF(J185:U185,"x"),1)+(Besatzung!$F$13="x")*IFERROR(H185,0)/IFERROR(SUMPRODUCT((J185:U185="x")*(Besatzung!$F$11:$F$22="x")),1))),(IF(COUNTIF(J185:U185,"x")=0,IF(Besatzung!$B$13&lt;&gt;"",1,0),(K185="x"))*(G185-IFERROR(H185,0))/IFERROR(IF(COUNTIF(J185:U185,"x")=0,COUNTA(Besatzung!$B$11:$B$22),COUNTIF(J185:U185,"x")),1)+IF(COUNTIF(J185:U185,"x")=0,(Besatzung!$F$13="x"),(K185="x")*(Besatzung!$F$13="x"))*IFERROR(H185,0)/IFERROR(IF(COUNTIF(J185:U185,"x")=0,SUMPRODUCT((Besatzung!$B$11:$B$22&lt;&gt;"")*(Besatzung!$F$11:$F$22="x")),SUMPRODUCT((J185:U185="x")*(Besatzung!$F$11:$F$22="x"))),1))))),0))))</f>
        <v/>
      </c>
      <c r="Y185" s="106">
        <f>IF(C185="Gutschrift","",IF(G185="","",IF(Besatzung!$B$14="","",IFERROR(IF(I185="Zeitanteilig",(Besatzung!$G$14*(G185-IFERROR(H185,0))+((Besatzung!$B$14&lt;&gt;"")*IF(B185="",1,(IF(Besatzung!$C$14="",Besatzung!$B$5,Besatzung!$C$14)&lt;=B185)*(IF(Besatzung!$D$14="",Besatzung!$B$6,Besatzung!$D$14)&gt;=B185)))*(Besatzung!$F$14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$14&lt;&gt;"")*IF(B185="",1,(IF(Besatzung!$C$14="",Besatzung!$B$5,Besatzung!$C$14)&lt;=B185)*(IF(Besatzung!$D$14="",Besatzung!$B$6,Besatzung!$D$14)&gt;=B185)))*((G185-IFERROR(H185,0))/IFERROR(SUMPRODUCT((Besatzung!$B$11:$B$22&lt;&gt;"")*(IF(Besatzung!$C$11:$C$22="",Besatzung!$B$5,Besatzung!$C$11:$C$22)&lt;=B185)*(IF(Besatzung!$D$11:$D$22="",Besatzung!$B$6,Besatzung!$D$11:$D$22)&gt;=B185)),1)+(Besatzung!$F$14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M185="x")*((G185-IFERROR(H185,0))/IFERROR(COUNTIF(J185:U185,"x"),1)+(Besatzung!$F$14="x")*IFERROR(H185,0)/IFERROR(SUMPRODUCT((J185:U185="x")*(Besatzung!$F$11:$F$22="x")),1))),(IF(COUNTIF(J185:U185,"x")=0,IF(Besatzung!$B$14&lt;&gt;"",1,0),(M185="x"))*(G185-IFERROR(H185,0))/IFERROR(IF(COUNTIF(J185:U185,"x")=0,COUNTA(Besatzung!$B$11:$B$22),COUNTIF(J185:U185,"x")),1)+IF(COUNTIF(J185:U185,"x")=0,(Besatzung!$F$14="x"),(M185="x")*(Besatzung!$F$14="x"))*IFERROR(H185,0)/IFERROR(IF(COUNTIF(J185:U185,"x")=0,SUMPRODUCT((Besatzung!$B$11:$B$22&lt;&gt;"")*(Besatzung!$F$11:$F$22="x")),SUMPRODUCT((J185:U185="x")*(Besatzung!$F$11:$F$22="x"))),1))))),0))))</f>
        <v/>
      </c>
      <c r="Z185" s="106">
        <f>IF(C185="Gutschrift","",IF(G185="","",IF(Besatzung!$B$13="","",IFERROR(IF(I185="Zeitanteilig",(Besatzung!$G$15*(G185-IFERROR(H185,0))+((Besatzung!$B$13&lt;&gt;"")*IF(B185="",1,(IF(Besatzung!$C$15="",Besatzung!$B$5,Besatzung!$C$15)&lt;=B185)*(IF(Besatzung!$D$15="",Besatzung!$B$6,Besatzung!$D$15)&gt;=B185)))*(Besatzung!$F$15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$13&lt;&gt;"")*IF(B185="",1,(IF(Besatzung!$C$15="",Besatzung!$B$5,Besatzung!$C$15)&lt;=B185)*(IF(Besatzung!$D$15="",Besatzung!$B$6,Besatzung!$D$15)&gt;=B185)))*((G185-IFERROR(H185,0))/IFERROR(SUMPRODUCT((Besatzung!$B$11:$B$22&lt;&gt;"")*(IF(Besatzung!$C$11:$C$22="",Besatzung!$B$5,Besatzung!$C$11:$C$22)&lt;=B185)*(IF(Besatzung!$D$11:$D$22="",Besatzung!$B$6,Besatzung!$D$11:$D$22)&gt;=B185)),1)+(Besatzung!$F$15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N185="x")*((G185-IFERROR(H185,0))/IFERROR(COUNTIF(J185:U185,"x"),1)+(Besatzung!$F$15="x")*IFERROR(H185,0)/IFERROR(SUMPRODUCT((J185:U185="x")*(Besatzung!$F$11:$F$22="x")),1))),(IF(COUNTIF(J185:U185,"x")=0,IF(Besatzung!$B$13&lt;&gt;"",1,0),(N185="x"))*(G185-IFERROR(H185,0))/IFERROR(IF(COUNTIF(J185:U185,"x")=0,COUNTA(Besatzung!$B$11:$B$22),COUNTIF(J185:U185,"x")),1)+IF(COUNTIF(J185:U185,"x")=0,(Besatzung!$F$15="x"),(N185="x")*(Besatzung!$F$15="x"))*IFERROR(H185,0)/IFERROR(IF(COUNTIF(J185:U185,"x")=0,SUMPRODUCT((Besatzung!$B$11:$B$22&lt;&gt;"")*(Besatzung!$F$11:$F$22="x")),SUMPRODUCT((J185:U185="x")*(Besatzung!$F$11:$F$22="x"))),1))))),0))))</f>
        <v/>
      </c>
      <c r="AA185" s="106">
        <f>IF(C185="Gutschrift","",IF(G185="","",IF(Besatzung!$B$15="","",IFERROR(IF(I185="Zeitanteilig",(Besatzung!$G$16*(G185-IFERROR(H185,0))+((Besatzung!$B$15&lt;&gt;"")*IF(B185="",1,(IF(Besatzung!$C$16="",Besatzung!$B$5,Besatzung!$C$16)&lt;=B185)*(IF(Besatzung!$D$16="",Besatzung!$B$6,Besatzung!$D$16)&gt;=B185)))*(Besatzung!$F$16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$15&lt;&gt;"")*IF(B185="",1,(IF(Besatzung!$C$16="",Besatzung!$B$5,Besatzung!$C$16)&lt;=B185)*(IF(Besatzung!$D$16="",Besatzung!$B$6,Besatzung!$D$16)&gt;=B185)))*((G185-IFERROR(H185,0))/IFERROR(SUMPRODUCT((Besatzung!$B$11:$B$22&lt;&gt;"")*(IF(Besatzung!$C$11:$C$22="",Besatzung!$B$5,Besatzung!$C$11:$C$22)&lt;=B185)*(IF(Besatzung!$D$11:$D$22="",Besatzung!$B$6,Besatzung!$D$11:$D$22)&gt;=B185)),1)+(Besatzung!$F$16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O185="x")*((G185-IFERROR(H185,0))/IFERROR(COUNTIF(J185:U185,"x"),1)+(Besatzung!$F$16="x")*IFERROR(H185,0)/IFERROR(SUMPRODUCT((J185:U185="x")*(Besatzung!$F$11:$F$22="x")),1))),(IF(COUNTIF(J185:U185,"x")=0,IF(Besatzung!$B$15&lt;&gt;"",1,0),(O185="x"))*(G185-IFERROR(H185,0))/IFERROR(IF(COUNTIF(J185:U185,"x")=0,COUNTA(Besatzung!$B$11:$B$22),COUNTIF(J185:U185,"x")),1)+IF(COUNTIF(J185:U185,"x")=0,(Besatzung!$F$16="x"),(O185="x")*(Besatzung!$F$16="x"))*IFERROR(H185,0)/IFERROR(IF(COUNTIF(J185:U185,"x")=0,SUMPRODUCT((Besatzung!$B$11:$B$22&lt;&gt;"")*(Besatzung!$F$11:$F$22="x")),SUMPRODUCT((J185:U185="x")*(Besatzung!$F$11:$F$22="x"))),1))))),0))))</f>
        <v/>
      </c>
      <c r="AB185" s="106">
        <f>IF(C185="Gutschrift","",IF(G185="","",IF(Besatzung!$B$17="","",IFERROR(IF(I185="Zeitanteilig",(Besatzung!$G$17*(G185-IFERROR(H185,0))+((Besatzung!$B$17&lt;&gt;"")*IF(B185="",1,(IF(Besatzung!$C$17="",Besatzung!$B$5,Besatzung!$C$17)&lt;=B185)*(IF(Besatzung!$D$17="",Besatzung!$B$6,Besatzung!$D$17)&gt;=B185)))*(Besatzung!$F$17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$17&lt;&gt;"")*IF(B185="",1,(IF(Besatzung!$C$17="",Besatzung!$B$5,Besatzung!$C$17)&lt;=B185)*(IF(Besatzung!$D$17="",Besatzung!$B$6,Besatzung!$D$17)&gt;=B185)))*((G185-IFERROR(H185,0))/IFERROR(SUMPRODUCT((Besatzung!$B$11:$B$22&lt;&gt;"")*(IF(Besatzung!$C$11:$C$22="",Besatzung!$B$5,Besatzung!$C$11:$C$22)&lt;=B185)*(IF(Besatzung!$D$11:$D$22="",Besatzung!$B$6,Besatzung!$D$11:$D$22)&gt;=B185)),1)+(Besatzung!$F$17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P185="x")*((G185-IFERROR(H185,0))/IFERROR(COUNTIF(J185:U185,"x"),1)+(Besatzung!$F$17="x")*IFERROR(H185,0)/IFERROR(SUMPRODUCT((J185:U185="x")*(Besatzung!$F$11:$F$22="x")),1))),(IF(COUNTIF(J185:U185,"x")=0,IF(Besatzung!$B$17&lt;&gt;"",1,0),(P185="x"))*(G185-IFERROR(H185,0))/IFERROR(IF(COUNTIF(J185:U185,"x")=0,COUNTA(Besatzung!$B$11:$B$22),COUNTIF(J185:U185,"x")),1)+IF(COUNTIF(J185:U185,"x")=0,(Besatzung!$F$17="x"),(P185="x")*(Besatzung!$F$17="x"))*IFERROR(H185,0)/IFERROR(IF(COUNTIF(J185:U185,"x")=0,SUMPRODUCT((Besatzung!$B$11:$B$22&lt;&gt;"")*(Besatzung!$F$11:$F$22="x")),SUMPRODUCT((J185:U185="x")*(Besatzung!$F$11:$F$22="x"))),1))))),0))))</f>
        <v/>
      </c>
      <c r="AC185" s="106">
        <f>IF(C185="Gutschrift","",IF(G185="","",IF(Besatzung!$B$18="","",IFERROR(IF(I185="Zeitanteilig",(Besatzung!$G$18*(G185-IFERROR(H185,0))+((Besatzung!$B$18&lt;&gt;"")*IF(B185="",1,(IF(Besatzung!$C$18="",Besatzung!$B$5,Besatzung!$C$18)&lt;=B185)*(IF(Besatzung!$D$18="",Besatzung!$B$6,Besatzung!$D$18)&gt;=B185)))*(Besatzung!$F$18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$18&lt;&gt;"")*IF(B185="",1,(IF(Besatzung!$C$18="",Besatzung!$B$5,Besatzung!$C$18)&lt;=B185)*(IF(Besatzung!$D$18="",Besatzung!$B$6,Besatzung!$D$18)&gt;=B185)))*((G185-IFERROR(H185,0))/IFERROR(SUMPRODUCT((Besatzung!$B$11:$B$22&lt;&gt;"")*(IF(Besatzung!$C$11:$C$22="",Besatzung!$B$5,Besatzung!$C$11:$C$22)&lt;=B185)*(IF(Besatzung!$D$11:$D$22="",Besatzung!$B$6,Besatzung!$D$11:$D$22)&gt;=B185)),1)+(Besatzung!$F$18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Q185="x")*((G185-IFERROR(H185,0))/IFERROR(COUNTIF(J185:U185,"x"),1)+(Besatzung!$F$18="x")*IFERROR(H185,0)/IFERROR(SUMPRODUCT((J185:U185="x")*(Besatzung!$F$11:$F$22="x")),1))),(IF(COUNTIF(J185:U185,"x")=0,IF(Besatzung!$B$18&lt;&gt;"",1,0),(Q185="x"))*(G185-IFERROR(H185,0))/IFERROR(IF(COUNTIF(J185:U185,"x")=0,COUNTA(Besatzung!$B$11:$B$22),COUNTIF(J185:U185,"x")),1)+IF(COUNTIF(J185:U185,"x")=0,(Besatzung!$F$18="x"),(Q185="x")*(Besatzung!$F$18="x"))*IFERROR(H185,0)/IFERROR(IF(COUNTIF(J185:U185,"x")=0,SUMPRODUCT((Besatzung!$B$11:$B$22&lt;&gt;"")*(Besatzung!$F$11:$F$22="x")),SUMPRODUCT((J185:U185="x")*(Besatzung!$F$11:$F$22="x"))),1))))),0))))</f>
        <v/>
      </c>
      <c r="AD185" s="106">
        <f>IF(C185="Gutschrift","",IF(G185="","",IF(Besatzung!$B$19="","",IFERROR(IF(I185="Zeitanteilig",(Besatzung!$G$19*(G185-IFERROR(H185,0))+((Besatzung!$B$19&lt;&gt;"")*IF(B185="",1,(IF(Besatzung!$C$19="",Besatzung!$B$5,Besatzung!$C$19)&lt;=B185)*(IF(Besatzung!$D$19="",Besatzung!$B$6,Besatzung!$D$19)&gt;=B185)))*(Besatzung!$F$19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$19&lt;&gt;"")*IF(B185="",1,(IF(Besatzung!$C$19="",Besatzung!$B$5,Besatzung!$C$19)&lt;=B185)*(IF(Besatzung!$D$19="",Besatzung!$B$6,Besatzung!$D$19)&gt;=B185)))*((G185-IFERROR(H185,0))/IFERROR(SUMPRODUCT((Besatzung!$B$11:$B$22&lt;&gt;"")*(IF(Besatzung!$C$11:$C$22="",Besatzung!$B$5,Besatzung!$C$11:$C$22)&lt;=B185)*(IF(Besatzung!$D$11:$D$22="",Besatzung!$B$6,Besatzung!$D$11:$D$22)&gt;=B185)),1)+(Besatzung!$F$19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R185="x")*((G185-IFERROR(H185,0))/IFERROR(COUNTIF(J185:U185,"x"),1)+(Besatzung!$F$19="x")*IFERROR(H185,0)/IFERROR(SUMPRODUCT((J185:U185="x")*(Besatzung!$F$11:$F$22="x")),1))),(IF(COUNTIF(J185:U185,"x")=0,IF(Besatzung!$B$19&lt;&gt;"",1,0),(R185="x"))*(G185-IFERROR(H185,0))/IFERROR(IF(COUNTIF(J185:U185,"x")=0,COUNTA(Besatzung!$B$11:$B$22),COUNTIF(J185:U185,"x")),1)+IF(COUNTIF(J185:U185,"x")=0,(Besatzung!$F$19="x"),(R185="x")*(Besatzung!$F$19="x"))*IFERROR(H185,0)/IFERROR(IF(COUNTIF(J185:U185,"x")=0,SUMPRODUCT((Besatzung!$B$11:$B$22&lt;&gt;"")*(Besatzung!$F$11:$F$22="x")),SUMPRODUCT((J185:U185="x")*(Besatzung!$F$11:$F$22="x"))),1))))),0))))</f>
        <v/>
      </c>
      <c r="AE185" s="106">
        <f>IF(C185="Gutschrift","",IF(G185="","",IF(Besatzung!$B$20="","",IFERROR(IF(I185="Zeitanteilig",(Besatzung!$G$20*(G185-IFERROR(H185,0))+((Besatzung!$B$20&lt;&gt;"")*IF(B185="",1,(IF(Besatzung!$C$20="",Besatzung!$B$5,Besatzung!$C$20)&lt;=B185)*(IF(Besatzung!$D$20="",Besatzung!$B$6,Besatzung!$D$20)&gt;=B185)))*(Besatzung!$F$20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$20&lt;&gt;"")*IF(B185="",1,(IF(Besatzung!$C$20="",Besatzung!$B$5,Besatzung!$C$20)&lt;=B185)*(IF(Besatzung!$D$20="",Besatzung!$B$6,Besatzung!$D$20)&gt;=B185)))*((G185-IFERROR(H185,0))/IFERROR(SUMPRODUCT((Besatzung!$B$11:$B$22&lt;&gt;"")*(IF(Besatzung!$C$11:$C$22="",Besatzung!$B$5,Besatzung!$C$11:$C$22)&lt;=B185)*(IF(Besatzung!$D$11:$D$22="",Besatzung!$B$6,Besatzung!$D$11:$D$22)&gt;=B185)),1)+(Besatzung!$F$20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S185="x")*((G185-IFERROR(H185,0))/IFERROR(COUNTIF(J185:U185,"x"),1)+(Besatzung!$F$20="x")*IFERROR(H185,0)/IFERROR(SUMPRODUCT((J185:U185="x")*(Besatzung!$F$11:$F$22="x")),1))),(IF(COUNTIF(J185:U185,"x")=0,IF(Besatzung!$B$20&lt;&gt;"",1,0),(S185="x"))*(G185-IFERROR(H185,0))/IFERROR(IF(COUNTIF(J185:U185,"x")=0,COUNTA(Besatzung!$B$11:$B$22),COUNTIF(J185:U185,"x")),1)+IF(COUNTIF(J185:U185,"x")=0,(Besatzung!$F$20="x"),(S185="x")*(Besatzung!$F$20="x"))*IFERROR(H185,0)/IFERROR(IF(COUNTIF(J185:U185,"x")=0,SUMPRODUCT((Besatzung!$B$11:$B$22&lt;&gt;"")*(Besatzung!$F$11:$F$22="x")),SUMPRODUCT((J185:U185="x")*(Besatzung!$F$11:$F$22="x"))),1))))),0))))</f>
        <v/>
      </c>
      <c r="AF185" s="106">
        <f>IF(C185="Gutschrift","",IF(G185="","",IF(Besatzung!$B$21="","",IFERROR(IF(I185="Zeitanteilig",(Besatzung!$G$21*(G185-IFERROR(H185,0))+((Besatzung!$B$21&lt;&gt;"")*IF(B185="",1,(IF(Besatzung!$C$21="",Besatzung!$B$5,Besatzung!$C$21)&lt;=B185)*(IF(Besatzung!$D$21="",Besatzung!$B$6,Besatzung!$D$21)&gt;=B185)))*(Besatzung!$F$21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$21&lt;&gt;"")*IF(B185="",1,(IF(Besatzung!$C$21="",Besatzung!$B$5,Besatzung!$C$21)&lt;=B185)*(IF(Besatzung!$D$21="",Besatzung!$B$6,Besatzung!$D$21)&gt;=B185)))*((G185-IFERROR(H185,0))/IFERROR(SUMPRODUCT((Besatzung!$B$11:$B$22&lt;&gt;"")*(IF(Besatzung!$C$11:$C$22="",Besatzung!$B$5,Besatzung!$C$11:$C$22)&lt;=B185)*(IF(Besatzung!$D$11:$D$22="",Besatzung!$B$6,Besatzung!$D$11:$D$22)&gt;=B185)),1)+(Besatzung!$F$21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T185="x")*((G185-IFERROR(H185,0))/IFERROR(COUNTIF(J185:U185,"x"),1)+(Besatzung!$F$21="x")*IFERROR(H185,0)/IFERROR(SUMPRODUCT((J185:U185="x")*(Besatzung!$F$11:$F$22="x")),1))),(IF(COUNTIF(J185:U185,"x")=0,IF(Besatzung!$B$21&lt;&gt;"",1,0),(T185="x"))*(G185-IFERROR(H185,0))/IFERROR(IF(COUNTIF(J185:U185,"x")=0,COUNTA(Besatzung!$B$11:$B$22),COUNTIF(J185:U185,"x")),1)+IF(COUNTIF(J185:U185,"x")=0,(Besatzung!$F$21="x"),(T185="x")*(Besatzung!$F$21="x"))*IFERROR(H185,0)/IFERROR(IF(COUNTIF(J185:U185,"x")=0,SUMPRODUCT((Besatzung!$B$11:$B$22&lt;&gt;"")*(Besatzung!$F$11:$F$22="x")),SUMPRODUCT((J185:U185="x")*(Besatzung!$F$11:$F$22="x"))),1))))),0))))</f>
        <v/>
      </c>
      <c r="AG185" s="106">
        <f>IF(C185="Gutschrift","",IF(G185="","",IF(Besatzung!$B$22="","",IFERROR(IF(I185="Zeitanteilig",(Besatzung!$G$22*(G185-IFERROR(H185,0))+((Besatzung!$B$22&lt;&gt;"")*IF(B185="",1,(IF(Besatzung!$C$22="",Besatzung!$B$5,Besatzung!$C$22)&lt;=B185)*(IF(Besatzung!$D$22="",Besatzung!$B$6,Besatzung!$D$22)&gt;=B185)))*(Besatzung!$F$22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$22&lt;&gt;"")*IF(B185="",1,(IF(Besatzung!$C$22="",Besatzung!$B$5,Besatzung!$C$22)&lt;=B185)*(IF(Besatzung!$D$22="",Besatzung!$B$6,Besatzung!$D$22)&gt;=B185)))*((G185-IFERROR(H185,0))/IFERROR(SUMPRODUCT((Besatzung!$B$11:$B$22&lt;&gt;"")*(IF(Besatzung!$C$11:$C$22="",Besatzung!$B$5,Besatzung!$C$11:$C$22)&lt;=B185)*(IF(Besatzung!$D$11:$D$22="",Besatzung!$B$6,Besatzung!$D$11:$D$22)&gt;=B185)),1)+(Besatzung!$F$22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U185="x")*((G185-IFERROR(H185,0))/IFERROR(COUNTIF(J185:U185,"x"),1)+(Besatzung!$F$22="x")*IFERROR(H185,0)/IFERROR(SUMPRODUCT((J185:U185="x")*(Besatzung!$F$11:$F$22="x")),1))),(IF(COUNTIF(J185:U185,"x")=0,IF(Besatzung!$B$22&lt;&gt;"",1,0),(U185="x"))*(G185-IFERROR(H185,0))/IFERROR(IF(COUNTIF(J185:U185,"x")=0,COUNTA(Besatzung!$B$11:$B$22),COUNTIF(J185:U185,"x")),1)+IF(COUNTIF(J185:U185,"x")=0,(Besatzung!$F$22="x"),(U185="x")*(Besatzung!$F$22="x"))*IFERROR(H185,0)/IFERROR(IF(COUNTIF(J185:U185,"x")=0,SUMPRODUCT((Besatzung!$B$11:$B$22&lt;&gt;"")*(Besatzung!$F$11:$F$22="x")),SUMPRODUCT((J185:U185="x")*(Besatzung!$F$11:$F$22="x"))),1))))),0))))</f>
        <v/>
      </c>
      <c r="AH185" s="107" t="n"/>
      <c r="AI185" s="107" t="n"/>
    </row>
    <row r="186" ht="21.75" customHeight="1" s="182">
      <c r="A186" s="97">
        <f>IF(AND(D186="",C186=""),"",183)</f>
        <v/>
      </c>
      <c r="B186" s="56" t="n"/>
      <c r="C186" s="98" t="n"/>
      <c r="D186" s="99" t="n"/>
      <c r="E186" s="100" t="n"/>
      <c r="F186" s="101" t="n"/>
      <c r="G186" s="102" t="n"/>
      <c r="H186" s="103" t="n"/>
      <c r="I186" s="104" t="n"/>
      <c r="J186" s="105" t="n"/>
      <c r="K186" s="105" t="n"/>
      <c r="L186" s="105" t="n"/>
      <c r="M186" s="105" t="n"/>
      <c r="N186" s="105" t="n"/>
      <c r="O186" s="105" t="n"/>
      <c r="P186" s="105" t="n"/>
      <c r="Q186" s="105" t="n"/>
      <c r="R186" s="105" t="n"/>
      <c r="S186" s="105" t="n"/>
      <c r="T186" s="105" t="n"/>
      <c r="U186" s="105" t="n"/>
      <c r="V186" s="106">
        <f>IF(C186="Gutschrift","",IF(G186="","",IF(Besatzung!$B$11="","",IFERROR(IF(I186="Zeitanteilig",(Besatzung!$G$11*(G186-IFERROR(H186,0))+((Besatzung!$B$11&lt;&gt;"")*IF(B186="",1,(IF(Besatzung!$C$11="",Besatzung!$B$5,Besatzung!$C$11)&lt;=B186)*(IF(Besatzung!$D$11="",Besatzung!$B$6,Besatzung!$D$11)&gt;=B186)))*(Besatzung!$F$11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$11&lt;&gt;"")*IF(B186="",1,(IF(Besatzung!$C$11="",Besatzung!$B$5,Besatzung!$C$11)&lt;=B186)*(IF(Besatzung!$D$11="",Besatzung!$B$6,Besatzung!$D$11)&gt;=B186)))*((G186-IFERROR(H186,0))/IFERROR(SUMPRODUCT((Besatzung!$B$11:$B$22&lt;&gt;"")*(IF(Besatzung!$C$11:$C$22="",Besatzung!$B$5,Besatzung!$C$11:$C$22)&lt;=B186)*(IF(Besatzung!$D$11:$D$22="",Besatzung!$B$6,Besatzung!$D$11:$D$22)&gt;=B186)),1)+(Besatzung!$F$11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J186="x")*((G186-IFERROR(H186,0))/IFERROR(COUNTIF(J186:U186,"x"),1)+(Besatzung!$F$11="x")*IFERROR(H186,0)/IFERROR(SUMPRODUCT((J186:U186="x")*(Besatzung!$F$11:$F$22="x")),1))),(IF(COUNTIF(J186:U186,"x")=0,IF(Besatzung!$B$11&lt;&gt;"",1,0),(J186="x"))*(G186-IFERROR(H186,0))/IFERROR(IF(COUNTIF(J186:U186,"x")=0,COUNTA(Besatzung!$B$11:$B$22),COUNTIF(J186:U186,"x")),1)+IF(COUNTIF(J186:U186,"x")=0,(Besatzung!$F$11="x"),(J186="x")*(Besatzung!$F$11="x"))*IFERROR(H186,0)/IFERROR(IF(COUNTIF(J186:U186,"x")=0,SUMPRODUCT((Besatzung!$B$11:$B$22&lt;&gt;"")*(Besatzung!$F$11:$F$22="x")),SUMPRODUCT((J186:U186="x")*(Besatzung!$F$11:$F$22="x"))),1))))),0))))</f>
        <v/>
      </c>
      <c r="W186" s="106">
        <f>IF(C186="Gutschrift","",IF(G186="","",IF(Besatzung!$B$12="","",IFERROR(IF(I186="Zeitanteilig",(Besatzung!$G$12*(G186-IFERROR(H186,0))+((Besatzung!$B$12&lt;&gt;"")*IF(B186="",1,(IF(Besatzung!$C$12="",Besatzung!$B$5,Besatzung!$C$12)&lt;=B186)*(IF(Besatzung!$D$12="",Besatzung!$B$6,Besatzung!$D$12)&gt;=B186)))*(Besatzung!$F$12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$12&lt;&gt;"")*IF(B186="",1,(IF(Besatzung!$C$12="",Besatzung!$B$5,Besatzung!$C$12)&lt;=B186)*(IF(Besatzung!$D$12="",Besatzung!$B$6,Besatzung!$D$12)&gt;=B186)))*((G186-IFERROR(H186,0))/IFERROR(SUMPRODUCT((Besatzung!$B$11:$B$22&lt;&gt;"")*(IF(Besatzung!$C$11:$C$22="",Besatzung!$B$5,Besatzung!$C$11:$C$22)&lt;=B186)*(IF(Besatzung!$D$11:$D$22="",Besatzung!$B$6,Besatzung!$D$11:$D$22)&gt;=B186)),1)+(Besatzung!$F$12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K186="x")*((G186-IFERROR(H186,0))/IFERROR(COUNTIF(J186:U186,"x"),1)+(Besatzung!$F$12="x")*IFERROR(H186,0)/IFERROR(SUMPRODUCT((J186:U186="x")*(Besatzung!$F$11:$F$22="x")),1))),(IF(COUNTIF(J186:U186,"x")=0,IF(Besatzung!$B$12&lt;&gt;"",1,0),(K186="x"))*(G186-IFERROR(H186,0))/IFERROR(IF(COUNTIF(J186:U186,"x")=0,COUNTA(Besatzung!$B$11:$B$22),COUNTIF(J186:U186,"x")),1)+IF(COUNTIF(J186:U186,"x")=0,(Besatzung!$F$12="x"),(K186="x")*(Besatzung!$F$12="x"))*IFERROR(H186,0)/IFERROR(IF(COUNTIF(J186:U186,"x")=0,SUMPRODUCT((Besatzung!$B$11:$B$22&lt;&gt;"")*(Besatzung!$F$11:$F$22="x")),SUMPRODUCT((J186:U186="x")*(Besatzung!$F$11:$F$22="x"))),1))))),0))))</f>
        <v/>
      </c>
      <c r="X186" s="106">
        <f>IF(C186="Gutschrift","",IF(G186="","",IF(Besatzung!$B$13="","",IFERROR(IF(I186="Zeitanteilig",(Besatzung!$G$13*(G186-IFERROR(H186,0))+((Besatzung!$B$13&lt;&gt;"")*IF(B186="",1,(IF(Besatzung!$C$13="",Besatzung!$B$5,Besatzung!$C$13)&lt;=B186)*(IF(Besatzung!$D$13="",Besatzung!$B$6,Besatzung!$D$13)&gt;=B186)))*(Besatzung!$F$13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$13&lt;&gt;"")*IF(B186="",1,(IF(Besatzung!$C$13="",Besatzung!$B$5,Besatzung!$C$13)&lt;=B186)*(IF(Besatzung!$D$13="",Besatzung!$B$6,Besatzung!$D$13)&gt;=B186)))*((G186-IFERROR(H186,0))/IFERROR(SUMPRODUCT((Besatzung!$B$11:$B$22&lt;&gt;"")*(IF(Besatzung!$C$11:$C$22="",Besatzung!$B$5,Besatzung!$C$11:$C$22)&lt;=B186)*(IF(Besatzung!$D$11:$D$22="",Besatzung!$B$6,Besatzung!$D$11:$D$22)&gt;=B186)),1)+(Besatzung!$F$13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K186="x")*((G186-IFERROR(H186,0))/IFERROR(COUNTIF(J186:U186,"x"),1)+(Besatzung!$F$13="x")*IFERROR(H186,0)/IFERROR(SUMPRODUCT((J186:U186="x")*(Besatzung!$F$11:$F$22="x")),1))),(IF(COUNTIF(J186:U186,"x")=0,IF(Besatzung!$B$13&lt;&gt;"",1,0),(K186="x"))*(G186-IFERROR(H186,0))/IFERROR(IF(COUNTIF(J186:U186,"x")=0,COUNTA(Besatzung!$B$11:$B$22),COUNTIF(J186:U186,"x")),1)+IF(COUNTIF(J186:U186,"x")=0,(Besatzung!$F$13="x"),(K186="x")*(Besatzung!$F$13="x"))*IFERROR(H186,0)/IFERROR(IF(COUNTIF(J186:U186,"x")=0,SUMPRODUCT((Besatzung!$B$11:$B$22&lt;&gt;"")*(Besatzung!$F$11:$F$22="x")),SUMPRODUCT((J186:U186="x")*(Besatzung!$F$11:$F$22="x"))),1))))),0))))</f>
        <v/>
      </c>
      <c r="Y186" s="106">
        <f>IF(C186="Gutschrift","",IF(G186="","",IF(Besatzung!$B$14="","",IFERROR(IF(I186="Zeitanteilig",(Besatzung!$G$14*(G186-IFERROR(H186,0))+((Besatzung!$B$14&lt;&gt;"")*IF(B186="",1,(IF(Besatzung!$C$14="",Besatzung!$B$5,Besatzung!$C$14)&lt;=B186)*(IF(Besatzung!$D$14="",Besatzung!$B$6,Besatzung!$D$14)&gt;=B186)))*(Besatzung!$F$14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$14&lt;&gt;"")*IF(B186="",1,(IF(Besatzung!$C$14="",Besatzung!$B$5,Besatzung!$C$14)&lt;=B186)*(IF(Besatzung!$D$14="",Besatzung!$B$6,Besatzung!$D$14)&gt;=B186)))*((G186-IFERROR(H186,0))/IFERROR(SUMPRODUCT((Besatzung!$B$11:$B$22&lt;&gt;"")*(IF(Besatzung!$C$11:$C$22="",Besatzung!$B$5,Besatzung!$C$11:$C$22)&lt;=B186)*(IF(Besatzung!$D$11:$D$22="",Besatzung!$B$6,Besatzung!$D$11:$D$22)&gt;=B186)),1)+(Besatzung!$F$14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M186="x")*((G186-IFERROR(H186,0))/IFERROR(COUNTIF(J186:U186,"x"),1)+(Besatzung!$F$14="x")*IFERROR(H186,0)/IFERROR(SUMPRODUCT((J186:U186="x")*(Besatzung!$F$11:$F$22="x")),1))),(IF(COUNTIF(J186:U186,"x")=0,IF(Besatzung!$B$14&lt;&gt;"",1,0),(M186="x"))*(G186-IFERROR(H186,0))/IFERROR(IF(COUNTIF(J186:U186,"x")=0,COUNTA(Besatzung!$B$11:$B$22),COUNTIF(J186:U186,"x")),1)+IF(COUNTIF(J186:U186,"x")=0,(Besatzung!$F$14="x"),(M186="x")*(Besatzung!$F$14="x"))*IFERROR(H186,0)/IFERROR(IF(COUNTIF(J186:U186,"x")=0,SUMPRODUCT((Besatzung!$B$11:$B$22&lt;&gt;"")*(Besatzung!$F$11:$F$22="x")),SUMPRODUCT((J186:U186="x")*(Besatzung!$F$11:$F$22="x"))),1))))),0))))</f>
        <v/>
      </c>
      <c r="Z186" s="106">
        <f>IF(C186="Gutschrift","",IF(G186="","",IF(Besatzung!$B$13="","",IFERROR(IF(I186="Zeitanteilig",(Besatzung!$G$15*(G186-IFERROR(H186,0))+((Besatzung!$B$13&lt;&gt;"")*IF(B186="",1,(IF(Besatzung!$C$15="",Besatzung!$B$5,Besatzung!$C$15)&lt;=B186)*(IF(Besatzung!$D$15="",Besatzung!$B$6,Besatzung!$D$15)&gt;=B186)))*(Besatzung!$F$15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$13&lt;&gt;"")*IF(B186="",1,(IF(Besatzung!$C$15="",Besatzung!$B$5,Besatzung!$C$15)&lt;=B186)*(IF(Besatzung!$D$15="",Besatzung!$B$6,Besatzung!$D$15)&gt;=B186)))*((G186-IFERROR(H186,0))/IFERROR(SUMPRODUCT((Besatzung!$B$11:$B$22&lt;&gt;"")*(IF(Besatzung!$C$11:$C$22="",Besatzung!$B$5,Besatzung!$C$11:$C$22)&lt;=B186)*(IF(Besatzung!$D$11:$D$22="",Besatzung!$B$6,Besatzung!$D$11:$D$22)&gt;=B186)),1)+(Besatzung!$F$15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N186="x")*((G186-IFERROR(H186,0))/IFERROR(COUNTIF(J186:U186,"x"),1)+(Besatzung!$F$15="x")*IFERROR(H186,0)/IFERROR(SUMPRODUCT((J186:U186="x")*(Besatzung!$F$11:$F$22="x")),1))),(IF(COUNTIF(J186:U186,"x")=0,IF(Besatzung!$B$13&lt;&gt;"",1,0),(N186="x"))*(G186-IFERROR(H186,0))/IFERROR(IF(COUNTIF(J186:U186,"x")=0,COUNTA(Besatzung!$B$11:$B$22),COUNTIF(J186:U186,"x")),1)+IF(COUNTIF(J186:U186,"x")=0,(Besatzung!$F$15="x"),(N186="x")*(Besatzung!$F$15="x"))*IFERROR(H186,0)/IFERROR(IF(COUNTIF(J186:U186,"x")=0,SUMPRODUCT((Besatzung!$B$11:$B$22&lt;&gt;"")*(Besatzung!$F$11:$F$22="x")),SUMPRODUCT((J186:U186="x")*(Besatzung!$F$11:$F$22="x"))),1))))),0))))</f>
        <v/>
      </c>
      <c r="AA186" s="106">
        <f>IF(C186="Gutschrift","",IF(G186="","",IF(Besatzung!$B$15="","",IFERROR(IF(I186="Zeitanteilig",(Besatzung!$G$16*(G186-IFERROR(H186,0))+((Besatzung!$B$15&lt;&gt;"")*IF(B186="",1,(IF(Besatzung!$C$16="",Besatzung!$B$5,Besatzung!$C$16)&lt;=B186)*(IF(Besatzung!$D$16="",Besatzung!$B$6,Besatzung!$D$16)&gt;=B186)))*(Besatzung!$F$16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$15&lt;&gt;"")*IF(B186="",1,(IF(Besatzung!$C$16="",Besatzung!$B$5,Besatzung!$C$16)&lt;=B186)*(IF(Besatzung!$D$16="",Besatzung!$B$6,Besatzung!$D$16)&gt;=B186)))*((G186-IFERROR(H186,0))/IFERROR(SUMPRODUCT((Besatzung!$B$11:$B$22&lt;&gt;"")*(IF(Besatzung!$C$11:$C$22="",Besatzung!$B$5,Besatzung!$C$11:$C$22)&lt;=B186)*(IF(Besatzung!$D$11:$D$22="",Besatzung!$B$6,Besatzung!$D$11:$D$22)&gt;=B186)),1)+(Besatzung!$F$16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O186="x")*((G186-IFERROR(H186,0))/IFERROR(COUNTIF(J186:U186,"x"),1)+(Besatzung!$F$16="x")*IFERROR(H186,0)/IFERROR(SUMPRODUCT((J186:U186="x")*(Besatzung!$F$11:$F$22="x")),1))),(IF(COUNTIF(J186:U186,"x")=0,IF(Besatzung!$B$15&lt;&gt;"",1,0),(O186="x"))*(G186-IFERROR(H186,0))/IFERROR(IF(COUNTIF(J186:U186,"x")=0,COUNTA(Besatzung!$B$11:$B$22),COUNTIF(J186:U186,"x")),1)+IF(COUNTIF(J186:U186,"x")=0,(Besatzung!$F$16="x"),(O186="x")*(Besatzung!$F$16="x"))*IFERROR(H186,0)/IFERROR(IF(COUNTIF(J186:U186,"x")=0,SUMPRODUCT((Besatzung!$B$11:$B$22&lt;&gt;"")*(Besatzung!$F$11:$F$22="x")),SUMPRODUCT((J186:U186="x")*(Besatzung!$F$11:$F$22="x"))),1))))),0))))</f>
        <v/>
      </c>
      <c r="AB186" s="106">
        <f>IF(C186="Gutschrift","",IF(G186="","",IF(Besatzung!$B$17="","",IFERROR(IF(I186="Zeitanteilig",(Besatzung!$G$17*(G186-IFERROR(H186,0))+((Besatzung!$B$17&lt;&gt;"")*IF(B186="",1,(IF(Besatzung!$C$17="",Besatzung!$B$5,Besatzung!$C$17)&lt;=B186)*(IF(Besatzung!$D$17="",Besatzung!$B$6,Besatzung!$D$17)&gt;=B186)))*(Besatzung!$F$17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$17&lt;&gt;"")*IF(B186="",1,(IF(Besatzung!$C$17="",Besatzung!$B$5,Besatzung!$C$17)&lt;=B186)*(IF(Besatzung!$D$17="",Besatzung!$B$6,Besatzung!$D$17)&gt;=B186)))*((G186-IFERROR(H186,0))/IFERROR(SUMPRODUCT((Besatzung!$B$11:$B$22&lt;&gt;"")*(IF(Besatzung!$C$11:$C$22="",Besatzung!$B$5,Besatzung!$C$11:$C$22)&lt;=B186)*(IF(Besatzung!$D$11:$D$22="",Besatzung!$B$6,Besatzung!$D$11:$D$22)&gt;=B186)),1)+(Besatzung!$F$17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P186="x")*((G186-IFERROR(H186,0))/IFERROR(COUNTIF(J186:U186,"x"),1)+(Besatzung!$F$17="x")*IFERROR(H186,0)/IFERROR(SUMPRODUCT((J186:U186="x")*(Besatzung!$F$11:$F$22="x")),1))),(IF(COUNTIF(J186:U186,"x")=0,IF(Besatzung!$B$17&lt;&gt;"",1,0),(P186="x"))*(G186-IFERROR(H186,0))/IFERROR(IF(COUNTIF(J186:U186,"x")=0,COUNTA(Besatzung!$B$11:$B$22),COUNTIF(J186:U186,"x")),1)+IF(COUNTIF(J186:U186,"x")=0,(Besatzung!$F$17="x"),(P186="x")*(Besatzung!$F$17="x"))*IFERROR(H186,0)/IFERROR(IF(COUNTIF(J186:U186,"x")=0,SUMPRODUCT((Besatzung!$B$11:$B$22&lt;&gt;"")*(Besatzung!$F$11:$F$22="x")),SUMPRODUCT((J186:U186="x")*(Besatzung!$F$11:$F$22="x"))),1))))),0))))</f>
        <v/>
      </c>
      <c r="AC186" s="106">
        <f>IF(C186="Gutschrift","",IF(G186="","",IF(Besatzung!$B$18="","",IFERROR(IF(I186="Zeitanteilig",(Besatzung!$G$18*(G186-IFERROR(H186,0))+((Besatzung!$B$18&lt;&gt;"")*IF(B186="",1,(IF(Besatzung!$C$18="",Besatzung!$B$5,Besatzung!$C$18)&lt;=B186)*(IF(Besatzung!$D$18="",Besatzung!$B$6,Besatzung!$D$18)&gt;=B186)))*(Besatzung!$F$18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$18&lt;&gt;"")*IF(B186="",1,(IF(Besatzung!$C$18="",Besatzung!$B$5,Besatzung!$C$18)&lt;=B186)*(IF(Besatzung!$D$18="",Besatzung!$B$6,Besatzung!$D$18)&gt;=B186)))*((G186-IFERROR(H186,0))/IFERROR(SUMPRODUCT((Besatzung!$B$11:$B$22&lt;&gt;"")*(IF(Besatzung!$C$11:$C$22="",Besatzung!$B$5,Besatzung!$C$11:$C$22)&lt;=B186)*(IF(Besatzung!$D$11:$D$22="",Besatzung!$B$6,Besatzung!$D$11:$D$22)&gt;=B186)),1)+(Besatzung!$F$18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Q186="x")*((G186-IFERROR(H186,0))/IFERROR(COUNTIF(J186:U186,"x"),1)+(Besatzung!$F$18="x")*IFERROR(H186,0)/IFERROR(SUMPRODUCT((J186:U186="x")*(Besatzung!$F$11:$F$22="x")),1))),(IF(COUNTIF(J186:U186,"x")=0,IF(Besatzung!$B$18&lt;&gt;"",1,0),(Q186="x"))*(G186-IFERROR(H186,0))/IFERROR(IF(COUNTIF(J186:U186,"x")=0,COUNTA(Besatzung!$B$11:$B$22),COUNTIF(J186:U186,"x")),1)+IF(COUNTIF(J186:U186,"x")=0,(Besatzung!$F$18="x"),(Q186="x")*(Besatzung!$F$18="x"))*IFERROR(H186,0)/IFERROR(IF(COUNTIF(J186:U186,"x")=0,SUMPRODUCT((Besatzung!$B$11:$B$22&lt;&gt;"")*(Besatzung!$F$11:$F$22="x")),SUMPRODUCT((J186:U186="x")*(Besatzung!$F$11:$F$22="x"))),1))))),0))))</f>
        <v/>
      </c>
      <c r="AD186" s="106">
        <f>IF(C186="Gutschrift","",IF(G186="","",IF(Besatzung!$B$19="","",IFERROR(IF(I186="Zeitanteilig",(Besatzung!$G$19*(G186-IFERROR(H186,0))+((Besatzung!$B$19&lt;&gt;"")*IF(B186="",1,(IF(Besatzung!$C$19="",Besatzung!$B$5,Besatzung!$C$19)&lt;=B186)*(IF(Besatzung!$D$19="",Besatzung!$B$6,Besatzung!$D$19)&gt;=B186)))*(Besatzung!$F$19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$19&lt;&gt;"")*IF(B186="",1,(IF(Besatzung!$C$19="",Besatzung!$B$5,Besatzung!$C$19)&lt;=B186)*(IF(Besatzung!$D$19="",Besatzung!$B$6,Besatzung!$D$19)&gt;=B186)))*((G186-IFERROR(H186,0))/IFERROR(SUMPRODUCT((Besatzung!$B$11:$B$22&lt;&gt;"")*(IF(Besatzung!$C$11:$C$22="",Besatzung!$B$5,Besatzung!$C$11:$C$22)&lt;=B186)*(IF(Besatzung!$D$11:$D$22="",Besatzung!$B$6,Besatzung!$D$11:$D$22)&gt;=B186)),1)+(Besatzung!$F$19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R186="x")*((G186-IFERROR(H186,0))/IFERROR(COUNTIF(J186:U186,"x"),1)+(Besatzung!$F$19="x")*IFERROR(H186,0)/IFERROR(SUMPRODUCT((J186:U186="x")*(Besatzung!$F$11:$F$22="x")),1))),(IF(COUNTIF(J186:U186,"x")=0,IF(Besatzung!$B$19&lt;&gt;"",1,0),(R186="x"))*(G186-IFERROR(H186,0))/IFERROR(IF(COUNTIF(J186:U186,"x")=0,COUNTA(Besatzung!$B$11:$B$22),COUNTIF(J186:U186,"x")),1)+IF(COUNTIF(J186:U186,"x")=0,(Besatzung!$F$19="x"),(R186="x")*(Besatzung!$F$19="x"))*IFERROR(H186,0)/IFERROR(IF(COUNTIF(J186:U186,"x")=0,SUMPRODUCT((Besatzung!$B$11:$B$22&lt;&gt;"")*(Besatzung!$F$11:$F$22="x")),SUMPRODUCT((J186:U186="x")*(Besatzung!$F$11:$F$22="x"))),1))))),0))))</f>
        <v/>
      </c>
      <c r="AE186" s="106">
        <f>IF(C186="Gutschrift","",IF(G186="","",IF(Besatzung!$B$20="","",IFERROR(IF(I186="Zeitanteilig",(Besatzung!$G$20*(G186-IFERROR(H186,0))+((Besatzung!$B$20&lt;&gt;"")*IF(B186="",1,(IF(Besatzung!$C$20="",Besatzung!$B$5,Besatzung!$C$20)&lt;=B186)*(IF(Besatzung!$D$20="",Besatzung!$B$6,Besatzung!$D$20)&gt;=B186)))*(Besatzung!$F$20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$20&lt;&gt;"")*IF(B186="",1,(IF(Besatzung!$C$20="",Besatzung!$B$5,Besatzung!$C$20)&lt;=B186)*(IF(Besatzung!$D$20="",Besatzung!$B$6,Besatzung!$D$20)&gt;=B186)))*((G186-IFERROR(H186,0))/IFERROR(SUMPRODUCT((Besatzung!$B$11:$B$22&lt;&gt;"")*(IF(Besatzung!$C$11:$C$22="",Besatzung!$B$5,Besatzung!$C$11:$C$22)&lt;=B186)*(IF(Besatzung!$D$11:$D$22="",Besatzung!$B$6,Besatzung!$D$11:$D$22)&gt;=B186)),1)+(Besatzung!$F$20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S186="x")*((G186-IFERROR(H186,0))/IFERROR(COUNTIF(J186:U186,"x"),1)+(Besatzung!$F$20="x")*IFERROR(H186,0)/IFERROR(SUMPRODUCT((J186:U186="x")*(Besatzung!$F$11:$F$22="x")),1))),(IF(COUNTIF(J186:U186,"x")=0,IF(Besatzung!$B$20&lt;&gt;"",1,0),(S186="x"))*(G186-IFERROR(H186,0))/IFERROR(IF(COUNTIF(J186:U186,"x")=0,COUNTA(Besatzung!$B$11:$B$22),COUNTIF(J186:U186,"x")),1)+IF(COUNTIF(J186:U186,"x")=0,(Besatzung!$F$20="x"),(S186="x")*(Besatzung!$F$20="x"))*IFERROR(H186,0)/IFERROR(IF(COUNTIF(J186:U186,"x")=0,SUMPRODUCT((Besatzung!$B$11:$B$22&lt;&gt;"")*(Besatzung!$F$11:$F$22="x")),SUMPRODUCT((J186:U186="x")*(Besatzung!$F$11:$F$22="x"))),1))))),0))))</f>
        <v/>
      </c>
      <c r="AF186" s="106">
        <f>IF(C186="Gutschrift","",IF(G186="","",IF(Besatzung!$B$21="","",IFERROR(IF(I186="Zeitanteilig",(Besatzung!$G$21*(G186-IFERROR(H186,0))+((Besatzung!$B$21&lt;&gt;"")*IF(B186="",1,(IF(Besatzung!$C$21="",Besatzung!$B$5,Besatzung!$C$21)&lt;=B186)*(IF(Besatzung!$D$21="",Besatzung!$B$6,Besatzung!$D$21)&gt;=B186)))*(Besatzung!$F$21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$21&lt;&gt;"")*IF(B186="",1,(IF(Besatzung!$C$21="",Besatzung!$B$5,Besatzung!$C$21)&lt;=B186)*(IF(Besatzung!$D$21="",Besatzung!$B$6,Besatzung!$D$21)&gt;=B186)))*((G186-IFERROR(H186,0))/IFERROR(SUMPRODUCT((Besatzung!$B$11:$B$22&lt;&gt;"")*(IF(Besatzung!$C$11:$C$22="",Besatzung!$B$5,Besatzung!$C$11:$C$22)&lt;=B186)*(IF(Besatzung!$D$11:$D$22="",Besatzung!$B$6,Besatzung!$D$11:$D$22)&gt;=B186)),1)+(Besatzung!$F$21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T186="x")*((G186-IFERROR(H186,0))/IFERROR(COUNTIF(J186:U186,"x"),1)+(Besatzung!$F$21="x")*IFERROR(H186,0)/IFERROR(SUMPRODUCT((J186:U186="x")*(Besatzung!$F$11:$F$22="x")),1))),(IF(COUNTIF(J186:U186,"x")=0,IF(Besatzung!$B$21&lt;&gt;"",1,0),(T186="x"))*(G186-IFERROR(H186,0))/IFERROR(IF(COUNTIF(J186:U186,"x")=0,COUNTA(Besatzung!$B$11:$B$22),COUNTIF(J186:U186,"x")),1)+IF(COUNTIF(J186:U186,"x")=0,(Besatzung!$F$21="x"),(T186="x")*(Besatzung!$F$21="x"))*IFERROR(H186,0)/IFERROR(IF(COUNTIF(J186:U186,"x")=0,SUMPRODUCT((Besatzung!$B$11:$B$22&lt;&gt;"")*(Besatzung!$F$11:$F$22="x")),SUMPRODUCT((J186:U186="x")*(Besatzung!$F$11:$F$22="x"))),1))))),0))))</f>
        <v/>
      </c>
      <c r="AG186" s="106">
        <f>IF(C186="Gutschrift","",IF(G186="","",IF(Besatzung!$B$22="","",IFERROR(IF(I186="Zeitanteilig",(Besatzung!$G$22*(G186-IFERROR(H186,0))+((Besatzung!$B$22&lt;&gt;"")*IF(B186="",1,(IF(Besatzung!$C$22="",Besatzung!$B$5,Besatzung!$C$22)&lt;=B186)*(IF(Besatzung!$D$22="",Besatzung!$B$6,Besatzung!$D$22)&gt;=B186)))*(Besatzung!$F$22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$22&lt;&gt;"")*IF(B186="",1,(IF(Besatzung!$C$22="",Besatzung!$B$5,Besatzung!$C$22)&lt;=B186)*(IF(Besatzung!$D$22="",Besatzung!$B$6,Besatzung!$D$22)&gt;=B186)))*((G186-IFERROR(H186,0))/IFERROR(SUMPRODUCT((Besatzung!$B$11:$B$22&lt;&gt;"")*(IF(Besatzung!$C$11:$C$22="",Besatzung!$B$5,Besatzung!$C$11:$C$22)&lt;=B186)*(IF(Besatzung!$D$11:$D$22="",Besatzung!$B$6,Besatzung!$D$11:$D$22)&gt;=B186)),1)+(Besatzung!$F$22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U186="x")*((G186-IFERROR(H186,0))/IFERROR(COUNTIF(J186:U186,"x"),1)+(Besatzung!$F$22="x")*IFERROR(H186,0)/IFERROR(SUMPRODUCT((J186:U186="x")*(Besatzung!$F$11:$F$22="x")),1))),(IF(COUNTIF(J186:U186,"x")=0,IF(Besatzung!$B$22&lt;&gt;"",1,0),(U186="x"))*(G186-IFERROR(H186,0))/IFERROR(IF(COUNTIF(J186:U186,"x")=0,COUNTA(Besatzung!$B$11:$B$22),COUNTIF(J186:U186,"x")),1)+IF(COUNTIF(J186:U186,"x")=0,(Besatzung!$F$22="x"),(U186="x")*(Besatzung!$F$22="x"))*IFERROR(H186,0)/IFERROR(IF(COUNTIF(J186:U186,"x")=0,SUMPRODUCT((Besatzung!$B$11:$B$22&lt;&gt;"")*(Besatzung!$F$11:$F$22="x")),SUMPRODUCT((J186:U186="x")*(Besatzung!$F$11:$F$22="x"))),1))))),0))))</f>
        <v/>
      </c>
      <c r="AH186" s="107" t="n"/>
      <c r="AI186" s="107" t="n"/>
    </row>
    <row r="187" ht="21.75" customHeight="1" s="182">
      <c r="A187" s="97">
        <f>IF(AND(D187="",C187=""),"",184)</f>
        <v/>
      </c>
      <c r="B187" s="63" t="n"/>
      <c r="C187" s="108" t="n"/>
      <c r="D187" s="109" t="n"/>
      <c r="E187" s="110" t="n"/>
      <c r="F187" s="111" t="n"/>
      <c r="G187" s="112" t="n"/>
      <c r="H187" s="113" t="n"/>
      <c r="I187" s="114" t="n"/>
      <c r="J187" s="115" t="n"/>
      <c r="K187" s="115" t="n"/>
      <c r="L187" s="115" t="n"/>
      <c r="M187" s="115" t="n"/>
      <c r="N187" s="115" t="n"/>
      <c r="O187" s="115" t="n"/>
      <c r="P187" s="115" t="n"/>
      <c r="Q187" s="115" t="n"/>
      <c r="R187" s="115" t="n"/>
      <c r="S187" s="115" t="n"/>
      <c r="T187" s="115" t="n"/>
      <c r="U187" s="115" t="n"/>
      <c r="V187" s="106">
        <f>IF(C187="Gutschrift","",IF(G187="","",IF(Besatzung!$B$11="","",IFERROR(IF(I187="Zeitanteilig",(Besatzung!$G$11*(G187-IFERROR(H187,0))+((Besatzung!$B$11&lt;&gt;"")*IF(B187="",1,(IF(Besatzung!$C$11="",Besatzung!$B$5,Besatzung!$C$11)&lt;=B187)*(IF(Besatzung!$D$11="",Besatzung!$B$6,Besatzung!$D$11)&gt;=B187)))*(Besatzung!$F$11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$11&lt;&gt;"")*IF(B187="",1,(IF(Besatzung!$C$11="",Besatzung!$B$5,Besatzung!$C$11)&lt;=B187)*(IF(Besatzung!$D$11="",Besatzung!$B$6,Besatzung!$D$11)&gt;=B187)))*((G187-IFERROR(H187,0))/IFERROR(SUMPRODUCT((Besatzung!$B$11:$B$22&lt;&gt;"")*(IF(Besatzung!$C$11:$C$22="",Besatzung!$B$5,Besatzung!$C$11:$C$22)&lt;=B187)*(IF(Besatzung!$D$11:$D$22="",Besatzung!$B$6,Besatzung!$D$11:$D$22)&gt;=B187)),1)+(Besatzung!$F$11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J187="x")*((G187-IFERROR(H187,0))/IFERROR(COUNTIF(J187:U187,"x"),1)+(Besatzung!$F$11="x")*IFERROR(H187,0)/IFERROR(SUMPRODUCT((J187:U187="x")*(Besatzung!$F$11:$F$22="x")),1))),(IF(COUNTIF(J187:U187,"x")=0,IF(Besatzung!$B$11&lt;&gt;"",1,0),(J187="x"))*(G187-IFERROR(H187,0))/IFERROR(IF(COUNTIF(J187:U187,"x")=0,COUNTA(Besatzung!$B$11:$B$22),COUNTIF(J187:U187,"x")),1)+IF(COUNTIF(J187:U187,"x")=0,(Besatzung!$F$11="x"),(J187="x")*(Besatzung!$F$11="x"))*IFERROR(H187,0)/IFERROR(IF(COUNTIF(J187:U187,"x")=0,SUMPRODUCT((Besatzung!$B$11:$B$22&lt;&gt;"")*(Besatzung!$F$11:$F$22="x")),SUMPRODUCT((J187:U187="x")*(Besatzung!$F$11:$F$22="x"))),1))))),0))))</f>
        <v/>
      </c>
      <c r="W187" s="106">
        <f>IF(C187="Gutschrift","",IF(G187="","",IF(Besatzung!$B$12="","",IFERROR(IF(I187="Zeitanteilig",(Besatzung!$G$12*(G187-IFERROR(H187,0))+((Besatzung!$B$12&lt;&gt;"")*IF(B187="",1,(IF(Besatzung!$C$12="",Besatzung!$B$5,Besatzung!$C$12)&lt;=B187)*(IF(Besatzung!$D$12="",Besatzung!$B$6,Besatzung!$D$12)&gt;=B187)))*(Besatzung!$F$12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$12&lt;&gt;"")*IF(B187="",1,(IF(Besatzung!$C$12="",Besatzung!$B$5,Besatzung!$C$12)&lt;=B187)*(IF(Besatzung!$D$12="",Besatzung!$B$6,Besatzung!$D$12)&gt;=B187)))*((G187-IFERROR(H187,0))/IFERROR(SUMPRODUCT((Besatzung!$B$11:$B$22&lt;&gt;"")*(IF(Besatzung!$C$11:$C$22="",Besatzung!$B$5,Besatzung!$C$11:$C$22)&lt;=B187)*(IF(Besatzung!$D$11:$D$22="",Besatzung!$B$6,Besatzung!$D$11:$D$22)&gt;=B187)),1)+(Besatzung!$F$12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K187="x")*((G187-IFERROR(H187,0))/IFERROR(COUNTIF(J187:U187,"x"),1)+(Besatzung!$F$12="x")*IFERROR(H187,0)/IFERROR(SUMPRODUCT((J187:U187="x")*(Besatzung!$F$11:$F$22="x")),1))),(IF(COUNTIF(J187:U187,"x")=0,IF(Besatzung!$B$12&lt;&gt;"",1,0),(K187="x"))*(G187-IFERROR(H187,0))/IFERROR(IF(COUNTIF(J187:U187,"x")=0,COUNTA(Besatzung!$B$11:$B$22),COUNTIF(J187:U187,"x")),1)+IF(COUNTIF(J187:U187,"x")=0,(Besatzung!$F$12="x"),(K187="x")*(Besatzung!$F$12="x"))*IFERROR(H187,0)/IFERROR(IF(COUNTIF(J187:U187,"x")=0,SUMPRODUCT((Besatzung!$B$11:$B$22&lt;&gt;"")*(Besatzung!$F$11:$F$22="x")),SUMPRODUCT((J187:U187="x")*(Besatzung!$F$11:$F$22="x"))),1))))),0))))</f>
        <v/>
      </c>
      <c r="X187" s="106">
        <f>IF(C187="Gutschrift","",IF(G187="","",IF(Besatzung!$B$13="","",IFERROR(IF(I187="Zeitanteilig",(Besatzung!$G$13*(G187-IFERROR(H187,0))+((Besatzung!$B$13&lt;&gt;"")*IF(B187="",1,(IF(Besatzung!$C$13="",Besatzung!$B$5,Besatzung!$C$13)&lt;=B187)*(IF(Besatzung!$D$13="",Besatzung!$B$6,Besatzung!$D$13)&gt;=B187)))*(Besatzung!$F$13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$13&lt;&gt;"")*IF(B187="",1,(IF(Besatzung!$C$13="",Besatzung!$B$5,Besatzung!$C$13)&lt;=B187)*(IF(Besatzung!$D$13="",Besatzung!$B$6,Besatzung!$D$13)&gt;=B187)))*((G187-IFERROR(H187,0))/IFERROR(SUMPRODUCT((Besatzung!$B$11:$B$22&lt;&gt;"")*(IF(Besatzung!$C$11:$C$22="",Besatzung!$B$5,Besatzung!$C$11:$C$22)&lt;=B187)*(IF(Besatzung!$D$11:$D$22="",Besatzung!$B$6,Besatzung!$D$11:$D$22)&gt;=B187)),1)+(Besatzung!$F$13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K187="x")*((G187-IFERROR(H187,0))/IFERROR(COUNTIF(J187:U187,"x"),1)+(Besatzung!$F$13="x")*IFERROR(H187,0)/IFERROR(SUMPRODUCT((J187:U187="x")*(Besatzung!$F$11:$F$22="x")),1))),(IF(COUNTIF(J187:U187,"x")=0,IF(Besatzung!$B$13&lt;&gt;"",1,0),(K187="x"))*(G187-IFERROR(H187,0))/IFERROR(IF(COUNTIF(J187:U187,"x")=0,COUNTA(Besatzung!$B$11:$B$22),COUNTIF(J187:U187,"x")),1)+IF(COUNTIF(J187:U187,"x")=0,(Besatzung!$F$13="x"),(K187="x")*(Besatzung!$F$13="x"))*IFERROR(H187,0)/IFERROR(IF(COUNTIF(J187:U187,"x")=0,SUMPRODUCT((Besatzung!$B$11:$B$22&lt;&gt;"")*(Besatzung!$F$11:$F$22="x")),SUMPRODUCT((J187:U187="x")*(Besatzung!$F$11:$F$22="x"))),1))))),0))))</f>
        <v/>
      </c>
      <c r="Y187" s="106">
        <f>IF(C187="Gutschrift","",IF(G187="","",IF(Besatzung!$B$14="","",IFERROR(IF(I187="Zeitanteilig",(Besatzung!$G$14*(G187-IFERROR(H187,0))+((Besatzung!$B$14&lt;&gt;"")*IF(B187="",1,(IF(Besatzung!$C$14="",Besatzung!$B$5,Besatzung!$C$14)&lt;=B187)*(IF(Besatzung!$D$14="",Besatzung!$B$6,Besatzung!$D$14)&gt;=B187)))*(Besatzung!$F$14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$14&lt;&gt;"")*IF(B187="",1,(IF(Besatzung!$C$14="",Besatzung!$B$5,Besatzung!$C$14)&lt;=B187)*(IF(Besatzung!$D$14="",Besatzung!$B$6,Besatzung!$D$14)&gt;=B187)))*((G187-IFERROR(H187,0))/IFERROR(SUMPRODUCT((Besatzung!$B$11:$B$22&lt;&gt;"")*(IF(Besatzung!$C$11:$C$22="",Besatzung!$B$5,Besatzung!$C$11:$C$22)&lt;=B187)*(IF(Besatzung!$D$11:$D$22="",Besatzung!$B$6,Besatzung!$D$11:$D$22)&gt;=B187)),1)+(Besatzung!$F$14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M187="x")*((G187-IFERROR(H187,0))/IFERROR(COUNTIF(J187:U187,"x"),1)+(Besatzung!$F$14="x")*IFERROR(H187,0)/IFERROR(SUMPRODUCT((J187:U187="x")*(Besatzung!$F$11:$F$22="x")),1))),(IF(COUNTIF(J187:U187,"x")=0,IF(Besatzung!$B$14&lt;&gt;"",1,0),(M187="x"))*(G187-IFERROR(H187,0))/IFERROR(IF(COUNTIF(J187:U187,"x")=0,COUNTA(Besatzung!$B$11:$B$22),COUNTIF(J187:U187,"x")),1)+IF(COUNTIF(J187:U187,"x")=0,(Besatzung!$F$14="x"),(M187="x")*(Besatzung!$F$14="x"))*IFERROR(H187,0)/IFERROR(IF(COUNTIF(J187:U187,"x")=0,SUMPRODUCT((Besatzung!$B$11:$B$22&lt;&gt;"")*(Besatzung!$F$11:$F$22="x")),SUMPRODUCT((J187:U187="x")*(Besatzung!$F$11:$F$22="x"))),1))))),0))))</f>
        <v/>
      </c>
      <c r="Z187" s="106">
        <f>IF(C187="Gutschrift","",IF(G187="","",IF(Besatzung!$B$13="","",IFERROR(IF(I187="Zeitanteilig",(Besatzung!$G$15*(G187-IFERROR(H187,0))+((Besatzung!$B$13&lt;&gt;"")*IF(B187="",1,(IF(Besatzung!$C$15="",Besatzung!$B$5,Besatzung!$C$15)&lt;=B187)*(IF(Besatzung!$D$15="",Besatzung!$B$6,Besatzung!$D$15)&gt;=B187)))*(Besatzung!$F$15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$13&lt;&gt;"")*IF(B187="",1,(IF(Besatzung!$C$15="",Besatzung!$B$5,Besatzung!$C$15)&lt;=B187)*(IF(Besatzung!$D$15="",Besatzung!$B$6,Besatzung!$D$15)&gt;=B187)))*((G187-IFERROR(H187,0))/IFERROR(SUMPRODUCT((Besatzung!$B$11:$B$22&lt;&gt;"")*(IF(Besatzung!$C$11:$C$22="",Besatzung!$B$5,Besatzung!$C$11:$C$22)&lt;=B187)*(IF(Besatzung!$D$11:$D$22="",Besatzung!$B$6,Besatzung!$D$11:$D$22)&gt;=B187)),1)+(Besatzung!$F$15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N187="x")*((G187-IFERROR(H187,0))/IFERROR(COUNTIF(J187:U187,"x"),1)+(Besatzung!$F$15="x")*IFERROR(H187,0)/IFERROR(SUMPRODUCT((J187:U187="x")*(Besatzung!$F$11:$F$22="x")),1))),(IF(COUNTIF(J187:U187,"x")=0,IF(Besatzung!$B$13&lt;&gt;"",1,0),(N187="x"))*(G187-IFERROR(H187,0))/IFERROR(IF(COUNTIF(J187:U187,"x")=0,COUNTA(Besatzung!$B$11:$B$22),COUNTIF(J187:U187,"x")),1)+IF(COUNTIF(J187:U187,"x")=0,(Besatzung!$F$15="x"),(N187="x")*(Besatzung!$F$15="x"))*IFERROR(H187,0)/IFERROR(IF(COUNTIF(J187:U187,"x")=0,SUMPRODUCT((Besatzung!$B$11:$B$22&lt;&gt;"")*(Besatzung!$F$11:$F$22="x")),SUMPRODUCT((J187:U187="x")*(Besatzung!$F$11:$F$22="x"))),1))))),0))))</f>
        <v/>
      </c>
      <c r="AA187" s="106">
        <f>IF(C187="Gutschrift","",IF(G187="","",IF(Besatzung!$B$15="","",IFERROR(IF(I187="Zeitanteilig",(Besatzung!$G$16*(G187-IFERROR(H187,0))+((Besatzung!$B$15&lt;&gt;"")*IF(B187="",1,(IF(Besatzung!$C$16="",Besatzung!$B$5,Besatzung!$C$16)&lt;=B187)*(IF(Besatzung!$D$16="",Besatzung!$B$6,Besatzung!$D$16)&gt;=B187)))*(Besatzung!$F$16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$15&lt;&gt;"")*IF(B187="",1,(IF(Besatzung!$C$16="",Besatzung!$B$5,Besatzung!$C$16)&lt;=B187)*(IF(Besatzung!$D$16="",Besatzung!$B$6,Besatzung!$D$16)&gt;=B187)))*((G187-IFERROR(H187,0))/IFERROR(SUMPRODUCT((Besatzung!$B$11:$B$22&lt;&gt;"")*(IF(Besatzung!$C$11:$C$22="",Besatzung!$B$5,Besatzung!$C$11:$C$22)&lt;=B187)*(IF(Besatzung!$D$11:$D$22="",Besatzung!$B$6,Besatzung!$D$11:$D$22)&gt;=B187)),1)+(Besatzung!$F$16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O187="x")*((G187-IFERROR(H187,0))/IFERROR(COUNTIF(J187:U187,"x"),1)+(Besatzung!$F$16="x")*IFERROR(H187,0)/IFERROR(SUMPRODUCT((J187:U187="x")*(Besatzung!$F$11:$F$22="x")),1))),(IF(COUNTIF(J187:U187,"x")=0,IF(Besatzung!$B$15&lt;&gt;"",1,0),(O187="x"))*(G187-IFERROR(H187,0))/IFERROR(IF(COUNTIF(J187:U187,"x")=0,COUNTA(Besatzung!$B$11:$B$22),COUNTIF(J187:U187,"x")),1)+IF(COUNTIF(J187:U187,"x")=0,(Besatzung!$F$16="x"),(O187="x")*(Besatzung!$F$16="x"))*IFERROR(H187,0)/IFERROR(IF(COUNTIF(J187:U187,"x")=0,SUMPRODUCT((Besatzung!$B$11:$B$22&lt;&gt;"")*(Besatzung!$F$11:$F$22="x")),SUMPRODUCT((J187:U187="x")*(Besatzung!$F$11:$F$22="x"))),1))))),0))))</f>
        <v/>
      </c>
      <c r="AB187" s="106">
        <f>IF(C187="Gutschrift","",IF(G187="","",IF(Besatzung!$B$17="","",IFERROR(IF(I187="Zeitanteilig",(Besatzung!$G$17*(G187-IFERROR(H187,0))+((Besatzung!$B$17&lt;&gt;"")*IF(B187="",1,(IF(Besatzung!$C$17="",Besatzung!$B$5,Besatzung!$C$17)&lt;=B187)*(IF(Besatzung!$D$17="",Besatzung!$B$6,Besatzung!$D$17)&gt;=B187)))*(Besatzung!$F$17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$17&lt;&gt;"")*IF(B187="",1,(IF(Besatzung!$C$17="",Besatzung!$B$5,Besatzung!$C$17)&lt;=B187)*(IF(Besatzung!$D$17="",Besatzung!$B$6,Besatzung!$D$17)&gt;=B187)))*((G187-IFERROR(H187,0))/IFERROR(SUMPRODUCT((Besatzung!$B$11:$B$22&lt;&gt;"")*(IF(Besatzung!$C$11:$C$22="",Besatzung!$B$5,Besatzung!$C$11:$C$22)&lt;=B187)*(IF(Besatzung!$D$11:$D$22="",Besatzung!$B$6,Besatzung!$D$11:$D$22)&gt;=B187)),1)+(Besatzung!$F$17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P187="x")*((G187-IFERROR(H187,0))/IFERROR(COUNTIF(J187:U187,"x"),1)+(Besatzung!$F$17="x")*IFERROR(H187,0)/IFERROR(SUMPRODUCT((J187:U187="x")*(Besatzung!$F$11:$F$22="x")),1))),(IF(COUNTIF(J187:U187,"x")=0,IF(Besatzung!$B$17&lt;&gt;"",1,0),(P187="x"))*(G187-IFERROR(H187,0))/IFERROR(IF(COUNTIF(J187:U187,"x")=0,COUNTA(Besatzung!$B$11:$B$22),COUNTIF(J187:U187,"x")),1)+IF(COUNTIF(J187:U187,"x")=0,(Besatzung!$F$17="x"),(P187="x")*(Besatzung!$F$17="x"))*IFERROR(H187,0)/IFERROR(IF(COUNTIF(J187:U187,"x")=0,SUMPRODUCT((Besatzung!$B$11:$B$22&lt;&gt;"")*(Besatzung!$F$11:$F$22="x")),SUMPRODUCT((J187:U187="x")*(Besatzung!$F$11:$F$22="x"))),1))))),0))))</f>
        <v/>
      </c>
      <c r="AC187" s="106">
        <f>IF(C187="Gutschrift","",IF(G187="","",IF(Besatzung!$B$18="","",IFERROR(IF(I187="Zeitanteilig",(Besatzung!$G$18*(G187-IFERROR(H187,0))+((Besatzung!$B$18&lt;&gt;"")*IF(B187="",1,(IF(Besatzung!$C$18="",Besatzung!$B$5,Besatzung!$C$18)&lt;=B187)*(IF(Besatzung!$D$18="",Besatzung!$B$6,Besatzung!$D$18)&gt;=B187)))*(Besatzung!$F$18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$18&lt;&gt;"")*IF(B187="",1,(IF(Besatzung!$C$18="",Besatzung!$B$5,Besatzung!$C$18)&lt;=B187)*(IF(Besatzung!$D$18="",Besatzung!$B$6,Besatzung!$D$18)&gt;=B187)))*((G187-IFERROR(H187,0))/IFERROR(SUMPRODUCT((Besatzung!$B$11:$B$22&lt;&gt;"")*(IF(Besatzung!$C$11:$C$22="",Besatzung!$B$5,Besatzung!$C$11:$C$22)&lt;=B187)*(IF(Besatzung!$D$11:$D$22="",Besatzung!$B$6,Besatzung!$D$11:$D$22)&gt;=B187)),1)+(Besatzung!$F$18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Q187="x")*((G187-IFERROR(H187,0))/IFERROR(COUNTIF(J187:U187,"x"),1)+(Besatzung!$F$18="x")*IFERROR(H187,0)/IFERROR(SUMPRODUCT((J187:U187="x")*(Besatzung!$F$11:$F$22="x")),1))),(IF(COUNTIF(J187:U187,"x")=0,IF(Besatzung!$B$18&lt;&gt;"",1,0),(Q187="x"))*(G187-IFERROR(H187,0))/IFERROR(IF(COUNTIF(J187:U187,"x")=0,COUNTA(Besatzung!$B$11:$B$22),COUNTIF(J187:U187,"x")),1)+IF(COUNTIF(J187:U187,"x")=0,(Besatzung!$F$18="x"),(Q187="x")*(Besatzung!$F$18="x"))*IFERROR(H187,0)/IFERROR(IF(COUNTIF(J187:U187,"x")=0,SUMPRODUCT((Besatzung!$B$11:$B$22&lt;&gt;"")*(Besatzung!$F$11:$F$22="x")),SUMPRODUCT((J187:U187="x")*(Besatzung!$F$11:$F$22="x"))),1))))),0))))</f>
        <v/>
      </c>
      <c r="AD187" s="106">
        <f>IF(C187="Gutschrift","",IF(G187="","",IF(Besatzung!$B$19="","",IFERROR(IF(I187="Zeitanteilig",(Besatzung!$G$19*(G187-IFERROR(H187,0))+((Besatzung!$B$19&lt;&gt;"")*IF(B187="",1,(IF(Besatzung!$C$19="",Besatzung!$B$5,Besatzung!$C$19)&lt;=B187)*(IF(Besatzung!$D$19="",Besatzung!$B$6,Besatzung!$D$19)&gt;=B187)))*(Besatzung!$F$19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$19&lt;&gt;"")*IF(B187="",1,(IF(Besatzung!$C$19="",Besatzung!$B$5,Besatzung!$C$19)&lt;=B187)*(IF(Besatzung!$D$19="",Besatzung!$B$6,Besatzung!$D$19)&gt;=B187)))*((G187-IFERROR(H187,0))/IFERROR(SUMPRODUCT((Besatzung!$B$11:$B$22&lt;&gt;"")*(IF(Besatzung!$C$11:$C$22="",Besatzung!$B$5,Besatzung!$C$11:$C$22)&lt;=B187)*(IF(Besatzung!$D$11:$D$22="",Besatzung!$B$6,Besatzung!$D$11:$D$22)&gt;=B187)),1)+(Besatzung!$F$19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R187="x")*((G187-IFERROR(H187,0))/IFERROR(COUNTIF(J187:U187,"x"),1)+(Besatzung!$F$19="x")*IFERROR(H187,0)/IFERROR(SUMPRODUCT((J187:U187="x")*(Besatzung!$F$11:$F$22="x")),1))),(IF(COUNTIF(J187:U187,"x")=0,IF(Besatzung!$B$19&lt;&gt;"",1,0),(R187="x"))*(G187-IFERROR(H187,0))/IFERROR(IF(COUNTIF(J187:U187,"x")=0,COUNTA(Besatzung!$B$11:$B$22),COUNTIF(J187:U187,"x")),1)+IF(COUNTIF(J187:U187,"x")=0,(Besatzung!$F$19="x"),(R187="x")*(Besatzung!$F$19="x"))*IFERROR(H187,0)/IFERROR(IF(COUNTIF(J187:U187,"x")=0,SUMPRODUCT((Besatzung!$B$11:$B$22&lt;&gt;"")*(Besatzung!$F$11:$F$22="x")),SUMPRODUCT((J187:U187="x")*(Besatzung!$F$11:$F$22="x"))),1))))),0))))</f>
        <v/>
      </c>
      <c r="AE187" s="106">
        <f>IF(C187="Gutschrift","",IF(G187="","",IF(Besatzung!$B$20="","",IFERROR(IF(I187="Zeitanteilig",(Besatzung!$G$20*(G187-IFERROR(H187,0))+((Besatzung!$B$20&lt;&gt;"")*IF(B187="",1,(IF(Besatzung!$C$20="",Besatzung!$B$5,Besatzung!$C$20)&lt;=B187)*(IF(Besatzung!$D$20="",Besatzung!$B$6,Besatzung!$D$20)&gt;=B187)))*(Besatzung!$F$20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$20&lt;&gt;"")*IF(B187="",1,(IF(Besatzung!$C$20="",Besatzung!$B$5,Besatzung!$C$20)&lt;=B187)*(IF(Besatzung!$D$20="",Besatzung!$B$6,Besatzung!$D$20)&gt;=B187)))*((G187-IFERROR(H187,0))/IFERROR(SUMPRODUCT((Besatzung!$B$11:$B$22&lt;&gt;"")*(IF(Besatzung!$C$11:$C$22="",Besatzung!$B$5,Besatzung!$C$11:$C$22)&lt;=B187)*(IF(Besatzung!$D$11:$D$22="",Besatzung!$B$6,Besatzung!$D$11:$D$22)&gt;=B187)),1)+(Besatzung!$F$20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S187="x")*((G187-IFERROR(H187,0))/IFERROR(COUNTIF(J187:U187,"x"),1)+(Besatzung!$F$20="x")*IFERROR(H187,0)/IFERROR(SUMPRODUCT((J187:U187="x")*(Besatzung!$F$11:$F$22="x")),1))),(IF(COUNTIF(J187:U187,"x")=0,IF(Besatzung!$B$20&lt;&gt;"",1,0),(S187="x"))*(G187-IFERROR(H187,0))/IFERROR(IF(COUNTIF(J187:U187,"x")=0,COUNTA(Besatzung!$B$11:$B$22),COUNTIF(J187:U187,"x")),1)+IF(COUNTIF(J187:U187,"x")=0,(Besatzung!$F$20="x"),(S187="x")*(Besatzung!$F$20="x"))*IFERROR(H187,0)/IFERROR(IF(COUNTIF(J187:U187,"x")=0,SUMPRODUCT((Besatzung!$B$11:$B$22&lt;&gt;"")*(Besatzung!$F$11:$F$22="x")),SUMPRODUCT((J187:U187="x")*(Besatzung!$F$11:$F$22="x"))),1))))),0))))</f>
        <v/>
      </c>
      <c r="AF187" s="106">
        <f>IF(C187="Gutschrift","",IF(G187="","",IF(Besatzung!$B$21="","",IFERROR(IF(I187="Zeitanteilig",(Besatzung!$G$21*(G187-IFERROR(H187,0))+((Besatzung!$B$21&lt;&gt;"")*IF(B187="",1,(IF(Besatzung!$C$21="",Besatzung!$B$5,Besatzung!$C$21)&lt;=B187)*(IF(Besatzung!$D$21="",Besatzung!$B$6,Besatzung!$D$21)&gt;=B187)))*(Besatzung!$F$21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$21&lt;&gt;"")*IF(B187="",1,(IF(Besatzung!$C$21="",Besatzung!$B$5,Besatzung!$C$21)&lt;=B187)*(IF(Besatzung!$D$21="",Besatzung!$B$6,Besatzung!$D$21)&gt;=B187)))*((G187-IFERROR(H187,0))/IFERROR(SUMPRODUCT((Besatzung!$B$11:$B$22&lt;&gt;"")*(IF(Besatzung!$C$11:$C$22="",Besatzung!$B$5,Besatzung!$C$11:$C$22)&lt;=B187)*(IF(Besatzung!$D$11:$D$22="",Besatzung!$B$6,Besatzung!$D$11:$D$22)&gt;=B187)),1)+(Besatzung!$F$21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T187="x")*((G187-IFERROR(H187,0))/IFERROR(COUNTIF(J187:U187,"x"),1)+(Besatzung!$F$21="x")*IFERROR(H187,0)/IFERROR(SUMPRODUCT((J187:U187="x")*(Besatzung!$F$11:$F$22="x")),1))),(IF(COUNTIF(J187:U187,"x")=0,IF(Besatzung!$B$21&lt;&gt;"",1,0),(T187="x"))*(G187-IFERROR(H187,0))/IFERROR(IF(COUNTIF(J187:U187,"x")=0,COUNTA(Besatzung!$B$11:$B$22),COUNTIF(J187:U187,"x")),1)+IF(COUNTIF(J187:U187,"x")=0,(Besatzung!$F$21="x"),(T187="x")*(Besatzung!$F$21="x"))*IFERROR(H187,0)/IFERROR(IF(COUNTIF(J187:U187,"x")=0,SUMPRODUCT((Besatzung!$B$11:$B$22&lt;&gt;"")*(Besatzung!$F$11:$F$22="x")),SUMPRODUCT((J187:U187="x")*(Besatzung!$F$11:$F$22="x"))),1))))),0))))</f>
        <v/>
      </c>
      <c r="AG187" s="106">
        <f>IF(C187="Gutschrift","",IF(G187="","",IF(Besatzung!$B$22="","",IFERROR(IF(I187="Zeitanteilig",(Besatzung!$G$22*(G187-IFERROR(H187,0))+((Besatzung!$B$22&lt;&gt;"")*IF(B187="",1,(IF(Besatzung!$C$22="",Besatzung!$B$5,Besatzung!$C$22)&lt;=B187)*(IF(Besatzung!$D$22="",Besatzung!$B$6,Besatzung!$D$22)&gt;=B187)))*(Besatzung!$F$22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$22&lt;&gt;"")*IF(B187="",1,(IF(Besatzung!$C$22="",Besatzung!$B$5,Besatzung!$C$22)&lt;=B187)*(IF(Besatzung!$D$22="",Besatzung!$B$6,Besatzung!$D$22)&gt;=B187)))*((G187-IFERROR(H187,0))/IFERROR(SUMPRODUCT((Besatzung!$B$11:$B$22&lt;&gt;"")*(IF(Besatzung!$C$11:$C$22="",Besatzung!$B$5,Besatzung!$C$11:$C$22)&lt;=B187)*(IF(Besatzung!$D$11:$D$22="",Besatzung!$B$6,Besatzung!$D$11:$D$22)&gt;=B187)),1)+(Besatzung!$F$22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U187="x")*((G187-IFERROR(H187,0))/IFERROR(COUNTIF(J187:U187,"x"),1)+(Besatzung!$F$22="x")*IFERROR(H187,0)/IFERROR(SUMPRODUCT((J187:U187="x")*(Besatzung!$F$11:$F$22="x")),1))),(IF(COUNTIF(J187:U187,"x")=0,IF(Besatzung!$B$22&lt;&gt;"",1,0),(U187="x"))*(G187-IFERROR(H187,0))/IFERROR(IF(COUNTIF(J187:U187,"x")=0,COUNTA(Besatzung!$B$11:$B$22),COUNTIF(J187:U187,"x")),1)+IF(COUNTIF(J187:U187,"x")=0,(Besatzung!$F$22="x"),(U187="x")*(Besatzung!$F$22="x"))*IFERROR(H187,0)/IFERROR(IF(COUNTIF(J187:U187,"x")=0,SUMPRODUCT((Besatzung!$B$11:$B$22&lt;&gt;"")*(Besatzung!$F$11:$F$22="x")),SUMPRODUCT((J187:U187="x")*(Besatzung!$F$11:$F$22="x"))),1))))),0))))</f>
        <v/>
      </c>
      <c r="AH187" s="107" t="n"/>
      <c r="AI187" s="107" t="n"/>
    </row>
    <row r="188" ht="21.75" customHeight="1" s="182">
      <c r="A188" s="97">
        <f>IF(AND(D188="",C188=""),"",185)</f>
        <v/>
      </c>
      <c r="B188" s="56" t="n"/>
      <c r="C188" s="98" t="n"/>
      <c r="D188" s="99" t="n"/>
      <c r="E188" s="100" t="n"/>
      <c r="F188" s="101" t="n"/>
      <c r="G188" s="102" t="n"/>
      <c r="H188" s="103" t="n"/>
      <c r="I188" s="104" t="n"/>
      <c r="J188" s="105" t="n"/>
      <c r="K188" s="105" t="n"/>
      <c r="L188" s="105" t="n"/>
      <c r="M188" s="105" t="n"/>
      <c r="N188" s="105" t="n"/>
      <c r="O188" s="105" t="n"/>
      <c r="P188" s="105" t="n"/>
      <c r="Q188" s="105" t="n"/>
      <c r="R188" s="105" t="n"/>
      <c r="S188" s="105" t="n"/>
      <c r="T188" s="105" t="n"/>
      <c r="U188" s="105" t="n"/>
      <c r="V188" s="106">
        <f>IF(C188="Gutschrift","",IF(G188="","",IF(Besatzung!$B$11="","",IFERROR(IF(I188="Zeitanteilig",(Besatzung!$G$11*(G188-IFERROR(H188,0))+((Besatzung!$B$11&lt;&gt;"")*IF(B188="",1,(IF(Besatzung!$C$11="",Besatzung!$B$5,Besatzung!$C$11)&lt;=B188)*(IF(Besatzung!$D$11="",Besatzung!$B$6,Besatzung!$D$11)&gt;=B188)))*(Besatzung!$F$11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$11&lt;&gt;"")*IF(B188="",1,(IF(Besatzung!$C$11="",Besatzung!$B$5,Besatzung!$C$11)&lt;=B188)*(IF(Besatzung!$D$11="",Besatzung!$B$6,Besatzung!$D$11)&gt;=B188)))*((G188-IFERROR(H188,0))/IFERROR(SUMPRODUCT((Besatzung!$B$11:$B$22&lt;&gt;"")*(IF(Besatzung!$C$11:$C$22="",Besatzung!$B$5,Besatzung!$C$11:$C$22)&lt;=B188)*(IF(Besatzung!$D$11:$D$22="",Besatzung!$B$6,Besatzung!$D$11:$D$22)&gt;=B188)),1)+(Besatzung!$F$11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J188="x")*((G188-IFERROR(H188,0))/IFERROR(COUNTIF(J188:U188,"x"),1)+(Besatzung!$F$11="x")*IFERROR(H188,0)/IFERROR(SUMPRODUCT((J188:U188="x")*(Besatzung!$F$11:$F$22="x")),1))),(IF(COUNTIF(J188:U188,"x")=0,IF(Besatzung!$B$11&lt;&gt;"",1,0),(J188="x"))*(G188-IFERROR(H188,0))/IFERROR(IF(COUNTIF(J188:U188,"x")=0,COUNTA(Besatzung!$B$11:$B$22),COUNTIF(J188:U188,"x")),1)+IF(COUNTIF(J188:U188,"x")=0,(Besatzung!$F$11="x"),(J188="x")*(Besatzung!$F$11="x"))*IFERROR(H188,0)/IFERROR(IF(COUNTIF(J188:U188,"x")=0,SUMPRODUCT((Besatzung!$B$11:$B$22&lt;&gt;"")*(Besatzung!$F$11:$F$22="x")),SUMPRODUCT((J188:U188="x")*(Besatzung!$F$11:$F$22="x"))),1))))),0))))</f>
        <v/>
      </c>
      <c r="W188" s="106">
        <f>IF(C188="Gutschrift","",IF(G188="","",IF(Besatzung!$B$12="","",IFERROR(IF(I188="Zeitanteilig",(Besatzung!$G$12*(G188-IFERROR(H188,0))+((Besatzung!$B$12&lt;&gt;"")*IF(B188="",1,(IF(Besatzung!$C$12="",Besatzung!$B$5,Besatzung!$C$12)&lt;=B188)*(IF(Besatzung!$D$12="",Besatzung!$B$6,Besatzung!$D$12)&gt;=B188)))*(Besatzung!$F$12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$12&lt;&gt;"")*IF(B188="",1,(IF(Besatzung!$C$12="",Besatzung!$B$5,Besatzung!$C$12)&lt;=B188)*(IF(Besatzung!$D$12="",Besatzung!$B$6,Besatzung!$D$12)&gt;=B188)))*((G188-IFERROR(H188,0))/IFERROR(SUMPRODUCT((Besatzung!$B$11:$B$22&lt;&gt;"")*(IF(Besatzung!$C$11:$C$22="",Besatzung!$B$5,Besatzung!$C$11:$C$22)&lt;=B188)*(IF(Besatzung!$D$11:$D$22="",Besatzung!$B$6,Besatzung!$D$11:$D$22)&gt;=B188)),1)+(Besatzung!$F$12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K188="x")*((G188-IFERROR(H188,0))/IFERROR(COUNTIF(J188:U188,"x"),1)+(Besatzung!$F$12="x")*IFERROR(H188,0)/IFERROR(SUMPRODUCT((J188:U188="x")*(Besatzung!$F$11:$F$22="x")),1))),(IF(COUNTIF(J188:U188,"x")=0,IF(Besatzung!$B$12&lt;&gt;"",1,0),(K188="x"))*(G188-IFERROR(H188,0))/IFERROR(IF(COUNTIF(J188:U188,"x")=0,COUNTA(Besatzung!$B$11:$B$22),COUNTIF(J188:U188,"x")),1)+IF(COUNTIF(J188:U188,"x")=0,(Besatzung!$F$12="x"),(K188="x")*(Besatzung!$F$12="x"))*IFERROR(H188,0)/IFERROR(IF(COUNTIF(J188:U188,"x")=0,SUMPRODUCT((Besatzung!$B$11:$B$22&lt;&gt;"")*(Besatzung!$F$11:$F$22="x")),SUMPRODUCT((J188:U188="x")*(Besatzung!$F$11:$F$22="x"))),1))))),0))))</f>
        <v/>
      </c>
      <c r="X188" s="106">
        <f>IF(C188="Gutschrift","",IF(G188="","",IF(Besatzung!$B$13="","",IFERROR(IF(I188="Zeitanteilig",(Besatzung!$G$13*(G188-IFERROR(H188,0))+((Besatzung!$B$13&lt;&gt;"")*IF(B188="",1,(IF(Besatzung!$C$13="",Besatzung!$B$5,Besatzung!$C$13)&lt;=B188)*(IF(Besatzung!$D$13="",Besatzung!$B$6,Besatzung!$D$13)&gt;=B188)))*(Besatzung!$F$13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$13&lt;&gt;"")*IF(B188="",1,(IF(Besatzung!$C$13="",Besatzung!$B$5,Besatzung!$C$13)&lt;=B188)*(IF(Besatzung!$D$13="",Besatzung!$B$6,Besatzung!$D$13)&gt;=B188)))*((G188-IFERROR(H188,0))/IFERROR(SUMPRODUCT((Besatzung!$B$11:$B$22&lt;&gt;"")*(IF(Besatzung!$C$11:$C$22="",Besatzung!$B$5,Besatzung!$C$11:$C$22)&lt;=B188)*(IF(Besatzung!$D$11:$D$22="",Besatzung!$B$6,Besatzung!$D$11:$D$22)&gt;=B188)),1)+(Besatzung!$F$13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K188="x")*((G188-IFERROR(H188,0))/IFERROR(COUNTIF(J188:U188,"x"),1)+(Besatzung!$F$13="x")*IFERROR(H188,0)/IFERROR(SUMPRODUCT((J188:U188="x")*(Besatzung!$F$11:$F$22="x")),1))),(IF(COUNTIF(J188:U188,"x")=0,IF(Besatzung!$B$13&lt;&gt;"",1,0),(K188="x"))*(G188-IFERROR(H188,0))/IFERROR(IF(COUNTIF(J188:U188,"x")=0,COUNTA(Besatzung!$B$11:$B$22),COUNTIF(J188:U188,"x")),1)+IF(COUNTIF(J188:U188,"x")=0,(Besatzung!$F$13="x"),(K188="x")*(Besatzung!$F$13="x"))*IFERROR(H188,0)/IFERROR(IF(COUNTIF(J188:U188,"x")=0,SUMPRODUCT((Besatzung!$B$11:$B$22&lt;&gt;"")*(Besatzung!$F$11:$F$22="x")),SUMPRODUCT((J188:U188="x")*(Besatzung!$F$11:$F$22="x"))),1))))),0))))</f>
        <v/>
      </c>
      <c r="Y188" s="106">
        <f>IF(C188="Gutschrift","",IF(G188="","",IF(Besatzung!$B$14="","",IFERROR(IF(I188="Zeitanteilig",(Besatzung!$G$14*(G188-IFERROR(H188,0))+((Besatzung!$B$14&lt;&gt;"")*IF(B188="",1,(IF(Besatzung!$C$14="",Besatzung!$B$5,Besatzung!$C$14)&lt;=B188)*(IF(Besatzung!$D$14="",Besatzung!$B$6,Besatzung!$D$14)&gt;=B188)))*(Besatzung!$F$14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$14&lt;&gt;"")*IF(B188="",1,(IF(Besatzung!$C$14="",Besatzung!$B$5,Besatzung!$C$14)&lt;=B188)*(IF(Besatzung!$D$14="",Besatzung!$B$6,Besatzung!$D$14)&gt;=B188)))*((G188-IFERROR(H188,0))/IFERROR(SUMPRODUCT((Besatzung!$B$11:$B$22&lt;&gt;"")*(IF(Besatzung!$C$11:$C$22="",Besatzung!$B$5,Besatzung!$C$11:$C$22)&lt;=B188)*(IF(Besatzung!$D$11:$D$22="",Besatzung!$B$6,Besatzung!$D$11:$D$22)&gt;=B188)),1)+(Besatzung!$F$14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M188="x")*((G188-IFERROR(H188,0))/IFERROR(COUNTIF(J188:U188,"x"),1)+(Besatzung!$F$14="x")*IFERROR(H188,0)/IFERROR(SUMPRODUCT((J188:U188="x")*(Besatzung!$F$11:$F$22="x")),1))),(IF(COUNTIF(J188:U188,"x")=0,IF(Besatzung!$B$14&lt;&gt;"",1,0),(M188="x"))*(G188-IFERROR(H188,0))/IFERROR(IF(COUNTIF(J188:U188,"x")=0,COUNTA(Besatzung!$B$11:$B$22),COUNTIF(J188:U188,"x")),1)+IF(COUNTIF(J188:U188,"x")=0,(Besatzung!$F$14="x"),(M188="x")*(Besatzung!$F$14="x"))*IFERROR(H188,0)/IFERROR(IF(COUNTIF(J188:U188,"x")=0,SUMPRODUCT((Besatzung!$B$11:$B$22&lt;&gt;"")*(Besatzung!$F$11:$F$22="x")),SUMPRODUCT((J188:U188="x")*(Besatzung!$F$11:$F$22="x"))),1))))),0))))</f>
        <v/>
      </c>
      <c r="Z188" s="106">
        <f>IF(C188="Gutschrift","",IF(G188="","",IF(Besatzung!$B$13="","",IFERROR(IF(I188="Zeitanteilig",(Besatzung!$G$15*(G188-IFERROR(H188,0))+((Besatzung!$B$13&lt;&gt;"")*IF(B188="",1,(IF(Besatzung!$C$15="",Besatzung!$B$5,Besatzung!$C$15)&lt;=B188)*(IF(Besatzung!$D$15="",Besatzung!$B$6,Besatzung!$D$15)&gt;=B188)))*(Besatzung!$F$15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$13&lt;&gt;"")*IF(B188="",1,(IF(Besatzung!$C$15="",Besatzung!$B$5,Besatzung!$C$15)&lt;=B188)*(IF(Besatzung!$D$15="",Besatzung!$B$6,Besatzung!$D$15)&gt;=B188)))*((G188-IFERROR(H188,0))/IFERROR(SUMPRODUCT((Besatzung!$B$11:$B$22&lt;&gt;"")*(IF(Besatzung!$C$11:$C$22="",Besatzung!$B$5,Besatzung!$C$11:$C$22)&lt;=B188)*(IF(Besatzung!$D$11:$D$22="",Besatzung!$B$6,Besatzung!$D$11:$D$22)&gt;=B188)),1)+(Besatzung!$F$15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N188="x")*((G188-IFERROR(H188,0))/IFERROR(COUNTIF(J188:U188,"x"),1)+(Besatzung!$F$15="x")*IFERROR(H188,0)/IFERROR(SUMPRODUCT((J188:U188="x")*(Besatzung!$F$11:$F$22="x")),1))),(IF(COUNTIF(J188:U188,"x")=0,IF(Besatzung!$B$13&lt;&gt;"",1,0),(N188="x"))*(G188-IFERROR(H188,0))/IFERROR(IF(COUNTIF(J188:U188,"x")=0,COUNTA(Besatzung!$B$11:$B$22),COUNTIF(J188:U188,"x")),1)+IF(COUNTIF(J188:U188,"x")=0,(Besatzung!$F$15="x"),(N188="x")*(Besatzung!$F$15="x"))*IFERROR(H188,0)/IFERROR(IF(COUNTIF(J188:U188,"x")=0,SUMPRODUCT((Besatzung!$B$11:$B$22&lt;&gt;"")*(Besatzung!$F$11:$F$22="x")),SUMPRODUCT((J188:U188="x")*(Besatzung!$F$11:$F$22="x"))),1))))),0))))</f>
        <v/>
      </c>
      <c r="AA188" s="106">
        <f>IF(C188="Gutschrift","",IF(G188="","",IF(Besatzung!$B$15="","",IFERROR(IF(I188="Zeitanteilig",(Besatzung!$G$16*(G188-IFERROR(H188,0))+((Besatzung!$B$15&lt;&gt;"")*IF(B188="",1,(IF(Besatzung!$C$16="",Besatzung!$B$5,Besatzung!$C$16)&lt;=B188)*(IF(Besatzung!$D$16="",Besatzung!$B$6,Besatzung!$D$16)&gt;=B188)))*(Besatzung!$F$16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$15&lt;&gt;"")*IF(B188="",1,(IF(Besatzung!$C$16="",Besatzung!$B$5,Besatzung!$C$16)&lt;=B188)*(IF(Besatzung!$D$16="",Besatzung!$B$6,Besatzung!$D$16)&gt;=B188)))*((G188-IFERROR(H188,0))/IFERROR(SUMPRODUCT((Besatzung!$B$11:$B$22&lt;&gt;"")*(IF(Besatzung!$C$11:$C$22="",Besatzung!$B$5,Besatzung!$C$11:$C$22)&lt;=B188)*(IF(Besatzung!$D$11:$D$22="",Besatzung!$B$6,Besatzung!$D$11:$D$22)&gt;=B188)),1)+(Besatzung!$F$16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O188="x")*((G188-IFERROR(H188,0))/IFERROR(COUNTIF(J188:U188,"x"),1)+(Besatzung!$F$16="x")*IFERROR(H188,0)/IFERROR(SUMPRODUCT((J188:U188="x")*(Besatzung!$F$11:$F$22="x")),1))),(IF(COUNTIF(J188:U188,"x")=0,IF(Besatzung!$B$15&lt;&gt;"",1,0),(O188="x"))*(G188-IFERROR(H188,0))/IFERROR(IF(COUNTIF(J188:U188,"x")=0,COUNTA(Besatzung!$B$11:$B$22),COUNTIF(J188:U188,"x")),1)+IF(COUNTIF(J188:U188,"x")=0,(Besatzung!$F$16="x"),(O188="x")*(Besatzung!$F$16="x"))*IFERROR(H188,0)/IFERROR(IF(COUNTIF(J188:U188,"x")=0,SUMPRODUCT((Besatzung!$B$11:$B$22&lt;&gt;"")*(Besatzung!$F$11:$F$22="x")),SUMPRODUCT((J188:U188="x")*(Besatzung!$F$11:$F$22="x"))),1))))),0))))</f>
        <v/>
      </c>
      <c r="AB188" s="106">
        <f>IF(C188="Gutschrift","",IF(G188="","",IF(Besatzung!$B$17="","",IFERROR(IF(I188="Zeitanteilig",(Besatzung!$G$17*(G188-IFERROR(H188,0))+((Besatzung!$B$17&lt;&gt;"")*IF(B188="",1,(IF(Besatzung!$C$17="",Besatzung!$B$5,Besatzung!$C$17)&lt;=B188)*(IF(Besatzung!$D$17="",Besatzung!$B$6,Besatzung!$D$17)&gt;=B188)))*(Besatzung!$F$17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$17&lt;&gt;"")*IF(B188="",1,(IF(Besatzung!$C$17="",Besatzung!$B$5,Besatzung!$C$17)&lt;=B188)*(IF(Besatzung!$D$17="",Besatzung!$B$6,Besatzung!$D$17)&gt;=B188)))*((G188-IFERROR(H188,0))/IFERROR(SUMPRODUCT((Besatzung!$B$11:$B$22&lt;&gt;"")*(IF(Besatzung!$C$11:$C$22="",Besatzung!$B$5,Besatzung!$C$11:$C$22)&lt;=B188)*(IF(Besatzung!$D$11:$D$22="",Besatzung!$B$6,Besatzung!$D$11:$D$22)&gt;=B188)),1)+(Besatzung!$F$17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P188="x")*((G188-IFERROR(H188,0))/IFERROR(COUNTIF(J188:U188,"x"),1)+(Besatzung!$F$17="x")*IFERROR(H188,0)/IFERROR(SUMPRODUCT((J188:U188="x")*(Besatzung!$F$11:$F$22="x")),1))),(IF(COUNTIF(J188:U188,"x")=0,IF(Besatzung!$B$17&lt;&gt;"",1,0),(P188="x"))*(G188-IFERROR(H188,0))/IFERROR(IF(COUNTIF(J188:U188,"x")=0,COUNTA(Besatzung!$B$11:$B$22),COUNTIF(J188:U188,"x")),1)+IF(COUNTIF(J188:U188,"x")=0,(Besatzung!$F$17="x"),(P188="x")*(Besatzung!$F$17="x"))*IFERROR(H188,0)/IFERROR(IF(COUNTIF(J188:U188,"x")=0,SUMPRODUCT((Besatzung!$B$11:$B$22&lt;&gt;"")*(Besatzung!$F$11:$F$22="x")),SUMPRODUCT((J188:U188="x")*(Besatzung!$F$11:$F$22="x"))),1))))),0))))</f>
        <v/>
      </c>
      <c r="AC188" s="106">
        <f>IF(C188="Gutschrift","",IF(G188="","",IF(Besatzung!$B$18="","",IFERROR(IF(I188="Zeitanteilig",(Besatzung!$G$18*(G188-IFERROR(H188,0))+((Besatzung!$B$18&lt;&gt;"")*IF(B188="",1,(IF(Besatzung!$C$18="",Besatzung!$B$5,Besatzung!$C$18)&lt;=B188)*(IF(Besatzung!$D$18="",Besatzung!$B$6,Besatzung!$D$18)&gt;=B188)))*(Besatzung!$F$18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$18&lt;&gt;"")*IF(B188="",1,(IF(Besatzung!$C$18="",Besatzung!$B$5,Besatzung!$C$18)&lt;=B188)*(IF(Besatzung!$D$18="",Besatzung!$B$6,Besatzung!$D$18)&gt;=B188)))*((G188-IFERROR(H188,0))/IFERROR(SUMPRODUCT((Besatzung!$B$11:$B$22&lt;&gt;"")*(IF(Besatzung!$C$11:$C$22="",Besatzung!$B$5,Besatzung!$C$11:$C$22)&lt;=B188)*(IF(Besatzung!$D$11:$D$22="",Besatzung!$B$6,Besatzung!$D$11:$D$22)&gt;=B188)),1)+(Besatzung!$F$18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Q188="x")*((G188-IFERROR(H188,0))/IFERROR(COUNTIF(J188:U188,"x"),1)+(Besatzung!$F$18="x")*IFERROR(H188,0)/IFERROR(SUMPRODUCT((J188:U188="x")*(Besatzung!$F$11:$F$22="x")),1))),(IF(COUNTIF(J188:U188,"x")=0,IF(Besatzung!$B$18&lt;&gt;"",1,0),(Q188="x"))*(G188-IFERROR(H188,0))/IFERROR(IF(COUNTIF(J188:U188,"x")=0,COUNTA(Besatzung!$B$11:$B$22),COUNTIF(J188:U188,"x")),1)+IF(COUNTIF(J188:U188,"x")=0,(Besatzung!$F$18="x"),(Q188="x")*(Besatzung!$F$18="x"))*IFERROR(H188,0)/IFERROR(IF(COUNTIF(J188:U188,"x")=0,SUMPRODUCT((Besatzung!$B$11:$B$22&lt;&gt;"")*(Besatzung!$F$11:$F$22="x")),SUMPRODUCT((J188:U188="x")*(Besatzung!$F$11:$F$22="x"))),1))))),0))))</f>
        <v/>
      </c>
      <c r="AD188" s="106">
        <f>IF(C188="Gutschrift","",IF(G188="","",IF(Besatzung!$B$19="","",IFERROR(IF(I188="Zeitanteilig",(Besatzung!$G$19*(G188-IFERROR(H188,0))+((Besatzung!$B$19&lt;&gt;"")*IF(B188="",1,(IF(Besatzung!$C$19="",Besatzung!$B$5,Besatzung!$C$19)&lt;=B188)*(IF(Besatzung!$D$19="",Besatzung!$B$6,Besatzung!$D$19)&gt;=B188)))*(Besatzung!$F$19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$19&lt;&gt;"")*IF(B188="",1,(IF(Besatzung!$C$19="",Besatzung!$B$5,Besatzung!$C$19)&lt;=B188)*(IF(Besatzung!$D$19="",Besatzung!$B$6,Besatzung!$D$19)&gt;=B188)))*((G188-IFERROR(H188,0))/IFERROR(SUMPRODUCT((Besatzung!$B$11:$B$22&lt;&gt;"")*(IF(Besatzung!$C$11:$C$22="",Besatzung!$B$5,Besatzung!$C$11:$C$22)&lt;=B188)*(IF(Besatzung!$D$11:$D$22="",Besatzung!$B$6,Besatzung!$D$11:$D$22)&gt;=B188)),1)+(Besatzung!$F$19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R188="x")*((G188-IFERROR(H188,0))/IFERROR(COUNTIF(J188:U188,"x"),1)+(Besatzung!$F$19="x")*IFERROR(H188,0)/IFERROR(SUMPRODUCT((J188:U188="x")*(Besatzung!$F$11:$F$22="x")),1))),(IF(COUNTIF(J188:U188,"x")=0,IF(Besatzung!$B$19&lt;&gt;"",1,0),(R188="x"))*(G188-IFERROR(H188,0))/IFERROR(IF(COUNTIF(J188:U188,"x")=0,COUNTA(Besatzung!$B$11:$B$22),COUNTIF(J188:U188,"x")),1)+IF(COUNTIF(J188:U188,"x")=0,(Besatzung!$F$19="x"),(R188="x")*(Besatzung!$F$19="x"))*IFERROR(H188,0)/IFERROR(IF(COUNTIF(J188:U188,"x")=0,SUMPRODUCT((Besatzung!$B$11:$B$22&lt;&gt;"")*(Besatzung!$F$11:$F$22="x")),SUMPRODUCT((J188:U188="x")*(Besatzung!$F$11:$F$22="x"))),1))))),0))))</f>
        <v/>
      </c>
      <c r="AE188" s="106">
        <f>IF(C188="Gutschrift","",IF(G188="","",IF(Besatzung!$B$20="","",IFERROR(IF(I188="Zeitanteilig",(Besatzung!$G$20*(G188-IFERROR(H188,0))+((Besatzung!$B$20&lt;&gt;"")*IF(B188="",1,(IF(Besatzung!$C$20="",Besatzung!$B$5,Besatzung!$C$20)&lt;=B188)*(IF(Besatzung!$D$20="",Besatzung!$B$6,Besatzung!$D$20)&gt;=B188)))*(Besatzung!$F$20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$20&lt;&gt;"")*IF(B188="",1,(IF(Besatzung!$C$20="",Besatzung!$B$5,Besatzung!$C$20)&lt;=B188)*(IF(Besatzung!$D$20="",Besatzung!$B$6,Besatzung!$D$20)&gt;=B188)))*((G188-IFERROR(H188,0))/IFERROR(SUMPRODUCT((Besatzung!$B$11:$B$22&lt;&gt;"")*(IF(Besatzung!$C$11:$C$22="",Besatzung!$B$5,Besatzung!$C$11:$C$22)&lt;=B188)*(IF(Besatzung!$D$11:$D$22="",Besatzung!$B$6,Besatzung!$D$11:$D$22)&gt;=B188)),1)+(Besatzung!$F$20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S188="x")*((G188-IFERROR(H188,0))/IFERROR(COUNTIF(J188:U188,"x"),1)+(Besatzung!$F$20="x")*IFERROR(H188,0)/IFERROR(SUMPRODUCT((J188:U188="x")*(Besatzung!$F$11:$F$22="x")),1))),(IF(COUNTIF(J188:U188,"x")=0,IF(Besatzung!$B$20&lt;&gt;"",1,0),(S188="x"))*(G188-IFERROR(H188,0))/IFERROR(IF(COUNTIF(J188:U188,"x")=0,COUNTA(Besatzung!$B$11:$B$22),COUNTIF(J188:U188,"x")),1)+IF(COUNTIF(J188:U188,"x")=0,(Besatzung!$F$20="x"),(S188="x")*(Besatzung!$F$20="x"))*IFERROR(H188,0)/IFERROR(IF(COUNTIF(J188:U188,"x")=0,SUMPRODUCT((Besatzung!$B$11:$B$22&lt;&gt;"")*(Besatzung!$F$11:$F$22="x")),SUMPRODUCT((J188:U188="x")*(Besatzung!$F$11:$F$22="x"))),1))))),0))))</f>
        <v/>
      </c>
      <c r="AF188" s="106">
        <f>IF(C188="Gutschrift","",IF(G188="","",IF(Besatzung!$B$21="","",IFERROR(IF(I188="Zeitanteilig",(Besatzung!$G$21*(G188-IFERROR(H188,0))+((Besatzung!$B$21&lt;&gt;"")*IF(B188="",1,(IF(Besatzung!$C$21="",Besatzung!$B$5,Besatzung!$C$21)&lt;=B188)*(IF(Besatzung!$D$21="",Besatzung!$B$6,Besatzung!$D$21)&gt;=B188)))*(Besatzung!$F$21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$21&lt;&gt;"")*IF(B188="",1,(IF(Besatzung!$C$21="",Besatzung!$B$5,Besatzung!$C$21)&lt;=B188)*(IF(Besatzung!$D$21="",Besatzung!$B$6,Besatzung!$D$21)&gt;=B188)))*((G188-IFERROR(H188,0))/IFERROR(SUMPRODUCT((Besatzung!$B$11:$B$22&lt;&gt;"")*(IF(Besatzung!$C$11:$C$22="",Besatzung!$B$5,Besatzung!$C$11:$C$22)&lt;=B188)*(IF(Besatzung!$D$11:$D$22="",Besatzung!$B$6,Besatzung!$D$11:$D$22)&gt;=B188)),1)+(Besatzung!$F$21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T188="x")*((G188-IFERROR(H188,0))/IFERROR(COUNTIF(J188:U188,"x"),1)+(Besatzung!$F$21="x")*IFERROR(H188,0)/IFERROR(SUMPRODUCT((J188:U188="x")*(Besatzung!$F$11:$F$22="x")),1))),(IF(COUNTIF(J188:U188,"x")=0,IF(Besatzung!$B$21&lt;&gt;"",1,0),(T188="x"))*(G188-IFERROR(H188,0))/IFERROR(IF(COUNTIF(J188:U188,"x")=0,COUNTA(Besatzung!$B$11:$B$22),COUNTIF(J188:U188,"x")),1)+IF(COUNTIF(J188:U188,"x")=0,(Besatzung!$F$21="x"),(T188="x")*(Besatzung!$F$21="x"))*IFERROR(H188,0)/IFERROR(IF(COUNTIF(J188:U188,"x")=0,SUMPRODUCT((Besatzung!$B$11:$B$22&lt;&gt;"")*(Besatzung!$F$11:$F$22="x")),SUMPRODUCT((J188:U188="x")*(Besatzung!$F$11:$F$22="x"))),1))))),0))))</f>
        <v/>
      </c>
      <c r="AG188" s="106">
        <f>IF(C188="Gutschrift","",IF(G188="","",IF(Besatzung!$B$22="","",IFERROR(IF(I188="Zeitanteilig",(Besatzung!$G$22*(G188-IFERROR(H188,0))+((Besatzung!$B$22&lt;&gt;"")*IF(B188="",1,(IF(Besatzung!$C$22="",Besatzung!$B$5,Besatzung!$C$22)&lt;=B188)*(IF(Besatzung!$D$22="",Besatzung!$B$6,Besatzung!$D$22)&gt;=B188)))*(Besatzung!$F$22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$22&lt;&gt;"")*IF(B188="",1,(IF(Besatzung!$C$22="",Besatzung!$B$5,Besatzung!$C$22)&lt;=B188)*(IF(Besatzung!$D$22="",Besatzung!$B$6,Besatzung!$D$22)&gt;=B188)))*((G188-IFERROR(H188,0))/IFERROR(SUMPRODUCT((Besatzung!$B$11:$B$22&lt;&gt;"")*(IF(Besatzung!$C$11:$C$22="",Besatzung!$B$5,Besatzung!$C$11:$C$22)&lt;=B188)*(IF(Besatzung!$D$11:$D$22="",Besatzung!$B$6,Besatzung!$D$11:$D$22)&gt;=B188)),1)+(Besatzung!$F$22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U188="x")*((G188-IFERROR(H188,0))/IFERROR(COUNTIF(J188:U188,"x"),1)+(Besatzung!$F$22="x")*IFERROR(H188,0)/IFERROR(SUMPRODUCT((J188:U188="x")*(Besatzung!$F$11:$F$22="x")),1))),(IF(COUNTIF(J188:U188,"x")=0,IF(Besatzung!$B$22&lt;&gt;"",1,0),(U188="x"))*(G188-IFERROR(H188,0))/IFERROR(IF(COUNTIF(J188:U188,"x")=0,COUNTA(Besatzung!$B$11:$B$22),COUNTIF(J188:U188,"x")),1)+IF(COUNTIF(J188:U188,"x")=0,(Besatzung!$F$22="x"),(U188="x")*(Besatzung!$F$22="x"))*IFERROR(H188,0)/IFERROR(IF(COUNTIF(J188:U188,"x")=0,SUMPRODUCT((Besatzung!$B$11:$B$22&lt;&gt;"")*(Besatzung!$F$11:$F$22="x")),SUMPRODUCT((J188:U188="x")*(Besatzung!$F$11:$F$22="x"))),1))))),0))))</f>
        <v/>
      </c>
      <c r="AH188" s="107" t="n"/>
      <c r="AI188" s="107" t="n"/>
    </row>
    <row r="189" ht="21.75" customHeight="1" s="182">
      <c r="A189" s="97">
        <f>IF(AND(D189="",C189=""),"",186)</f>
        <v/>
      </c>
      <c r="B189" s="63" t="n"/>
      <c r="C189" s="108" t="n"/>
      <c r="D189" s="109" t="n"/>
      <c r="E189" s="110" t="n"/>
      <c r="F189" s="111" t="n"/>
      <c r="G189" s="112" t="n"/>
      <c r="H189" s="113" t="n"/>
      <c r="I189" s="114" t="n"/>
      <c r="J189" s="115" t="n"/>
      <c r="K189" s="115" t="n"/>
      <c r="L189" s="115" t="n"/>
      <c r="M189" s="115" t="n"/>
      <c r="N189" s="115" t="n"/>
      <c r="O189" s="115" t="n"/>
      <c r="P189" s="115" t="n"/>
      <c r="Q189" s="115" t="n"/>
      <c r="R189" s="115" t="n"/>
      <c r="S189" s="115" t="n"/>
      <c r="T189" s="115" t="n"/>
      <c r="U189" s="115" t="n"/>
      <c r="V189" s="106">
        <f>IF(C189="Gutschrift","",IF(G189="","",IF(Besatzung!$B$11="","",IFERROR(IF(I189="Zeitanteilig",(Besatzung!$G$11*(G189-IFERROR(H189,0))+((Besatzung!$B$11&lt;&gt;"")*IF(B189="",1,(IF(Besatzung!$C$11="",Besatzung!$B$5,Besatzung!$C$11)&lt;=B189)*(IF(Besatzung!$D$11="",Besatzung!$B$6,Besatzung!$D$11)&gt;=B189)))*(Besatzung!$F$11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$11&lt;&gt;"")*IF(B189="",1,(IF(Besatzung!$C$11="",Besatzung!$B$5,Besatzung!$C$11)&lt;=B189)*(IF(Besatzung!$D$11="",Besatzung!$B$6,Besatzung!$D$11)&gt;=B189)))*((G189-IFERROR(H189,0))/IFERROR(SUMPRODUCT((Besatzung!$B$11:$B$22&lt;&gt;"")*(IF(Besatzung!$C$11:$C$22="",Besatzung!$B$5,Besatzung!$C$11:$C$22)&lt;=B189)*(IF(Besatzung!$D$11:$D$22="",Besatzung!$B$6,Besatzung!$D$11:$D$22)&gt;=B189)),1)+(Besatzung!$F$11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J189="x")*((G189-IFERROR(H189,0))/IFERROR(COUNTIF(J189:U189,"x"),1)+(Besatzung!$F$11="x")*IFERROR(H189,0)/IFERROR(SUMPRODUCT((J189:U189="x")*(Besatzung!$F$11:$F$22="x")),1))),(IF(COUNTIF(J189:U189,"x")=0,IF(Besatzung!$B$11&lt;&gt;"",1,0),(J189="x"))*(G189-IFERROR(H189,0))/IFERROR(IF(COUNTIF(J189:U189,"x")=0,COUNTA(Besatzung!$B$11:$B$22),COUNTIF(J189:U189,"x")),1)+IF(COUNTIF(J189:U189,"x")=0,(Besatzung!$F$11="x"),(J189="x")*(Besatzung!$F$11="x"))*IFERROR(H189,0)/IFERROR(IF(COUNTIF(J189:U189,"x")=0,SUMPRODUCT((Besatzung!$B$11:$B$22&lt;&gt;"")*(Besatzung!$F$11:$F$22="x")),SUMPRODUCT((J189:U189="x")*(Besatzung!$F$11:$F$22="x"))),1))))),0))))</f>
        <v/>
      </c>
      <c r="W189" s="106">
        <f>IF(C189="Gutschrift","",IF(G189="","",IF(Besatzung!$B$12="","",IFERROR(IF(I189="Zeitanteilig",(Besatzung!$G$12*(G189-IFERROR(H189,0))+((Besatzung!$B$12&lt;&gt;"")*IF(B189="",1,(IF(Besatzung!$C$12="",Besatzung!$B$5,Besatzung!$C$12)&lt;=B189)*(IF(Besatzung!$D$12="",Besatzung!$B$6,Besatzung!$D$12)&gt;=B189)))*(Besatzung!$F$12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$12&lt;&gt;"")*IF(B189="",1,(IF(Besatzung!$C$12="",Besatzung!$B$5,Besatzung!$C$12)&lt;=B189)*(IF(Besatzung!$D$12="",Besatzung!$B$6,Besatzung!$D$12)&gt;=B189)))*((G189-IFERROR(H189,0))/IFERROR(SUMPRODUCT((Besatzung!$B$11:$B$22&lt;&gt;"")*(IF(Besatzung!$C$11:$C$22="",Besatzung!$B$5,Besatzung!$C$11:$C$22)&lt;=B189)*(IF(Besatzung!$D$11:$D$22="",Besatzung!$B$6,Besatzung!$D$11:$D$22)&gt;=B189)),1)+(Besatzung!$F$12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K189="x")*((G189-IFERROR(H189,0))/IFERROR(COUNTIF(J189:U189,"x"),1)+(Besatzung!$F$12="x")*IFERROR(H189,0)/IFERROR(SUMPRODUCT((J189:U189="x")*(Besatzung!$F$11:$F$22="x")),1))),(IF(COUNTIF(J189:U189,"x")=0,IF(Besatzung!$B$12&lt;&gt;"",1,0),(K189="x"))*(G189-IFERROR(H189,0))/IFERROR(IF(COUNTIF(J189:U189,"x")=0,COUNTA(Besatzung!$B$11:$B$22),COUNTIF(J189:U189,"x")),1)+IF(COUNTIF(J189:U189,"x")=0,(Besatzung!$F$12="x"),(K189="x")*(Besatzung!$F$12="x"))*IFERROR(H189,0)/IFERROR(IF(COUNTIF(J189:U189,"x")=0,SUMPRODUCT((Besatzung!$B$11:$B$22&lt;&gt;"")*(Besatzung!$F$11:$F$22="x")),SUMPRODUCT((J189:U189="x")*(Besatzung!$F$11:$F$22="x"))),1))))),0))))</f>
        <v/>
      </c>
      <c r="X189" s="106">
        <f>IF(C189="Gutschrift","",IF(G189="","",IF(Besatzung!$B$13="","",IFERROR(IF(I189="Zeitanteilig",(Besatzung!$G$13*(G189-IFERROR(H189,0))+((Besatzung!$B$13&lt;&gt;"")*IF(B189="",1,(IF(Besatzung!$C$13="",Besatzung!$B$5,Besatzung!$C$13)&lt;=B189)*(IF(Besatzung!$D$13="",Besatzung!$B$6,Besatzung!$D$13)&gt;=B189)))*(Besatzung!$F$13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$13&lt;&gt;"")*IF(B189="",1,(IF(Besatzung!$C$13="",Besatzung!$B$5,Besatzung!$C$13)&lt;=B189)*(IF(Besatzung!$D$13="",Besatzung!$B$6,Besatzung!$D$13)&gt;=B189)))*((G189-IFERROR(H189,0))/IFERROR(SUMPRODUCT((Besatzung!$B$11:$B$22&lt;&gt;"")*(IF(Besatzung!$C$11:$C$22="",Besatzung!$B$5,Besatzung!$C$11:$C$22)&lt;=B189)*(IF(Besatzung!$D$11:$D$22="",Besatzung!$B$6,Besatzung!$D$11:$D$22)&gt;=B189)),1)+(Besatzung!$F$13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K189="x")*((G189-IFERROR(H189,0))/IFERROR(COUNTIF(J189:U189,"x"),1)+(Besatzung!$F$13="x")*IFERROR(H189,0)/IFERROR(SUMPRODUCT((J189:U189="x")*(Besatzung!$F$11:$F$22="x")),1))),(IF(COUNTIF(J189:U189,"x")=0,IF(Besatzung!$B$13&lt;&gt;"",1,0),(K189="x"))*(G189-IFERROR(H189,0))/IFERROR(IF(COUNTIF(J189:U189,"x")=0,COUNTA(Besatzung!$B$11:$B$22),COUNTIF(J189:U189,"x")),1)+IF(COUNTIF(J189:U189,"x")=0,(Besatzung!$F$13="x"),(K189="x")*(Besatzung!$F$13="x"))*IFERROR(H189,0)/IFERROR(IF(COUNTIF(J189:U189,"x")=0,SUMPRODUCT((Besatzung!$B$11:$B$22&lt;&gt;"")*(Besatzung!$F$11:$F$22="x")),SUMPRODUCT((J189:U189="x")*(Besatzung!$F$11:$F$22="x"))),1))))),0))))</f>
        <v/>
      </c>
      <c r="Y189" s="106">
        <f>IF(C189="Gutschrift","",IF(G189="","",IF(Besatzung!$B$14="","",IFERROR(IF(I189="Zeitanteilig",(Besatzung!$G$14*(G189-IFERROR(H189,0))+((Besatzung!$B$14&lt;&gt;"")*IF(B189="",1,(IF(Besatzung!$C$14="",Besatzung!$B$5,Besatzung!$C$14)&lt;=B189)*(IF(Besatzung!$D$14="",Besatzung!$B$6,Besatzung!$D$14)&gt;=B189)))*(Besatzung!$F$14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$14&lt;&gt;"")*IF(B189="",1,(IF(Besatzung!$C$14="",Besatzung!$B$5,Besatzung!$C$14)&lt;=B189)*(IF(Besatzung!$D$14="",Besatzung!$B$6,Besatzung!$D$14)&gt;=B189)))*((G189-IFERROR(H189,0))/IFERROR(SUMPRODUCT((Besatzung!$B$11:$B$22&lt;&gt;"")*(IF(Besatzung!$C$11:$C$22="",Besatzung!$B$5,Besatzung!$C$11:$C$22)&lt;=B189)*(IF(Besatzung!$D$11:$D$22="",Besatzung!$B$6,Besatzung!$D$11:$D$22)&gt;=B189)),1)+(Besatzung!$F$14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M189="x")*((G189-IFERROR(H189,0))/IFERROR(COUNTIF(J189:U189,"x"),1)+(Besatzung!$F$14="x")*IFERROR(H189,0)/IFERROR(SUMPRODUCT((J189:U189="x")*(Besatzung!$F$11:$F$22="x")),1))),(IF(COUNTIF(J189:U189,"x")=0,IF(Besatzung!$B$14&lt;&gt;"",1,0),(M189="x"))*(G189-IFERROR(H189,0))/IFERROR(IF(COUNTIF(J189:U189,"x")=0,COUNTA(Besatzung!$B$11:$B$22),COUNTIF(J189:U189,"x")),1)+IF(COUNTIF(J189:U189,"x")=0,(Besatzung!$F$14="x"),(M189="x")*(Besatzung!$F$14="x"))*IFERROR(H189,0)/IFERROR(IF(COUNTIF(J189:U189,"x")=0,SUMPRODUCT((Besatzung!$B$11:$B$22&lt;&gt;"")*(Besatzung!$F$11:$F$22="x")),SUMPRODUCT((J189:U189="x")*(Besatzung!$F$11:$F$22="x"))),1))))),0))))</f>
        <v/>
      </c>
      <c r="Z189" s="106">
        <f>IF(C189="Gutschrift","",IF(G189="","",IF(Besatzung!$B$13="","",IFERROR(IF(I189="Zeitanteilig",(Besatzung!$G$15*(G189-IFERROR(H189,0))+((Besatzung!$B$13&lt;&gt;"")*IF(B189="",1,(IF(Besatzung!$C$15="",Besatzung!$B$5,Besatzung!$C$15)&lt;=B189)*(IF(Besatzung!$D$15="",Besatzung!$B$6,Besatzung!$D$15)&gt;=B189)))*(Besatzung!$F$15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$13&lt;&gt;"")*IF(B189="",1,(IF(Besatzung!$C$15="",Besatzung!$B$5,Besatzung!$C$15)&lt;=B189)*(IF(Besatzung!$D$15="",Besatzung!$B$6,Besatzung!$D$15)&gt;=B189)))*((G189-IFERROR(H189,0))/IFERROR(SUMPRODUCT((Besatzung!$B$11:$B$22&lt;&gt;"")*(IF(Besatzung!$C$11:$C$22="",Besatzung!$B$5,Besatzung!$C$11:$C$22)&lt;=B189)*(IF(Besatzung!$D$11:$D$22="",Besatzung!$B$6,Besatzung!$D$11:$D$22)&gt;=B189)),1)+(Besatzung!$F$15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N189="x")*((G189-IFERROR(H189,0))/IFERROR(COUNTIF(J189:U189,"x"),1)+(Besatzung!$F$15="x")*IFERROR(H189,0)/IFERROR(SUMPRODUCT((J189:U189="x")*(Besatzung!$F$11:$F$22="x")),1))),(IF(COUNTIF(J189:U189,"x")=0,IF(Besatzung!$B$13&lt;&gt;"",1,0),(N189="x"))*(G189-IFERROR(H189,0))/IFERROR(IF(COUNTIF(J189:U189,"x")=0,COUNTA(Besatzung!$B$11:$B$22),COUNTIF(J189:U189,"x")),1)+IF(COUNTIF(J189:U189,"x")=0,(Besatzung!$F$15="x"),(N189="x")*(Besatzung!$F$15="x"))*IFERROR(H189,0)/IFERROR(IF(COUNTIF(J189:U189,"x")=0,SUMPRODUCT((Besatzung!$B$11:$B$22&lt;&gt;"")*(Besatzung!$F$11:$F$22="x")),SUMPRODUCT((J189:U189="x")*(Besatzung!$F$11:$F$22="x"))),1))))),0))))</f>
        <v/>
      </c>
      <c r="AA189" s="106">
        <f>IF(C189="Gutschrift","",IF(G189="","",IF(Besatzung!$B$15="","",IFERROR(IF(I189="Zeitanteilig",(Besatzung!$G$16*(G189-IFERROR(H189,0))+((Besatzung!$B$15&lt;&gt;"")*IF(B189="",1,(IF(Besatzung!$C$16="",Besatzung!$B$5,Besatzung!$C$16)&lt;=B189)*(IF(Besatzung!$D$16="",Besatzung!$B$6,Besatzung!$D$16)&gt;=B189)))*(Besatzung!$F$16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$15&lt;&gt;"")*IF(B189="",1,(IF(Besatzung!$C$16="",Besatzung!$B$5,Besatzung!$C$16)&lt;=B189)*(IF(Besatzung!$D$16="",Besatzung!$B$6,Besatzung!$D$16)&gt;=B189)))*((G189-IFERROR(H189,0))/IFERROR(SUMPRODUCT((Besatzung!$B$11:$B$22&lt;&gt;"")*(IF(Besatzung!$C$11:$C$22="",Besatzung!$B$5,Besatzung!$C$11:$C$22)&lt;=B189)*(IF(Besatzung!$D$11:$D$22="",Besatzung!$B$6,Besatzung!$D$11:$D$22)&gt;=B189)),1)+(Besatzung!$F$16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O189="x")*((G189-IFERROR(H189,0))/IFERROR(COUNTIF(J189:U189,"x"),1)+(Besatzung!$F$16="x")*IFERROR(H189,0)/IFERROR(SUMPRODUCT((J189:U189="x")*(Besatzung!$F$11:$F$22="x")),1))),(IF(COUNTIF(J189:U189,"x")=0,IF(Besatzung!$B$15&lt;&gt;"",1,0),(O189="x"))*(G189-IFERROR(H189,0))/IFERROR(IF(COUNTIF(J189:U189,"x")=0,COUNTA(Besatzung!$B$11:$B$22),COUNTIF(J189:U189,"x")),1)+IF(COUNTIF(J189:U189,"x")=0,(Besatzung!$F$16="x"),(O189="x")*(Besatzung!$F$16="x"))*IFERROR(H189,0)/IFERROR(IF(COUNTIF(J189:U189,"x")=0,SUMPRODUCT((Besatzung!$B$11:$B$22&lt;&gt;"")*(Besatzung!$F$11:$F$22="x")),SUMPRODUCT((J189:U189="x")*(Besatzung!$F$11:$F$22="x"))),1))))),0))))</f>
        <v/>
      </c>
      <c r="AB189" s="106">
        <f>IF(C189="Gutschrift","",IF(G189="","",IF(Besatzung!$B$17="","",IFERROR(IF(I189="Zeitanteilig",(Besatzung!$G$17*(G189-IFERROR(H189,0))+((Besatzung!$B$17&lt;&gt;"")*IF(B189="",1,(IF(Besatzung!$C$17="",Besatzung!$B$5,Besatzung!$C$17)&lt;=B189)*(IF(Besatzung!$D$17="",Besatzung!$B$6,Besatzung!$D$17)&gt;=B189)))*(Besatzung!$F$17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$17&lt;&gt;"")*IF(B189="",1,(IF(Besatzung!$C$17="",Besatzung!$B$5,Besatzung!$C$17)&lt;=B189)*(IF(Besatzung!$D$17="",Besatzung!$B$6,Besatzung!$D$17)&gt;=B189)))*((G189-IFERROR(H189,0))/IFERROR(SUMPRODUCT((Besatzung!$B$11:$B$22&lt;&gt;"")*(IF(Besatzung!$C$11:$C$22="",Besatzung!$B$5,Besatzung!$C$11:$C$22)&lt;=B189)*(IF(Besatzung!$D$11:$D$22="",Besatzung!$B$6,Besatzung!$D$11:$D$22)&gt;=B189)),1)+(Besatzung!$F$17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P189="x")*((G189-IFERROR(H189,0))/IFERROR(COUNTIF(J189:U189,"x"),1)+(Besatzung!$F$17="x")*IFERROR(H189,0)/IFERROR(SUMPRODUCT((J189:U189="x")*(Besatzung!$F$11:$F$22="x")),1))),(IF(COUNTIF(J189:U189,"x")=0,IF(Besatzung!$B$17&lt;&gt;"",1,0),(P189="x"))*(G189-IFERROR(H189,0))/IFERROR(IF(COUNTIF(J189:U189,"x")=0,COUNTA(Besatzung!$B$11:$B$22),COUNTIF(J189:U189,"x")),1)+IF(COUNTIF(J189:U189,"x")=0,(Besatzung!$F$17="x"),(P189="x")*(Besatzung!$F$17="x"))*IFERROR(H189,0)/IFERROR(IF(COUNTIF(J189:U189,"x")=0,SUMPRODUCT((Besatzung!$B$11:$B$22&lt;&gt;"")*(Besatzung!$F$11:$F$22="x")),SUMPRODUCT((J189:U189="x")*(Besatzung!$F$11:$F$22="x"))),1))))),0))))</f>
        <v/>
      </c>
      <c r="AC189" s="106">
        <f>IF(C189="Gutschrift","",IF(G189="","",IF(Besatzung!$B$18="","",IFERROR(IF(I189="Zeitanteilig",(Besatzung!$G$18*(G189-IFERROR(H189,0))+((Besatzung!$B$18&lt;&gt;"")*IF(B189="",1,(IF(Besatzung!$C$18="",Besatzung!$B$5,Besatzung!$C$18)&lt;=B189)*(IF(Besatzung!$D$18="",Besatzung!$B$6,Besatzung!$D$18)&gt;=B189)))*(Besatzung!$F$18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$18&lt;&gt;"")*IF(B189="",1,(IF(Besatzung!$C$18="",Besatzung!$B$5,Besatzung!$C$18)&lt;=B189)*(IF(Besatzung!$D$18="",Besatzung!$B$6,Besatzung!$D$18)&gt;=B189)))*((G189-IFERROR(H189,0))/IFERROR(SUMPRODUCT((Besatzung!$B$11:$B$22&lt;&gt;"")*(IF(Besatzung!$C$11:$C$22="",Besatzung!$B$5,Besatzung!$C$11:$C$22)&lt;=B189)*(IF(Besatzung!$D$11:$D$22="",Besatzung!$B$6,Besatzung!$D$11:$D$22)&gt;=B189)),1)+(Besatzung!$F$18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Q189="x")*((G189-IFERROR(H189,0))/IFERROR(COUNTIF(J189:U189,"x"),1)+(Besatzung!$F$18="x")*IFERROR(H189,0)/IFERROR(SUMPRODUCT((J189:U189="x")*(Besatzung!$F$11:$F$22="x")),1))),(IF(COUNTIF(J189:U189,"x")=0,IF(Besatzung!$B$18&lt;&gt;"",1,0),(Q189="x"))*(G189-IFERROR(H189,0))/IFERROR(IF(COUNTIF(J189:U189,"x")=0,COUNTA(Besatzung!$B$11:$B$22),COUNTIF(J189:U189,"x")),1)+IF(COUNTIF(J189:U189,"x")=0,(Besatzung!$F$18="x"),(Q189="x")*(Besatzung!$F$18="x"))*IFERROR(H189,0)/IFERROR(IF(COUNTIF(J189:U189,"x")=0,SUMPRODUCT((Besatzung!$B$11:$B$22&lt;&gt;"")*(Besatzung!$F$11:$F$22="x")),SUMPRODUCT((J189:U189="x")*(Besatzung!$F$11:$F$22="x"))),1))))),0))))</f>
        <v/>
      </c>
      <c r="AD189" s="106">
        <f>IF(C189="Gutschrift","",IF(G189="","",IF(Besatzung!$B$19="","",IFERROR(IF(I189="Zeitanteilig",(Besatzung!$G$19*(G189-IFERROR(H189,0))+((Besatzung!$B$19&lt;&gt;"")*IF(B189="",1,(IF(Besatzung!$C$19="",Besatzung!$B$5,Besatzung!$C$19)&lt;=B189)*(IF(Besatzung!$D$19="",Besatzung!$B$6,Besatzung!$D$19)&gt;=B189)))*(Besatzung!$F$19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$19&lt;&gt;"")*IF(B189="",1,(IF(Besatzung!$C$19="",Besatzung!$B$5,Besatzung!$C$19)&lt;=B189)*(IF(Besatzung!$D$19="",Besatzung!$B$6,Besatzung!$D$19)&gt;=B189)))*((G189-IFERROR(H189,0))/IFERROR(SUMPRODUCT((Besatzung!$B$11:$B$22&lt;&gt;"")*(IF(Besatzung!$C$11:$C$22="",Besatzung!$B$5,Besatzung!$C$11:$C$22)&lt;=B189)*(IF(Besatzung!$D$11:$D$22="",Besatzung!$B$6,Besatzung!$D$11:$D$22)&gt;=B189)),1)+(Besatzung!$F$19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R189="x")*((G189-IFERROR(H189,0))/IFERROR(COUNTIF(J189:U189,"x"),1)+(Besatzung!$F$19="x")*IFERROR(H189,0)/IFERROR(SUMPRODUCT((J189:U189="x")*(Besatzung!$F$11:$F$22="x")),1))),(IF(COUNTIF(J189:U189,"x")=0,IF(Besatzung!$B$19&lt;&gt;"",1,0),(R189="x"))*(G189-IFERROR(H189,0))/IFERROR(IF(COUNTIF(J189:U189,"x")=0,COUNTA(Besatzung!$B$11:$B$22),COUNTIF(J189:U189,"x")),1)+IF(COUNTIF(J189:U189,"x")=0,(Besatzung!$F$19="x"),(R189="x")*(Besatzung!$F$19="x"))*IFERROR(H189,0)/IFERROR(IF(COUNTIF(J189:U189,"x")=0,SUMPRODUCT((Besatzung!$B$11:$B$22&lt;&gt;"")*(Besatzung!$F$11:$F$22="x")),SUMPRODUCT((J189:U189="x")*(Besatzung!$F$11:$F$22="x"))),1))))),0))))</f>
        <v/>
      </c>
      <c r="AE189" s="106">
        <f>IF(C189="Gutschrift","",IF(G189="","",IF(Besatzung!$B$20="","",IFERROR(IF(I189="Zeitanteilig",(Besatzung!$G$20*(G189-IFERROR(H189,0))+((Besatzung!$B$20&lt;&gt;"")*IF(B189="",1,(IF(Besatzung!$C$20="",Besatzung!$B$5,Besatzung!$C$20)&lt;=B189)*(IF(Besatzung!$D$20="",Besatzung!$B$6,Besatzung!$D$20)&gt;=B189)))*(Besatzung!$F$20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$20&lt;&gt;"")*IF(B189="",1,(IF(Besatzung!$C$20="",Besatzung!$B$5,Besatzung!$C$20)&lt;=B189)*(IF(Besatzung!$D$20="",Besatzung!$B$6,Besatzung!$D$20)&gt;=B189)))*((G189-IFERROR(H189,0))/IFERROR(SUMPRODUCT((Besatzung!$B$11:$B$22&lt;&gt;"")*(IF(Besatzung!$C$11:$C$22="",Besatzung!$B$5,Besatzung!$C$11:$C$22)&lt;=B189)*(IF(Besatzung!$D$11:$D$22="",Besatzung!$B$6,Besatzung!$D$11:$D$22)&gt;=B189)),1)+(Besatzung!$F$20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S189="x")*((G189-IFERROR(H189,0))/IFERROR(COUNTIF(J189:U189,"x"),1)+(Besatzung!$F$20="x")*IFERROR(H189,0)/IFERROR(SUMPRODUCT((J189:U189="x")*(Besatzung!$F$11:$F$22="x")),1))),(IF(COUNTIF(J189:U189,"x")=0,IF(Besatzung!$B$20&lt;&gt;"",1,0),(S189="x"))*(G189-IFERROR(H189,0))/IFERROR(IF(COUNTIF(J189:U189,"x")=0,COUNTA(Besatzung!$B$11:$B$22),COUNTIF(J189:U189,"x")),1)+IF(COUNTIF(J189:U189,"x")=0,(Besatzung!$F$20="x"),(S189="x")*(Besatzung!$F$20="x"))*IFERROR(H189,0)/IFERROR(IF(COUNTIF(J189:U189,"x")=0,SUMPRODUCT((Besatzung!$B$11:$B$22&lt;&gt;"")*(Besatzung!$F$11:$F$22="x")),SUMPRODUCT((J189:U189="x")*(Besatzung!$F$11:$F$22="x"))),1))))),0))))</f>
        <v/>
      </c>
      <c r="AF189" s="106">
        <f>IF(C189="Gutschrift","",IF(G189="","",IF(Besatzung!$B$21="","",IFERROR(IF(I189="Zeitanteilig",(Besatzung!$G$21*(G189-IFERROR(H189,0))+((Besatzung!$B$21&lt;&gt;"")*IF(B189="",1,(IF(Besatzung!$C$21="",Besatzung!$B$5,Besatzung!$C$21)&lt;=B189)*(IF(Besatzung!$D$21="",Besatzung!$B$6,Besatzung!$D$21)&gt;=B189)))*(Besatzung!$F$21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$21&lt;&gt;"")*IF(B189="",1,(IF(Besatzung!$C$21="",Besatzung!$B$5,Besatzung!$C$21)&lt;=B189)*(IF(Besatzung!$D$21="",Besatzung!$B$6,Besatzung!$D$21)&gt;=B189)))*((G189-IFERROR(H189,0))/IFERROR(SUMPRODUCT((Besatzung!$B$11:$B$22&lt;&gt;"")*(IF(Besatzung!$C$11:$C$22="",Besatzung!$B$5,Besatzung!$C$11:$C$22)&lt;=B189)*(IF(Besatzung!$D$11:$D$22="",Besatzung!$B$6,Besatzung!$D$11:$D$22)&gt;=B189)),1)+(Besatzung!$F$21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T189="x")*((G189-IFERROR(H189,0))/IFERROR(COUNTIF(J189:U189,"x"),1)+(Besatzung!$F$21="x")*IFERROR(H189,0)/IFERROR(SUMPRODUCT((J189:U189="x")*(Besatzung!$F$11:$F$22="x")),1))),(IF(COUNTIF(J189:U189,"x")=0,IF(Besatzung!$B$21&lt;&gt;"",1,0),(T189="x"))*(G189-IFERROR(H189,0))/IFERROR(IF(COUNTIF(J189:U189,"x")=0,COUNTA(Besatzung!$B$11:$B$22),COUNTIF(J189:U189,"x")),1)+IF(COUNTIF(J189:U189,"x")=0,(Besatzung!$F$21="x"),(T189="x")*(Besatzung!$F$21="x"))*IFERROR(H189,0)/IFERROR(IF(COUNTIF(J189:U189,"x")=0,SUMPRODUCT((Besatzung!$B$11:$B$22&lt;&gt;"")*(Besatzung!$F$11:$F$22="x")),SUMPRODUCT((J189:U189="x")*(Besatzung!$F$11:$F$22="x"))),1))))),0))))</f>
        <v/>
      </c>
      <c r="AG189" s="106">
        <f>IF(C189="Gutschrift","",IF(G189="","",IF(Besatzung!$B$22="","",IFERROR(IF(I189="Zeitanteilig",(Besatzung!$G$22*(G189-IFERROR(H189,0))+((Besatzung!$B$22&lt;&gt;"")*IF(B189="",1,(IF(Besatzung!$C$22="",Besatzung!$B$5,Besatzung!$C$22)&lt;=B189)*(IF(Besatzung!$D$22="",Besatzung!$B$6,Besatzung!$D$22)&gt;=B189)))*(Besatzung!$F$22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$22&lt;&gt;"")*IF(B189="",1,(IF(Besatzung!$C$22="",Besatzung!$B$5,Besatzung!$C$22)&lt;=B189)*(IF(Besatzung!$D$22="",Besatzung!$B$6,Besatzung!$D$22)&gt;=B189)))*((G189-IFERROR(H189,0))/IFERROR(SUMPRODUCT((Besatzung!$B$11:$B$22&lt;&gt;"")*(IF(Besatzung!$C$11:$C$22="",Besatzung!$B$5,Besatzung!$C$11:$C$22)&lt;=B189)*(IF(Besatzung!$D$11:$D$22="",Besatzung!$B$6,Besatzung!$D$11:$D$22)&gt;=B189)),1)+(Besatzung!$F$22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U189="x")*((G189-IFERROR(H189,0))/IFERROR(COUNTIF(J189:U189,"x"),1)+(Besatzung!$F$22="x")*IFERROR(H189,0)/IFERROR(SUMPRODUCT((J189:U189="x")*(Besatzung!$F$11:$F$22="x")),1))),(IF(COUNTIF(J189:U189,"x")=0,IF(Besatzung!$B$22&lt;&gt;"",1,0),(U189="x"))*(G189-IFERROR(H189,0))/IFERROR(IF(COUNTIF(J189:U189,"x")=0,COUNTA(Besatzung!$B$11:$B$22),COUNTIF(J189:U189,"x")),1)+IF(COUNTIF(J189:U189,"x")=0,(Besatzung!$F$22="x"),(U189="x")*(Besatzung!$F$22="x"))*IFERROR(H189,0)/IFERROR(IF(COUNTIF(J189:U189,"x")=0,SUMPRODUCT((Besatzung!$B$11:$B$22&lt;&gt;"")*(Besatzung!$F$11:$F$22="x")),SUMPRODUCT((J189:U189="x")*(Besatzung!$F$11:$F$22="x"))),1))))),0))))</f>
        <v/>
      </c>
      <c r="AH189" s="107" t="n"/>
      <c r="AI189" s="107" t="n"/>
    </row>
    <row r="190" ht="21.75" customHeight="1" s="182">
      <c r="A190" s="97">
        <f>IF(AND(D190="",C190=""),"",187)</f>
        <v/>
      </c>
      <c r="B190" s="56" t="n"/>
      <c r="C190" s="98" t="n"/>
      <c r="D190" s="99" t="n"/>
      <c r="E190" s="100" t="n"/>
      <c r="F190" s="101" t="n"/>
      <c r="G190" s="102" t="n"/>
      <c r="H190" s="103" t="n"/>
      <c r="I190" s="104" t="n"/>
      <c r="J190" s="105" t="n"/>
      <c r="K190" s="105" t="n"/>
      <c r="L190" s="105" t="n"/>
      <c r="M190" s="105" t="n"/>
      <c r="N190" s="105" t="n"/>
      <c r="O190" s="105" t="n"/>
      <c r="P190" s="105" t="n"/>
      <c r="Q190" s="105" t="n"/>
      <c r="R190" s="105" t="n"/>
      <c r="S190" s="105" t="n"/>
      <c r="T190" s="105" t="n"/>
      <c r="U190" s="105" t="n"/>
      <c r="V190" s="106">
        <f>IF(C190="Gutschrift","",IF(G190="","",IF(Besatzung!$B$11="","",IFERROR(IF(I190="Zeitanteilig",(Besatzung!$G$11*(G190-IFERROR(H190,0))+((Besatzung!$B$11&lt;&gt;"")*IF(B190="",1,(IF(Besatzung!$C$11="",Besatzung!$B$5,Besatzung!$C$11)&lt;=B190)*(IF(Besatzung!$D$11="",Besatzung!$B$6,Besatzung!$D$11)&gt;=B190)))*(Besatzung!$F$11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$11&lt;&gt;"")*IF(B190="",1,(IF(Besatzung!$C$11="",Besatzung!$B$5,Besatzung!$C$11)&lt;=B190)*(IF(Besatzung!$D$11="",Besatzung!$B$6,Besatzung!$D$11)&gt;=B190)))*((G190-IFERROR(H190,0))/IFERROR(SUMPRODUCT((Besatzung!$B$11:$B$22&lt;&gt;"")*(IF(Besatzung!$C$11:$C$22="",Besatzung!$B$5,Besatzung!$C$11:$C$22)&lt;=B190)*(IF(Besatzung!$D$11:$D$22="",Besatzung!$B$6,Besatzung!$D$11:$D$22)&gt;=B190)),1)+(Besatzung!$F$11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J190="x")*((G190-IFERROR(H190,0))/IFERROR(COUNTIF(J190:U190,"x"),1)+(Besatzung!$F$11="x")*IFERROR(H190,0)/IFERROR(SUMPRODUCT((J190:U190="x")*(Besatzung!$F$11:$F$22="x")),1))),(IF(COUNTIF(J190:U190,"x")=0,IF(Besatzung!$B$11&lt;&gt;"",1,0),(J190="x"))*(G190-IFERROR(H190,0))/IFERROR(IF(COUNTIF(J190:U190,"x")=0,COUNTA(Besatzung!$B$11:$B$22),COUNTIF(J190:U190,"x")),1)+IF(COUNTIF(J190:U190,"x")=0,(Besatzung!$F$11="x"),(J190="x")*(Besatzung!$F$11="x"))*IFERROR(H190,0)/IFERROR(IF(COUNTIF(J190:U190,"x")=0,SUMPRODUCT((Besatzung!$B$11:$B$22&lt;&gt;"")*(Besatzung!$F$11:$F$22="x")),SUMPRODUCT((J190:U190="x")*(Besatzung!$F$11:$F$22="x"))),1))))),0))))</f>
        <v/>
      </c>
      <c r="W190" s="106">
        <f>IF(C190="Gutschrift","",IF(G190="","",IF(Besatzung!$B$12="","",IFERROR(IF(I190="Zeitanteilig",(Besatzung!$G$12*(G190-IFERROR(H190,0))+((Besatzung!$B$12&lt;&gt;"")*IF(B190="",1,(IF(Besatzung!$C$12="",Besatzung!$B$5,Besatzung!$C$12)&lt;=B190)*(IF(Besatzung!$D$12="",Besatzung!$B$6,Besatzung!$D$12)&gt;=B190)))*(Besatzung!$F$12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$12&lt;&gt;"")*IF(B190="",1,(IF(Besatzung!$C$12="",Besatzung!$B$5,Besatzung!$C$12)&lt;=B190)*(IF(Besatzung!$D$12="",Besatzung!$B$6,Besatzung!$D$12)&gt;=B190)))*((G190-IFERROR(H190,0))/IFERROR(SUMPRODUCT((Besatzung!$B$11:$B$22&lt;&gt;"")*(IF(Besatzung!$C$11:$C$22="",Besatzung!$B$5,Besatzung!$C$11:$C$22)&lt;=B190)*(IF(Besatzung!$D$11:$D$22="",Besatzung!$B$6,Besatzung!$D$11:$D$22)&gt;=B190)),1)+(Besatzung!$F$12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K190="x")*((G190-IFERROR(H190,0))/IFERROR(COUNTIF(J190:U190,"x"),1)+(Besatzung!$F$12="x")*IFERROR(H190,0)/IFERROR(SUMPRODUCT((J190:U190="x")*(Besatzung!$F$11:$F$22="x")),1))),(IF(COUNTIF(J190:U190,"x")=0,IF(Besatzung!$B$12&lt;&gt;"",1,0),(K190="x"))*(G190-IFERROR(H190,0))/IFERROR(IF(COUNTIF(J190:U190,"x")=0,COUNTA(Besatzung!$B$11:$B$22),COUNTIF(J190:U190,"x")),1)+IF(COUNTIF(J190:U190,"x")=0,(Besatzung!$F$12="x"),(K190="x")*(Besatzung!$F$12="x"))*IFERROR(H190,0)/IFERROR(IF(COUNTIF(J190:U190,"x")=0,SUMPRODUCT((Besatzung!$B$11:$B$22&lt;&gt;"")*(Besatzung!$F$11:$F$22="x")),SUMPRODUCT((J190:U190="x")*(Besatzung!$F$11:$F$22="x"))),1))))),0))))</f>
        <v/>
      </c>
      <c r="X190" s="106">
        <f>IF(C190="Gutschrift","",IF(G190="","",IF(Besatzung!$B$13="","",IFERROR(IF(I190="Zeitanteilig",(Besatzung!$G$13*(G190-IFERROR(H190,0))+((Besatzung!$B$13&lt;&gt;"")*IF(B190="",1,(IF(Besatzung!$C$13="",Besatzung!$B$5,Besatzung!$C$13)&lt;=B190)*(IF(Besatzung!$D$13="",Besatzung!$B$6,Besatzung!$D$13)&gt;=B190)))*(Besatzung!$F$13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$13&lt;&gt;"")*IF(B190="",1,(IF(Besatzung!$C$13="",Besatzung!$B$5,Besatzung!$C$13)&lt;=B190)*(IF(Besatzung!$D$13="",Besatzung!$B$6,Besatzung!$D$13)&gt;=B190)))*((G190-IFERROR(H190,0))/IFERROR(SUMPRODUCT((Besatzung!$B$11:$B$22&lt;&gt;"")*(IF(Besatzung!$C$11:$C$22="",Besatzung!$B$5,Besatzung!$C$11:$C$22)&lt;=B190)*(IF(Besatzung!$D$11:$D$22="",Besatzung!$B$6,Besatzung!$D$11:$D$22)&gt;=B190)),1)+(Besatzung!$F$13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K190="x")*((G190-IFERROR(H190,0))/IFERROR(COUNTIF(J190:U190,"x"),1)+(Besatzung!$F$13="x")*IFERROR(H190,0)/IFERROR(SUMPRODUCT((J190:U190="x")*(Besatzung!$F$11:$F$22="x")),1))),(IF(COUNTIF(J190:U190,"x")=0,IF(Besatzung!$B$13&lt;&gt;"",1,0),(K190="x"))*(G190-IFERROR(H190,0))/IFERROR(IF(COUNTIF(J190:U190,"x")=0,COUNTA(Besatzung!$B$11:$B$22),COUNTIF(J190:U190,"x")),1)+IF(COUNTIF(J190:U190,"x")=0,(Besatzung!$F$13="x"),(K190="x")*(Besatzung!$F$13="x"))*IFERROR(H190,0)/IFERROR(IF(COUNTIF(J190:U190,"x")=0,SUMPRODUCT((Besatzung!$B$11:$B$22&lt;&gt;"")*(Besatzung!$F$11:$F$22="x")),SUMPRODUCT((J190:U190="x")*(Besatzung!$F$11:$F$22="x"))),1))))),0))))</f>
        <v/>
      </c>
      <c r="Y190" s="106">
        <f>IF(C190="Gutschrift","",IF(G190="","",IF(Besatzung!$B$14="","",IFERROR(IF(I190="Zeitanteilig",(Besatzung!$G$14*(G190-IFERROR(H190,0))+((Besatzung!$B$14&lt;&gt;"")*IF(B190="",1,(IF(Besatzung!$C$14="",Besatzung!$B$5,Besatzung!$C$14)&lt;=B190)*(IF(Besatzung!$D$14="",Besatzung!$B$6,Besatzung!$D$14)&gt;=B190)))*(Besatzung!$F$14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$14&lt;&gt;"")*IF(B190="",1,(IF(Besatzung!$C$14="",Besatzung!$B$5,Besatzung!$C$14)&lt;=B190)*(IF(Besatzung!$D$14="",Besatzung!$B$6,Besatzung!$D$14)&gt;=B190)))*((G190-IFERROR(H190,0))/IFERROR(SUMPRODUCT((Besatzung!$B$11:$B$22&lt;&gt;"")*(IF(Besatzung!$C$11:$C$22="",Besatzung!$B$5,Besatzung!$C$11:$C$22)&lt;=B190)*(IF(Besatzung!$D$11:$D$22="",Besatzung!$B$6,Besatzung!$D$11:$D$22)&gt;=B190)),1)+(Besatzung!$F$14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M190="x")*((G190-IFERROR(H190,0))/IFERROR(COUNTIF(J190:U190,"x"),1)+(Besatzung!$F$14="x")*IFERROR(H190,0)/IFERROR(SUMPRODUCT((J190:U190="x")*(Besatzung!$F$11:$F$22="x")),1))),(IF(COUNTIF(J190:U190,"x")=0,IF(Besatzung!$B$14&lt;&gt;"",1,0),(M190="x"))*(G190-IFERROR(H190,0))/IFERROR(IF(COUNTIF(J190:U190,"x")=0,COUNTA(Besatzung!$B$11:$B$22),COUNTIF(J190:U190,"x")),1)+IF(COUNTIF(J190:U190,"x")=0,(Besatzung!$F$14="x"),(M190="x")*(Besatzung!$F$14="x"))*IFERROR(H190,0)/IFERROR(IF(COUNTIF(J190:U190,"x")=0,SUMPRODUCT((Besatzung!$B$11:$B$22&lt;&gt;"")*(Besatzung!$F$11:$F$22="x")),SUMPRODUCT((J190:U190="x")*(Besatzung!$F$11:$F$22="x"))),1))))),0))))</f>
        <v/>
      </c>
      <c r="Z190" s="106">
        <f>IF(C190="Gutschrift","",IF(G190="","",IF(Besatzung!$B$13="","",IFERROR(IF(I190="Zeitanteilig",(Besatzung!$G$15*(G190-IFERROR(H190,0))+((Besatzung!$B$13&lt;&gt;"")*IF(B190="",1,(IF(Besatzung!$C$15="",Besatzung!$B$5,Besatzung!$C$15)&lt;=B190)*(IF(Besatzung!$D$15="",Besatzung!$B$6,Besatzung!$D$15)&gt;=B190)))*(Besatzung!$F$15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$13&lt;&gt;"")*IF(B190="",1,(IF(Besatzung!$C$15="",Besatzung!$B$5,Besatzung!$C$15)&lt;=B190)*(IF(Besatzung!$D$15="",Besatzung!$B$6,Besatzung!$D$15)&gt;=B190)))*((G190-IFERROR(H190,0))/IFERROR(SUMPRODUCT((Besatzung!$B$11:$B$22&lt;&gt;"")*(IF(Besatzung!$C$11:$C$22="",Besatzung!$B$5,Besatzung!$C$11:$C$22)&lt;=B190)*(IF(Besatzung!$D$11:$D$22="",Besatzung!$B$6,Besatzung!$D$11:$D$22)&gt;=B190)),1)+(Besatzung!$F$15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N190="x")*((G190-IFERROR(H190,0))/IFERROR(COUNTIF(J190:U190,"x"),1)+(Besatzung!$F$15="x")*IFERROR(H190,0)/IFERROR(SUMPRODUCT((J190:U190="x")*(Besatzung!$F$11:$F$22="x")),1))),(IF(COUNTIF(J190:U190,"x")=0,IF(Besatzung!$B$13&lt;&gt;"",1,0),(N190="x"))*(G190-IFERROR(H190,0))/IFERROR(IF(COUNTIF(J190:U190,"x")=0,COUNTA(Besatzung!$B$11:$B$22),COUNTIF(J190:U190,"x")),1)+IF(COUNTIF(J190:U190,"x")=0,(Besatzung!$F$15="x"),(N190="x")*(Besatzung!$F$15="x"))*IFERROR(H190,0)/IFERROR(IF(COUNTIF(J190:U190,"x")=0,SUMPRODUCT((Besatzung!$B$11:$B$22&lt;&gt;"")*(Besatzung!$F$11:$F$22="x")),SUMPRODUCT((J190:U190="x")*(Besatzung!$F$11:$F$22="x"))),1))))),0))))</f>
        <v/>
      </c>
      <c r="AA190" s="106">
        <f>IF(C190="Gutschrift","",IF(G190="","",IF(Besatzung!$B$15="","",IFERROR(IF(I190="Zeitanteilig",(Besatzung!$G$16*(G190-IFERROR(H190,0))+((Besatzung!$B$15&lt;&gt;"")*IF(B190="",1,(IF(Besatzung!$C$16="",Besatzung!$B$5,Besatzung!$C$16)&lt;=B190)*(IF(Besatzung!$D$16="",Besatzung!$B$6,Besatzung!$D$16)&gt;=B190)))*(Besatzung!$F$16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$15&lt;&gt;"")*IF(B190="",1,(IF(Besatzung!$C$16="",Besatzung!$B$5,Besatzung!$C$16)&lt;=B190)*(IF(Besatzung!$D$16="",Besatzung!$B$6,Besatzung!$D$16)&gt;=B190)))*((G190-IFERROR(H190,0))/IFERROR(SUMPRODUCT((Besatzung!$B$11:$B$22&lt;&gt;"")*(IF(Besatzung!$C$11:$C$22="",Besatzung!$B$5,Besatzung!$C$11:$C$22)&lt;=B190)*(IF(Besatzung!$D$11:$D$22="",Besatzung!$B$6,Besatzung!$D$11:$D$22)&gt;=B190)),1)+(Besatzung!$F$16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O190="x")*((G190-IFERROR(H190,0))/IFERROR(COUNTIF(J190:U190,"x"),1)+(Besatzung!$F$16="x")*IFERROR(H190,0)/IFERROR(SUMPRODUCT((J190:U190="x")*(Besatzung!$F$11:$F$22="x")),1))),(IF(COUNTIF(J190:U190,"x")=0,IF(Besatzung!$B$15&lt;&gt;"",1,0),(O190="x"))*(G190-IFERROR(H190,0))/IFERROR(IF(COUNTIF(J190:U190,"x")=0,COUNTA(Besatzung!$B$11:$B$22),COUNTIF(J190:U190,"x")),1)+IF(COUNTIF(J190:U190,"x")=0,(Besatzung!$F$16="x"),(O190="x")*(Besatzung!$F$16="x"))*IFERROR(H190,0)/IFERROR(IF(COUNTIF(J190:U190,"x")=0,SUMPRODUCT((Besatzung!$B$11:$B$22&lt;&gt;"")*(Besatzung!$F$11:$F$22="x")),SUMPRODUCT((J190:U190="x")*(Besatzung!$F$11:$F$22="x"))),1))))),0))))</f>
        <v/>
      </c>
      <c r="AB190" s="106">
        <f>IF(C190="Gutschrift","",IF(G190="","",IF(Besatzung!$B$17="","",IFERROR(IF(I190="Zeitanteilig",(Besatzung!$G$17*(G190-IFERROR(H190,0))+((Besatzung!$B$17&lt;&gt;"")*IF(B190="",1,(IF(Besatzung!$C$17="",Besatzung!$B$5,Besatzung!$C$17)&lt;=B190)*(IF(Besatzung!$D$17="",Besatzung!$B$6,Besatzung!$D$17)&gt;=B190)))*(Besatzung!$F$17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$17&lt;&gt;"")*IF(B190="",1,(IF(Besatzung!$C$17="",Besatzung!$B$5,Besatzung!$C$17)&lt;=B190)*(IF(Besatzung!$D$17="",Besatzung!$B$6,Besatzung!$D$17)&gt;=B190)))*((G190-IFERROR(H190,0))/IFERROR(SUMPRODUCT((Besatzung!$B$11:$B$22&lt;&gt;"")*(IF(Besatzung!$C$11:$C$22="",Besatzung!$B$5,Besatzung!$C$11:$C$22)&lt;=B190)*(IF(Besatzung!$D$11:$D$22="",Besatzung!$B$6,Besatzung!$D$11:$D$22)&gt;=B190)),1)+(Besatzung!$F$17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P190="x")*((G190-IFERROR(H190,0))/IFERROR(COUNTIF(J190:U190,"x"),1)+(Besatzung!$F$17="x")*IFERROR(H190,0)/IFERROR(SUMPRODUCT((J190:U190="x")*(Besatzung!$F$11:$F$22="x")),1))),(IF(COUNTIF(J190:U190,"x")=0,IF(Besatzung!$B$17&lt;&gt;"",1,0),(P190="x"))*(G190-IFERROR(H190,0))/IFERROR(IF(COUNTIF(J190:U190,"x")=0,COUNTA(Besatzung!$B$11:$B$22),COUNTIF(J190:U190,"x")),1)+IF(COUNTIF(J190:U190,"x")=0,(Besatzung!$F$17="x"),(P190="x")*(Besatzung!$F$17="x"))*IFERROR(H190,0)/IFERROR(IF(COUNTIF(J190:U190,"x")=0,SUMPRODUCT((Besatzung!$B$11:$B$22&lt;&gt;"")*(Besatzung!$F$11:$F$22="x")),SUMPRODUCT((J190:U190="x")*(Besatzung!$F$11:$F$22="x"))),1))))),0))))</f>
        <v/>
      </c>
      <c r="AC190" s="106">
        <f>IF(C190="Gutschrift","",IF(G190="","",IF(Besatzung!$B$18="","",IFERROR(IF(I190="Zeitanteilig",(Besatzung!$G$18*(G190-IFERROR(H190,0))+((Besatzung!$B$18&lt;&gt;"")*IF(B190="",1,(IF(Besatzung!$C$18="",Besatzung!$B$5,Besatzung!$C$18)&lt;=B190)*(IF(Besatzung!$D$18="",Besatzung!$B$6,Besatzung!$D$18)&gt;=B190)))*(Besatzung!$F$18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$18&lt;&gt;"")*IF(B190="",1,(IF(Besatzung!$C$18="",Besatzung!$B$5,Besatzung!$C$18)&lt;=B190)*(IF(Besatzung!$D$18="",Besatzung!$B$6,Besatzung!$D$18)&gt;=B190)))*((G190-IFERROR(H190,0))/IFERROR(SUMPRODUCT((Besatzung!$B$11:$B$22&lt;&gt;"")*(IF(Besatzung!$C$11:$C$22="",Besatzung!$B$5,Besatzung!$C$11:$C$22)&lt;=B190)*(IF(Besatzung!$D$11:$D$22="",Besatzung!$B$6,Besatzung!$D$11:$D$22)&gt;=B190)),1)+(Besatzung!$F$18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Q190="x")*((G190-IFERROR(H190,0))/IFERROR(COUNTIF(J190:U190,"x"),1)+(Besatzung!$F$18="x")*IFERROR(H190,0)/IFERROR(SUMPRODUCT((J190:U190="x")*(Besatzung!$F$11:$F$22="x")),1))),(IF(COUNTIF(J190:U190,"x")=0,IF(Besatzung!$B$18&lt;&gt;"",1,0),(Q190="x"))*(G190-IFERROR(H190,0))/IFERROR(IF(COUNTIF(J190:U190,"x")=0,COUNTA(Besatzung!$B$11:$B$22),COUNTIF(J190:U190,"x")),1)+IF(COUNTIF(J190:U190,"x")=0,(Besatzung!$F$18="x"),(Q190="x")*(Besatzung!$F$18="x"))*IFERROR(H190,0)/IFERROR(IF(COUNTIF(J190:U190,"x")=0,SUMPRODUCT((Besatzung!$B$11:$B$22&lt;&gt;"")*(Besatzung!$F$11:$F$22="x")),SUMPRODUCT((J190:U190="x")*(Besatzung!$F$11:$F$22="x"))),1))))),0))))</f>
        <v/>
      </c>
      <c r="AD190" s="106">
        <f>IF(C190="Gutschrift","",IF(G190="","",IF(Besatzung!$B$19="","",IFERROR(IF(I190="Zeitanteilig",(Besatzung!$G$19*(G190-IFERROR(H190,0))+((Besatzung!$B$19&lt;&gt;"")*IF(B190="",1,(IF(Besatzung!$C$19="",Besatzung!$B$5,Besatzung!$C$19)&lt;=B190)*(IF(Besatzung!$D$19="",Besatzung!$B$6,Besatzung!$D$19)&gt;=B190)))*(Besatzung!$F$19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$19&lt;&gt;"")*IF(B190="",1,(IF(Besatzung!$C$19="",Besatzung!$B$5,Besatzung!$C$19)&lt;=B190)*(IF(Besatzung!$D$19="",Besatzung!$B$6,Besatzung!$D$19)&gt;=B190)))*((G190-IFERROR(H190,0))/IFERROR(SUMPRODUCT((Besatzung!$B$11:$B$22&lt;&gt;"")*(IF(Besatzung!$C$11:$C$22="",Besatzung!$B$5,Besatzung!$C$11:$C$22)&lt;=B190)*(IF(Besatzung!$D$11:$D$22="",Besatzung!$B$6,Besatzung!$D$11:$D$22)&gt;=B190)),1)+(Besatzung!$F$19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R190="x")*((G190-IFERROR(H190,0))/IFERROR(COUNTIF(J190:U190,"x"),1)+(Besatzung!$F$19="x")*IFERROR(H190,0)/IFERROR(SUMPRODUCT((J190:U190="x")*(Besatzung!$F$11:$F$22="x")),1))),(IF(COUNTIF(J190:U190,"x")=0,IF(Besatzung!$B$19&lt;&gt;"",1,0),(R190="x"))*(G190-IFERROR(H190,0))/IFERROR(IF(COUNTIF(J190:U190,"x")=0,COUNTA(Besatzung!$B$11:$B$22),COUNTIF(J190:U190,"x")),1)+IF(COUNTIF(J190:U190,"x")=0,(Besatzung!$F$19="x"),(R190="x")*(Besatzung!$F$19="x"))*IFERROR(H190,0)/IFERROR(IF(COUNTIF(J190:U190,"x")=0,SUMPRODUCT((Besatzung!$B$11:$B$22&lt;&gt;"")*(Besatzung!$F$11:$F$22="x")),SUMPRODUCT((J190:U190="x")*(Besatzung!$F$11:$F$22="x"))),1))))),0))))</f>
        <v/>
      </c>
      <c r="AE190" s="106">
        <f>IF(C190="Gutschrift","",IF(G190="","",IF(Besatzung!$B$20="","",IFERROR(IF(I190="Zeitanteilig",(Besatzung!$G$20*(G190-IFERROR(H190,0))+((Besatzung!$B$20&lt;&gt;"")*IF(B190="",1,(IF(Besatzung!$C$20="",Besatzung!$B$5,Besatzung!$C$20)&lt;=B190)*(IF(Besatzung!$D$20="",Besatzung!$B$6,Besatzung!$D$20)&gt;=B190)))*(Besatzung!$F$20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$20&lt;&gt;"")*IF(B190="",1,(IF(Besatzung!$C$20="",Besatzung!$B$5,Besatzung!$C$20)&lt;=B190)*(IF(Besatzung!$D$20="",Besatzung!$B$6,Besatzung!$D$20)&gt;=B190)))*((G190-IFERROR(H190,0))/IFERROR(SUMPRODUCT((Besatzung!$B$11:$B$22&lt;&gt;"")*(IF(Besatzung!$C$11:$C$22="",Besatzung!$B$5,Besatzung!$C$11:$C$22)&lt;=B190)*(IF(Besatzung!$D$11:$D$22="",Besatzung!$B$6,Besatzung!$D$11:$D$22)&gt;=B190)),1)+(Besatzung!$F$20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S190="x")*((G190-IFERROR(H190,0))/IFERROR(COUNTIF(J190:U190,"x"),1)+(Besatzung!$F$20="x")*IFERROR(H190,0)/IFERROR(SUMPRODUCT((J190:U190="x")*(Besatzung!$F$11:$F$22="x")),1))),(IF(COUNTIF(J190:U190,"x")=0,IF(Besatzung!$B$20&lt;&gt;"",1,0),(S190="x"))*(G190-IFERROR(H190,0))/IFERROR(IF(COUNTIF(J190:U190,"x")=0,COUNTA(Besatzung!$B$11:$B$22),COUNTIF(J190:U190,"x")),1)+IF(COUNTIF(J190:U190,"x")=0,(Besatzung!$F$20="x"),(S190="x")*(Besatzung!$F$20="x"))*IFERROR(H190,0)/IFERROR(IF(COUNTIF(J190:U190,"x")=0,SUMPRODUCT((Besatzung!$B$11:$B$22&lt;&gt;"")*(Besatzung!$F$11:$F$22="x")),SUMPRODUCT((J190:U190="x")*(Besatzung!$F$11:$F$22="x"))),1))))),0))))</f>
        <v/>
      </c>
      <c r="AF190" s="106">
        <f>IF(C190="Gutschrift","",IF(G190="","",IF(Besatzung!$B$21="","",IFERROR(IF(I190="Zeitanteilig",(Besatzung!$G$21*(G190-IFERROR(H190,0))+((Besatzung!$B$21&lt;&gt;"")*IF(B190="",1,(IF(Besatzung!$C$21="",Besatzung!$B$5,Besatzung!$C$21)&lt;=B190)*(IF(Besatzung!$D$21="",Besatzung!$B$6,Besatzung!$D$21)&gt;=B190)))*(Besatzung!$F$21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$21&lt;&gt;"")*IF(B190="",1,(IF(Besatzung!$C$21="",Besatzung!$B$5,Besatzung!$C$21)&lt;=B190)*(IF(Besatzung!$D$21="",Besatzung!$B$6,Besatzung!$D$21)&gt;=B190)))*((G190-IFERROR(H190,0))/IFERROR(SUMPRODUCT((Besatzung!$B$11:$B$22&lt;&gt;"")*(IF(Besatzung!$C$11:$C$22="",Besatzung!$B$5,Besatzung!$C$11:$C$22)&lt;=B190)*(IF(Besatzung!$D$11:$D$22="",Besatzung!$B$6,Besatzung!$D$11:$D$22)&gt;=B190)),1)+(Besatzung!$F$21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T190="x")*((G190-IFERROR(H190,0))/IFERROR(COUNTIF(J190:U190,"x"),1)+(Besatzung!$F$21="x")*IFERROR(H190,0)/IFERROR(SUMPRODUCT((J190:U190="x")*(Besatzung!$F$11:$F$22="x")),1))),(IF(COUNTIF(J190:U190,"x")=0,IF(Besatzung!$B$21&lt;&gt;"",1,0),(T190="x"))*(G190-IFERROR(H190,0))/IFERROR(IF(COUNTIF(J190:U190,"x")=0,COUNTA(Besatzung!$B$11:$B$22),COUNTIF(J190:U190,"x")),1)+IF(COUNTIF(J190:U190,"x")=0,(Besatzung!$F$21="x"),(T190="x")*(Besatzung!$F$21="x"))*IFERROR(H190,0)/IFERROR(IF(COUNTIF(J190:U190,"x")=0,SUMPRODUCT((Besatzung!$B$11:$B$22&lt;&gt;"")*(Besatzung!$F$11:$F$22="x")),SUMPRODUCT((J190:U190="x")*(Besatzung!$F$11:$F$22="x"))),1))))),0))))</f>
        <v/>
      </c>
      <c r="AG190" s="106">
        <f>IF(C190="Gutschrift","",IF(G190="","",IF(Besatzung!$B$22="","",IFERROR(IF(I190="Zeitanteilig",(Besatzung!$G$22*(G190-IFERROR(H190,0))+((Besatzung!$B$22&lt;&gt;"")*IF(B190="",1,(IF(Besatzung!$C$22="",Besatzung!$B$5,Besatzung!$C$22)&lt;=B190)*(IF(Besatzung!$D$22="",Besatzung!$B$6,Besatzung!$D$22)&gt;=B190)))*(Besatzung!$F$22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$22&lt;&gt;"")*IF(B190="",1,(IF(Besatzung!$C$22="",Besatzung!$B$5,Besatzung!$C$22)&lt;=B190)*(IF(Besatzung!$D$22="",Besatzung!$B$6,Besatzung!$D$22)&gt;=B190)))*((G190-IFERROR(H190,0))/IFERROR(SUMPRODUCT((Besatzung!$B$11:$B$22&lt;&gt;"")*(IF(Besatzung!$C$11:$C$22="",Besatzung!$B$5,Besatzung!$C$11:$C$22)&lt;=B190)*(IF(Besatzung!$D$11:$D$22="",Besatzung!$B$6,Besatzung!$D$11:$D$22)&gt;=B190)),1)+(Besatzung!$F$22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U190="x")*((G190-IFERROR(H190,0))/IFERROR(COUNTIF(J190:U190,"x"),1)+(Besatzung!$F$22="x")*IFERROR(H190,0)/IFERROR(SUMPRODUCT((J190:U190="x")*(Besatzung!$F$11:$F$22="x")),1))),(IF(COUNTIF(J190:U190,"x")=0,IF(Besatzung!$B$22&lt;&gt;"",1,0),(U190="x"))*(G190-IFERROR(H190,0))/IFERROR(IF(COUNTIF(J190:U190,"x")=0,COUNTA(Besatzung!$B$11:$B$22),COUNTIF(J190:U190,"x")),1)+IF(COUNTIF(J190:U190,"x")=0,(Besatzung!$F$22="x"),(U190="x")*(Besatzung!$F$22="x"))*IFERROR(H190,0)/IFERROR(IF(COUNTIF(J190:U190,"x")=0,SUMPRODUCT((Besatzung!$B$11:$B$22&lt;&gt;"")*(Besatzung!$F$11:$F$22="x")),SUMPRODUCT((J190:U190="x")*(Besatzung!$F$11:$F$22="x"))),1))))),0))))</f>
        <v/>
      </c>
      <c r="AH190" s="107" t="n"/>
      <c r="AI190" s="107" t="n"/>
    </row>
    <row r="191" ht="21.75" customHeight="1" s="182">
      <c r="A191" s="97">
        <f>IF(AND(D191="",C191=""),"",188)</f>
        <v/>
      </c>
      <c r="B191" s="63" t="n"/>
      <c r="C191" s="108" t="n"/>
      <c r="D191" s="109" t="n"/>
      <c r="E191" s="110" t="n"/>
      <c r="F191" s="111" t="n"/>
      <c r="G191" s="112" t="n"/>
      <c r="H191" s="113" t="n"/>
      <c r="I191" s="114" t="n"/>
      <c r="J191" s="115" t="n"/>
      <c r="K191" s="115" t="n"/>
      <c r="L191" s="115" t="n"/>
      <c r="M191" s="115" t="n"/>
      <c r="N191" s="115" t="n"/>
      <c r="O191" s="115" t="n"/>
      <c r="P191" s="115" t="n"/>
      <c r="Q191" s="115" t="n"/>
      <c r="R191" s="115" t="n"/>
      <c r="S191" s="115" t="n"/>
      <c r="T191" s="115" t="n"/>
      <c r="U191" s="115" t="n"/>
      <c r="V191" s="106">
        <f>IF(C191="Gutschrift","",IF(G191="","",IF(Besatzung!$B$11="","",IFERROR(IF(I191="Zeitanteilig",(Besatzung!$G$11*(G191-IFERROR(H191,0))+((Besatzung!$B$11&lt;&gt;"")*IF(B191="",1,(IF(Besatzung!$C$11="",Besatzung!$B$5,Besatzung!$C$11)&lt;=B191)*(IF(Besatzung!$D$11="",Besatzung!$B$6,Besatzung!$D$11)&gt;=B191)))*(Besatzung!$F$11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$11&lt;&gt;"")*IF(B191="",1,(IF(Besatzung!$C$11="",Besatzung!$B$5,Besatzung!$C$11)&lt;=B191)*(IF(Besatzung!$D$11="",Besatzung!$B$6,Besatzung!$D$11)&gt;=B191)))*((G191-IFERROR(H191,0))/IFERROR(SUMPRODUCT((Besatzung!$B$11:$B$22&lt;&gt;"")*(IF(Besatzung!$C$11:$C$22="",Besatzung!$B$5,Besatzung!$C$11:$C$22)&lt;=B191)*(IF(Besatzung!$D$11:$D$22="",Besatzung!$B$6,Besatzung!$D$11:$D$22)&gt;=B191)),1)+(Besatzung!$F$11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J191="x")*((G191-IFERROR(H191,0))/IFERROR(COUNTIF(J191:U191,"x"),1)+(Besatzung!$F$11="x")*IFERROR(H191,0)/IFERROR(SUMPRODUCT((J191:U191="x")*(Besatzung!$F$11:$F$22="x")),1))),(IF(COUNTIF(J191:U191,"x")=0,IF(Besatzung!$B$11&lt;&gt;"",1,0),(J191="x"))*(G191-IFERROR(H191,0))/IFERROR(IF(COUNTIF(J191:U191,"x")=0,COUNTA(Besatzung!$B$11:$B$22),COUNTIF(J191:U191,"x")),1)+IF(COUNTIF(J191:U191,"x")=0,(Besatzung!$F$11="x"),(J191="x")*(Besatzung!$F$11="x"))*IFERROR(H191,0)/IFERROR(IF(COUNTIF(J191:U191,"x")=0,SUMPRODUCT((Besatzung!$B$11:$B$22&lt;&gt;"")*(Besatzung!$F$11:$F$22="x")),SUMPRODUCT((J191:U191="x")*(Besatzung!$F$11:$F$22="x"))),1))))),0))))</f>
        <v/>
      </c>
      <c r="W191" s="106">
        <f>IF(C191="Gutschrift","",IF(G191="","",IF(Besatzung!$B$12="","",IFERROR(IF(I191="Zeitanteilig",(Besatzung!$G$12*(G191-IFERROR(H191,0))+((Besatzung!$B$12&lt;&gt;"")*IF(B191="",1,(IF(Besatzung!$C$12="",Besatzung!$B$5,Besatzung!$C$12)&lt;=B191)*(IF(Besatzung!$D$12="",Besatzung!$B$6,Besatzung!$D$12)&gt;=B191)))*(Besatzung!$F$12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$12&lt;&gt;"")*IF(B191="",1,(IF(Besatzung!$C$12="",Besatzung!$B$5,Besatzung!$C$12)&lt;=B191)*(IF(Besatzung!$D$12="",Besatzung!$B$6,Besatzung!$D$12)&gt;=B191)))*((G191-IFERROR(H191,0))/IFERROR(SUMPRODUCT((Besatzung!$B$11:$B$22&lt;&gt;"")*(IF(Besatzung!$C$11:$C$22="",Besatzung!$B$5,Besatzung!$C$11:$C$22)&lt;=B191)*(IF(Besatzung!$D$11:$D$22="",Besatzung!$B$6,Besatzung!$D$11:$D$22)&gt;=B191)),1)+(Besatzung!$F$12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K191="x")*((G191-IFERROR(H191,0))/IFERROR(COUNTIF(J191:U191,"x"),1)+(Besatzung!$F$12="x")*IFERROR(H191,0)/IFERROR(SUMPRODUCT((J191:U191="x")*(Besatzung!$F$11:$F$22="x")),1))),(IF(COUNTIF(J191:U191,"x")=0,IF(Besatzung!$B$12&lt;&gt;"",1,0),(K191="x"))*(G191-IFERROR(H191,0))/IFERROR(IF(COUNTIF(J191:U191,"x")=0,COUNTA(Besatzung!$B$11:$B$22),COUNTIF(J191:U191,"x")),1)+IF(COUNTIF(J191:U191,"x")=0,(Besatzung!$F$12="x"),(K191="x")*(Besatzung!$F$12="x"))*IFERROR(H191,0)/IFERROR(IF(COUNTIF(J191:U191,"x")=0,SUMPRODUCT((Besatzung!$B$11:$B$22&lt;&gt;"")*(Besatzung!$F$11:$F$22="x")),SUMPRODUCT((J191:U191="x")*(Besatzung!$F$11:$F$22="x"))),1))))),0))))</f>
        <v/>
      </c>
      <c r="X191" s="106">
        <f>IF(C191="Gutschrift","",IF(G191="","",IF(Besatzung!$B$13="","",IFERROR(IF(I191="Zeitanteilig",(Besatzung!$G$13*(G191-IFERROR(H191,0))+((Besatzung!$B$13&lt;&gt;"")*IF(B191="",1,(IF(Besatzung!$C$13="",Besatzung!$B$5,Besatzung!$C$13)&lt;=B191)*(IF(Besatzung!$D$13="",Besatzung!$B$6,Besatzung!$D$13)&gt;=B191)))*(Besatzung!$F$13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$13&lt;&gt;"")*IF(B191="",1,(IF(Besatzung!$C$13="",Besatzung!$B$5,Besatzung!$C$13)&lt;=B191)*(IF(Besatzung!$D$13="",Besatzung!$B$6,Besatzung!$D$13)&gt;=B191)))*((G191-IFERROR(H191,0))/IFERROR(SUMPRODUCT((Besatzung!$B$11:$B$22&lt;&gt;"")*(IF(Besatzung!$C$11:$C$22="",Besatzung!$B$5,Besatzung!$C$11:$C$22)&lt;=B191)*(IF(Besatzung!$D$11:$D$22="",Besatzung!$B$6,Besatzung!$D$11:$D$22)&gt;=B191)),1)+(Besatzung!$F$13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K191="x")*((G191-IFERROR(H191,0))/IFERROR(COUNTIF(J191:U191,"x"),1)+(Besatzung!$F$13="x")*IFERROR(H191,0)/IFERROR(SUMPRODUCT((J191:U191="x")*(Besatzung!$F$11:$F$22="x")),1))),(IF(COUNTIF(J191:U191,"x")=0,IF(Besatzung!$B$13&lt;&gt;"",1,0),(K191="x"))*(G191-IFERROR(H191,0))/IFERROR(IF(COUNTIF(J191:U191,"x")=0,COUNTA(Besatzung!$B$11:$B$22),COUNTIF(J191:U191,"x")),1)+IF(COUNTIF(J191:U191,"x")=0,(Besatzung!$F$13="x"),(K191="x")*(Besatzung!$F$13="x"))*IFERROR(H191,0)/IFERROR(IF(COUNTIF(J191:U191,"x")=0,SUMPRODUCT((Besatzung!$B$11:$B$22&lt;&gt;"")*(Besatzung!$F$11:$F$22="x")),SUMPRODUCT((J191:U191="x")*(Besatzung!$F$11:$F$22="x"))),1))))),0))))</f>
        <v/>
      </c>
      <c r="Y191" s="106">
        <f>IF(C191="Gutschrift","",IF(G191="","",IF(Besatzung!$B$14="","",IFERROR(IF(I191="Zeitanteilig",(Besatzung!$G$14*(G191-IFERROR(H191,0))+((Besatzung!$B$14&lt;&gt;"")*IF(B191="",1,(IF(Besatzung!$C$14="",Besatzung!$B$5,Besatzung!$C$14)&lt;=B191)*(IF(Besatzung!$D$14="",Besatzung!$B$6,Besatzung!$D$14)&gt;=B191)))*(Besatzung!$F$14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$14&lt;&gt;"")*IF(B191="",1,(IF(Besatzung!$C$14="",Besatzung!$B$5,Besatzung!$C$14)&lt;=B191)*(IF(Besatzung!$D$14="",Besatzung!$B$6,Besatzung!$D$14)&gt;=B191)))*((G191-IFERROR(H191,0))/IFERROR(SUMPRODUCT((Besatzung!$B$11:$B$22&lt;&gt;"")*(IF(Besatzung!$C$11:$C$22="",Besatzung!$B$5,Besatzung!$C$11:$C$22)&lt;=B191)*(IF(Besatzung!$D$11:$D$22="",Besatzung!$B$6,Besatzung!$D$11:$D$22)&gt;=B191)),1)+(Besatzung!$F$14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M191="x")*((G191-IFERROR(H191,0))/IFERROR(COUNTIF(J191:U191,"x"),1)+(Besatzung!$F$14="x")*IFERROR(H191,0)/IFERROR(SUMPRODUCT((J191:U191="x")*(Besatzung!$F$11:$F$22="x")),1))),(IF(COUNTIF(J191:U191,"x")=0,IF(Besatzung!$B$14&lt;&gt;"",1,0),(M191="x"))*(G191-IFERROR(H191,0))/IFERROR(IF(COUNTIF(J191:U191,"x")=0,COUNTA(Besatzung!$B$11:$B$22),COUNTIF(J191:U191,"x")),1)+IF(COUNTIF(J191:U191,"x")=0,(Besatzung!$F$14="x"),(M191="x")*(Besatzung!$F$14="x"))*IFERROR(H191,0)/IFERROR(IF(COUNTIF(J191:U191,"x")=0,SUMPRODUCT((Besatzung!$B$11:$B$22&lt;&gt;"")*(Besatzung!$F$11:$F$22="x")),SUMPRODUCT((J191:U191="x")*(Besatzung!$F$11:$F$22="x"))),1))))),0))))</f>
        <v/>
      </c>
      <c r="Z191" s="106">
        <f>IF(C191="Gutschrift","",IF(G191="","",IF(Besatzung!$B$13="","",IFERROR(IF(I191="Zeitanteilig",(Besatzung!$G$15*(G191-IFERROR(H191,0))+((Besatzung!$B$13&lt;&gt;"")*IF(B191="",1,(IF(Besatzung!$C$15="",Besatzung!$B$5,Besatzung!$C$15)&lt;=B191)*(IF(Besatzung!$D$15="",Besatzung!$B$6,Besatzung!$D$15)&gt;=B191)))*(Besatzung!$F$15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$13&lt;&gt;"")*IF(B191="",1,(IF(Besatzung!$C$15="",Besatzung!$B$5,Besatzung!$C$15)&lt;=B191)*(IF(Besatzung!$D$15="",Besatzung!$B$6,Besatzung!$D$15)&gt;=B191)))*((G191-IFERROR(H191,0))/IFERROR(SUMPRODUCT((Besatzung!$B$11:$B$22&lt;&gt;"")*(IF(Besatzung!$C$11:$C$22="",Besatzung!$B$5,Besatzung!$C$11:$C$22)&lt;=B191)*(IF(Besatzung!$D$11:$D$22="",Besatzung!$B$6,Besatzung!$D$11:$D$22)&gt;=B191)),1)+(Besatzung!$F$15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N191="x")*((G191-IFERROR(H191,0))/IFERROR(COUNTIF(J191:U191,"x"),1)+(Besatzung!$F$15="x")*IFERROR(H191,0)/IFERROR(SUMPRODUCT((J191:U191="x")*(Besatzung!$F$11:$F$22="x")),1))),(IF(COUNTIF(J191:U191,"x")=0,IF(Besatzung!$B$13&lt;&gt;"",1,0),(N191="x"))*(G191-IFERROR(H191,0))/IFERROR(IF(COUNTIF(J191:U191,"x")=0,COUNTA(Besatzung!$B$11:$B$22),COUNTIF(J191:U191,"x")),1)+IF(COUNTIF(J191:U191,"x")=0,(Besatzung!$F$15="x"),(N191="x")*(Besatzung!$F$15="x"))*IFERROR(H191,0)/IFERROR(IF(COUNTIF(J191:U191,"x")=0,SUMPRODUCT((Besatzung!$B$11:$B$22&lt;&gt;"")*(Besatzung!$F$11:$F$22="x")),SUMPRODUCT((J191:U191="x")*(Besatzung!$F$11:$F$22="x"))),1))))),0))))</f>
        <v/>
      </c>
      <c r="AA191" s="106">
        <f>IF(C191="Gutschrift","",IF(G191="","",IF(Besatzung!$B$15="","",IFERROR(IF(I191="Zeitanteilig",(Besatzung!$G$16*(G191-IFERROR(H191,0))+((Besatzung!$B$15&lt;&gt;"")*IF(B191="",1,(IF(Besatzung!$C$16="",Besatzung!$B$5,Besatzung!$C$16)&lt;=B191)*(IF(Besatzung!$D$16="",Besatzung!$B$6,Besatzung!$D$16)&gt;=B191)))*(Besatzung!$F$16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$15&lt;&gt;"")*IF(B191="",1,(IF(Besatzung!$C$16="",Besatzung!$B$5,Besatzung!$C$16)&lt;=B191)*(IF(Besatzung!$D$16="",Besatzung!$B$6,Besatzung!$D$16)&gt;=B191)))*((G191-IFERROR(H191,0))/IFERROR(SUMPRODUCT((Besatzung!$B$11:$B$22&lt;&gt;"")*(IF(Besatzung!$C$11:$C$22="",Besatzung!$B$5,Besatzung!$C$11:$C$22)&lt;=B191)*(IF(Besatzung!$D$11:$D$22="",Besatzung!$B$6,Besatzung!$D$11:$D$22)&gt;=B191)),1)+(Besatzung!$F$16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O191="x")*((G191-IFERROR(H191,0))/IFERROR(COUNTIF(J191:U191,"x"),1)+(Besatzung!$F$16="x")*IFERROR(H191,0)/IFERROR(SUMPRODUCT((J191:U191="x")*(Besatzung!$F$11:$F$22="x")),1))),(IF(COUNTIF(J191:U191,"x")=0,IF(Besatzung!$B$15&lt;&gt;"",1,0),(O191="x"))*(G191-IFERROR(H191,0))/IFERROR(IF(COUNTIF(J191:U191,"x")=0,COUNTA(Besatzung!$B$11:$B$22),COUNTIF(J191:U191,"x")),1)+IF(COUNTIF(J191:U191,"x")=0,(Besatzung!$F$16="x"),(O191="x")*(Besatzung!$F$16="x"))*IFERROR(H191,0)/IFERROR(IF(COUNTIF(J191:U191,"x")=0,SUMPRODUCT((Besatzung!$B$11:$B$22&lt;&gt;"")*(Besatzung!$F$11:$F$22="x")),SUMPRODUCT((J191:U191="x")*(Besatzung!$F$11:$F$22="x"))),1))))),0))))</f>
        <v/>
      </c>
      <c r="AB191" s="106">
        <f>IF(C191="Gutschrift","",IF(G191="","",IF(Besatzung!$B$17="","",IFERROR(IF(I191="Zeitanteilig",(Besatzung!$G$17*(G191-IFERROR(H191,0))+((Besatzung!$B$17&lt;&gt;"")*IF(B191="",1,(IF(Besatzung!$C$17="",Besatzung!$B$5,Besatzung!$C$17)&lt;=B191)*(IF(Besatzung!$D$17="",Besatzung!$B$6,Besatzung!$D$17)&gt;=B191)))*(Besatzung!$F$17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$17&lt;&gt;"")*IF(B191="",1,(IF(Besatzung!$C$17="",Besatzung!$B$5,Besatzung!$C$17)&lt;=B191)*(IF(Besatzung!$D$17="",Besatzung!$B$6,Besatzung!$D$17)&gt;=B191)))*((G191-IFERROR(H191,0))/IFERROR(SUMPRODUCT((Besatzung!$B$11:$B$22&lt;&gt;"")*(IF(Besatzung!$C$11:$C$22="",Besatzung!$B$5,Besatzung!$C$11:$C$22)&lt;=B191)*(IF(Besatzung!$D$11:$D$22="",Besatzung!$B$6,Besatzung!$D$11:$D$22)&gt;=B191)),1)+(Besatzung!$F$17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P191="x")*((G191-IFERROR(H191,0))/IFERROR(COUNTIF(J191:U191,"x"),1)+(Besatzung!$F$17="x")*IFERROR(H191,0)/IFERROR(SUMPRODUCT((J191:U191="x")*(Besatzung!$F$11:$F$22="x")),1))),(IF(COUNTIF(J191:U191,"x")=0,IF(Besatzung!$B$17&lt;&gt;"",1,0),(P191="x"))*(G191-IFERROR(H191,0))/IFERROR(IF(COUNTIF(J191:U191,"x")=0,COUNTA(Besatzung!$B$11:$B$22),COUNTIF(J191:U191,"x")),1)+IF(COUNTIF(J191:U191,"x")=0,(Besatzung!$F$17="x"),(P191="x")*(Besatzung!$F$17="x"))*IFERROR(H191,0)/IFERROR(IF(COUNTIF(J191:U191,"x")=0,SUMPRODUCT((Besatzung!$B$11:$B$22&lt;&gt;"")*(Besatzung!$F$11:$F$22="x")),SUMPRODUCT((J191:U191="x")*(Besatzung!$F$11:$F$22="x"))),1))))),0))))</f>
        <v/>
      </c>
      <c r="AC191" s="106">
        <f>IF(C191="Gutschrift","",IF(G191="","",IF(Besatzung!$B$18="","",IFERROR(IF(I191="Zeitanteilig",(Besatzung!$G$18*(G191-IFERROR(H191,0))+((Besatzung!$B$18&lt;&gt;"")*IF(B191="",1,(IF(Besatzung!$C$18="",Besatzung!$B$5,Besatzung!$C$18)&lt;=B191)*(IF(Besatzung!$D$18="",Besatzung!$B$6,Besatzung!$D$18)&gt;=B191)))*(Besatzung!$F$18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$18&lt;&gt;"")*IF(B191="",1,(IF(Besatzung!$C$18="",Besatzung!$B$5,Besatzung!$C$18)&lt;=B191)*(IF(Besatzung!$D$18="",Besatzung!$B$6,Besatzung!$D$18)&gt;=B191)))*((G191-IFERROR(H191,0))/IFERROR(SUMPRODUCT((Besatzung!$B$11:$B$22&lt;&gt;"")*(IF(Besatzung!$C$11:$C$22="",Besatzung!$B$5,Besatzung!$C$11:$C$22)&lt;=B191)*(IF(Besatzung!$D$11:$D$22="",Besatzung!$B$6,Besatzung!$D$11:$D$22)&gt;=B191)),1)+(Besatzung!$F$18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Q191="x")*((G191-IFERROR(H191,0))/IFERROR(COUNTIF(J191:U191,"x"),1)+(Besatzung!$F$18="x")*IFERROR(H191,0)/IFERROR(SUMPRODUCT((J191:U191="x")*(Besatzung!$F$11:$F$22="x")),1))),(IF(COUNTIF(J191:U191,"x")=0,IF(Besatzung!$B$18&lt;&gt;"",1,0),(Q191="x"))*(G191-IFERROR(H191,0))/IFERROR(IF(COUNTIF(J191:U191,"x")=0,COUNTA(Besatzung!$B$11:$B$22),COUNTIF(J191:U191,"x")),1)+IF(COUNTIF(J191:U191,"x")=0,(Besatzung!$F$18="x"),(Q191="x")*(Besatzung!$F$18="x"))*IFERROR(H191,0)/IFERROR(IF(COUNTIF(J191:U191,"x")=0,SUMPRODUCT((Besatzung!$B$11:$B$22&lt;&gt;"")*(Besatzung!$F$11:$F$22="x")),SUMPRODUCT((J191:U191="x")*(Besatzung!$F$11:$F$22="x"))),1))))),0))))</f>
        <v/>
      </c>
      <c r="AD191" s="106">
        <f>IF(C191="Gutschrift","",IF(G191="","",IF(Besatzung!$B$19="","",IFERROR(IF(I191="Zeitanteilig",(Besatzung!$G$19*(G191-IFERROR(H191,0))+((Besatzung!$B$19&lt;&gt;"")*IF(B191="",1,(IF(Besatzung!$C$19="",Besatzung!$B$5,Besatzung!$C$19)&lt;=B191)*(IF(Besatzung!$D$19="",Besatzung!$B$6,Besatzung!$D$19)&gt;=B191)))*(Besatzung!$F$19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$19&lt;&gt;"")*IF(B191="",1,(IF(Besatzung!$C$19="",Besatzung!$B$5,Besatzung!$C$19)&lt;=B191)*(IF(Besatzung!$D$19="",Besatzung!$B$6,Besatzung!$D$19)&gt;=B191)))*((G191-IFERROR(H191,0))/IFERROR(SUMPRODUCT((Besatzung!$B$11:$B$22&lt;&gt;"")*(IF(Besatzung!$C$11:$C$22="",Besatzung!$B$5,Besatzung!$C$11:$C$22)&lt;=B191)*(IF(Besatzung!$D$11:$D$22="",Besatzung!$B$6,Besatzung!$D$11:$D$22)&gt;=B191)),1)+(Besatzung!$F$19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R191="x")*((G191-IFERROR(H191,0))/IFERROR(COUNTIF(J191:U191,"x"),1)+(Besatzung!$F$19="x")*IFERROR(H191,0)/IFERROR(SUMPRODUCT((J191:U191="x")*(Besatzung!$F$11:$F$22="x")),1))),(IF(COUNTIF(J191:U191,"x")=0,IF(Besatzung!$B$19&lt;&gt;"",1,0),(R191="x"))*(G191-IFERROR(H191,0))/IFERROR(IF(COUNTIF(J191:U191,"x")=0,COUNTA(Besatzung!$B$11:$B$22),COUNTIF(J191:U191,"x")),1)+IF(COUNTIF(J191:U191,"x")=0,(Besatzung!$F$19="x"),(R191="x")*(Besatzung!$F$19="x"))*IFERROR(H191,0)/IFERROR(IF(COUNTIF(J191:U191,"x")=0,SUMPRODUCT((Besatzung!$B$11:$B$22&lt;&gt;"")*(Besatzung!$F$11:$F$22="x")),SUMPRODUCT((J191:U191="x")*(Besatzung!$F$11:$F$22="x"))),1))))),0))))</f>
        <v/>
      </c>
      <c r="AE191" s="106">
        <f>IF(C191="Gutschrift","",IF(G191="","",IF(Besatzung!$B$20="","",IFERROR(IF(I191="Zeitanteilig",(Besatzung!$G$20*(G191-IFERROR(H191,0))+((Besatzung!$B$20&lt;&gt;"")*IF(B191="",1,(IF(Besatzung!$C$20="",Besatzung!$B$5,Besatzung!$C$20)&lt;=B191)*(IF(Besatzung!$D$20="",Besatzung!$B$6,Besatzung!$D$20)&gt;=B191)))*(Besatzung!$F$20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$20&lt;&gt;"")*IF(B191="",1,(IF(Besatzung!$C$20="",Besatzung!$B$5,Besatzung!$C$20)&lt;=B191)*(IF(Besatzung!$D$20="",Besatzung!$B$6,Besatzung!$D$20)&gt;=B191)))*((G191-IFERROR(H191,0))/IFERROR(SUMPRODUCT((Besatzung!$B$11:$B$22&lt;&gt;"")*(IF(Besatzung!$C$11:$C$22="",Besatzung!$B$5,Besatzung!$C$11:$C$22)&lt;=B191)*(IF(Besatzung!$D$11:$D$22="",Besatzung!$B$6,Besatzung!$D$11:$D$22)&gt;=B191)),1)+(Besatzung!$F$20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S191="x")*((G191-IFERROR(H191,0))/IFERROR(COUNTIF(J191:U191,"x"),1)+(Besatzung!$F$20="x")*IFERROR(H191,0)/IFERROR(SUMPRODUCT((J191:U191="x")*(Besatzung!$F$11:$F$22="x")),1))),(IF(COUNTIF(J191:U191,"x")=0,IF(Besatzung!$B$20&lt;&gt;"",1,0),(S191="x"))*(G191-IFERROR(H191,0))/IFERROR(IF(COUNTIF(J191:U191,"x")=0,COUNTA(Besatzung!$B$11:$B$22),COUNTIF(J191:U191,"x")),1)+IF(COUNTIF(J191:U191,"x")=0,(Besatzung!$F$20="x"),(S191="x")*(Besatzung!$F$20="x"))*IFERROR(H191,0)/IFERROR(IF(COUNTIF(J191:U191,"x")=0,SUMPRODUCT((Besatzung!$B$11:$B$22&lt;&gt;"")*(Besatzung!$F$11:$F$22="x")),SUMPRODUCT((J191:U191="x")*(Besatzung!$F$11:$F$22="x"))),1))))),0))))</f>
        <v/>
      </c>
      <c r="AF191" s="106">
        <f>IF(C191="Gutschrift","",IF(G191="","",IF(Besatzung!$B$21="","",IFERROR(IF(I191="Zeitanteilig",(Besatzung!$G$21*(G191-IFERROR(H191,0))+((Besatzung!$B$21&lt;&gt;"")*IF(B191="",1,(IF(Besatzung!$C$21="",Besatzung!$B$5,Besatzung!$C$21)&lt;=B191)*(IF(Besatzung!$D$21="",Besatzung!$B$6,Besatzung!$D$21)&gt;=B191)))*(Besatzung!$F$21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$21&lt;&gt;"")*IF(B191="",1,(IF(Besatzung!$C$21="",Besatzung!$B$5,Besatzung!$C$21)&lt;=B191)*(IF(Besatzung!$D$21="",Besatzung!$B$6,Besatzung!$D$21)&gt;=B191)))*((G191-IFERROR(H191,0))/IFERROR(SUMPRODUCT((Besatzung!$B$11:$B$22&lt;&gt;"")*(IF(Besatzung!$C$11:$C$22="",Besatzung!$B$5,Besatzung!$C$11:$C$22)&lt;=B191)*(IF(Besatzung!$D$11:$D$22="",Besatzung!$B$6,Besatzung!$D$11:$D$22)&gt;=B191)),1)+(Besatzung!$F$21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T191="x")*((G191-IFERROR(H191,0))/IFERROR(COUNTIF(J191:U191,"x"),1)+(Besatzung!$F$21="x")*IFERROR(H191,0)/IFERROR(SUMPRODUCT((J191:U191="x")*(Besatzung!$F$11:$F$22="x")),1))),(IF(COUNTIF(J191:U191,"x")=0,IF(Besatzung!$B$21&lt;&gt;"",1,0),(T191="x"))*(G191-IFERROR(H191,0))/IFERROR(IF(COUNTIF(J191:U191,"x")=0,COUNTA(Besatzung!$B$11:$B$22),COUNTIF(J191:U191,"x")),1)+IF(COUNTIF(J191:U191,"x")=0,(Besatzung!$F$21="x"),(T191="x")*(Besatzung!$F$21="x"))*IFERROR(H191,0)/IFERROR(IF(COUNTIF(J191:U191,"x")=0,SUMPRODUCT((Besatzung!$B$11:$B$22&lt;&gt;"")*(Besatzung!$F$11:$F$22="x")),SUMPRODUCT((J191:U191="x")*(Besatzung!$F$11:$F$22="x"))),1))))),0))))</f>
        <v/>
      </c>
      <c r="AG191" s="106">
        <f>IF(C191="Gutschrift","",IF(G191="","",IF(Besatzung!$B$22="","",IFERROR(IF(I191="Zeitanteilig",(Besatzung!$G$22*(G191-IFERROR(H191,0))+((Besatzung!$B$22&lt;&gt;"")*IF(B191="",1,(IF(Besatzung!$C$22="",Besatzung!$B$5,Besatzung!$C$22)&lt;=B191)*(IF(Besatzung!$D$22="",Besatzung!$B$6,Besatzung!$D$22)&gt;=B191)))*(Besatzung!$F$22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$22&lt;&gt;"")*IF(B191="",1,(IF(Besatzung!$C$22="",Besatzung!$B$5,Besatzung!$C$22)&lt;=B191)*(IF(Besatzung!$D$22="",Besatzung!$B$6,Besatzung!$D$22)&gt;=B191)))*((G191-IFERROR(H191,0))/IFERROR(SUMPRODUCT((Besatzung!$B$11:$B$22&lt;&gt;"")*(IF(Besatzung!$C$11:$C$22="",Besatzung!$B$5,Besatzung!$C$11:$C$22)&lt;=B191)*(IF(Besatzung!$D$11:$D$22="",Besatzung!$B$6,Besatzung!$D$11:$D$22)&gt;=B191)),1)+(Besatzung!$F$22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U191="x")*((G191-IFERROR(H191,0))/IFERROR(COUNTIF(J191:U191,"x"),1)+(Besatzung!$F$22="x")*IFERROR(H191,0)/IFERROR(SUMPRODUCT((J191:U191="x")*(Besatzung!$F$11:$F$22="x")),1))),(IF(COUNTIF(J191:U191,"x")=0,IF(Besatzung!$B$22&lt;&gt;"",1,0),(U191="x"))*(G191-IFERROR(H191,0))/IFERROR(IF(COUNTIF(J191:U191,"x")=0,COUNTA(Besatzung!$B$11:$B$22),COUNTIF(J191:U191,"x")),1)+IF(COUNTIF(J191:U191,"x")=0,(Besatzung!$F$22="x"),(U191="x")*(Besatzung!$F$22="x"))*IFERROR(H191,0)/IFERROR(IF(COUNTIF(J191:U191,"x")=0,SUMPRODUCT((Besatzung!$B$11:$B$22&lt;&gt;"")*(Besatzung!$F$11:$F$22="x")),SUMPRODUCT((J191:U191="x")*(Besatzung!$F$11:$F$22="x"))),1))))),0))))</f>
        <v/>
      </c>
      <c r="AH191" s="107" t="n"/>
      <c r="AI191" s="107" t="n"/>
    </row>
    <row r="192" ht="21.75" customHeight="1" s="182">
      <c r="A192" s="97">
        <f>IF(AND(D192="",C192=""),"",189)</f>
        <v/>
      </c>
      <c r="B192" s="56" t="n"/>
      <c r="C192" s="98" t="n"/>
      <c r="D192" s="99" t="n"/>
      <c r="E192" s="100" t="n"/>
      <c r="F192" s="101" t="n"/>
      <c r="G192" s="102" t="n"/>
      <c r="H192" s="103" t="n"/>
      <c r="I192" s="104" t="n"/>
      <c r="J192" s="105" t="n"/>
      <c r="K192" s="105" t="n"/>
      <c r="L192" s="105" t="n"/>
      <c r="M192" s="105" t="n"/>
      <c r="N192" s="105" t="n"/>
      <c r="O192" s="105" t="n"/>
      <c r="P192" s="105" t="n"/>
      <c r="Q192" s="105" t="n"/>
      <c r="R192" s="105" t="n"/>
      <c r="S192" s="105" t="n"/>
      <c r="T192" s="105" t="n"/>
      <c r="U192" s="105" t="n"/>
      <c r="V192" s="106">
        <f>IF(C192="Gutschrift","",IF(G192="","",IF(Besatzung!$B$11="","",IFERROR(IF(I192="Zeitanteilig",(Besatzung!$G$11*(G192-IFERROR(H192,0))+((Besatzung!$B$11&lt;&gt;"")*IF(B192="",1,(IF(Besatzung!$C$11="",Besatzung!$B$5,Besatzung!$C$11)&lt;=B192)*(IF(Besatzung!$D$11="",Besatzung!$B$6,Besatzung!$D$11)&gt;=B192)))*(Besatzung!$F$11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$11&lt;&gt;"")*IF(B192="",1,(IF(Besatzung!$C$11="",Besatzung!$B$5,Besatzung!$C$11)&lt;=B192)*(IF(Besatzung!$D$11="",Besatzung!$B$6,Besatzung!$D$11)&gt;=B192)))*((G192-IFERROR(H192,0))/IFERROR(SUMPRODUCT((Besatzung!$B$11:$B$22&lt;&gt;"")*(IF(Besatzung!$C$11:$C$22="",Besatzung!$B$5,Besatzung!$C$11:$C$22)&lt;=B192)*(IF(Besatzung!$D$11:$D$22="",Besatzung!$B$6,Besatzung!$D$11:$D$22)&gt;=B192)),1)+(Besatzung!$F$11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J192="x")*((G192-IFERROR(H192,0))/IFERROR(COUNTIF(J192:U192,"x"),1)+(Besatzung!$F$11="x")*IFERROR(H192,0)/IFERROR(SUMPRODUCT((J192:U192="x")*(Besatzung!$F$11:$F$22="x")),1))),(IF(COUNTIF(J192:U192,"x")=0,IF(Besatzung!$B$11&lt;&gt;"",1,0),(J192="x"))*(G192-IFERROR(H192,0))/IFERROR(IF(COUNTIF(J192:U192,"x")=0,COUNTA(Besatzung!$B$11:$B$22),COUNTIF(J192:U192,"x")),1)+IF(COUNTIF(J192:U192,"x")=0,(Besatzung!$F$11="x"),(J192="x")*(Besatzung!$F$11="x"))*IFERROR(H192,0)/IFERROR(IF(COUNTIF(J192:U192,"x")=0,SUMPRODUCT((Besatzung!$B$11:$B$22&lt;&gt;"")*(Besatzung!$F$11:$F$22="x")),SUMPRODUCT((J192:U192="x")*(Besatzung!$F$11:$F$22="x"))),1))))),0))))</f>
        <v/>
      </c>
      <c r="W192" s="106">
        <f>IF(C192="Gutschrift","",IF(G192="","",IF(Besatzung!$B$12="","",IFERROR(IF(I192="Zeitanteilig",(Besatzung!$G$12*(G192-IFERROR(H192,0))+((Besatzung!$B$12&lt;&gt;"")*IF(B192="",1,(IF(Besatzung!$C$12="",Besatzung!$B$5,Besatzung!$C$12)&lt;=B192)*(IF(Besatzung!$D$12="",Besatzung!$B$6,Besatzung!$D$12)&gt;=B192)))*(Besatzung!$F$12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$12&lt;&gt;"")*IF(B192="",1,(IF(Besatzung!$C$12="",Besatzung!$B$5,Besatzung!$C$12)&lt;=B192)*(IF(Besatzung!$D$12="",Besatzung!$B$6,Besatzung!$D$12)&gt;=B192)))*((G192-IFERROR(H192,0))/IFERROR(SUMPRODUCT((Besatzung!$B$11:$B$22&lt;&gt;"")*(IF(Besatzung!$C$11:$C$22="",Besatzung!$B$5,Besatzung!$C$11:$C$22)&lt;=B192)*(IF(Besatzung!$D$11:$D$22="",Besatzung!$B$6,Besatzung!$D$11:$D$22)&gt;=B192)),1)+(Besatzung!$F$12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K192="x")*((G192-IFERROR(H192,0))/IFERROR(COUNTIF(J192:U192,"x"),1)+(Besatzung!$F$12="x")*IFERROR(H192,0)/IFERROR(SUMPRODUCT((J192:U192="x")*(Besatzung!$F$11:$F$22="x")),1))),(IF(COUNTIF(J192:U192,"x")=0,IF(Besatzung!$B$12&lt;&gt;"",1,0),(K192="x"))*(G192-IFERROR(H192,0))/IFERROR(IF(COUNTIF(J192:U192,"x")=0,COUNTA(Besatzung!$B$11:$B$22),COUNTIF(J192:U192,"x")),1)+IF(COUNTIF(J192:U192,"x")=0,(Besatzung!$F$12="x"),(K192="x")*(Besatzung!$F$12="x"))*IFERROR(H192,0)/IFERROR(IF(COUNTIF(J192:U192,"x")=0,SUMPRODUCT((Besatzung!$B$11:$B$22&lt;&gt;"")*(Besatzung!$F$11:$F$22="x")),SUMPRODUCT((J192:U192="x")*(Besatzung!$F$11:$F$22="x"))),1))))),0))))</f>
        <v/>
      </c>
      <c r="X192" s="106">
        <f>IF(C192="Gutschrift","",IF(G192="","",IF(Besatzung!$B$13="","",IFERROR(IF(I192="Zeitanteilig",(Besatzung!$G$13*(G192-IFERROR(H192,0))+((Besatzung!$B$13&lt;&gt;"")*IF(B192="",1,(IF(Besatzung!$C$13="",Besatzung!$B$5,Besatzung!$C$13)&lt;=B192)*(IF(Besatzung!$D$13="",Besatzung!$B$6,Besatzung!$D$13)&gt;=B192)))*(Besatzung!$F$13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$13&lt;&gt;"")*IF(B192="",1,(IF(Besatzung!$C$13="",Besatzung!$B$5,Besatzung!$C$13)&lt;=B192)*(IF(Besatzung!$D$13="",Besatzung!$B$6,Besatzung!$D$13)&gt;=B192)))*((G192-IFERROR(H192,0))/IFERROR(SUMPRODUCT((Besatzung!$B$11:$B$22&lt;&gt;"")*(IF(Besatzung!$C$11:$C$22="",Besatzung!$B$5,Besatzung!$C$11:$C$22)&lt;=B192)*(IF(Besatzung!$D$11:$D$22="",Besatzung!$B$6,Besatzung!$D$11:$D$22)&gt;=B192)),1)+(Besatzung!$F$13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K192="x")*((G192-IFERROR(H192,0))/IFERROR(COUNTIF(J192:U192,"x"),1)+(Besatzung!$F$13="x")*IFERROR(H192,0)/IFERROR(SUMPRODUCT((J192:U192="x")*(Besatzung!$F$11:$F$22="x")),1))),(IF(COUNTIF(J192:U192,"x")=0,IF(Besatzung!$B$13&lt;&gt;"",1,0),(K192="x"))*(G192-IFERROR(H192,0))/IFERROR(IF(COUNTIF(J192:U192,"x")=0,COUNTA(Besatzung!$B$11:$B$22),COUNTIF(J192:U192,"x")),1)+IF(COUNTIF(J192:U192,"x")=0,(Besatzung!$F$13="x"),(K192="x")*(Besatzung!$F$13="x"))*IFERROR(H192,0)/IFERROR(IF(COUNTIF(J192:U192,"x")=0,SUMPRODUCT((Besatzung!$B$11:$B$22&lt;&gt;"")*(Besatzung!$F$11:$F$22="x")),SUMPRODUCT((J192:U192="x")*(Besatzung!$F$11:$F$22="x"))),1))))),0))))</f>
        <v/>
      </c>
      <c r="Y192" s="106">
        <f>IF(C192="Gutschrift","",IF(G192="","",IF(Besatzung!$B$14="","",IFERROR(IF(I192="Zeitanteilig",(Besatzung!$G$14*(G192-IFERROR(H192,0))+((Besatzung!$B$14&lt;&gt;"")*IF(B192="",1,(IF(Besatzung!$C$14="",Besatzung!$B$5,Besatzung!$C$14)&lt;=B192)*(IF(Besatzung!$D$14="",Besatzung!$B$6,Besatzung!$D$14)&gt;=B192)))*(Besatzung!$F$14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$14&lt;&gt;"")*IF(B192="",1,(IF(Besatzung!$C$14="",Besatzung!$B$5,Besatzung!$C$14)&lt;=B192)*(IF(Besatzung!$D$14="",Besatzung!$B$6,Besatzung!$D$14)&gt;=B192)))*((G192-IFERROR(H192,0))/IFERROR(SUMPRODUCT((Besatzung!$B$11:$B$22&lt;&gt;"")*(IF(Besatzung!$C$11:$C$22="",Besatzung!$B$5,Besatzung!$C$11:$C$22)&lt;=B192)*(IF(Besatzung!$D$11:$D$22="",Besatzung!$B$6,Besatzung!$D$11:$D$22)&gt;=B192)),1)+(Besatzung!$F$14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M192="x")*((G192-IFERROR(H192,0))/IFERROR(COUNTIF(J192:U192,"x"),1)+(Besatzung!$F$14="x")*IFERROR(H192,0)/IFERROR(SUMPRODUCT((J192:U192="x")*(Besatzung!$F$11:$F$22="x")),1))),(IF(COUNTIF(J192:U192,"x")=0,IF(Besatzung!$B$14&lt;&gt;"",1,0),(M192="x"))*(G192-IFERROR(H192,0))/IFERROR(IF(COUNTIF(J192:U192,"x")=0,COUNTA(Besatzung!$B$11:$B$22),COUNTIF(J192:U192,"x")),1)+IF(COUNTIF(J192:U192,"x")=0,(Besatzung!$F$14="x"),(M192="x")*(Besatzung!$F$14="x"))*IFERROR(H192,0)/IFERROR(IF(COUNTIF(J192:U192,"x")=0,SUMPRODUCT((Besatzung!$B$11:$B$22&lt;&gt;"")*(Besatzung!$F$11:$F$22="x")),SUMPRODUCT((J192:U192="x")*(Besatzung!$F$11:$F$22="x"))),1))))),0))))</f>
        <v/>
      </c>
      <c r="Z192" s="106">
        <f>IF(C192="Gutschrift","",IF(G192="","",IF(Besatzung!$B$13="","",IFERROR(IF(I192="Zeitanteilig",(Besatzung!$G$15*(G192-IFERROR(H192,0))+((Besatzung!$B$13&lt;&gt;"")*IF(B192="",1,(IF(Besatzung!$C$15="",Besatzung!$B$5,Besatzung!$C$15)&lt;=B192)*(IF(Besatzung!$D$15="",Besatzung!$B$6,Besatzung!$D$15)&gt;=B192)))*(Besatzung!$F$15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$13&lt;&gt;"")*IF(B192="",1,(IF(Besatzung!$C$15="",Besatzung!$B$5,Besatzung!$C$15)&lt;=B192)*(IF(Besatzung!$D$15="",Besatzung!$B$6,Besatzung!$D$15)&gt;=B192)))*((G192-IFERROR(H192,0))/IFERROR(SUMPRODUCT((Besatzung!$B$11:$B$22&lt;&gt;"")*(IF(Besatzung!$C$11:$C$22="",Besatzung!$B$5,Besatzung!$C$11:$C$22)&lt;=B192)*(IF(Besatzung!$D$11:$D$22="",Besatzung!$B$6,Besatzung!$D$11:$D$22)&gt;=B192)),1)+(Besatzung!$F$15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N192="x")*((G192-IFERROR(H192,0))/IFERROR(COUNTIF(J192:U192,"x"),1)+(Besatzung!$F$15="x")*IFERROR(H192,0)/IFERROR(SUMPRODUCT((J192:U192="x")*(Besatzung!$F$11:$F$22="x")),1))),(IF(COUNTIF(J192:U192,"x")=0,IF(Besatzung!$B$13&lt;&gt;"",1,0),(N192="x"))*(G192-IFERROR(H192,0))/IFERROR(IF(COUNTIF(J192:U192,"x")=0,COUNTA(Besatzung!$B$11:$B$22),COUNTIF(J192:U192,"x")),1)+IF(COUNTIF(J192:U192,"x")=0,(Besatzung!$F$15="x"),(N192="x")*(Besatzung!$F$15="x"))*IFERROR(H192,0)/IFERROR(IF(COUNTIF(J192:U192,"x")=0,SUMPRODUCT((Besatzung!$B$11:$B$22&lt;&gt;"")*(Besatzung!$F$11:$F$22="x")),SUMPRODUCT((J192:U192="x")*(Besatzung!$F$11:$F$22="x"))),1))))),0))))</f>
        <v/>
      </c>
      <c r="AA192" s="106">
        <f>IF(C192="Gutschrift","",IF(G192="","",IF(Besatzung!$B$15="","",IFERROR(IF(I192="Zeitanteilig",(Besatzung!$G$16*(G192-IFERROR(H192,0))+((Besatzung!$B$15&lt;&gt;"")*IF(B192="",1,(IF(Besatzung!$C$16="",Besatzung!$B$5,Besatzung!$C$16)&lt;=B192)*(IF(Besatzung!$D$16="",Besatzung!$B$6,Besatzung!$D$16)&gt;=B192)))*(Besatzung!$F$16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$15&lt;&gt;"")*IF(B192="",1,(IF(Besatzung!$C$16="",Besatzung!$B$5,Besatzung!$C$16)&lt;=B192)*(IF(Besatzung!$D$16="",Besatzung!$B$6,Besatzung!$D$16)&gt;=B192)))*((G192-IFERROR(H192,0))/IFERROR(SUMPRODUCT((Besatzung!$B$11:$B$22&lt;&gt;"")*(IF(Besatzung!$C$11:$C$22="",Besatzung!$B$5,Besatzung!$C$11:$C$22)&lt;=B192)*(IF(Besatzung!$D$11:$D$22="",Besatzung!$B$6,Besatzung!$D$11:$D$22)&gt;=B192)),1)+(Besatzung!$F$16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O192="x")*((G192-IFERROR(H192,0))/IFERROR(COUNTIF(J192:U192,"x"),1)+(Besatzung!$F$16="x")*IFERROR(H192,0)/IFERROR(SUMPRODUCT((J192:U192="x")*(Besatzung!$F$11:$F$22="x")),1))),(IF(COUNTIF(J192:U192,"x")=0,IF(Besatzung!$B$15&lt;&gt;"",1,0),(O192="x"))*(G192-IFERROR(H192,0))/IFERROR(IF(COUNTIF(J192:U192,"x")=0,COUNTA(Besatzung!$B$11:$B$22),COUNTIF(J192:U192,"x")),1)+IF(COUNTIF(J192:U192,"x")=0,(Besatzung!$F$16="x"),(O192="x")*(Besatzung!$F$16="x"))*IFERROR(H192,0)/IFERROR(IF(COUNTIF(J192:U192,"x")=0,SUMPRODUCT((Besatzung!$B$11:$B$22&lt;&gt;"")*(Besatzung!$F$11:$F$22="x")),SUMPRODUCT((J192:U192="x")*(Besatzung!$F$11:$F$22="x"))),1))))),0))))</f>
        <v/>
      </c>
      <c r="AB192" s="106">
        <f>IF(C192="Gutschrift","",IF(G192="","",IF(Besatzung!$B$17="","",IFERROR(IF(I192="Zeitanteilig",(Besatzung!$G$17*(G192-IFERROR(H192,0))+((Besatzung!$B$17&lt;&gt;"")*IF(B192="",1,(IF(Besatzung!$C$17="",Besatzung!$B$5,Besatzung!$C$17)&lt;=B192)*(IF(Besatzung!$D$17="",Besatzung!$B$6,Besatzung!$D$17)&gt;=B192)))*(Besatzung!$F$17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$17&lt;&gt;"")*IF(B192="",1,(IF(Besatzung!$C$17="",Besatzung!$B$5,Besatzung!$C$17)&lt;=B192)*(IF(Besatzung!$D$17="",Besatzung!$B$6,Besatzung!$D$17)&gt;=B192)))*((G192-IFERROR(H192,0))/IFERROR(SUMPRODUCT((Besatzung!$B$11:$B$22&lt;&gt;"")*(IF(Besatzung!$C$11:$C$22="",Besatzung!$B$5,Besatzung!$C$11:$C$22)&lt;=B192)*(IF(Besatzung!$D$11:$D$22="",Besatzung!$B$6,Besatzung!$D$11:$D$22)&gt;=B192)),1)+(Besatzung!$F$17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P192="x")*((G192-IFERROR(H192,0))/IFERROR(COUNTIF(J192:U192,"x"),1)+(Besatzung!$F$17="x")*IFERROR(H192,0)/IFERROR(SUMPRODUCT((J192:U192="x")*(Besatzung!$F$11:$F$22="x")),1))),(IF(COUNTIF(J192:U192,"x")=0,IF(Besatzung!$B$17&lt;&gt;"",1,0),(P192="x"))*(G192-IFERROR(H192,0))/IFERROR(IF(COUNTIF(J192:U192,"x")=0,COUNTA(Besatzung!$B$11:$B$22),COUNTIF(J192:U192,"x")),1)+IF(COUNTIF(J192:U192,"x")=0,(Besatzung!$F$17="x"),(P192="x")*(Besatzung!$F$17="x"))*IFERROR(H192,0)/IFERROR(IF(COUNTIF(J192:U192,"x")=0,SUMPRODUCT((Besatzung!$B$11:$B$22&lt;&gt;"")*(Besatzung!$F$11:$F$22="x")),SUMPRODUCT((J192:U192="x")*(Besatzung!$F$11:$F$22="x"))),1))))),0))))</f>
        <v/>
      </c>
      <c r="AC192" s="106">
        <f>IF(C192="Gutschrift","",IF(G192="","",IF(Besatzung!$B$18="","",IFERROR(IF(I192="Zeitanteilig",(Besatzung!$G$18*(G192-IFERROR(H192,0))+((Besatzung!$B$18&lt;&gt;"")*IF(B192="",1,(IF(Besatzung!$C$18="",Besatzung!$B$5,Besatzung!$C$18)&lt;=B192)*(IF(Besatzung!$D$18="",Besatzung!$B$6,Besatzung!$D$18)&gt;=B192)))*(Besatzung!$F$18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$18&lt;&gt;"")*IF(B192="",1,(IF(Besatzung!$C$18="",Besatzung!$B$5,Besatzung!$C$18)&lt;=B192)*(IF(Besatzung!$D$18="",Besatzung!$B$6,Besatzung!$D$18)&gt;=B192)))*((G192-IFERROR(H192,0))/IFERROR(SUMPRODUCT((Besatzung!$B$11:$B$22&lt;&gt;"")*(IF(Besatzung!$C$11:$C$22="",Besatzung!$B$5,Besatzung!$C$11:$C$22)&lt;=B192)*(IF(Besatzung!$D$11:$D$22="",Besatzung!$B$6,Besatzung!$D$11:$D$22)&gt;=B192)),1)+(Besatzung!$F$18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Q192="x")*((G192-IFERROR(H192,0))/IFERROR(COUNTIF(J192:U192,"x"),1)+(Besatzung!$F$18="x")*IFERROR(H192,0)/IFERROR(SUMPRODUCT((J192:U192="x")*(Besatzung!$F$11:$F$22="x")),1))),(IF(COUNTIF(J192:U192,"x")=0,IF(Besatzung!$B$18&lt;&gt;"",1,0),(Q192="x"))*(G192-IFERROR(H192,0))/IFERROR(IF(COUNTIF(J192:U192,"x")=0,COUNTA(Besatzung!$B$11:$B$22),COUNTIF(J192:U192,"x")),1)+IF(COUNTIF(J192:U192,"x")=0,(Besatzung!$F$18="x"),(Q192="x")*(Besatzung!$F$18="x"))*IFERROR(H192,0)/IFERROR(IF(COUNTIF(J192:U192,"x")=0,SUMPRODUCT((Besatzung!$B$11:$B$22&lt;&gt;"")*(Besatzung!$F$11:$F$22="x")),SUMPRODUCT((J192:U192="x")*(Besatzung!$F$11:$F$22="x"))),1))))),0))))</f>
        <v/>
      </c>
      <c r="AD192" s="106">
        <f>IF(C192="Gutschrift","",IF(G192="","",IF(Besatzung!$B$19="","",IFERROR(IF(I192="Zeitanteilig",(Besatzung!$G$19*(G192-IFERROR(H192,0))+((Besatzung!$B$19&lt;&gt;"")*IF(B192="",1,(IF(Besatzung!$C$19="",Besatzung!$B$5,Besatzung!$C$19)&lt;=B192)*(IF(Besatzung!$D$19="",Besatzung!$B$6,Besatzung!$D$19)&gt;=B192)))*(Besatzung!$F$19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$19&lt;&gt;"")*IF(B192="",1,(IF(Besatzung!$C$19="",Besatzung!$B$5,Besatzung!$C$19)&lt;=B192)*(IF(Besatzung!$D$19="",Besatzung!$B$6,Besatzung!$D$19)&gt;=B192)))*((G192-IFERROR(H192,0))/IFERROR(SUMPRODUCT((Besatzung!$B$11:$B$22&lt;&gt;"")*(IF(Besatzung!$C$11:$C$22="",Besatzung!$B$5,Besatzung!$C$11:$C$22)&lt;=B192)*(IF(Besatzung!$D$11:$D$22="",Besatzung!$B$6,Besatzung!$D$11:$D$22)&gt;=B192)),1)+(Besatzung!$F$19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R192="x")*((G192-IFERROR(H192,0))/IFERROR(COUNTIF(J192:U192,"x"),1)+(Besatzung!$F$19="x")*IFERROR(H192,0)/IFERROR(SUMPRODUCT((J192:U192="x")*(Besatzung!$F$11:$F$22="x")),1))),(IF(COUNTIF(J192:U192,"x")=0,IF(Besatzung!$B$19&lt;&gt;"",1,0),(R192="x"))*(G192-IFERROR(H192,0))/IFERROR(IF(COUNTIF(J192:U192,"x")=0,COUNTA(Besatzung!$B$11:$B$22),COUNTIF(J192:U192,"x")),1)+IF(COUNTIF(J192:U192,"x")=0,(Besatzung!$F$19="x"),(R192="x")*(Besatzung!$F$19="x"))*IFERROR(H192,0)/IFERROR(IF(COUNTIF(J192:U192,"x")=0,SUMPRODUCT((Besatzung!$B$11:$B$22&lt;&gt;"")*(Besatzung!$F$11:$F$22="x")),SUMPRODUCT((J192:U192="x")*(Besatzung!$F$11:$F$22="x"))),1))))),0))))</f>
        <v/>
      </c>
      <c r="AE192" s="106">
        <f>IF(C192="Gutschrift","",IF(G192="","",IF(Besatzung!$B$20="","",IFERROR(IF(I192="Zeitanteilig",(Besatzung!$G$20*(G192-IFERROR(H192,0))+((Besatzung!$B$20&lt;&gt;"")*IF(B192="",1,(IF(Besatzung!$C$20="",Besatzung!$B$5,Besatzung!$C$20)&lt;=B192)*(IF(Besatzung!$D$20="",Besatzung!$B$6,Besatzung!$D$20)&gt;=B192)))*(Besatzung!$F$20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$20&lt;&gt;"")*IF(B192="",1,(IF(Besatzung!$C$20="",Besatzung!$B$5,Besatzung!$C$20)&lt;=B192)*(IF(Besatzung!$D$20="",Besatzung!$B$6,Besatzung!$D$20)&gt;=B192)))*((G192-IFERROR(H192,0))/IFERROR(SUMPRODUCT((Besatzung!$B$11:$B$22&lt;&gt;"")*(IF(Besatzung!$C$11:$C$22="",Besatzung!$B$5,Besatzung!$C$11:$C$22)&lt;=B192)*(IF(Besatzung!$D$11:$D$22="",Besatzung!$B$6,Besatzung!$D$11:$D$22)&gt;=B192)),1)+(Besatzung!$F$20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S192="x")*((G192-IFERROR(H192,0))/IFERROR(COUNTIF(J192:U192,"x"),1)+(Besatzung!$F$20="x")*IFERROR(H192,0)/IFERROR(SUMPRODUCT((J192:U192="x")*(Besatzung!$F$11:$F$22="x")),1))),(IF(COUNTIF(J192:U192,"x")=0,IF(Besatzung!$B$20&lt;&gt;"",1,0),(S192="x"))*(G192-IFERROR(H192,0))/IFERROR(IF(COUNTIF(J192:U192,"x")=0,COUNTA(Besatzung!$B$11:$B$22),COUNTIF(J192:U192,"x")),1)+IF(COUNTIF(J192:U192,"x")=0,(Besatzung!$F$20="x"),(S192="x")*(Besatzung!$F$20="x"))*IFERROR(H192,0)/IFERROR(IF(COUNTIF(J192:U192,"x")=0,SUMPRODUCT((Besatzung!$B$11:$B$22&lt;&gt;"")*(Besatzung!$F$11:$F$22="x")),SUMPRODUCT((J192:U192="x")*(Besatzung!$F$11:$F$22="x"))),1))))),0))))</f>
        <v/>
      </c>
      <c r="AF192" s="106">
        <f>IF(C192="Gutschrift","",IF(G192="","",IF(Besatzung!$B$21="","",IFERROR(IF(I192="Zeitanteilig",(Besatzung!$G$21*(G192-IFERROR(H192,0))+((Besatzung!$B$21&lt;&gt;"")*IF(B192="",1,(IF(Besatzung!$C$21="",Besatzung!$B$5,Besatzung!$C$21)&lt;=B192)*(IF(Besatzung!$D$21="",Besatzung!$B$6,Besatzung!$D$21)&gt;=B192)))*(Besatzung!$F$21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$21&lt;&gt;"")*IF(B192="",1,(IF(Besatzung!$C$21="",Besatzung!$B$5,Besatzung!$C$21)&lt;=B192)*(IF(Besatzung!$D$21="",Besatzung!$B$6,Besatzung!$D$21)&gt;=B192)))*((G192-IFERROR(H192,0))/IFERROR(SUMPRODUCT((Besatzung!$B$11:$B$22&lt;&gt;"")*(IF(Besatzung!$C$11:$C$22="",Besatzung!$B$5,Besatzung!$C$11:$C$22)&lt;=B192)*(IF(Besatzung!$D$11:$D$22="",Besatzung!$B$6,Besatzung!$D$11:$D$22)&gt;=B192)),1)+(Besatzung!$F$21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T192="x")*((G192-IFERROR(H192,0))/IFERROR(COUNTIF(J192:U192,"x"),1)+(Besatzung!$F$21="x")*IFERROR(H192,0)/IFERROR(SUMPRODUCT((J192:U192="x")*(Besatzung!$F$11:$F$22="x")),1))),(IF(COUNTIF(J192:U192,"x")=0,IF(Besatzung!$B$21&lt;&gt;"",1,0),(T192="x"))*(G192-IFERROR(H192,0))/IFERROR(IF(COUNTIF(J192:U192,"x")=0,COUNTA(Besatzung!$B$11:$B$22),COUNTIF(J192:U192,"x")),1)+IF(COUNTIF(J192:U192,"x")=0,(Besatzung!$F$21="x"),(T192="x")*(Besatzung!$F$21="x"))*IFERROR(H192,0)/IFERROR(IF(COUNTIF(J192:U192,"x")=0,SUMPRODUCT((Besatzung!$B$11:$B$22&lt;&gt;"")*(Besatzung!$F$11:$F$22="x")),SUMPRODUCT((J192:U192="x")*(Besatzung!$F$11:$F$22="x"))),1))))),0))))</f>
        <v/>
      </c>
      <c r="AG192" s="106">
        <f>IF(C192="Gutschrift","",IF(G192="","",IF(Besatzung!$B$22="","",IFERROR(IF(I192="Zeitanteilig",(Besatzung!$G$22*(G192-IFERROR(H192,0))+((Besatzung!$B$22&lt;&gt;"")*IF(B192="",1,(IF(Besatzung!$C$22="",Besatzung!$B$5,Besatzung!$C$22)&lt;=B192)*(IF(Besatzung!$D$22="",Besatzung!$B$6,Besatzung!$D$22)&gt;=B192)))*(Besatzung!$F$22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$22&lt;&gt;"")*IF(B192="",1,(IF(Besatzung!$C$22="",Besatzung!$B$5,Besatzung!$C$22)&lt;=B192)*(IF(Besatzung!$D$22="",Besatzung!$B$6,Besatzung!$D$22)&gt;=B192)))*((G192-IFERROR(H192,0))/IFERROR(SUMPRODUCT((Besatzung!$B$11:$B$22&lt;&gt;"")*(IF(Besatzung!$C$11:$C$22="",Besatzung!$B$5,Besatzung!$C$11:$C$22)&lt;=B192)*(IF(Besatzung!$D$11:$D$22="",Besatzung!$B$6,Besatzung!$D$11:$D$22)&gt;=B192)),1)+(Besatzung!$F$22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U192="x")*((G192-IFERROR(H192,0))/IFERROR(COUNTIF(J192:U192,"x"),1)+(Besatzung!$F$22="x")*IFERROR(H192,0)/IFERROR(SUMPRODUCT((J192:U192="x")*(Besatzung!$F$11:$F$22="x")),1))),(IF(COUNTIF(J192:U192,"x")=0,IF(Besatzung!$B$22&lt;&gt;"",1,0),(U192="x"))*(G192-IFERROR(H192,0))/IFERROR(IF(COUNTIF(J192:U192,"x")=0,COUNTA(Besatzung!$B$11:$B$22),COUNTIF(J192:U192,"x")),1)+IF(COUNTIF(J192:U192,"x")=0,(Besatzung!$F$22="x"),(U192="x")*(Besatzung!$F$22="x"))*IFERROR(H192,0)/IFERROR(IF(COUNTIF(J192:U192,"x")=0,SUMPRODUCT((Besatzung!$B$11:$B$22&lt;&gt;"")*(Besatzung!$F$11:$F$22="x")),SUMPRODUCT((J192:U192="x")*(Besatzung!$F$11:$F$22="x"))),1))))),0))))</f>
        <v/>
      </c>
      <c r="AH192" s="107" t="n"/>
      <c r="AI192" s="107" t="n"/>
    </row>
    <row r="193" ht="21.75" customHeight="1" s="182">
      <c r="A193" s="97">
        <f>IF(AND(D193="",C193=""),"",190)</f>
        <v/>
      </c>
      <c r="B193" s="63" t="n"/>
      <c r="C193" s="108" t="n"/>
      <c r="D193" s="109" t="n"/>
      <c r="E193" s="110" t="n"/>
      <c r="F193" s="111" t="n"/>
      <c r="G193" s="112" t="n"/>
      <c r="H193" s="113" t="n"/>
      <c r="I193" s="114" t="n"/>
      <c r="J193" s="115" t="n"/>
      <c r="K193" s="115" t="n"/>
      <c r="L193" s="115" t="n"/>
      <c r="M193" s="115" t="n"/>
      <c r="N193" s="115" t="n"/>
      <c r="O193" s="115" t="n"/>
      <c r="P193" s="115" t="n"/>
      <c r="Q193" s="115" t="n"/>
      <c r="R193" s="115" t="n"/>
      <c r="S193" s="115" t="n"/>
      <c r="T193" s="115" t="n"/>
      <c r="U193" s="115" t="n"/>
      <c r="V193" s="106">
        <f>IF(C193="Gutschrift","",IF(G193="","",IF(Besatzung!$B$11="","",IFERROR(IF(I193="Zeitanteilig",(Besatzung!$G$11*(G193-IFERROR(H193,0))+((Besatzung!$B$11&lt;&gt;"")*IF(B193="",1,(IF(Besatzung!$C$11="",Besatzung!$B$5,Besatzung!$C$11)&lt;=B193)*(IF(Besatzung!$D$11="",Besatzung!$B$6,Besatzung!$D$11)&gt;=B193)))*(Besatzung!$F$11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$11&lt;&gt;"")*IF(B193="",1,(IF(Besatzung!$C$11="",Besatzung!$B$5,Besatzung!$C$11)&lt;=B193)*(IF(Besatzung!$D$11="",Besatzung!$B$6,Besatzung!$D$11)&gt;=B193)))*((G193-IFERROR(H193,0))/IFERROR(SUMPRODUCT((Besatzung!$B$11:$B$22&lt;&gt;"")*(IF(Besatzung!$C$11:$C$22="",Besatzung!$B$5,Besatzung!$C$11:$C$22)&lt;=B193)*(IF(Besatzung!$D$11:$D$22="",Besatzung!$B$6,Besatzung!$D$11:$D$22)&gt;=B193)),1)+(Besatzung!$F$11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J193="x")*((G193-IFERROR(H193,0))/IFERROR(COUNTIF(J193:U193,"x"),1)+(Besatzung!$F$11="x")*IFERROR(H193,0)/IFERROR(SUMPRODUCT((J193:U193="x")*(Besatzung!$F$11:$F$22="x")),1))),(IF(COUNTIF(J193:U193,"x")=0,IF(Besatzung!$B$11&lt;&gt;"",1,0),(J193="x"))*(G193-IFERROR(H193,0))/IFERROR(IF(COUNTIF(J193:U193,"x")=0,COUNTA(Besatzung!$B$11:$B$22),COUNTIF(J193:U193,"x")),1)+IF(COUNTIF(J193:U193,"x")=0,(Besatzung!$F$11="x"),(J193="x")*(Besatzung!$F$11="x"))*IFERROR(H193,0)/IFERROR(IF(COUNTIF(J193:U193,"x")=0,SUMPRODUCT((Besatzung!$B$11:$B$22&lt;&gt;"")*(Besatzung!$F$11:$F$22="x")),SUMPRODUCT((J193:U193="x")*(Besatzung!$F$11:$F$22="x"))),1))))),0))))</f>
        <v/>
      </c>
      <c r="W193" s="106">
        <f>IF(C193="Gutschrift","",IF(G193="","",IF(Besatzung!$B$12="","",IFERROR(IF(I193="Zeitanteilig",(Besatzung!$G$12*(G193-IFERROR(H193,0))+((Besatzung!$B$12&lt;&gt;"")*IF(B193="",1,(IF(Besatzung!$C$12="",Besatzung!$B$5,Besatzung!$C$12)&lt;=B193)*(IF(Besatzung!$D$12="",Besatzung!$B$6,Besatzung!$D$12)&gt;=B193)))*(Besatzung!$F$12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$12&lt;&gt;"")*IF(B193="",1,(IF(Besatzung!$C$12="",Besatzung!$B$5,Besatzung!$C$12)&lt;=B193)*(IF(Besatzung!$D$12="",Besatzung!$B$6,Besatzung!$D$12)&gt;=B193)))*((G193-IFERROR(H193,0))/IFERROR(SUMPRODUCT((Besatzung!$B$11:$B$22&lt;&gt;"")*(IF(Besatzung!$C$11:$C$22="",Besatzung!$B$5,Besatzung!$C$11:$C$22)&lt;=B193)*(IF(Besatzung!$D$11:$D$22="",Besatzung!$B$6,Besatzung!$D$11:$D$22)&gt;=B193)),1)+(Besatzung!$F$12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K193="x")*((G193-IFERROR(H193,0))/IFERROR(COUNTIF(J193:U193,"x"),1)+(Besatzung!$F$12="x")*IFERROR(H193,0)/IFERROR(SUMPRODUCT((J193:U193="x")*(Besatzung!$F$11:$F$22="x")),1))),(IF(COUNTIF(J193:U193,"x")=0,IF(Besatzung!$B$12&lt;&gt;"",1,0),(K193="x"))*(G193-IFERROR(H193,0))/IFERROR(IF(COUNTIF(J193:U193,"x")=0,COUNTA(Besatzung!$B$11:$B$22),COUNTIF(J193:U193,"x")),1)+IF(COUNTIF(J193:U193,"x")=0,(Besatzung!$F$12="x"),(K193="x")*(Besatzung!$F$12="x"))*IFERROR(H193,0)/IFERROR(IF(COUNTIF(J193:U193,"x")=0,SUMPRODUCT((Besatzung!$B$11:$B$22&lt;&gt;"")*(Besatzung!$F$11:$F$22="x")),SUMPRODUCT((J193:U193="x")*(Besatzung!$F$11:$F$22="x"))),1))))),0))))</f>
        <v/>
      </c>
      <c r="X193" s="106">
        <f>IF(C193="Gutschrift","",IF(G193="","",IF(Besatzung!$B$13="","",IFERROR(IF(I193="Zeitanteilig",(Besatzung!$G$13*(G193-IFERROR(H193,0))+((Besatzung!$B$13&lt;&gt;"")*IF(B193="",1,(IF(Besatzung!$C$13="",Besatzung!$B$5,Besatzung!$C$13)&lt;=B193)*(IF(Besatzung!$D$13="",Besatzung!$B$6,Besatzung!$D$13)&gt;=B193)))*(Besatzung!$F$13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$13&lt;&gt;"")*IF(B193="",1,(IF(Besatzung!$C$13="",Besatzung!$B$5,Besatzung!$C$13)&lt;=B193)*(IF(Besatzung!$D$13="",Besatzung!$B$6,Besatzung!$D$13)&gt;=B193)))*((G193-IFERROR(H193,0))/IFERROR(SUMPRODUCT((Besatzung!$B$11:$B$22&lt;&gt;"")*(IF(Besatzung!$C$11:$C$22="",Besatzung!$B$5,Besatzung!$C$11:$C$22)&lt;=B193)*(IF(Besatzung!$D$11:$D$22="",Besatzung!$B$6,Besatzung!$D$11:$D$22)&gt;=B193)),1)+(Besatzung!$F$13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K193="x")*((G193-IFERROR(H193,0))/IFERROR(COUNTIF(J193:U193,"x"),1)+(Besatzung!$F$13="x")*IFERROR(H193,0)/IFERROR(SUMPRODUCT((J193:U193="x")*(Besatzung!$F$11:$F$22="x")),1))),(IF(COUNTIF(J193:U193,"x")=0,IF(Besatzung!$B$13&lt;&gt;"",1,0),(K193="x"))*(G193-IFERROR(H193,0))/IFERROR(IF(COUNTIF(J193:U193,"x")=0,COUNTA(Besatzung!$B$11:$B$22),COUNTIF(J193:U193,"x")),1)+IF(COUNTIF(J193:U193,"x")=0,(Besatzung!$F$13="x"),(K193="x")*(Besatzung!$F$13="x"))*IFERROR(H193,0)/IFERROR(IF(COUNTIF(J193:U193,"x")=0,SUMPRODUCT((Besatzung!$B$11:$B$22&lt;&gt;"")*(Besatzung!$F$11:$F$22="x")),SUMPRODUCT((J193:U193="x")*(Besatzung!$F$11:$F$22="x"))),1))))),0))))</f>
        <v/>
      </c>
      <c r="Y193" s="106">
        <f>IF(C193="Gutschrift","",IF(G193="","",IF(Besatzung!$B$14="","",IFERROR(IF(I193="Zeitanteilig",(Besatzung!$G$14*(G193-IFERROR(H193,0))+((Besatzung!$B$14&lt;&gt;"")*IF(B193="",1,(IF(Besatzung!$C$14="",Besatzung!$B$5,Besatzung!$C$14)&lt;=B193)*(IF(Besatzung!$D$14="",Besatzung!$B$6,Besatzung!$D$14)&gt;=B193)))*(Besatzung!$F$14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$14&lt;&gt;"")*IF(B193="",1,(IF(Besatzung!$C$14="",Besatzung!$B$5,Besatzung!$C$14)&lt;=B193)*(IF(Besatzung!$D$14="",Besatzung!$B$6,Besatzung!$D$14)&gt;=B193)))*((G193-IFERROR(H193,0))/IFERROR(SUMPRODUCT((Besatzung!$B$11:$B$22&lt;&gt;"")*(IF(Besatzung!$C$11:$C$22="",Besatzung!$B$5,Besatzung!$C$11:$C$22)&lt;=B193)*(IF(Besatzung!$D$11:$D$22="",Besatzung!$B$6,Besatzung!$D$11:$D$22)&gt;=B193)),1)+(Besatzung!$F$14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M193="x")*((G193-IFERROR(H193,0))/IFERROR(COUNTIF(J193:U193,"x"),1)+(Besatzung!$F$14="x")*IFERROR(H193,0)/IFERROR(SUMPRODUCT((J193:U193="x")*(Besatzung!$F$11:$F$22="x")),1))),(IF(COUNTIF(J193:U193,"x")=0,IF(Besatzung!$B$14&lt;&gt;"",1,0),(M193="x"))*(G193-IFERROR(H193,0))/IFERROR(IF(COUNTIF(J193:U193,"x")=0,COUNTA(Besatzung!$B$11:$B$22),COUNTIF(J193:U193,"x")),1)+IF(COUNTIF(J193:U193,"x")=0,(Besatzung!$F$14="x"),(M193="x")*(Besatzung!$F$14="x"))*IFERROR(H193,0)/IFERROR(IF(COUNTIF(J193:U193,"x")=0,SUMPRODUCT((Besatzung!$B$11:$B$22&lt;&gt;"")*(Besatzung!$F$11:$F$22="x")),SUMPRODUCT((J193:U193="x")*(Besatzung!$F$11:$F$22="x"))),1))))),0))))</f>
        <v/>
      </c>
      <c r="Z193" s="106">
        <f>IF(C193="Gutschrift","",IF(G193="","",IF(Besatzung!$B$13="","",IFERROR(IF(I193="Zeitanteilig",(Besatzung!$G$15*(G193-IFERROR(H193,0))+((Besatzung!$B$13&lt;&gt;"")*IF(B193="",1,(IF(Besatzung!$C$15="",Besatzung!$B$5,Besatzung!$C$15)&lt;=B193)*(IF(Besatzung!$D$15="",Besatzung!$B$6,Besatzung!$D$15)&gt;=B193)))*(Besatzung!$F$15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$13&lt;&gt;"")*IF(B193="",1,(IF(Besatzung!$C$15="",Besatzung!$B$5,Besatzung!$C$15)&lt;=B193)*(IF(Besatzung!$D$15="",Besatzung!$B$6,Besatzung!$D$15)&gt;=B193)))*((G193-IFERROR(H193,0))/IFERROR(SUMPRODUCT((Besatzung!$B$11:$B$22&lt;&gt;"")*(IF(Besatzung!$C$11:$C$22="",Besatzung!$B$5,Besatzung!$C$11:$C$22)&lt;=B193)*(IF(Besatzung!$D$11:$D$22="",Besatzung!$B$6,Besatzung!$D$11:$D$22)&gt;=B193)),1)+(Besatzung!$F$15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N193="x")*((G193-IFERROR(H193,0))/IFERROR(COUNTIF(J193:U193,"x"),1)+(Besatzung!$F$15="x")*IFERROR(H193,0)/IFERROR(SUMPRODUCT((J193:U193="x")*(Besatzung!$F$11:$F$22="x")),1))),(IF(COUNTIF(J193:U193,"x")=0,IF(Besatzung!$B$13&lt;&gt;"",1,0),(N193="x"))*(G193-IFERROR(H193,0))/IFERROR(IF(COUNTIF(J193:U193,"x")=0,COUNTA(Besatzung!$B$11:$B$22),COUNTIF(J193:U193,"x")),1)+IF(COUNTIF(J193:U193,"x")=0,(Besatzung!$F$15="x"),(N193="x")*(Besatzung!$F$15="x"))*IFERROR(H193,0)/IFERROR(IF(COUNTIF(J193:U193,"x")=0,SUMPRODUCT((Besatzung!$B$11:$B$22&lt;&gt;"")*(Besatzung!$F$11:$F$22="x")),SUMPRODUCT((J193:U193="x")*(Besatzung!$F$11:$F$22="x"))),1))))),0))))</f>
        <v/>
      </c>
      <c r="AA193" s="106">
        <f>IF(C193="Gutschrift","",IF(G193="","",IF(Besatzung!$B$15="","",IFERROR(IF(I193="Zeitanteilig",(Besatzung!$G$16*(G193-IFERROR(H193,0))+((Besatzung!$B$15&lt;&gt;"")*IF(B193="",1,(IF(Besatzung!$C$16="",Besatzung!$B$5,Besatzung!$C$16)&lt;=B193)*(IF(Besatzung!$D$16="",Besatzung!$B$6,Besatzung!$D$16)&gt;=B193)))*(Besatzung!$F$16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$15&lt;&gt;"")*IF(B193="",1,(IF(Besatzung!$C$16="",Besatzung!$B$5,Besatzung!$C$16)&lt;=B193)*(IF(Besatzung!$D$16="",Besatzung!$B$6,Besatzung!$D$16)&gt;=B193)))*((G193-IFERROR(H193,0))/IFERROR(SUMPRODUCT((Besatzung!$B$11:$B$22&lt;&gt;"")*(IF(Besatzung!$C$11:$C$22="",Besatzung!$B$5,Besatzung!$C$11:$C$22)&lt;=B193)*(IF(Besatzung!$D$11:$D$22="",Besatzung!$B$6,Besatzung!$D$11:$D$22)&gt;=B193)),1)+(Besatzung!$F$16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O193="x")*((G193-IFERROR(H193,0))/IFERROR(COUNTIF(J193:U193,"x"),1)+(Besatzung!$F$16="x")*IFERROR(H193,0)/IFERROR(SUMPRODUCT((J193:U193="x")*(Besatzung!$F$11:$F$22="x")),1))),(IF(COUNTIF(J193:U193,"x")=0,IF(Besatzung!$B$15&lt;&gt;"",1,0),(O193="x"))*(G193-IFERROR(H193,0))/IFERROR(IF(COUNTIF(J193:U193,"x")=0,COUNTA(Besatzung!$B$11:$B$22),COUNTIF(J193:U193,"x")),1)+IF(COUNTIF(J193:U193,"x")=0,(Besatzung!$F$16="x"),(O193="x")*(Besatzung!$F$16="x"))*IFERROR(H193,0)/IFERROR(IF(COUNTIF(J193:U193,"x")=0,SUMPRODUCT((Besatzung!$B$11:$B$22&lt;&gt;"")*(Besatzung!$F$11:$F$22="x")),SUMPRODUCT((J193:U193="x")*(Besatzung!$F$11:$F$22="x"))),1))))),0))))</f>
        <v/>
      </c>
      <c r="AB193" s="106">
        <f>IF(C193="Gutschrift","",IF(G193="","",IF(Besatzung!$B$17="","",IFERROR(IF(I193="Zeitanteilig",(Besatzung!$G$17*(G193-IFERROR(H193,0))+((Besatzung!$B$17&lt;&gt;"")*IF(B193="",1,(IF(Besatzung!$C$17="",Besatzung!$B$5,Besatzung!$C$17)&lt;=B193)*(IF(Besatzung!$D$17="",Besatzung!$B$6,Besatzung!$D$17)&gt;=B193)))*(Besatzung!$F$17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$17&lt;&gt;"")*IF(B193="",1,(IF(Besatzung!$C$17="",Besatzung!$B$5,Besatzung!$C$17)&lt;=B193)*(IF(Besatzung!$D$17="",Besatzung!$B$6,Besatzung!$D$17)&gt;=B193)))*((G193-IFERROR(H193,0))/IFERROR(SUMPRODUCT((Besatzung!$B$11:$B$22&lt;&gt;"")*(IF(Besatzung!$C$11:$C$22="",Besatzung!$B$5,Besatzung!$C$11:$C$22)&lt;=B193)*(IF(Besatzung!$D$11:$D$22="",Besatzung!$B$6,Besatzung!$D$11:$D$22)&gt;=B193)),1)+(Besatzung!$F$17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P193="x")*((G193-IFERROR(H193,0))/IFERROR(COUNTIF(J193:U193,"x"),1)+(Besatzung!$F$17="x")*IFERROR(H193,0)/IFERROR(SUMPRODUCT((J193:U193="x")*(Besatzung!$F$11:$F$22="x")),1))),(IF(COUNTIF(J193:U193,"x")=0,IF(Besatzung!$B$17&lt;&gt;"",1,0),(P193="x"))*(G193-IFERROR(H193,0))/IFERROR(IF(COUNTIF(J193:U193,"x")=0,COUNTA(Besatzung!$B$11:$B$22),COUNTIF(J193:U193,"x")),1)+IF(COUNTIF(J193:U193,"x")=0,(Besatzung!$F$17="x"),(P193="x")*(Besatzung!$F$17="x"))*IFERROR(H193,0)/IFERROR(IF(COUNTIF(J193:U193,"x")=0,SUMPRODUCT((Besatzung!$B$11:$B$22&lt;&gt;"")*(Besatzung!$F$11:$F$22="x")),SUMPRODUCT((J193:U193="x")*(Besatzung!$F$11:$F$22="x"))),1))))),0))))</f>
        <v/>
      </c>
      <c r="AC193" s="106">
        <f>IF(C193="Gutschrift","",IF(G193="","",IF(Besatzung!$B$18="","",IFERROR(IF(I193="Zeitanteilig",(Besatzung!$G$18*(G193-IFERROR(H193,0))+((Besatzung!$B$18&lt;&gt;"")*IF(B193="",1,(IF(Besatzung!$C$18="",Besatzung!$B$5,Besatzung!$C$18)&lt;=B193)*(IF(Besatzung!$D$18="",Besatzung!$B$6,Besatzung!$D$18)&gt;=B193)))*(Besatzung!$F$18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$18&lt;&gt;"")*IF(B193="",1,(IF(Besatzung!$C$18="",Besatzung!$B$5,Besatzung!$C$18)&lt;=B193)*(IF(Besatzung!$D$18="",Besatzung!$B$6,Besatzung!$D$18)&gt;=B193)))*((G193-IFERROR(H193,0))/IFERROR(SUMPRODUCT((Besatzung!$B$11:$B$22&lt;&gt;"")*(IF(Besatzung!$C$11:$C$22="",Besatzung!$B$5,Besatzung!$C$11:$C$22)&lt;=B193)*(IF(Besatzung!$D$11:$D$22="",Besatzung!$B$6,Besatzung!$D$11:$D$22)&gt;=B193)),1)+(Besatzung!$F$18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Q193="x")*((G193-IFERROR(H193,0))/IFERROR(COUNTIF(J193:U193,"x"),1)+(Besatzung!$F$18="x")*IFERROR(H193,0)/IFERROR(SUMPRODUCT((J193:U193="x")*(Besatzung!$F$11:$F$22="x")),1))),(IF(COUNTIF(J193:U193,"x")=0,IF(Besatzung!$B$18&lt;&gt;"",1,0),(Q193="x"))*(G193-IFERROR(H193,0))/IFERROR(IF(COUNTIF(J193:U193,"x")=0,COUNTA(Besatzung!$B$11:$B$22),COUNTIF(J193:U193,"x")),1)+IF(COUNTIF(J193:U193,"x")=0,(Besatzung!$F$18="x"),(Q193="x")*(Besatzung!$F$18="x"))*IFERROR(H193,0)/IFERROR(IF(COUNTIF(J193:U193,"x")=0,SUMPRODUCT((Besatzung!$B$11:$B$22&lt;&gt;"")*(Besatzung!$F$11:$F$22="x")),SUMPRODUCT((J193:U193="x")*(Besatzung!$F$11:$F$22="x"))),1))))),0))))</f>
        <v/>
      </c>
      <c r="AD193" s="106">
        <f>IF(C193="Gutschrift","",IF(G193="","",IF(Besatzung!$B$19="","",IFERROR(IF(I193="Zeitanteilig",(Besatzung!$G$19*(G193-IFERROR(H193,0))+((Besatzung!$B$19&lt;&gt;"")*IF(B193="",1,(IF(Besatzung!$C$19="",Besatzung!$B$5,Besatzung!$C$19)&lt;=B193)*(IF(Besatzung!$D$19="",Besatzung!$B$6,Besatzung!$D$19)&gt;=B193)))*(Besatzung!$F$19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$19&lt;&gt;"")*IF(B193="",1,(IF(Besatzung!$C$19="",Besatzung!$B$5,Besatzung!$C$19)&lt;=B193)*(IF(Besatzung!$D$19="",Besatzung!$B$6,Besatzung!$D$19)&gt;=B193)))*((G193-IFERROR(H193,0))/IFERROR(SUMPRODUCT((Besatzung!$B$11:$B$22&lt;&gt;"")*(IF(Besatzung!$C$11:$C$22="",Besatzung!$B$5,Besatzung!$C$11:$C$22)&lt;=B193)*(IF(Besatzung!$D$11:$D$22="",Besatzung!$B$6,Besatzung!$D$11:$D$22)&gt;=B193)),1)+(Besatzung!$F$19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R193="x")*((G193-IFERROR(H193,0))/IFERROR(COUNTIF(J193:U193,"x"),1)+(Besatzung!$F$19="x")*IFERROR(H193,0)/IFERROR(SUMPRODUCT((J193:U193="x")*(Besatzung!$F$11:$F$22="x")),1))),(IF(COUNTIF(J193:U193,"x")=0,IF(Besatzung!$B$19&lt;&gt;"",1,0),(R193="x"))*(G193-IFERROR(H193,0))/IFERROR(IF(COUNTIF(J193:U193,"x")=0,COUNTA(Besatzung!$B$11:$B$22),COUNTIF(J193:U193,"x")),1)+IF(COUNTIF(J193:U193,"x")=0,(Besatzung!$F$19="x"),(R193="x")*(Besatzung!$F$19="x"))*IFERROR(H193,0)/IFERROR(IF(COUNTIF(J193:U193,"x")=0,SUMPRODUCT((Besatzung!$B$11:$B$22&lt;&gt;"")*(Besatzung!$F$11:$F$22="x")),SUMPRODUCT((J193:U193="x")*(Besatzung!$F$11:$F$22="x"))),1))))),0))))</f>
        <v/>
      </c>
      <c r="AE193" s="106">
        <f>IF(C193="Gutschrift","",IF(G193="","",IF(Besatzung!$B$20="","",IFERROR(IF(I193="Zeitanteilig",(Besatzung!$G$20*(G193-IFERROR(H193,0))+((Besatzung!$B$20&lt;&gt;"")*IF(B193="",1,(IF(Besatzung!$C$20="",Besatzung!$B$5,Besatzung!$C$20)&lt;=B193)*(IF(Besatzung!$D$20="",Besatzung!$B$6,Besatzung!$D$20)&gt;=B193)))*(Besatzung!$F$20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$20&lt;&gt;"")*IF(B193="",1,(IF(Besatzung!$C$20="",Besatzung!$B$5,Besatzung!$C$20)&lt;=B193)*(IF(Besatzung!$D$20="",Besatzung!$B$6,Besatzung!$D$20)&gt;=B193)))*((G193-IFERROR(H193,0))/IFERROR(SUMPRODUCT((Besatzung!$B$11:$B$22&lt;&gt;"")*(IF(Besatzung!$C$11:$C$22="",Besatzung!$B$5,Besatzung!$C$11:$C$22)&lt;=B193)*(IF(Besatzung!$D$11:$D$22="",Besatzung!$B$6,Besatzung!$D$11:$D$22)&gt;=B193)),1)+(Besatzung!$F$20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S193="x")*((G193-IFERROR(H193,0))/IFERROR(COUNTIF(J193:U193,"x"),1)+(Besatzung!$F$20="x")*IFERROR(H193,0)/IFERROR(SUMPRODUCT((J193:U193="x")*(Besatzung!$F$11:$F$22="x")),1))),(IF(COUNTIF(J193:U193,"x")=0,IF(Besatzung!$B$20&lt;&gt;"",1,0),(S193="x"))*(G193-IFERROR(H193,0))/IFERROR(IF(COUNTIF(J193:U193,"x")=0,COUNTA(Besatzung!$B$11:$B$22),COUNTIF(J193:U193,"x")),1)+IF(COUNTIF(J193:U193,"x")=0,(Besatzung!$F$20="x"),(S193="x")*(Besatzung!$F$20="x"))*IFERROR(H193,0)/IFERROR(IF(COUNTIF(J193:U193,"x")=0,SUMPRODUCT((Besatzung!$B$11:$B$22&lt;&gt;"")*(Besatzung!$F$11:$F$22="x")),SUMPRODUCT((J193:U193="x")*(Besatzung!$F$11:$F$22="x"))),1))))),0))))</f>
        <v/>
      </c>
      <c r="AF193" s="106">
        <f>IF(C193="Gutschrift","",IF(G193="","",IF(Besatzung!$B$21="","",IFERROR(IF(I193="Zeitanteilig",(Besatzung!$G$21*(G193-IFERROR(H193,0))+((Besatzung!$B$21&lt;&gt;"")*IF(B193="",1,(IF(Besatzung!$C$21="",Besatzung!$B$5,Besatzung!$C$21)&lt;=B193)*(IF(Besatzung!$D$21="",Besatzung!$B$6,Besatzung!$D$21)&gt;=B193)))*(Besatzung!$F$21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$21&lt;&gt;"")*IF(B193="",1,(IF(Besatzung!$C$21="",Besatzung!$B$5,Besatzung!$C$21)&lt;=B193)*(IF(Besatzung!$D$21="",Besatzung!$B$6,Besatzung!$D$21)&gt;=B193)))*((G193-IFERROR(H193,0))/IFERROR(SUMPRODUCT((Besatzung!$B$11:$B$22&lt;&gt;"")*(IF(Besatzung!$C$11:$C$22="",Besatzung!$B$5,Besatzung!$C$11:$C$22)&lt;=B193)*(IF(Besatzung!$D$11:$D$22="",Besatzung!$B$6,Besatzung!$D$11:$D$22)&gt;=B193)),1)+(Besatzung!$F$21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T193="x")*((G193-IFERROR(H193,0))/IFERROR(COUNTIF(J193:U193,"x"),1)+(Besatzung!$F$21="x")*IFERROR(H193,0)/IFERROR(SUMPRODUCT((J193:U193="x")*(Besatzung!$F$11:$F$22="x")),1))),(IF(COUNTIF(J193:U193,"x")=0,IF(Besatzung!$B$21&lt;&gt;"",1,0),(T193="x"))*(G193-IFERROR(H193,0))/IFERROR(IF(COUNTIF(J193:U193,"x")=0,COUNTA(Besatzung!$B$11:$B$22),COUNTIF(J193:U193,"x")),1)+IF(COUNTIF(J193:U193,"x")=0,(Besatzung!$F$21="x"),(T193="x")*(Besatzung!$F$21="x"))*IFERROR(H193,0)/IFERROR(IF(COUNTIF(J193:U193,"x")=0,SUMPRODUCT((Besatzung!$B$11:$B$22&lt;&gt;"")*(Besatzung!$F$11:$F$22="x")),SUMPRODUCT((J193:U193="x")*(Besatzung!$F$11:$F$22="x"))),1))))),0))))</f>
        <v/>
      </c>
      <c r="AG193" s="106">
        <f>IF(C193="Gutschrift","",IF(G193="","",IF(Besatzung!$B$22="","",IFERROR(IF(I193="Zeitanteilig",(Besatzung!$G$22*(G193-IFERROR(H193,0))+((Besatzung!$B$22&lt;&gt;"")*IF(B193="",1,(IF(Besatzung!$C$22="",Besatzung!$B$5,Besatzung!$C$22)&lt;=B193)*(IF(Besatzung!$D$22="",Besatzung!$B$6,Besatzung!$D$22)&gt;=B193)))*(Besatzung!$F$22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$22&lt;&gt;"")*IF(B193="",1,(IF(Besatzung!$C$22="",Besatzung!$B$5,Besatzung!$C$22)&lt;=B193)*(IF(Besatzung!$D$22="",Besatzung!$B$6,Besatzung!$D$22)&gt;=B193)))*((G193-IFERROR(H193,0))/IFERROR(SUMPRODUCT((Besatzung!$B$11:$B$22&lt;&gt;"")*(IF(Besatzung!$C$11:$C$22="",Besatzung!$B$5,Besatzung!$C$11:$C$22)&lt;=B193)*(IF(Besatzung!$D$11:$D$22="",Besatzung!$B$6,Besatzung!$D$11:$D$22)&gt;=B193)),1)+(Besatzung!$F$22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U193="x")*((G193-IFERROR(H193,0))/IFERROR(COUNTIF(J193:U193,"x"),1)+(Besatzung!$F$22="x")*IFERROR(H193,0)/IFERROR(SUMPRODUCT((J193:U193="x")*(Besatzung!$F$11:$F$22="x")),1))),(IF(COUNTIF(J193:U193,"x")=0,IF(Besatzung!$B$22&lt;&gt;"",1,0),(U193="x"))*(G193-IFERROR(H193,0))/IFERROR(IF(COUNTIF(J193:U193,"x")=0,COUNTA(Besatzung!$B$11:$B$22),COUNTIF(J193:U193,"x")),1)+IF(COUNTIF(J193:U193,"x")=0,(Besatzung!$F$22="x"),(U193="x")*(Besatzung!$F$22="x"))*IFERROR(H193,0)/IFERROR(IF(COUNTIF(J193:U193,"x")=0,SUMPRODUCT((Besatzung!$B$11:$B$22&lt;&gt;"")*(Besatzung!$F$11:$F$22="x")),SUMPRODUCT((J193:U193="x")*(Besatzung!$F$11:$F$22="x"))),1))))),0))))</f>
        <v/>
      </c>
      <c r="AH193" s="107" t="n"/>
      <c r="AI193" s="107" t="n"/>
    </row>
    <row r="194" ht="21.75" customHeight="1" s="182">
      <c r="A194" s="97">
        <f>IF(AND(D194="",C194=""),"",191)</f>
        <v/>
      </c>
      <c r="B194" s="56" t="n"/>
      <c r="C194" s="98" t="n"/>
      <c r="D194" s="99" t="n"/>
      <c r="E194" s="100" t="n"/>
      <c r="F194" s="101" t="n"/>
      <c r="G194" s="102" t="n"/>
      <c r="H194" s="103" t="n"/>
      <c r="I194" s="104" t="n"/>
      <c r="J194" s="105" t="n"/>
      <c r="K194" s="105" t="n"/>
      <c r="L194" s="105" t="n"/>
      <c r="M194" s="105" t="n"/>
      <c r="N194" s="105" t="n"/>
      <c r="O194" s="105" t="n"/>
      <c r="P194" s="105" t="n"/>
      <c r="Q194" s="105" t="n"/>
      <c r="R194" s="105" t="n"/>
      <c r="S194" s="105" t="n"/>
      <c r="T194" s="105" t="n"/>
      <c r="U194" s="105" t="n"/>
      <c r="V194" s="106">
        <f>IF(C194="Gutschrift","",IF(G194="","",IF(Besatzung!$B$11="","",IFERROR(IF(I194="Zeitanteilig",(Besatzung!$G$11*(G194-IFERROR(H194,0))+((Besatzung!$B$11&lt;&gt;"")*IF(B194="",1,(IF(Besatzung!$C$11="",Besatzung!$B$5,Besatzung!$C$11)&lt;=B194)*(IF(Besatzung!$D$11="",Besatzung!$B$6,Besatzung!$D$11)&gt;=B194)))*(Besatzung!$F$11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$11&lt;&gt;"")*IF(B194="",1,(IF(Besatzung!$C$11="",Besatzung!$B$5,Besatzung!$C$11)&lt;=B194)*(IF(Besatzung!$D$11="",Besatzung!$B$6,Besatzung!$D$11)&gt;=B194)))*((G194-IFERROR(H194,0))/IFERROR(SUMPRODUCT((Besatzung!$B$11:$B$22&lt;&gt;"")*(IF(Besatzung!$C$11:$C$22="",Besatzung!$B$5,Besatzung!$C$11:$C$22)&lt;=B194)*(IF(Besatzung!$D$11:$D$22="",Besatzung!$B$6,Besatzung!$D$11:$D$22)&gt;=B194)),1)+(Besatzung!$F$11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J194="x")*((G194-IFERROR(H194,0))/IFERROR(COUNTIF(J194:U194,"x"),1)+(Besatzung!$F$11="x")*IFERROR(H194,0)/IFERROR(SUMPRODUCT((J194:U194="x")*(Besatzung!$F$11:$F$22="x")),1))),(IF(COUNTIF(J194:U194,"x")=0,IF(Besatzung!$B$11&lt;&gt;"",1,0),(J194="x"))*(G194-IFERROR(H194,0))/IFERROR(IF(COUNTIF(J194:U194,"x")=0,COUNTA(Besatzung!$B$11:$B$22),COUNTIF(J194:U194,"x")),1)+IF(COUNTIF(J194:U194,"x")=0,(Besatzung!$F$11="x"),(J194="x")*(Besatzung!$F$11="x"))*IFERROR(H194,0)/IFERROR(IF(COUNTIF(J194:U194,"x")=0,SUMPRODUCT((Besatzung!$B$11:$B$22&lt;&gt;"")*(Besatzung!$F$11:$F$22="x")),SUMPRODUCT((J194:U194="x")*(Besatzung!$F$11:$F$22="x"))),1))))),0))))</f>
        <v/>
      </c>
      <c r="W194" s="106">
        <f>IF(C194="Gutschrift","",IF(G194="","",IF(Besatzung!$B$12="","",IFERROR(IF(I194="Zeitanteilig",(Besatzung!$G$12*(G194-IFERROR(H194,0))+((Besatzung!$B$12&lt;&gt;"")*IF(B194="",1,(IF(Besatzung!$C$12="",Besatzung!$B$5,Besatzung!$C$12)&lt;=B194)*(IF(Besatzung!$D$12="",Besatzung!$B$6,Besatzung!$D$12)&gt;=B194)))*(Besatzung!$F$12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$12&lt;&gt;"")*IF(B194="",1,(IF(Besatzung!$C$12="",Besatzung!$B$5,Besatzung!$C$12)&lt;=B194)*(IF(Besatzung!$D$12="",Besatzung!$B$6,Besatzung!$D$12)&gt;=B194)))*((G194-IFERROR(H194,0))/IFERROR(SUMPRODUCT((Besatzung!$B$11:$B$22&lt;&gt;"")*(IF(Besatzung!$C$11:$C$22="",Besatzung!$B$5,Besatzung!$C$11:$C$22)&lt;=B194)*(IF(Besatzung!$D$11:$D$22="",Besatzung!$B$6,Besatzung!$D$11:$D$22)&gt;=B194)),1)+(Besatzung!$F$12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K194="x")*((G194-IFERROR(H194,0))/IFERROR(COUNTIF(J194:U194,"x"),1)+(Besatzung!$F$12="x")*IFERROR(H194,0)/IFERROR(SUMPRODUCT((J194:U194="x")*(Besatzung!$F$11:$F$22="x")),1))),(IF(COUNTIF(J194:U194,"x")=0,IF(Besatzung!$B$12&lt;&gt;"",1,0),(K194="x"))*(G194-IFERROR(H194,0))/IFERROR(IF(COUNTIF(J194:U194,"x")=0,COUNTA(Besatzung!$B$11:$B$22),COUNTIF(J194:U194,"x")),1)+IF(COUNTIF(J194:U194,"x")=0,(Besatzung!$F$12="x"),(K194="x")*(Besatzung!$F$12="x"))*IFERROR(H194,0)/IFERROR(IF(COUNTIF(J194:U194,"x")=0,SUMPRODUCT((Besatzung!$B$11:$B$22&lt;&gt;"")*(Besatzung!$F$11:$F$22="x")),SUMPRODUCT((J194:U194="x")*(Besatzung!$F$11:$F$22="x"))),1))))),0))))</f>
        <v/>
      </c>
      <c r="X194" s="106">
        <f>IF(C194="Gutschrift","",IF(G194="","",IF(Besatzung!$B$13="","",IFERROR(IF(I194="Zeitanteilig",(Besatzung!$G$13*(G194-IFERROR(H194,0))+((Besatzung!$B$13&lt;&gt;"")*IF(B194="",1,(IF(Besatzung!$C$13="",Besatzung!$B$5,Besatzung!$C$13)&lt;=B194)*(IF(Besatzung!$D$13="",Besatzung!$B$6,Besatzung!$D$13)&gt;=B194)))*(Besatzung!$F$13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$13&lt;&gt;"")*IF(B194="",1,(IF(Besatzung!$C$13="",Besatzung!$B$5,Besatzung!$C$13)&lt;=B194)*(IF(Besatzung!$D$13="",Besatzung!$B$6,Besatzung!$D$13)&gt;=B194)))*((G194-IFERROR(H194,0))/IFERROR(SUMPRODUCT((Besatzung!$B$11:$B$22&lt;&gt;"")*(IF(Besatzung!$C$11:$C$22="",Besatzung!$B$5,Besatzung!$C$11:$C$22)&lt;=B194)*(IF(Besatzung!$D$11:$D$22="",Besatzung!$B$6,Besatzung!$D$11:$D$22)&gt;=B194)),1)+(Besatzung!$F$13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K194="x")*((G194-IFERROR(H194,0))/IFERROR(COUNTIF(J194:U194,"x"),1)+(Besatzung!$F$13="x")*IFERROR(H194,0)/IFERROR(SUMPRODUCT((J194:U194="x")*(Besatzung!$F$11:$F$22="x")),1))),(IF(COUNTIF(J194:U194,"x")=0,IF(Besatzung!$B$13&lt;&gt;"",1,0),(K194="x"))*(G194-IFERROR(H194,0))/IFERROR(IF(COUNTIF(J194:U194,"x")=0,COUNTA(Besatzung!$B$11:$B$22),COUNTIF(J194:U194,"x")),1)+IF(COUNTIF(J194:U194,"x")=0,(Besatzung!$F$13="x"),(K194="x")*(Besatzung!$F$13="x"))*IFERROR(H194,0)/IFERROR(IF(COUNTIF(J194:U194,"x")=0,SUMPRODUCT((Besatzung!$B$11:$B$22&lt;&gt;"")*(Besatzung!$F$11:$F$22="x")),SUMPRODUCT((J194:U194="x")*(Besatzung!$F$11:$F$22="x"))),1))))),0))))</f>
        <v/>
      </c>
      <c r="Y194" s="106">
        <f>IF(C194="Gutschrift","",IF(G194="","",IF(Besatzung!$B$14="","",IFERROR(IF(I194="Zeitanteilig",(Besatzung!$G$14*(G194-IFERROR(H194,0))+((Besatzung!$B$14&lt;&gt;"")*IF(B194="",1,(IF(Besatzung!$C$14="",Besatzung!$B$5,Besatzung!$C$14)&lt;=B194)*(IF(Besatzung!$D$14="",Besatzung!$B$6,Besatzung!$D$14)&gt;=B194)))*(Besatzung!$F$14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$14&lt;&gt;"")*IF(B194="",1,(IF(Besatzung!$C$14="",Besatzung!$B$5,Besatzung!$C$14)&lt;=B194)*(IF(Besatzung!$D$14="",Besatzung!$B$6,Besatzung!$D$14)&gt;=B194)))*((G194-IFERROR(H194,0))/IFERROR(SUMPRODUCT((Besatzung!$B$11:$B$22&lt;&gt;"")*(IF(Besatzung!$C$11:$C$22="",Besatzung!$B$5,Besatzung!$C$11:$C$22)&lt;=B194)*(IF(Besatzung!$D$11:$D$22="",Besatzung!$B$6,Besatzung!$D$11:$D$22)&gt;=B194)),1)+(Besatzung!$F$14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M194="x")*((G194-IFERROR(H194,0))/IFERROR(COUNTIF(J194:U194,"x"),1)+(Besatzung!$F$14="x")*IFERROR(H194,0)/IFERROR(SUMPRODUCT((J194:U194="x")*(Besatzung!$F$11:$F$22="x")),1))),(IF(COUNTIF(J194:U194,"x")=0,IF(Besatzung!$B$14&lt;&gt;"",1,0),(M194="x"))*(G194-IFERROR(H194,0))/IFERROR(IF(COUNTIF(J194:U194,"x")=0,COUNTA(Besatzung!$B$11:$B$22),COUNTIF(J194:U194,"x")),1)+IF(COUNTIF(J194:U194,"x")=0,(Besatzung!$F$14="x"),(M194="x")*(Besatzung!$F$14="x"))*IFERROR(H194,0)/IFERROR(IF(COUNTIF(J194:U194,"x")=0,SUMPRODUCT((Besatzung!$B$11:$B$22&lt;&gt;"")*(Besatzung!$F$11:$F$22="x")),SUMPRODUCT((J194:U194="x")*(Besatzung!$F$11:$F$22="x"))),1))))),0))))</f>
        <v/>
      </c>
      <c r="Z194" s="106">
        <f>IF(C194="Gutschrift","",IF(G194="","",IF(Besatzung!$B$13="","",IFERROR(IF(I194="Zeitanteilig",(Besatzung!$G$15*(G194-IFERROR(H194,0))+((Besatzung!$B$13&lt;&gt;"")*IF(B194="",1,(IF(Besatzung!$C$15="",Besatzung!$B$5,Besatzung!$C$15)&lt;=B194)*(IF(Besatzung!$D$15="",Besatzung!$B$6,Besatzung!$D$15)&gt;=B194)))*(Besatzung!$F$15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$13&lt;&gt;"")*IF(B194="",1,(IF(Besatzung!$C$15="",Besatzung!$B$5,Besatzung!$C$15)&lt;=B194)*(IF(Besatzung!$D$15="",Besatzung!$B$6,Besatzung!$D$15)&gt;=B194)))*((G194-IFERROR(H194,0))/IFERROR(SUMPRODUCT((Besatzung!$B$11:$B$22&lt;&gt;"")*(IF(Besatzung!$C$11:$C$22="",Besatzung!$B$5,Besatzung!$C$11:$C$22)&lt;=B194)*(IF(Besatzung!$D$11:$D$22="",Besatzung!$B$6,Besatzung!$D$11:$D$22)&gt;=B194)),1)+(Besatzung!$F$15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N194="x")*((G194-IFERROR(H194,0))/IFERROR(COUNTIF(J194:U194,"x"),1)+(Besatzung!$F$15="x")*IFERROR(H194,0)/IFERROR(SUMPRODUCT((J194:U194="x")*(Besatzung!$F$11:$F$22="x")),1))),(IF(COUNTIF(J194:U194,"x")=0,IF(Besatzung!$B$13&lt;&gt;"",1,0),(N194="x"))*(G194-IFERROR(H194,0))/IFERROR(IF(COUNTIF(J194:U194,"x")=0,COUNTA(Besatzung!$B$11:$B$22),COUNTIF(J194:U194,"x")),1)+IF(COUNTIF(J194:U194,"x")=0,(Besatzung!$F$15="x"),(N194="x")*(Besatzung!$F$15="x"))*IFERROR(H194,0)/IFERROR(IF(COUNTIF(J194:U194,"x")=0,SUMPRODUCT((Besatzung!$B$11:$B$22&lt;&gt;"")*(Besatzung!$F$11:$F$22="x")),SUMPRODUCT((J194:U194="x")*(Besatzung!$F$11:$F$22="x"))),1))))),0))))</f>
        <v/>
      </c>
      <c r="AA194" s="106">
        <f>IF(C194="Gutschrift","",IF(G194="","",IF(Besatzung!$B$15="","",IFERROR(IF(I194="Zeitanteilig",(Besatzung!$G$16*(G194-IFERROR(H194,0))+((Besatzung!$B$15&lt;&gt;"")*IF(B194="",1,(IF(Besatzung!$C$16="",Besatzung!$B$5,Besatzung!$C$16)&lt;=B194)*(IF(Besatzung!$D$16="",Besatzung!$B$6,Besatzung!$D$16)&gt;=B194)))*(Besatzung!$F$16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$15&lt;&gt;"")*IF(B194="",1,(IF(Besatzung!$C$16="",Besatzung!$B$5,Besatzung!$C$16)&lt;=B194)*(IF(Besatzung!$D$16="",Besatzung!$B$6,Besatzung!$D$16)&gt;=B194)))*((G194-IFERROR(H194,0))/IFERROR(SUMPRODUCT((Besatzung!$B$11:$B$22&lt;&gt;"")*(IF(Besatzung!$C$11:$C$22="",Besatzung!$B$5,Besatzung!$C$11:$C$22)&lt;=B194)*(IF(Besatzung!$D$11:$D$22="",Besatzung!$B$6,Besatzung!$D$11:$D$22)&gt;=B194)),1)+(Besatzung!$F$16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O194="x")*((G194-IFERROR(H194,0))/IFERROR(COUNTIF(J194:U194,"x"),1)+(Besatzung!$F$16="x")*IFERROR(H194,0)/IFERROR(SUMPRODUCT((J194:U194="x")*(Besatzung!$F$11:$F$22="x")),1))),(IF(COUNTIF(J194:U194,"x")=0,IF(Besatzung!$B$15&lt;&gt;"",1,0),(O194="x"))*(G194-IFERROR(H194,0))/IFERROR(IF(COUNTIF(J194:U194,"x")=0,COUNTA(Besatzung!$B$11:$B$22),COUNTIF(J194:U194,"x")),1)+IF(COUNTIF(J194:U194,"x")=0,(Besatzung!$F$16="x"),(O194="x")*(Besatzung!$F$16="x"))*IFERROR(H194,0)/IFERROR(IF(COUNTIF(J194:U194,"x")=0,SUMPRODUCT((Besatzung!$B$11:$B$22&lt;&gt;"")*(Besatzung!$F$11:$F$22="x")),SUMPRODUCT((J194:U194="x")*(Besatzung!$F$11:$F$22="x"))),1))))),0))))</f>
        <v/>
      </c>
      <c r="AB194" s="106">
        <f>IF(C194="Gutschrift","",IF(G194="","",IF(Besatzung!$B$17="","",IFERROR(IF(I194="Zeitanteilig",(Besatzung!$G$17*(G194-IFERROR(H194,0))+((Besatzung!$B$17&lt;&gt;"")*IF(B194="",1,(IF(Besatzung!$C$17="",Besatzung!$B$5,Besatzung!$C$17)&lt;=B194)*(IF(Besatzung!$D$17="",Besatzung!$B$6,Besatzung!$D$17)&gt;=B194)))*(Besatzung!$F$17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$17&lt;&gt;"")*IF(B194="",1,(IF(Besatzung!$C$17="",Besatzung!$B$5,Besatzung!$C$17)&lt;=B194)*(IF(Besatzung!$D$17="",Besatzung!$B$6,Besatzung!$D$17)&gt;=B194)))*((G194-IFERROR(H194,0))/IFERROR(SUMPRODUCT((Besatzung!$B$11:$B$22&lt;&gt;"")*(IF(Besatzung!$C$11:$C$22="",Besatzung!$B$5,Besatzung!$C$11:$C$22)&lt;=B194)*(IF(Besatzung!$D$11:$D$22="",Besatzung!$B$6,Besatzung!$D$11:$D$22)&gt;=B194)),1)+(Besatzung!$F$17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P194="x")*((G194-IFERROR(H194,0))/IFERROR(COUNTIF(J194:U194,"x"),1)+(Besatzung!$F$17="x")*IFERROR(H194,0)/IFERROR(SUMPRODUCT((J194:U194="x")*(Besatzung!$F$11:$F$22="x")),1))),(IF(COUNTIF(J194:U194,"x")=0,IF(Besatzung!$B$17&lt;&gt;"",1,0),(P194="x"))*(G194-IFERROR(H194,0))/IFERROR(IF(COUNTIF(J194:U194,"x")=0,COUNTA(Besatzung!$B$11:$B$22),COUNTIF(J194:U194,"x")),1)+IF(COUNTIF(J194:U194,"x")=0,(Besatzung!$F$17="x"),(P194="x")*(Besatzung!$F$17="x"))*IFERROR(H194,0)/IFERROR(IF(COUNTIF(J194:U194,"x")=0,SUMPRODUCT((Besatzung!$B$11:$B$22&lt;&gt;"")*(Besatzung!$F$11:$F$22="x")),SUMPRODUCT((J194:U194="x")*(Besatzung!$F$11:$F$22="x"))),1))))),0))))</f>
        <v/>
      </c>
      <c r="AC194" s="106">
        <f>IF(C194="Gutschrift","",IF(G194="","",IF(Besatzung!$B$18="","",IFERROR(IF(I194="Zeitanteilig",(Besatzung!$G$18*(G194-IFERROR(H194,0))+((Besatzung!$B$18&lt;&gt;"")*IF(B194="",1,(IF(Besatzung!$C$18="",Besatzung!$B$5,Besatzung!$C$18)&lt;=B194)*(IF(Besatzung!$D$18="",Besatzung!$B$6,Besatzung!$D$18)&gt;=B194)))*(Besatzung!$F$18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$18&lt;&gt;"")*IF(B194="",1,(IF(Besatzung!$C$18="",Besatzung!$B$5,Besatzung!$C$18)&lt;=B194)*(IF(Besatzung!$D$18="",Besatzung!$B$6,Besatzung!$D$18)&gt;=B194)))*((G194-IFERROR(H194,0))/IFERROR(SUMPRODUCT((Besatzung!$B$11:$B$22&lt;&gt;"")*(IF(Besatzung!$C$11:$C$22="",Besatzung!$B$5,Besatzung!$C$11:$C$22)&lt;=B194)*(IF(Besatzung!$D$11:$D$22="",Besatzung!$B$6,Besatzung!$D$11:$D$22)&gt;=B194)),1)+(Besatzung!$F$18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Q194="x")*((G194-IFERROR(H194,0))/IFERROR(COUNTIF(J194:U194,"x"),1)+(Besatzung!$F$18="x")*IFERROR(H194,0)/IFERROR(SUMPRODUCT((J194:U194="x")*(Besatzung!$F$11:$F$22="x")),1))),(IF(COUNTIF(J194:U194,"x")=0,IF(Besatzung!$B$18&lt;&gt;"",1,0),(Q194="x"))*(G194-IFERROR(H194,0))/IFERROR(IF(COUNTIF(J194:U194,"x")=0,COUNTA(Besatzung!$B$11:$B$22),COUNTIF(J194:U194,"x")),1)+IF(COUNTIF(J194:U194,"x")=0,(Besatzung!$F$18="x"),(Q194="x")*(Besatzung!$F$18="x"))*IFERROR(H194,0)/IFERROR(IF(COUNTIF(J194:U194,"x")=0,SUMPRODUCT((Besatzung!$B$11:$B$22&lt;&gt;"")*(Besatzung!$F$11:$F$22="x")),SUMPRODUCT((J194:U194="x")*(Besatzung!$F$11:$F$22="x"))),1))))),0))))</f>
        <v/>
      </c>
      <c r="AD194" s="106">
        <f>IF(C194="Gutschrift","",IF(G194="","",IF(Besatzung!$B$19="","",IFERROR(IF(I194="Zeitanteilig",(Besatzung!$G$19*(G194-IFERROR(H194,0))+((Besatzung!$B$19&lt;&gt;"")*IF(B194="",1,(IF(Besatzung!$C$19="",Besatzung!$B$5,Besatzung!$C$19)&lt;=B194)*(IF(Besatzung!$D$19="",Besatzung!$B$6,Besatzung!$D$19)&gt;=B194)))*(Besatzung!$F$19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$19&lt;&gt;"")*IF(B194="",1,(IF(Besatzung!$C$19="",Besatzung!$B$5,Besatzung!$C$19)&lt;=B194)*(IF(Besatzung!$D$19="",Besatzung!$B$6,Besatzung!$D$19)&gt;=B194)))*((G194-IFERROR(H194,0))/IFERROR(SUMPRODUCT((Besatzung!$B$11:$B$22&lt;&gt;"")*(IF(Besatzung!$C$11:$C$22="",Besatzung!$B$5,Besatzung!$C$11:$C$22)&lt;=B194)*(IF(Besatzung!$D$11:$D$22="",Besatzung!$B$6,Besatzung!$D$11:$D$22)&gt;=B194)),1)+(Besatzung!$F$19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R194="x")*((G194-IFERROR(H194,0))/IFERROR(COUNTIF(J194:U194,"x"),1)+(Besatzung!$F$19="x")*IFERROR(H194,0)/IFERROR(SUMPRODUCT((J194:U194="x")*(Besatzung!$F$11:$F$22="x")),1))),(IF(COUNTIF(J194:U194,"x")=0,IF(Besatzung!$B$19&lt;&gt;"",1,0),(R194="x"))*(G194-IFERROR(H194,0))/IFERROR(IF(COUNTIF(J194:U194,"x")=0,COUNTA(Besatzung!$B$11:$B$22),COUNTIF(J194:U194,"x")),1)+IF(COUNTIF(J194:U194,"x")=0,(Besatzung!$F$19="x"),(R194="x")*(Besatzung!$F$19="x"))*IFERROR(H194,0)/IFERROR(IF(COUNTIF(J194:U194,"x")=0,SUMPRODUCT((Besatzung!$B$11:$B$22&lt;&gt;"")*(Besatzung!$F$11:$F$22="x")),SUMPRODUCT((J194:U194="x")*(Besatzung!$F$11:$F$22="x"))),1))))),0))))</f>
        <v/>
      </c>
      <c r="AE194" s="106">
        <f>IF(C194="Gutschrift","",IF(G194="","",IF(Besatzung!$B$20="","",IFERROR(IF(I194="Zeitanteilig",(Besatzung!$G$20*(G194-IFERROR(H194,0))+((Besatzung!$B$20&lt;&gt;"")*IF(B194="",1,(IF(Besatzung!$C$20="",Besatzung!$B$5,Besatzung!$C$20)&lt;=B194)*(IF(Besatzung!$D$20="",Besatzung!$B$6,Besatzung!$D$20)&gt;=B194)))*(Besatzung!$F$20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$20&lt;&gt;"")*IF(B194="",1,(IF(Besatzung!$C$20="",Besatzung!$B$5,Besatzung!$C$20)&lt;=B194)*(IF(Besatzung!$D$20="",Besatzung!$B$6,Besatzung!$D$20)&gt;=B194)))*((G194-IFERROR(H194,0))/IFERROR(SUMPRODUCT((Besatzung!$B$11:$B$22&lt;&gt;"")*(IF(Besatzung!$C$11:$C$22="",Besatzung!$B$5,Besatzung!$C$11:$C$22)&lt;=B194)*(IF(Besatzung!$D$11:$D$22="",Besatzung!$B$6,Besatzung!$D$11:$D$22)&gt;=B194)),1)+(Besatzung!$F$20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S194="x")*((G194-IFERROR(H194,0))/IFERROR(COUNTIF(J194:U194,"x"),1)+(Besatzung!$F$20="x")*IFERROR(H194,0)/IFERROR(SUMPRODUCT((J194:U194="x")*(Besatzung!$F$11:$F$22="x")),1))),(IF(COUNTIF(J194:U194,"x")=0,IF(Besatzung!$B$20&lt;&gt;"",1,0),(S194="x"))*(G194-IFERROR(H194,0))/IFERROR(IF(COUNTIF(J194:U194,"x")=0,COUNTA(Besatzung!$B$11:$B$22),COUNTIF(J194:U194,"x")),1)+IF(COUNTIF(J194:U194,"x")=0,(Besatzung!$F$20="x"),(S194="x")*(Besatzung!$F$20="x"))*IFERROR(H194,0)/IFERROR(IF(COUNTIF(J194:U194,"x")=0,SUMPRODUCT((Besatzung!$B$11:$B$22&lt;&gt;"")*(Besatzung!$F$11:$F$22="x")),SUMPRODUCT((J194:U194="x")*(Besatzung!$F$11:$F$22="x"))),1))))),0))))</f>
        <v/>
      </c>
      <c r="AF194" s="106">
        <f>IF(C194="Gutschrift","",IF(G194="","",IF(Besatzung!$B$21="","",IFERROR(IF(I194="Zeitanteilig",(Besatzung!$G$21*(G194-IFERROR(H194,0))+((Besatzung!$B$21&lt;&gt;"")*IF(B194="",1,(IF(Besatzung!$C$21="",Besatzung!$B$5,Besatzung!$C$21)&lt;=B194)*(IF(Besatzung!$D$21="",Besatzung!$B$6,Besatzung!$D$21)&gt;=B194)))*(Besatzung!$F$21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$21&lt;&gt;"")*IF(B194="",1,(IF(Besatzung!$C$21="",Besatzung!$B$5,Besatzung!$C$21)&lt;=B194)*(IF(Besatzung!$D$21="",Besatzung!$B$6,Besatzung!$D$21)&gt;=B194)))*((G194-IFERROR(H194,0))/IFERROR(SUMPRODUCT((Besatzung!$B$11:$B$22&lt;&gt;"")*(IF(Besatzung!$C$11:$C$22="",Besatzung!$B$5,Besatzung!$C$11:$C$22)&lt;=B194)*(IF(Besatzung!$D$11:$D$22="",Besatzung!$B$6,Besatzung!$D$11:$D$22)&gt;=B194)),1)+(Besatzung!$F$21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T194="x")*((G194-IFERROR(H194,0))/IFERROR(COUNTIF(J194:U194,"x"),1)+(Besatzung!$F$21="x")*IFERROR(H194,0)/IFERROR(SUMPRODUCT((J194:U194="x")*(Besatzung!$F$11:$F$22="x")),1))),(IF(COUNTIF(J194:U194,"x")=0,IF(Besatzung!$B$21&lt;&gt;"",1,0),(T194="x"))*(G194-IFERROR(H194,0))/IFERROR(IF(COUNTIF(J194:U194,"x")=0,COUNTA(Besatzung!$B$11:$B$22),COUNTIF(J194:U194,"x")),1)+IF(COUNTIF(J194:U194,"x")=0,(Besatzung!$F$21="x"),(T194="x")*(Besatzung!$F$21="x"))*IFERROR(H194,0)/IFERROR(IF(COUNTIF(J194:U194,"x")=0,SUMPRODUCT((Besatzung!$B$11:$B$22&lt;&gt;"")*(Besatzung!$F$11:$F$22="x")),SUMPRODUCT((J194:U194="x")*(Besatzung!$F$11:$F$22="x"))),1))))),0))))</f>
        <v/>
      </c>
      <c r="AG194" s="106">
        <f>IF(C194="Gutschrift","",IF(G194="","",IF(Besatzung!$B$22="","",IFERROR(IF(I194="Zeitanteilig",(Besatzung!$G$22*(G194-IFERROR(H194,0))+((Besatzung!$B$22&lt;&gt;"")*IF(B194="",1,(IF(Besatzung!$C$22="",Besatzung!$B$5,Besatzung!$C$22)&lt;=B194)*(IF(Besatzung!$D$22="",Besatzung!$B$6,Besatzung!$D$22)&gt;=B194)))*(Besatzung!$F$22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$22&lt;&gt;"")*IF(B194="",1,(IF(Besatzung!$C$22="",Besatzung!$B$5,Besatzung!$C$22)&lt;=B194)*(IF(Besatzung!$D$22="",Besatzung!$B$6,Besatzung!$D$22)&gt;=B194)))*((G194-IFERROR(H194,0))/IFERROR(SUMPRODUCT((Besatzung!$B$11:$B$22&lt;&gt;"")*(IF(Besatzung!$C$11:$C$22="",Besatzung!$B$5,Besatzung!$C$11:$C$22)&lt;=B194)*(IF(Besatzung!$D$11:$D$22="",Besatzung!$B$6,Besatzung!$D$11:$D$22)&gt;=B194)),1)+(Besatzung!$F$22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U194="x")*((G194-IFERROR(H194,0))/IFERROR(COUNTIF(J194:U194,"x"),1)+(Besatzung!$F$22="x")*IFERROR(H194,0)/IFERROR(SUMPRODUCT((J194:U194="x")*(Besatzung!$F$11:$F$22="x")),1))),(IF(COUNTIF(J194:U194,"x")=0,IF(Besatzung!$B$22&lt;&gt;"",1,0),(U194="x"))*(G194-IFERROR(H194,0))/IFERROR(IF(COUNTIF(J194:U194,"x")=0,COUNTA(Besatzung!$B$11:$B$22),COUNTIF(J194:U194,"x")),1)+IF(COUNTIF(J194:U194,"x")=0,(Besatzung!$F$22="x"),(U194="x")*(Besatzung!$F$22="x"))*IFERROR(H194,0)/IFERROR(IF(COUNTIF(J194:U194,"x")=0,SUMPRODUCT((Besatzung!$B$11:$B$22&lt;&gt;"")*(Besatzung!$F$11:$F$22="x")),SUMPRODUCT((J194:U194="x")*(Besatzung!$F$11:$F$22="x"))),1))))),0))))</f>
        <v/>
      </c>
      <c r="AH194" s="107" t="n"/>
      <c r="AI194" s="107" t="n"/>
    </row>
    <row r="195" ht="21.75" customHeight="1" s="182">
      <c r="A195" s="97">
        <f>IF(AND(D195="",C195=""),"",192)</f>
        <v/>
      </c>
      <c r="B195" s="63" t="n"/>
      <c r="C195" s="108" t="n"/>
      <c r="D195" s="109" t="n"/>
      <c r="E195" s="110" t="n"/>
      <c r="F195" s="111" t="n"/>
      <c r="G195" s="112" t="n"/>
      <c r="H195" s="113" t="n"/>
      <c r="I195" s="114" t="n"/>
      <c r="J195" s="115" t="n"/>
      <c r="K195" s="115" t="n"/>
      <c r="L195" s="115" t="n"/>
      <c r="M195" s="115" t="n"/>
      <c r="N195" s="115" t="n"/>
      <c r="O195" s="115" t="n"/>
      <c r="P195" s="115" t="n"/>
      <c r="Q195" s="115" t="n"/>
      <c r="R195" s="115" t="n"/>
      <c r="S195" s="115" t="n"/>
      <c r="T195" s="115" t="n"/>
      <c r="U195" s="115" t="n"/>
      <c r="V195" s="106">
        <f>IF(C195="Gutschrift","",IF(G195="","",IF(Besatzung!$B$11="","",IFERROR(IF(I195="Zeitanteilig",(Besatzung!$G$11*(G195-IFERROR(H195,0))+((Besatzung!$B$11&lt;&gt;"")*IF(B195="",1,(IF(Besatzung!$C$11="",Besatzung!$B$5,Besatzung!$C$11)&lt;=B195)*(IF(Besatzung!$D$11="",Besatzung!$B$6,Besatzung!$D$11)&gt;=B195)))*(Besatzung!$F$11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$11&lt;&gt;"")*IF(B195="",1,(IF(Besatzung!$C$11="",Besatzung!$B$5,Besatzung!$C$11)&lt;=B195)*(IF(Besatzung!$D$11="",Besatzung!$B$6,Besatzung!$D$11)&gt;=B195)))*((G195-IFERROR(H195,0))/IFERROR(SUMPRODUCT((Besatzung!$B$11:$B$22&lt;&gt;"")*(IF(Besatzung!$C$11:$C$22="",Besatzung!$B$5,Besatzung!$C$11:$C$22)&lt;=B195)*(IF(Besatzung!$D$11:$D$22="",Besatzung!$B$6,Besatzung!$D$11:$D$22)&gt;=B195)),1)+(Besatzung!$F$11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J195="x")*((G195-IFERROR(H195,0))/IFERROR(COUNTIF(J195:U195,"x"),1)+(Besatzung!$F$11="x")*IFERROR(H195,0)/IFERROR(SUMPRODUCT((J195:U195="x")*(Besatzung!$F$11:$F$22="x")),1))),(IF(COUNTIF(J195:U195,"x")=0,IF(Besatzung!$B$11&lt;&gt;"",1,0),(J195="x"))*(G195-IFERROR(H195,0))/IFERROR(IF(COUNTIF(J195:U195,"x")=0,COUNTA(Besatzung!$B$11:$B$22),COUNTIF(J195:U195,"x")),1)+IF(COUNTIF(J195:U195,"x")=0,(Besatzung!$F$11="x"),(J195="x")*(Besatzung!$F$11="x"))*IFERROR(H195,0)/IFERROR(IF(COUNTIF(J195:U195,"x")=0,SUMPRODUCT((Besatzung!$B$11:$B$22&lt;&gt;"")*(Besatzung!$F$11:$F$22="x")),SUMPRODUCT((J195:U195="x")*(Besatzung!$F$11:$F$22="x"))),1))))),0))))</f>
        <v/>
      </c>
      <c r="W195" s="106">
        <f>IF(C195="Gutschrift","",IF(G195="","",IF(Besatzung!$B$12="","",IFERROR(IF(I195="Zeitanteilig",(Besatzung!$G$12*(G195-IFERROR(H195,0))+((Besatzung!$B$12&lt;&gt;"")*IF(B195="",1,(IF(Besatzung!$C$12="",Besatzung!$B$5,Besatzung!$C$12)&lt;=B195)*(IF(Besatzung!$D$12="",Besatzung!$B$6,Besatzung!$D$12)&gt;=B195)))*(Besatzung!$F$12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$12&lt;&gt;"")*IF(B195="",1,(IF(Besatzung!$C$12="",Besatzung!$B$5,Besatzung!$C$12)&lt;=B195)*(IF(Besatzung!$D$12="",Besatzung!$B$6,Besatzung!$D$12)&gt;=B195)))*((G195-IFERROR(H195,0))/IFERROR(SUMPRODUCT((Besatzung!$B$11:$B$22&lt;&gt;"")*(IF(Besatzung!$C$11:$C$22="",Besatzung!$B$5,Besatzung!$C$11:$C$22)&lt;=B195)*(IF(Besatzung!$D$11:$D$22="",Besatzung!$B$6,Besatzung!$D$11:$D$22)&gt;=B195)),1)+(Besatzung!$F$12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K195="x")*((G195-IFERROR(H195,0))/IFERROR(COUNTIF(J195:U195,"x"),1)+(Besatzung!$F$12="x")*IFERROR(H195,0)/IFERROR(SUMPRODUCT((J195:U195="x")*(Besatzung!$F$11:$F$22="x")),1))),(IF(COUNTIF(J195:U195,"x")=0,IF(Besatzung!$B$12&lt;&gt;"",1,0),(K195="x"))*(G195-IFERROR(H195,0))/IFERROR(IF(COUNTIF(J195:U195,"x")=0,COUNTA(Besatzung!$B$11:$B$22),COUNTIF(J195:U195,"x")),1)+IF(COUNTIF(J195:U195,"x")=0,(Besatzung!$F$12="x"),(K195="x")*(Besatzung!$F$12="x"))*IFERROR(H195,0)/IFERROR(IF(COUNTIF(J195:U195,"x")=0,SUMPRODUCT((Besatzung!$B$11:$B$22&lt;&gt;"")*(Besatzung!$F$11:$F$22="x")),SUMPRODUCT((J195:U195="x")*(Besatzung!$F$11:$F$22="x"))),1))))),0))))</f>
        <v/>
      </c>
      <c r="X195" s="106">
        <f>IF(C195="Gutschrift","",IF(G195="","",IF(Besatzung!$B$13="","",IFERROR(IF(I195="Zeitanteilig",(Besatzung!$G$13*(G195-IFERROR(H195,0))+((Besatzung!$B$13&lt;&gt;"")*IF(B195="",1,(IF(Besatzung!$C$13="",Besatzung!$B$5,Besatzung!$C$13)&lt;=B195)*(IF(Besatzung!$D$13="",Besatzung!$B$6,Besatzung!$D$13)&gt;=B195)))*(Besatzung!$F$13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$13&lt;&gt;"")*IF(B195="",1,(IF(Besatzung!$C$13="",Besatzung!$B$5,Besatzung!$C$13)&lt;=B195)*(IF(Besatzung!$D$13="",Besatzung!$B$6,Besatzung!$D$13)&gt;=B195)))*((G195-IFERROR(H195,0))/IFERROR(SUMPRODUCT((Besatzung!$B$11:$B$22&lt;&gt;"")*(IF(Besatzung!$C$11:$C$22="",Besatzung!$B$5,Besatzung!$C$11:$C$22)&lt;=B195)*(IF(Besatzung!$D$11:$D$22="",Besatzung!$B$6,Besatzung!$D$11:$D$22)&gt;=B195)),1)+(Besatzung!$F$13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K195="x")*((G195-IFERROR(H195,0))/IFERROR(COUNTIF(J195:U195,"x"),1)+(Besatzung!$F$13="x")*IFERROR(H195,0)/IFERROR(SUMPRODUCT((J195:U195="x")*(Besatzung!$F$11:$F$22="x")),1))),(IF(COUNTIF(J195:U195,"x")=0,IF(Besatzung!$B$13&lt;&gt;"",1,0),(K195="x"))*(G195-IFERROR(H195,0))/IFERROR(IF(COUNTIF(J195:U195,"x")=0,COUNTA(Besatzung!$B$11:$B$22),COUNTIF(J195:U195,"x")),1)+IF(COUNTIF(J195:U195,"x")=0,(Besatzung!$F$13="x"),(K195="x")*(Besatzung!$F$13="x"))*IFERROR(H195,0)/IFERROR(IF(COUNTIF(J195:U195,"x")=0,SUMPRODUCT((Besatzung!$B$11:$B$22&lt;&gt;"")*(Besatzung!$F$11:$F$22="x")),SUMPRODUCT((J195:U195="x")*(Besatzung!$F$11:$F$22="x"))),1))))),0))))</f>
        <v/>
      </c>
      <c r="Y195" s="106">
        <f>IF(C195="Gutschrift","",IF(G195="","",IF(Besatzung!$B$14="","",IFERROR(IF(I195="Zeitanteilig",(Besatzung!$G$14*(G195-IFERROR(H195,0))+((Besatzung!$B$14&lt;&gt;"")*IF(B195="",1,(IF(Besatzung!$C$14="",Besatzung!$B$5,Besatzung!$C$14)&lt;=B195)*(IF(Besatzung!$D$14="",Besatzung!$B$6,Besatzung!$D$14)&gt;=B195)))*(Besatzung!$F$14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$14&lt;&gt;"")*IF(B195="",1,(IF(Besatzung!$C$14="",Besatzung!$B$5,Besatzung!$C$14)&lt;=B195)*(IF(Besatzung!$D$14="",Besatzung!$B$6,Besatzung!$D$14)&gt;=B195)))*((G195-IFERROR(H195,0))/IFERROR(SUMPRODUCT((Besatzung!$B$11:$B$22&lt;&gt;"")*(IF(Besatzung!$C$11:$C$22="",Besatzung!$B$5,Besatzung!$C$11:$C$22)&lt;=B195)*(IF(Besatzung!$D$11:$D$22="",Besatzung!$B$6,Besatzung!$D$11:$D$22)&gt;=B195)),1)+(Besatzung!$F$14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M195="x")*((G195-IFERROR(H195,0))/IFERROR(COUNTIF(J195:U195,"x"),1)+(Besatzung!$F$14="x")*IFERROR(H195,0)/IFERROR(SUMPRODUCT((J195:U195="x")*(Besatzung!$F$11:$F$22="x")),1))),(IF(COUNTIF(J195:U195,"x")=0,IF(Besatzung!$B$14&lt;&gt;"",1,0),(M195="x"))*(G195-IFERROR(H195,0))/IFERROR(IF(COUNTIF(J195:U195,"x")=0,COUNTA(Besatzung!$B$11:$B$22),COUNTIF(J195:U195,"x")),1)+IF(COUNTIF(J195:U195,"x")=0,(Besatzung!$F$14="x"),(M195="x")*(Besatzung!$F$14="x"))*IFERROR(H195,0)/IFERROR(IF(COUNTIF(J195:U195,"x")=0,SUMPRODUCT((Besatzung!$B$11:$B$22&lt;&gt;"")*(Besatzung!$F$11:$F$22="x")),SUMPRODUCT((J195:U195="x")*(Besatzung!$F$11:$F$22="x"))),1))))),0))))</f>
        <v/>
      </c>
      <c r="Z195" s="106">
        <f>IF(C195="Gutschrift","",IF(G195="","",IF(Besatzung!$B$13="","",IFERROR(IF(I195="Zeitanteilig",(Besatzung!$G$15*(G195-IFERROR(H195,0))+((Besatzung!$B$13&lt;&gt;"")*IF(B195="",1,(IF(Besatzung!$C$15="",Besatzung!$B$5,Besatzung!$C$15)&lt;=B195)*(IF(Besatzung!$D$15="",Besatzung!$B$6,Besatzung!$D$15)&gt;=B195)))*(Besatzung!$F$15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$13&lt;&gt;"")*IF(B195="",1,(IF(Besatzung!$C$15="",Besatzung!$B$5,Besatzung!$C$15)&lt;=B195)*(IF(Besatzung!$D$15="",Besatzung!$B$6,Besatzung!$D$15)&gt;=B195)))*((G195-IFERROR(H195,0))/IFERROR(SUMPRODUCT((Besatzung!$B$11:$B$22&lt;&gt;"")*(IF(Besatzung!$C$11:$C$22="",Besatzung!$B$5,Besatzung!$C$11:$C$22)&lt;=B195)*(IF(Besatzung!$D$11:$D$22="",Besatzung!$B$6,Besatzung!$D$11:$D$22)&gt;=B195)),1)+(Besatzung!$F$15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N195="x")*((G195-IFERROR(H195,0))/IFERROR(COUNTIF(J195:U195,"x"),1)+(Besatzung!$F$15="x")*IFERROR(H195,0)/IFERROR(SUMPRODUCT((J195:U195="x")*(Besatzung!$F$11:$F$22="x")),1))),(IF(COUNTIF(J195:U195,"x")=0,IF(Besatzung!$B$13&lt;&gt;"",1,0),(N195="x"))*(G195-IFERROR(H195,0))/IFERROR(IF(COUNTIF(J195:U195,"x")=0,COUNTA(Besatzung!$B$11:$B$22),COUNTIF(J195:U195,"x")),1)+IF(COUNTIF(J195:U195,"x")=0,(Besatzung!$F$15="x"),(N195="x")*(Besatzung!$F$15="x"))*IFERROR(H195,0)/IFERROR(IF(COUNTIF(J195:U195,"x")=0,SUMPRODUCT((Besatzung!$B$11:$B$22&lt;&gt;"")*(Besatzung!$F$11:$F$22="x")),SUMPRODUCT((J195:U195="x")*(Besatzung!$F$11:$F$22="x"))),1))))),0))))</f>
        <v/>
      </c>
      <c r="AA195" s="106">
        <f>IF(C195="Gutschrift","",IF(G195="","",IF(Besatzung!$B$15="","",IFERROR(IF(I195="Zeitanteilig",(Besatzung!$G$16*(G195-IFERROR(H195,0))+((Besatzung!$B$15&lt;&gt;"")*IF(B195="",1,(IF(Besatzung!$C$16="",Besatzung!$B$5,Besatzung!$C$16)&lt;=B195)*(IF(Besatzung!$D$16="",Besatzung!$B$6,Besatzung!$D$16)&gt;=B195)))*(Besatzung!$F$16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$15&lt;&gt;"")*IF(B195="",1,(IF(Besatzung!$C$16="",Besatzung!$B$5,Besatzung!$C$16)&lt;=B195)*(IF(Besatzung!$D$16="",Besatzung!$B$6,Besatzung!$D$16)&gt;=B195)))*((G195-IFERROR(H195,0))/IFERROR(SUMPRODUCT((Besatzung!$B$11:$B$22&lt;&gt;"")*(IF(Besatzung!$C$11:$C$22="",Besatzung!$B$5,Besatzung!$C$11:$C$22)&lt;=B195)*(IF(Besatzung!$D$11:$D$22="",Besatzung!$B$6,Besatzung!$D$11:$D$22)&gt;=B195)),1)+(Besatzung!$F$16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O195="x")*((G195-IFERROR(H195,0))/IFERROR(COUNTIF(J195:U195,"x"),1)+(Besatzung!$F$16="x")*IFERROR(H195,0)/IFERROR(SUMPRODUCT((J195:U195="x")*(Besatzung!$F$11:$F$22="x")),1))),(IF(COUNTIF(J195:U195,"x")=0,IF(Besatzung!$B$15&lt;&gt;"",1,0),(O195="x"))*(G195-IFERROR(H195,0))/IFERROR(IF(COUNTIF(J195:U195,"x")=0,COUNTA(Besatzung!$B$11:$B$22),COUNTIF(J195:U195,"x")),1)+IF(COUNTIF(J195:U195,"x")=0,(Besatzung!$F$16="x"),(O195="x")*(Besatzung!$F$16="x"))*IFERROR(H195,0)/IFERROR(IF(COUNTIF(J195:U195,"x")=0,SUMPRODUCT((Besatzung!$B$11:$B$22&lt;&gt;"")*(Besatzung!$F$11:$F$22="x")),SUMPRODUCT((J195:U195="x")*(Besatzung!$F$11:$F$22="x"))),1))))),0))))</f>
        <v/>
      </c>
      <c r="AB195" s="106">
        <f>IF(C195="Gutschrift","",IF(G195="","",IF(Besatzung!$B$17="","",IFERROR(IF(I195="Zeitanteilig",(Besatzung!$G$17*(G195-IFERROR(H195,0))+((Besatzung!$B$17&lt;&gt;"")*IF(B195="",1,(IF(Besatzung!$C$17="",Besatzung!$B$5,Besatzung!$C$17)&lt;=B195)*(IF(Besatzung!$D$17="",Besatzung!$B$6,Besatzung!$D$17)&gt;=B195)))*(Besatzung!$F$17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$17&lt;&gt;"")*IF(B195="",1,(IF(Besatzung!$C$17="",Besatzung!$B$5,Besatzung!$C$17)&lt;=B195)*(IF(Besatzung!$D$17="",Besatzung!$B$6,Besatzung!$D$17)&gt;=B195)))*((G195-IFERROR(H195,0))/IFERROR(SUMPRODUCT((Besatzung!$B$11:$B$22&lt;&gt;"")*(IF(Besatzung!$C$11:$C$22="",Besatzung!$B$5,Besatzung!$C$11:$C$22)&lt;=B195)*(IF(Besatzung!$D$11:$D$22="",Besatzung!$B$6,Besatzung!$D$11:$D$22)&gt;=B195)),1)+(Besatzung!$F$17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P195="x")*((G195-IFERROR(H195,0))/IFERROR(COUNTIF(J195:U195,"x"),1)+(Besatzung!$F$17="x")*IFERROR(H195,0)/IFERROR(SUMPRODUCT((J195:U195="x")*(Besatzung!$F$11:$F$22="x")),1))),(IF(COUNTIF(J195:U195,"x")=0,IF(Besatzung!$B$17&lt;&gt;"",1,0),(P195="x"))*(G195-IFERROR(H195,0))/IFERROR(IF(COUNTIF(J195:U195,"x")=0,COUNTA(Besatzung!$B$11:$B$22),COUNTIF(J195:U195,"x")),1)+IF(COUNTIF(J195:U195,"x")=0,(Besatzung!$F$17="x"),(P195="x")*(Besatzung!$F$17="x"))*IFERROR(H195,0)/IFERROR(IF(COUNTIF(J195:U195,"x")=0,SUMPRODUCT((Besatzung!$B$11:$B$22&lt;&gt;"")*(Besatzung!$F$11:$F$22="x")),SUMPRODUCT((J195:U195="x")*(Besatzung!$F$11:$F$22="x"))),1))))),0))))</f>
        <v/>
      </c>
      <c r="AC195" s="106">
        <f>IF(C195="Gutschrift","",IF(G195="","",IF(Besatzung!$B$18="","",IFERROR(IF(I195="Zeitanteilig",(Besatzung!$G$18*(G195-IFERROR(H195,0))+((Besatzung!$B$18&lt;&gt;"")*IF(B195="",1,(IF(Besatzung!$C$18="",Besatzung!$B$5,Besatzung!$C$18)&lt;=B195)*(IF(Besatzung!$D$18="",Besatzung!$B$6,Besatzung!$D$18)&gt;=B195)))*(Besatzung!$F$18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$18&lt;&gt;"")*IF(B195="",1,(IF(Besatzung!$C$18="",Besatzung!$B$5,Besatzung!$C$18)&lt;=B195)*(IF(Besatzung!$D$18="",Besatzung!$B$6,Besatzung!$D$18)&gt;=B195)))*((G195-IFERROR(H195,0))/IFERROR(SUMPRODUCT((Besatzung!$B$11:$B$22&lt;&gt;"")*(IF(Besatzung!$C$11:$C$22="",Besatzung!$B$5,Besatzung!$C$11:$C$22)&lt;=B195)*(IF(Besatzung!$D$11:$D$22="",Besatzung!$B$6,Besatzung!$D$11:$D$22)&gt;=B195)),1)+(Besatzung!$F$18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Q195="x")*((G195-IFERROR(H195,0))/IFERROR(COUNTIF(J195:U195,"x"),1)+(Besatzung!$F$18="x")*IFERROR(H195,0)/IFERROR(SUMPRODUCT((J195:U195="x")*(Besatzung!$F$11:$F$22="x")),1))),(IF(COUNTIF(J195:U195,"x")=0,IF(Besatzung!$B$18&lt;&gt;"",1,0),(Q195="x"))*(G195-IFERROR(H195,0))/IFERROR(IF(COUNTIF(J195:U195,"x")=0,COUNTA(Besatzung!$B$11:$B$22),COUNTIF(J195:U195,"x")),1)+IF(COUNTIF(J195:U195,"x")=0,(Besatzung!$F$18="x"),(Q195="x")*(Besatzung!$F$18="x"))*IFERROR(H195,0)/IFERROR(IF(COUNTIF(J195:U195,"x")=0,SUMPRODUCT((Besatzung!$B$11:$B$22&lt;&gt;"")*(Besatzung!$F$11:$F$22="x")),SUMPRODUCT((J195:U195="x")*(Besatzung!$F$11:$F$22="x"))),1))))),0))))</f>
        <v/>
      </c>
      <c r="AD195" s="106">
        <f>IF(C195="Gutschrift","",IF(G195="","",IF(Besatzung!$B$19="","",IFERROR(IF(I195="Zeitanteilig",(Besatzung!$G$19*(G195-IFERROR(H195,0))+((Besatzung!$B$19&lt;&gt;"")*IF(B195="",1,(IF(Besatzung!$C$19="",Besatzung!$B$5,Besatzung!$C$19)&lt;=B195)*(IF(Besatzung!$D$19="",Besatzung!$B$6,Besatzung!$D$19)&gt;=B195)))*(Besatzung!$F$19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$19&lt;&gt;"")*IF(B195="",1,(IF(Besatzung!$C$19="",Besatzung!$B$5,Besatzung!$C$19)&lt;=B195)*(IF(Besatzung!$D$19="",Besatzung!$B$6,Besatzung!$D$19)&gt;=B195)))*((G195-IFERROR(H195,0))/IFERROR(SUMPRODUCT((Besatzung!$B$11:$B$22&lt;&gt;"")*(IF(Besatzung!$C$11:$C$22="",Besatzung!$B$5,Besatzung!$C$11:$C$22)&lt;=B195)*(IF(Besatzung!$D$11:$D$22="",Besatzung!$B$6,Besatzung!$D$11:$D$22)&gt;=B195)),1)+(Besatzung!$F$19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R195="x")*((G195-IFERROR(H195,0))/IFERROR(COUNTIF(J195:U195,"x"),1)+(Besatzung!$F$19="x")*IFERROR(H195,0)/IFERROR(SUMPRODUCT((J195:U195="x")*(Besatzung!$F$11:$F$22="x")),1))),(IF(COUNTIF(J195:U195,"x")=0,IF(Besatzung!$B$19&lt;&gt;"",1,0),(R195="x"))*(G195-IFERROR(H195,0))/IFERROR(IF(COUNTIF(J195:U195,"x")=0,COUNTA(Besatzung!$B$11:$B$22),COUNTIF(J195:U195,"x")),1)+IF(COUNTIF(J195:U195,"x")=0,(Besatzung!$F$19="x"),(R195="x")*(Besatzung!$F$19="x"))*IFERROR(H195,0)/IFERROR(IF(COUNTIF(J195:U195,"x")=0,SUMPRODUCT((Besatzung!$B$11:$B$22&lt;&gt;"")*(Besatzung!$F$11:$F$22="x")),SUMPRODUCT((J195:U195="x")*(Besatzung!$F$11:$F$22="x"))),1))))),0))))</f>
        <v/>
      </c>
      <c r="AE195" s="106">
        <f>IF(C195="Gutschrift","",IF(G195="","",IF(Besatzung!$B$20="","",IFERROR(IF(I195="Zeitanteilig",(Besatzung!$G$20*(G195-IFERROR(H195,0))+((Besatzung!$B$20&lt;&gt;"")*IF(B195="",1,(IF(Besatzung!$C$20="",Besatzung!$B$5,Besatzung!$C$20)&lt;=B195)*(IF(Besatzung!$D$20="",Besatzung!$B$6,Besatzung!$D$20)&gt;=B195)))*(Besatzung!$F$20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$20&lt;&gt;"")*IF(B195="",1,(IF(Besatzung!$C$20="",Besatzung!$B$5,Besatzung!$C$20)&lt;=B195)*(IF(Besatzung!$D$20="",Besatzung!$B$6,Besatzung!$D$20)&gt;=B195)))*((G195-IFERROR(H195,0))/IFERROR(SUMPRODUCT((Besatzung!$B$11:$B$22&lt;&gt;"")*(IF(Besatzung!$C$11:$C$22="",Besatzung!$B$5,Besatzung!$C$11:$C$22)&lt;=B195)*(IF(Besatzung!$D$11:$D$22="",Besatzung!$B$6,Besatzung!$D$11:$D$22)&gt;=B195)),1)+(Besatzung!$F$20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S195="x")*((G195-IFERROR(H195,0))/IFERROR(COUNTIF(J195:U195,"x"),1)+(Besatzung!$F$20="x")*IFERROR(H195,0)/IFERROR(SUMPRODUCT((J195:U195="x")*(Besatzung!$F$11:$F$22="x")),1))),(IF(COUNTIF(J195:U195,"x")=0,IF(Besatzung!$B$20&lt;&gt;"",1,0),(S195="x"))*(G195-IFERROR(H195,0))/IFERROR(IF(COUNTIF(J195:U195,"x")=0,COUNTA(Besatzung!$B$11:$B$22),COUNTIF(J195:U195,"x")),1)+IF(COUNTIF(J195:U195,"x")=0,(Besatzung!$F$20="x"),(S195="x")*(Besatzung!$F$20="x"))*IFERROR(H195,0)/IFERROR(IF(COUNTIF(J195:U195,"x")=0,SUMPRODUCT((Besatzung!$B$11:$B$22&lt;&gt;"")*(Besatzung!$F$11:$F$22="x")),SUMPRODUCT((J195:U195="x")*(Besatzung!$F$11:$F$22="x"))),1))))),0))))</f>
        <v/>
      </c>
      <c r="AF195" s="106">
        <f>IF(C195="Gutschrift","",IF(G195="","",IF(Besatzung!$B$21="","",IFERROR(IF(I195="Zeitanteilig",(Besatzung!$G$21*(G195-IFERROR(H195,0))+((Besatzung!$B$21&lt;&gt;"")*IF(B195="",1,(IF(Besatzung!$C$21="",Besatzung!$B$5,Besatzung!$C$21)&lt;=B195)*(IF(Besatzung!$D$21="",Besatzung!$B$6,Besatzung!$D$21)&gt;=B195)))*(Besatzung!$F$21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$21&lt;&gt;"")*IF(B195="",1,(IF(Besatzung!$C$21="",Besatzung!$B$5,Besatzung!$C$21)&lt;=B195)*(IF(Besatzung!$D$21="",Besatzung!$B$6,Besatzung!$D$21)&gt;=B195)))*((G195-IFERROR(H195,0))/IFERROR(SUMPRODUCT((Besatzung!$B$11:$B$22&lt;&gt;"")*(IF(Besatzung!$C$11:$C$22="",Besatzung!$B$5,Besatzung!$C$11:$C$22)&lt;=B195)*(IF(Besatzung!$D$11:$D$22="",Besatzung!$B$6,Besatzung!$D$11:$D$22)&gt;=B195)),1)+(Besatzung!$F$21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T195="x")*((G195-IFERROR(H195,0))/IFERROR(COUNTIF(J195:U195,"x"),1)+(Besatzung!$F$21="x")*IFERROR(H195,0)/IFERROR(SUMPRODUCT((J195:U195="x")*(Besatzung!$F$11:$F$22="x")),1))),(IF(COUNTIF(J195:U195,"x")=0,IF(Besatzung!$B$21&lt;&gt;"",1,0),(T195="x"))*(G195-IFERROR(H195,0))/IFERROR(IF(COUNTIF(J195:U195,"x")=0,COUNTA(Besatzung!$B$11:$B$22),COUNTIF(J195:U195,"x")),1)+IF(COUNTIF(J195:U195,"x")=0,(Besatzung!$F$21="x"),(T195="x")*(Besatzung!$F$21="x"))*IFERROR(H195,0)/IFERROR(IF(COUNTIF(J195:U195,"x")=0,SUMPRODUCT((Besatzung!$B$11:$B$22&lt;&gt;"")*(Besatzung!$F$11:$F$22="x")),SUMPRODUCT((J195:U195="x")*(Besatzung!$F$11:$F$22="x"))),1))))),0))))</f>
        <v/>
      </c>
      <c r="AG195" s="106">
        <f>IF(C195="Gutschrift","",IF(G195="","",IF(Besatzung!$B$22="","",IFERROR(IF(I195="Zeitanteilig",(Besatzung!$G$22*(G195-IFERROR(H195,0))+((Besatzung!$B$22&lt;&gt;"")*IF(B195="",1,(IF(Besatzung!$C$22="",Besatzung!$B$5,Besatzung!$C$22)&lt;=B195)*(IF(Besatzung!$D$22="",Besatzung!$B$6,Besatzung!$D$22)&gt;=B195)))*(Besatzung!$F$22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$22&lt;&gt;"")*IF(B195="",1,(IF(Besatzung!$C$22="",Besatzung!$B$5,Besatzung!$C$22)&lt;=B195)*(IF(Besatzung!$D$22="",Besatzung!$B$6,Besatzung!$D$22)&gt;=B195)))*((G195-IFERROR(H195,0))/IFERROR(SUMPRODUCT((Besatzung!$B$11:$B$22&lt;&gt;"")*(IF(Besatzung!$C$11:$C$22="",Besatzung!$B$5,Besatzung!$C$11:$C$22)&lt;=B195)*(IF(Besatzung!$D$11:$D$22="",Besatzung!$B$6,Besatzung!$D$11:$D$22)&gt;=B195)),1)+(Besatzung!$F$22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U195="x")*((G195-IFERROR(H195,0))/IFERROR(COUNTIF(J195:U195,"x"),1)+(Besatzung!$F$22="x")*IFERROR(H195,0)/IFERROR(SUMPRODUCT((J195:U195="x")*(Besatzung!$F$11:$F$22="x")),1))),(IF(COUNTIF(J195:U195,"x")=0,IF(Besatzung!$B$22&lt;&gt;"",1,0),(U195="x"))*(G195-IFERROR(H195,0))/IFERROR(IF(COUNTIF(J195:U195,"x")=0,COUNTA(Besatzung!$B$11:$B$22),COUNTIF(J195:U195,"x")),1)+IF(COUNTIF(J195:U195,"x")=0,(Besatzung!$F$22="x"),(U195="x")*(Besatzung!$F$22="x"))*IFERROR(H195,0)/IFERROR(IF(COUNTIF(J195:U195,"x")=0,SUMPRODUCT((Besatzung!$B$11:$B$22&lt;&gt;"")*(Besatzung!$F$11:$F$22="x")),SUMPRODUCT((J195:U195="x")*(Besatzung!$F$11:$F$22="x"))),1))))),0))))</f>
        <v/>
      </c>
      <c r="AH195" s="107" t="n"/>
      <c r="AI195" s="107" t="n"/>
    </row>
    <row r="196" ht="21.75" customHeight="1" s="182">
      <c r="A196" s="97">
        <f>IF(AND(D196="",C196=""),"",193)</f>
        <v/>
      </c>
      <c r="B196" s="56" t="n"/>
      <c r="C196" s="98" t="n"/>
      <c r="D196" s="99" t="n"/>
      <c r="E196" s="100" t="n"/>
      <c r="F196" s="101" t="n"/>
      <c r="G196" s="102" t="n"/>
      <c r="H196" s="103" t="n"/>
      <c r="I196" s="104" t="n"/>
      <c r="J196" s="105" t="n"/>
      <c r="K196" s="105" t="n"/>
      <c r="L196" s="105" t="n"/>
      <c r="M196" s="105" t="n"/>
      <c r="N196" s="105" t="n"/>
      <c r="O196" s="105" t="n"/>
      <c r="P196" s="105" t="n"/>
      <c r="Q196" s="105" t="n"/>
      <c r="R196" s="105" t="n"/>
      <c r="S196" s="105" t="n"/>
      <c r="T196" s="105" t="n"/>
      <c r="U196" s="105" t="n"/>
      <c r="V196" s="106">
        <f>IF(C196="Gutschrift","",IF(G196="","",IF(Besatzung!$B$11="","",IFERROR(IF(I196="Zeitanteilig",(Besatzung!$G$11*(G196-IFERROR(H196,0))+((Besatzung!$B$11&lt;&gt;"")*IF(B196="",1,(IF(Besatzung!$C$11="",Besatzung!$B$5,Besatzung!$C$11)&lt;=B196)*(IF(Besatzung!$D$11="",Besatzung!$B$6,Besatzung!$D$11)&gt;=B196)))*(Besatzung!$F$11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$11&lt;&gt;"")*IF(B196="",1,(IF(Besatzung!$C$11="",Besatzung!$B$5,Besatzung!$C$11)&lt;=B196)*(IF(Besatzung!$D$11="",Besatzung!$B$6,Besatzung!$D$11)&gt;=B196)))*((G196-IFERROR(H196,0))/IFERROR(SUMPRODUCT((Besatzung!$B$11:$B$22&lt;&gt;"")*(IF(Besatzung!$C$11:$C$22="",Besatzung!$B$5,Besatzung!$C$11:$C$22)&lt;=B196)*(IF(Besatzung!$D$11:$D$22="",Besatzung!$B$6,Besatzung!$D$11:$D$22)&gt;=B196)),1)+(Besatzung!$F$11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J196="x")*((G196-IFERROR(H196,0))/IFERROR(COUNTIF(J196:U196,"x"),1)+(Besatzung!$F$11="x")*IFERROR(H196,0)/IFERROR(SUMPRODUCT((J196:U196="x")*(Besatzung!$F$11:$F$22="x")),1))),(IF(COUNTIF(J196:U196,"x")=0,IF(Besatzung!$B$11&lt;&gt;"",1,0),(J196="x"))*(G196-IFERROR(H196,0))/IFERROR(IF(COUNTIF(J196:U196,"x")=0,COUNTA(Besatzung!$B$11:$B$22),COUNTIF(J196:U196,"x")),1)+IF(COUNTIF(J196:U196,"x")=0,(Besatzung!$F$11="x"),(J196="x")*(Besatzung!$F$11="x"))*IFERROR(H196,0)/IFERROR(IF(COUNTIF(J196:U196,"x")=0,SUMPRODUCT((Besatzung!$B$11:$B$22&lt;&gt;"")*(Besatzung!$F$11:$F$22="x")),SUMPRODUCT((J196:U196="x")*(Besatzung!$F$11:$F$22="x"))),1))))),0))))</f>
        <v/>
      </c>
      <c r="W196" s="106">
        <f>IF(C196="Gutschrift","",IF(G196="","",IF(Besatzung!$B$12="","",IFERROR(IF(I196="Zeitanteilig",(Besatzung!$G$12*(G196-IFERROR(H196,0))+((Besatzung!$B$12&lt;&gt;"")*IF(B196="",1,(IF(Besatzung!$C$12="",Besatzung!$B$5,Besatzung!$C$12)&lt;=B196)*(IF(Besatzung!$D$12="",Besatzung!$B$6,Besatzung!$D$12)&gt;=B196)))*(Besatzung!$F$12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$12&lt;&gt;"")*IF(B196="",1,(IF(Besatzung!$C$12="",Besatzung!$B$5,Besatzung!$C$12)&lt;=B196)*(IF(Besatzung!$D$12="",Besatzung!$B$6,Besatzung!$D$12)&gt;=B196)))*((G196-IFERROR(H196,0))/IFERROR(SUMPRODUCT((Besatzung!$B$11:$B$22&lt;&gt;"")*(IF(Besatzung!$C$11:$C$22="",Besatzung!$B$5,Besatzung!$C$11:$C$22)&lt;=B196)*(IF(Besatzung!$D$11:$D$22="",Besatzung!$B$6,Besatzung!$D$11:$D$22)&gt;=B196)),1)+(Besatzung!$F$12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K196="x")*((G196-IFERROR(H196,0))/IFERROR(COUNTIF(J196:U196,"x"),1)+(Besatzung!$F$12="x")*IFERROR(H196,0)/IFERROR(SUMPRODUCT((J196:U196="x")*(Besatzung!$F$11:$F$22="x")),1))),(IF(COUNTIF(J196:U196,"x")=0,IF(Besatzung!$B$12&lt;&gt;"",1,0),(K196="x"))*(G196-IFERROR(H196,0))/IFERROR(IF(COUNTIF(J196:U196,"x")=0,COUNTA(Besatzung!$B$11:$B$22),COUNTIF(J196:U196,"x")),1)+IF(COUNTIF(J196:U196,"x")=0,(Besatzung!$F$12="x"),(K196="x")*(Besatzung!$F$12="x"))*IFERROR(H196,0)/IFERROR(IF(COUNTIF(J196:U196,"x")=0,SUMPRODUCT((Besatzung!$B$11:$B$22&lt;&gt;"")*(Besatzung!$F$11:$F$22="x")),SUMPRODUCT((J196:U196="x")*(Besatzung!$F$11:$F$22="x"))),1))))),0))))</f>
        <v/>
      </c>
      <c r="X196" s="106">
        <f>IF(C196="Gutschrift","",IF(G196="","",IF(Besatzung!$B$13="","",IFERROR(IF(I196="Zeitanteilig",(Besatzung!$G$13*(G196-IFERROR(H196,0))+((Besatzung!$B$13&lt;&gt;"")*IF(B196="",1,(IF(Besatzung!$C$13="",Besatzung!$B$5,Besatzung!$C$13)&lt;=B196)*(IF(Besatzung!$D$13="",Besatzung!$B$6,Besatzung!$D$13)&gt;=B196)))*(Besatzung!$F$13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$13&lt;&gt;"")*IF(B196="",1,(IF(Besatzung!$C$13="",Besatzung!$B$5,Besatzung!$C$13)&lt;=B196)*(IF(Besatzung!$D$13="",Besatzung!$B$6,Besatzung!$D$13)&gt;=B196)))*((G196-IFERROR(H196,0))/IFERROR(SUMPRODUCT((Besatzung!$B$11:$B$22&lt;&gt;"")*(IF(Besatzung!$C$11:$C$22="",Besatzung!$B$5,Besatzung!$C$11:$C$22)&lt;=B196)*(IF(Besatzung!$D$11:$D$22="",Besatzung!$B$6,Besatzung!$D$11:$D$22)&gt;=B196)),1)+(Besatzung!$F$13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K196="x")*((G196-IFERROR(H196,0))/IFERROR(COUNTIF(J196:U196,"x"),1)+(Besatzung!$F$13="x")*IFERROR(H196,0)/IFERROR(SUMPRODUCT((J196:U196="x")*(Besatzung!$F$11:$F$22="x")),1))),(IF(COUNTIF(J196:U196,"x")=0,IF(Besatzung!$B$13&lt;&gt;"",1,0),(K196="x"))*(G196-IFERROR(H196,0))/IFERROR(IF(COUNTIF(J196:U196,"x")=0,COUNTA(Besatzung!$B$11:$B$22),COUNTIF(J196:U196,"x")),1)+IF(COUNTIF(J196:U196,"x")=0,(Besatzung!$F$13="x"),(K196="x")*(Besatzung!$F$13="x"))*IFERROR(H196,0)/IFERROR(IF(COUNTIF(J196:U196,"x")=0,SUMPRODUCT((Besatzung!$B$11:$B$22&lt;&gt;"")*(Besatzung!$F$11:$F$22="x")),SUMPRODUCT((J196:U196="x")*(Besatzung!$F$11:$F$22="x"))),1))))),0))))</f>
        <v/>
      </c>
      <c r="Y196" s="106">
        <f>IF(C196="Gutschrift","",IF(G196="","",IF(Besatzung!$B$14="","",IFERROR(IF(I196="Zeitanteilig",(Besatzung!$G$14*(G196-IFERROR(H196,0))+((Besatzung!$B$14&lt;&gt;"")*IF(B196="",1,(IF(Besatzung!$C$14="",Besatzung!$B$5,Besatzung!$C$14)&lt;=B196)*(IF(Besatzung!$D$14="",Besatzung!$B$6,Besatzung!$D$14)&gt;=B196)))*(Besatzung!$F$14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$14&lt;&gt;"")*IF(B196="",1,(IF(Besatzung!$C$14="",Besatzung!$B$5,Besatzung!$C$14)&lt;=B196)*(IF(Besatzung!$D$14="",Besatzung!$B$6,Besatzung!$D$14)&gt;=B196)))*((G196-IFERROR(H196,0))/IFERROR(SUMPRODUCT((Besatzung!$B$11:$B$22&lt;&gt;"")*(IF(Besatzung!$C$11:$C$22="",Besatzung!$B$5,Besatzung!$C$11:$C$22)&lt;=B196)*(IF(Besatzung!$D$11:$D$22="",Besatzung!$B$6,Besatzung!$D$11:$D$22)&gt;=B196)),1)+(Besatzung!$F$14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M196="x")*((G196-IFERROR(H196,0))/IFERROR(COUNTIF(J196:U196,"x"),1)+(Besatzung!$F$14="x")*IFERROR(H196,0)/IFERROR(SUMPRODUCT((J196:U196="x")*(Besatzung!$F$11:$F$22="x")),1))),(IF(COUNTIF(J196:U196,"x")=0,IF(Besatzung!$B$14&lt;&gt;"",1,0),(M196="x"))*(G196-IFERROR(H196,0))/IFERROR(IF(COUNTIF(J196:U196,"x")=0,COUNTA(Besatzung!$B$11:$B$22),COUNTIF(J196:U196,"x")),1)+IF(COUNTIF(J196:U196,"x")=0,(Besatzung!$F$14="x"),(M196="x")*(Besatzung!$F$14="x"))*IFERROR(H196,0)/IFERROR(IF(COUNTIF(J196:U196,"x")=0,SUMPRODUCT((Besatzung!$B$11:$B$22&lt;&gt;"")*(Besatzung!$F$11:$F$22="x")),SUMPRODUCT((J196:U196="x")*(Besatzung!$F$11:$F$22="x"))),1))))),0))))</f>
        <v/>
      </c>
      <c r="Z196" s="106">
        <f>IF(C196="Gutschrift","",IF(G196="","",IF(Besatzung!$B$13="","",IFERROR(IF(I196="Zeitanteilig",(Besatzung!$G$15*(G196-IFERROR(H196,0))+((Besatzung!$B$13&lt;&gt;"")*IF(B196="",1,(IF(Besatzung!$C$15="",Besatzung!$B$5,Besatzung!$C$15)&lt;=B196)*(IF(Besatzung!$D$15="",Besatzung!$B$6,Besatzung!$D$15)&gt;=B196)))*(Besatzung!$F$15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$13&lt;&gt;"")*IF(B196="",1,(IF(Besatzung!$C$15="",Besatzung!$B$5,Besatzung!$C$15)&lt;=B196)*(IF(Besatzung!$D$15="",Besatzung!$B$6,Besatzung!$D$15)&gt;=B196)))*((G196-IFERROR(H196,0))/IFERROR(SUMPRODUCT((Besatzung!$B$11:$B$22&lt;&gt;"")*(IF(Besatzung!$C$11:$C$22="",Besatzung!$B$5,Besatzung!$C$11:$C$22)&lt;=B196)*(IF(Besatzung!$D$11:$D$22="",Besatzung!$B$6,Besatzung!$D$11:$D$22)&gt;=B196)),1)+(Besatzung!$F$15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N196="x")*((G196-IFERROR(H196,0))/IFERROR(COUNTIF(J196:U196,"x"),1)+(Besatzung!$F$15="x")*IFERROR(H196,0)/IFERROR(SUMPRODUCT((J196:U196="x")*(Besatzung!$F$11:$F$22="x")),1))),(IF(COUNTIF(J196:U196,"x")=0,IF(Besatzung!$B$13&lt;&gt;"",1,0),(N196="x"))*(G196-IFERROR(H196,0))/IFERROR(IF(COUNTIF(J196:U196,"x")=0,COUNTA(Besatzung!$B$11:$B$22),COUNTIF(J196:U196,"x")),1)+IF(COUNTIF(J196:U196,"x")=0,(Besatzung!$F$15="x"),(N196="x")*(Besatzung!$F$15="x"))*IFERROR(H196,0)/IFERROR(IF(COUNTIF(J196:U196,"x")=0,SUMPRODUCT((Besatzung!$B$11:$B$22&lt;&gt;"")*(Besatzung!$F$11:$F$22="x")),SUMPRODUCT((J196:U196="x")*(Besatzung!$F$11:$F$22="x"))),1))))),0))))</f>
        <v/>
      </c>
      <c r="AA196" s="106">
        <f>IF(C196="Gutschrift","",IF(G196="","",IF(Besatzung!$B$15="","",IFERROR(IF(I196="Zeitanteilig",(Besatzung!$G$16*(G196-IFERROR(H196,0))+((Besatzung!$B$15&lt;&gt;"")*IF(B196="",1,(IF(Besatzung!$C$16="",Besatzung!$B$5,Besatzung!$C$16)&lt;=B196)*(IF(Besatzung!$D$16="",Besatzung!$B$6,Besatzung!$D$16)&gt;=B196)))*(Besatzung!$F$16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$15&lt;&gt;"")*IF(B196="",1,(IF(Besatzung!$C$16="",Besatzung!$B$5,Besatzung!$C$16)&lt;=B196)*(IF(Besatzung!$D$16="",Besatzung!$B$6,Besatzung!$D$16)&gt;=B196)))*((G196-IFERROR(H196,0))/IFERROR(SUMPRODUCT((Besatzung!$B$11:$B$22&lt;&gt;"")*(IF(Besatzung!$C$11:$C$22="",Besatzung!$B$5,Besatzung!$C$11:$C$22)&lt;=B196)*(IF(Besatzung!$D$11:$D$22="",Besatzung!$B$6,Besatzung!$D$11:$D$22)&gt;=B196)),1)+(Besatzung!$F$16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O196="x")*((G196-IFERROR(H196,0))/IFERROR(COUNTIF(J196:U196,"x"),1)+(Besatzung!$F$16="x")*IFERROR(H196,0)/IFERROR(SUMPRODUCT((J196:U196="x")*(Besatzung!$F$11:$F$22="x")),1))),(IF(COUNTIF(J196:U196,"x")=0,IF(Besatzung!$B$15&lt;&gt;"",1,0),(O196="x"))*(G196-IFERROR(H196,0))/IFERROR(IF(COUNTIF(J196:U196,"x")=0,COUNTA(Besatzung!$B$11:$B$22),COUNTIF(J196:U196,"x")),1)+IF(COUNTIF(J196:U196,"x")=0,(Besatzung!$F$16="x"),(O196="x")*(Besatzung!$F$16="x"))*IFERROR(H196,0)/IFERROR(IF(COUNTIF(J196:U196,"x")=0,SUMPRODUCT((Besatzung!$B$11:$B$22&lt;&gt;"")*(Besatzung!$F$11:$F$22="x")),SUMPRODUCT((J196:U196="x")*(Besatzung!$F$11:$F$22="x"))),1))))),0))))</f>
        <v/>
      </c>
      <c r="AB196" s="106">
        <f>IF(C196="Gutschrift","",IF(G196="","",IF(Besatzung!$B$17="","",IFERROR(IF(I196="Zeitanteilig",(Besatzung!$G$17*(G196-IFERROR(H196,0))+((Besatzung!$B$17&lt;&gt;"")*IF(B196="",1,(IF(Besatzung!$C$17="",Besatzung!$B$5,Besatzung!$C$17)&lt;=B196)*(IF(Besatzung!$D$17="",Besatzung!$B$6,Besatzung!$D$17)&gt;=B196)))*(Besatzung!$F$17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$17&lt;&gt;"")*IF(B196="",1,(IF(Besatzung!$C$17="",Besatzung!$B$5,Besatzung!$C$17)&lt;=B196)*(IF(Besatzung!$D$17="",Besatzung!$B$6,Besatzung!$D$17)&gt;=B196)))*((G196-IFERROR(H196,0))/IFERROR(SUMPRODUCT((Besatzung!$B$11:$B$22&lt;&gt;"")*(IF(Besatzung!$C$11:$C$22="",Besatzung!$B$5,Besatzung!$C$11:$C$22)&lt;=B196)*(IF(Besatzung!$D$11:$D$22="",Besatzung!$B$6,Besatzung!$D$11:$D$22)&gt;=B196)),1)+(Besatzung!$F$17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P196="x")*((G196-IFERROR(H196,0))/IFERROR(COUNTIF(J196:U196,"x"),1)+(Besatzung!$F$17="x")*IFERROR(H196,0)/IFERROR(SUMPRODUCT((J196:U196="x")*(Besatzung!$F$11:$F$22="x")),1))),(IF(COUNTIF(J196:U196,"x")=0,IF(Besatzung!$B$17&lt;&gt;"",1,0),(P196="x"))*(G196-IFERROR(H196,0))/IFERROR(IF(COUNTIF(J196:U196,"x")=0,COUNTA(Besatzung!$B$11:$B$22),COUNTIF(J196:U196,"x")),1)+IF(COUNTIF(J196:U196,"x")=0,(Besatzung!$F$17="x"),(P196="x")*(Besatzung!$F$17="x"))*IFERROR(H196,0)/IFERROR(IF(COUNTIF(J196:U196,"x")=0,SUMPRODUCT((Besatzung!$B$11:$B$22&lt;&gt;"")*(Besatzung!$F$11:$F$22="x")),SUMPRODUCT((J196:U196="x")*(Besatzung!$F$11:$F$22="x"))),1))))),0))))</f>
        <v/>
      </c>
      <c r="AC196" s="106">
        <f>IF(C196="Gutschrift","",IF(G196="","",IF(Besatzung!$B$18="","",IFERROR(IF(I196="Zeitanteilig",(Besatzung!$G$18*(G196-IFERROR(H196,0))+((Besatzung!$B$18&lt;&gt;"")*IF(B196="",1,(IF(Besatzung!$C$18="",Besatzung!$B$5,Besatzung!$C$18)&lt;=B196)*(IF(Besatzung!$D$18="",Besatzung!$B$6,Besatzung!$D$18)&gt;=B196)))*(Besatzung!$F$18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$18&lt;&gt;"")*IF(B196="",1,(IF(Besatzung!$C$18="",Besatzung!$B$5,Besatzung!$C$18)&lt;=B196)*(IF(Besatzung!$D$18="",Besatzung!$B$6,Besatzung!$D$18)&gt;=B196)))*((G196-IFERROR(H196,0))/IFERROR(SUMPRODUCT((Besatzung!$B$11:$B$22&lt;&gt;"")*(IF(Besatzung!$C$11:$C$22="",Besatzung!$B$5,Besatzung!$C$11:$C$22)&lt;=B196)*(IF(Besatzung!$D$11:$D$22="",Besatzung!$B$6,Besatzung!$D$11:$D$22)&gt;=B196)),1)+(Besatzung!$F$18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Q196="x")*((G196-IFERROR(H196,0))/IFERROR(COUNTIF(J196:U196,"x"),1)+(Besatzung!$F$18="x")*IFERROR(H196,0)/IFERROR(SUMPRODUCT((J196:U196="x")*(Besatzung!$F$11:$F$22="x")),1))),(IF(COUNTIF(J196:U196,"x")=0,IF(Besatzung!$B$18&lt;&gt;"",1,0),(Q196="x"))*(G196-IFERROR(H196,0))/IFERROR(IF(COUNTIF(J196:U196,"x")=0,COUNTA(Besatzung!$B$11:$B$22),COUNTIF(J196:U196,"x")),1)+IF(COUNTIF(J196:U196,"x")=0,(Besatzung!$F$18="x"),(Q196="x")*(Besatzung!$F$18="x"))*IFERROR(H196,0)/IFERROR(IF(COUNTIF(J196:U196,"x")=0,SUMPRODUCT((Besatzung!$B$11:$B$22&lt;&gt;"")*(Besatzung!$F$11:$F$22="x")),SUMPRODUCT((J196:U196="x")*(Besatzung!$F$11:$F$22="x"))),1))))),0))))</f>
        <v/>
      </c>
      <c r="AD196" s="106">
        <f>IF(C196="Gutschrift","",IF(G196="","",IF(Besatzung!$B$19="","",IFERROR(IF(I196="Zeitanteilig",(Besatzung!$G$19*(G196-IFERROR(H196,0))+((Besatzung!$B$19&lt;&gt;"")*IF(B196="",1,(IF(Besatzung!$C$19="",Besatzung!$B$5,Besatzung!$C$19)&lt;=B196)*(IF(Besatzung!$D$19="",Besatzung!$B$6,Besatzung!$D$19)&gt;=B196)))*(Besatzung!$F$19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$19&lt;&gt;"")*IF(B196="",1,(IF(Besatzung!$C$19="",Besatzung!$B$5,Besatzung!$C$19)&lt;=B196)*(IF(Besatzung!$D$19="",Besatzung!$B$6,Besatzung!$D$19)&gt;=B196)))*((G196-IFERROR(H196,0))/IFERROR(SUMPRODUCT((Besatzung!$B$11:$B$22&lt;&gt;"")*(IF(Besatzung!$C$11:$C$22="",Besatzung!$B$5,Besatzung!$C$11:$C$22)&lt;=B196)*(IF(Besatzung!$D$11:$D$22="",Besatzung!$B$6,Besatzung!$D$11:$D$22)&gt;=B196)),1)+(Besatzung!$F$19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R196="x")*((G196-IFERROR(H196,0))/IFERROR(COUNTIF(J196:U196,"x"),1)+(Besatzung!$F$19="x")*IFERROR(H196,0)/IFERROR(SUMPRODUCT((J196:U196="x")*(Besatzung!$F$11:$F$22="x")),1))),(IF(COUNTIF(J196:U196,"x")=0,IF(Besatzung!$B$19&lt;&gt;"",1,0),(R196="x"))*(G196-IFERROR(H196,0))/IFERROR(IF(COUNTIF(J196:U196,"x")=0,COUNTA(Besatzung!$B$11:$B$22),COUNTIF(J196:U196,"x")),1)+IF(COUNTIF(J196:U196,"x")=0,(Besatzung!$F$19="x"),(R196="x")*(Besatzung!$F$19="x"))*IFERROR(H196,0)/IFERROR(IF(COUNTIF(J196:U196,"x")=0,SUMPRODUCT((Besatzung!$B$11:$B$22&lt;&gt;"")*(Besatzung!$F$11:$F$22="x")),SUMPRODUCT((J196:U196="x")*(Besatzung!$F$11:$F$22="x"))),1))))),0))))</f>
        <v/>
      </c>
      <c r="AE196" s="106">
        <f>IF(C196="Gutschrift","",IF(G196="","",IF(Besatzung!$B$20="","",IFERROR(IF(I196="Zeitanteilig",(Besatzung!$G$20*(G196-IFERROR(H196,0))+((Besatzung!$B$20&lt;&gt;"")*IF(B196="",1,(IF(Besatzung!$C$20="",Besatzung!$B$5,Besatzung!$C$20)&lt;=B196)*(IF(Besatzung!$D$20="",Besatzung!$B$6,Besatzung!$D$20)&gt;=B196)))*(Besatzung!$F$20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$20&lt;&gt;"")*IF(B196="",1,(IF(Besatzung!$C$20="",Besatzung!$B$5,Besatzung!$C$20)&lt;=B196)*(IF(Besatzung!$D$20="",Besatzung!$B$6,Besatzung!$D$20)&gt;=B196)))*((G196-IFERROR(H196,0))/IFERROR(SUMPRODUCT((Besatzung!$B$11:$B$22&lt;&gt;"")*(IF(Besatzung!$C$11:$C$22="",Besatzung!$B$5,Besatzung!$C$11:$C$22)&lt;=B196)*(IF(Besatzung!$D$11:$D$22="",Besatzung!$B$6,Besatzung!$D$11:$D$22)&gt;=B196)),1)+(Besatzung!$F$20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S196="x")*((G196-IFERROR(H196,0))/IFERROR(COUNTIF(J196:U196,"x"),1)+(Besatzung!$F$20="x")*IFERROR(H196,0)/IFERROR(SUMPRODUCT((J196:U196="x")*(Besatzung!$F$11:$F$22="x")),1))),(IF(COUNTIF(J196:U196,"x")=0,IF(Besatzung!$B$20&lt;&gt;"",1,0),(S196="x"))*(G196-IFERROR(H196,0))/IFERROR(IF(COUNTIF(J196:U196,"x")=0,COUNTA(Besatzung!$B$11:$B$22),COUNTIF(J196:U196,"x")),1)+IF(COUNTIF(J196:U196,"x")=0,(Besatzung!$F$20="x"),(S196="x")*(Besatzung!$F$20="x"))*IFERROR(H196,0)/IFERROR(IF(COUNTIF(J196:U196,"x")=0,SUMPRODUCT((Besatzung!$B$11:$B$22&lt;&gt;"")*(Besatzung!$F$11:$F$22="x")),SUMPRODUCT((J196:U196="x")*(Besatzung!$F$11:$F$22="x"))),1))))),0))))</f>
        <v/>
      </c>
      <c r="AF196" s="106">
        <f>IF(C196="Gutschrift","",IF(G196="","",IF(Besatzung!$B$21="","",IFERROR(IF(I196="Zeitanteilig",(Besatzung!$G$21*(G196-IFERROR(H196,0))+((Besatzung!$B$21&lt;&gt;"")*IF(B196="",1,(IF(Besatzung!$C$21="",Besatzung!$B$5,Besatzung!$C$21)&lt;=B196)*(IF(Besatzung!$D$21="",Besatzung!$B$6,Besatzung!$D$21)&gt;=B196)))*(Besatzung!$F$21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$21&lt;&gt;"")*IF(B196="",1,(IF(Besatzung!$C$21="",Besatzung!$B$5,Besatzung!$C$21)&lt;=B196)*(IF(Besatzung!$D$21="",Besatzung!$B$6,Besatzung!$D$21)&gt;=B196)))*((G196-IFERROR(H196,0))/IFERROR(SUMPRODUCT((Besatzung!$B$11:$B$22&lt;&gt;"")*(IF(Besatzung!$C$11:$C$22="",Besatzung!$B$5,Besatzung!$C$11:$C$22)&lt;=B196)*(IF(Besatzung!$D$11:$D$22="",Besatzung!$B$6,Besatzung!$D$11:$D$22)&gt;=B196)),1)+(Besatzung!$F$21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T196="x")*((G196-IFERROR(H196,0))/IFERROR(COUNTIF(J196:U196,"x"),1)+(Besatzung!$F$21="x")*IFERROR(H196,0)/IFERROR(SUMPRODUCT((J196:U196="x")*(Besatzung!$F$11:$F$22="x")),1))),(IF(COUNTIF(J196:U196,"x")=0,IF(Besatzung!$B$21&lt;&gt;"",1,0),(T196="x"))*(G196-IFERROR(H196,0))/IFERROR(IF(COUNTIF(J196:U196,"x")=0,COUNTA(Besatzung!$B$11:$B$22),COUNTIF(J196:U196,"x")),1)+IF(COUNTIF(J196:U196,"x")=0,(Besatzung!$F$21="x"),(T196="x")*(Besatzung!$F$21="x"))*IFERROR(H196,0)/IFERROR(IF(COUNTIF(J196:U196,"x")=0,SUMPRODUCT((Besatzung!$B$11:$B$22&lt;&gt;"")*(Besatzung!$F$11:$F$22="x")),SUMPRODUCT((J196:U196="x")*(Besatzung!$F$11:$F$22="x"))),1))))),0))))</f>
        <v/>
      </c>
      <c r="AG196" s="106">
        <f>IF(C196="Gutschrift","",IF(G196="","",IF(Besatzung!$B$22="","",IFERROR(IF(I196="Zeitanteilig",(Besatzung!$G$22*(G196-IFERROR(H196,0))+((Besatzung!$B$22&lt;&gt;"")*IF(B196="",1,(IF(Besatzung!$C$22="",Besatzung!$B$5,Besatzung!$C$22)&lt;=B196)*(IF(Besatzung!$D$22="",Besatzung!$B$6,Besatzung!$D$22)&gt;=B196)))*(Besatzung!$F$22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$22&lt;&gt;"")*IF(B196="",1,(IF(Besatzung!$C$22="",Besatzung!$B$5,Besatzung!$C$22)&lt;=B196)*(IF(Besatzung!$D$22="",Besatzung!$B$6,Besatzung!$D$22)&gt;=B196)))*((G196-IFERROR(H196,0))/IFERROR(SUMPRODUCT((Besatzung!$B$11:$B$22&lt;&gt;"")*(IF(Besatzung!$C$11:$C$22="",Besatzung!$B$5,Besatzung!$C$11:$C$22)&lt;=B196)*(IF(Besatzung!$D$11:$D$22="",Besatzung!$B$6,Besatzung!$D$11:$D$22)&gt;=B196)),1)+(Besatzung!$F$22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U196="x")*((G196-IFERROR(H196,0))/IFERROR(COUNTIF(J196:U196,"x"),1)+(Besatzung!$F$22="x")*IFERROR(H196,0)/IFERROR(SUMPRODUCT((J196:U196="x")*(Besatzung!$F$11:$F$22="x")),1))),(IF(COUNTIF(J196:U196,"x")=0,IF(Besatzung!$B$22&lt;&gt;"",1,0),(U196="x"))*(G196-IFERROR(H196,0))/IFERROR(IF(COUNTIF(J196:U196,"x")=0,COUNTA(Besatzung!$B$11:$B$22),COUNTIF(J196:U196,"x")),1)+IF(COUNTIF(J196:U196,"x")=0,(Besatzung!$F$22="x"),(U196="x")*(Besatzung!$F$22="x"))*IFERROR(H196,0)/IFERROR(IF(COUNTIF(J196:U196,"x")=0,SUMPRODUCT((Besatzung!$B$11:$B$22&lt;&gt;"")*(Besatzung!$F$11:$F$22="x")),SUMPRODUCT((J196:U196="x")*(Besatzung!$F$11:$F$22="x"))),1))))),0))))</f>
        <v/>
      </c>
      <c r="AH196" s="107" t="n"/>
      <c r="AI196" s="107" t="n"/>
    </row>
    <row r="197" ht="21.75" customHeight="1" s="182">
      <c r="A197" s="97">
        <f>IF(AND(D197="",C197=""),"",194)</f>
        <v/>
      </c>
      <c r="B197" s="63" t="n"/>
      <c r="C197" s="108" t="n"/>
      <c r="D197" s="109" t="n"/>
      <c r="E197" s="110" t="n"/>
      <c r="F197" s="111" t="n"/>
      <c r="G197" s="112" t="n"/>
      <c r="H197" s="113" t="n"/>
      <c r="I197" s="114" t="n"/>
      <c r="J197" s="115" t="n"/>
      <c r="K197" s="115" t="n"/>
      <c r="L197" s="115" t="n"/>
      <c r="M197" s="115" t="n"/>
      <c r="N197" s="115" t="n"/>
      <c r="O197" s="115" t="n"/>
      <c r="P197" s="115" t="n"/>
      <c r="Q197" s="115" t="n"/>
      <c r="R197" s="115" t="n"/>
      <c r="S197" s="115" t="n"/>
      <c r="T197" s="115" t="n"/>
      <c r="U197" s="115" t="n"/>
      <c r="V197" s="106">
        <f>IF(C197="Gutschrift","",IF(G197="","",IF(Besatzung!$B$11="","",IFERROR(IF(I197="Zeitanteilig",(Besatzung!$G$11*(G197-IFERROR(H197,0))+((Besatzung!$B$11&lt;&gt;"")*IF(B197="",1,(IF(Besatzung!$C$11="",Besatzung!$B$5,Besatzung!$C$11)&lt;=B197)*(IF(Besatzung!$D$11="",Besatzung!$B$6,Besatzung!$D$11)&gt;=B197)))*(Besatzung!$F$11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$11&lt;&gt;"")*IF(B197="",1,(IF(Besatzung!$C$11="",Besatzung!$B$5,Besatzung!$C$11)&lt;=B197)*(IF(Besatzung!$D$11="",Besatzung!$B$6,Besatzung!$D$11)&gt;=B197)))*((G197-IFERROR(H197,0))/IFERROR(SUMPRODUCT((Besatzung!$B$11:$B$22&lt;&gt;"")*(IF(Besatzung!$C$11:$C$22="",Besatzung!$B$5,Besatzung!$C$11:$C$22)&lt;=B197)*(IF(Besatzung!$D$11:$D$22="",Besatzung!$B$6,Besatzung!$D$11:$D$22)&gt;=B197)),1)+(Besatzung!$F$11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J197="x")*((G197-IFERROR(H197,0))/IFERROR(COUNTIF(J197:U197,"x"),1)+(Besatzung!$F$11="x")*IFERROR(H197,0)/IFERROR(SUMPRODUCT((J197:U197="x")*(Besatzung!$F$11:$F$22="x")),1))),(IF(COUNTIF(J197:U197,"x")=0,IF(Besatzung!$B$11&lt;&gt;"",1,0),(J197="x"))*(G197-IFERROR(H197,0))/IFERROR(IF(COUNTIF(J197:U197,"x")=0,COUNTA(Besatzung!$B$11:$B$22),COUNTIF(J197:U197,"x")),1)+IF(COUNTIF(J197:U197,"x")=0,(Besatzung!$F$11="x"),(J197="x")*(Besatzung!$F$11="x"))*IFERROR(H197,0)/IFERROR(IF(COUNTIF(J197:U197,"x")=0,SUMPRODUCT((Besatzung!$B$11:$B$22&lt;&gt;"")*(Besatzung!$F$11:$F$22="x")),SUMPRODUCT((J197:U197="x")*(Besatzung!$F$11:$F$22="x"))),1))))),0))))</f>
        <v/>
      </c>
      <c r="W197" s="106">
        <f>IF(C197="Gutschrift","",IF(G197="","",IF(Besatzung!$B$12="","",IFERROR(IF(I197="Zeitanteilig",(Besatzung!$G$12*(G197-IFERROR(H197,0))+((Besatzung!$B$12&lt;&gt;"")*IF(B197="",1,(IF(Besatzung!$C$12="",Besatzung!$B$5,Besatzung!$C$12)&lt;=B197)*(IF(Besatzung!$D$12="",Besatzung!$B$6,Besatzung!$D$12)&gt;=B197)))*(Besatzung!$F$12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$12&lt;&gt;"")*IF(B197="",1,(IF(Besatzung!$C$12="",Besatzung!$B$5,Besatzung!$C$12)&lt;=B197)*(IF(Besatzung!$D$12="",Besatzung!$B$6,Besatzung!$D$12)&gt;=B197)))*((G197-IFERROR(H197,0))/IFERROR(SUMPRODUCT((Besatzung!$B$11:$B$22&lt;&gt;"")*(IF(Besatzung!$C$11:$C$22="",Besatzung!$B$5,Besatzung!$C$11:$C$22)&lt;=B197)*(IF(Besatzung!$D$11:$D$22="",Besatzung!$B$6,Besatzung!$D$11:$D$22)&gt;=B197)),1)+(Besatzung!$F$12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K197="x")*((G197-IFERROR(H197,0))/IFERROR(COUNTIF(J197:U197,"x"),1)+(Besatzung!$F$12="x")*IFERROR(H197,0)/IFERROR(SUMPRODUCT((J197:U197="x")*(Besatzung!$F$11:$F$22="x")),1))),(IF(COUNTIF(J197:U197,"x")=0,IF(Besatzung!$B$12&lt;&gt;"",1,0),(K197="x"))*(G197-IFERROR(H197,0))/IFERROR(IF(COUNTIF(J197:U197,"x")=0,COUNTA(Besatzung!$B$11:$B$22),COUNTIF(J197:U197,"x")),1)+IF(COUNTIF(J197:U197,"x")=0,(Besatzung!$F$12="x"),(K197="x")*(Besatzung!$F$12="x"))*IFERROR(H197,0)/IFERROR(IF(COUNTIF(J197:U197,"x")=0,SUMPRODUCT((Besatzung!$B$11:$B$22&lt;&gt;"")*(Besatzung!$F$11:$F$22="x")),SUMPRODUCT((J197:U197="x")*(Besatzung!$F$11:$F$22="x"))),1))))),0))))</f>
        <v/>
      </c>
      <c r="X197" s="106">
        <f>IF(C197="Gutschrift","",IF(G197="","",IF(Besatzung!$B$13="","",IFERROR(IF(I197="Zeitanteilig",(Besatzung!$G$13*(G197-IFERROR(H197,0))+((Besatzung!$B$13&lt;&gt;"")*IF(B197="",1,(IF(Besatzung!$C$13="",Besatzung!$B$5,Besatzung!$C$13)&lt;=B197)*(IF(Besatzung!$D$13="",Besatzung!$B$6,Besatzung!$D$13)&gt;=B197)))*(Besatzung!$F$13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$13&lt;&gt;"")*IF(B197="",1,(IF(Besatzung!$C$13="",Besatzung!$B$5,Besatzung!$C$13)&lt;=B197)*(IF(Besatzung!$D$13="",Besatzung!$B$6,Besatzung!$D$13)&gt;=B197)))*((G197-IFERROR(H197,0))/IFERROR(SUMPRODUCT((Besatzung!$B$11:$B$22&lt;&gt;"")*(IF(Besatzung!$C$11:$C$22="",Besatzung!$B$5,Besatzung!$C$11:$C$22)&lt;=B197)*(IF(Besatzung!$D$11:$D$22="",Besatzung!$B$6,Besatzung!$D$11:$D$22)&gt;=B197)),1)+(Besatzung!$F$13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K197="x")*((G197-IFERROR(H197,0))/IFERROR(COUNTIF(J197:U197,"x"),1)+(Besatzung!$F$13="x")*IFERROR(H197,0)/IFERROR(SUMPRODUCT((J197:U197="x")*(Besatzung!$F$11:$F$22="x")),1))),(IF(COUNTIF(J197:U197,"x")=0,IF(Besatzung!$B$13&lt;&gt;"",1,0),(K197="x"))*(G197-IFERROR(H197,0))/IFERROR(IF(COUNTIF(J197:U197,"x")=0,COUNTA(Besatzung!$B$11:$B$22),COUNTIF(J197:U197,"x")),1)+IF(COUNTIF(J197:U197,"x")=0,(Besatzung!$F$13="x"),(K197="x")*(Besatzung!$F$13="x"))*IFERROR(H197,0)/IFERROR(IF(COUNTIF(J197:U197,"x")=0,SUMPRODUCT((Besatzung!$B$11:$B$22&lt;&gt;"")*(Besatzung!$F$11:$F$22="x")),SUMPRODUCT((J197:U197="x")*(Besatzung!$F$11:$F$22="x"))),1))))),0))))</f>
        <v/>
      </c>
      <c r="Y197" s="106">
        <f>IF(C197="Gutschrift","",IF(G197="","",IF(Besatzung!$B$14="","",IFERROR(IF(I197="Zeitanteilig",(Besatzung!$G$14*(G197-IFERROR(H197,0))+((Besatzung!$B$14&lt;&gt;"")*IF(B197="",1,(IF(Besatzung!$C$14="",Besatzung!$B$5,Besatzung!$C$14)&lt;=B197)*(IF(Besatzung!$D$14="",Besatzung!$B$6,Besatzung!$D$14)&gt;=B197)))*(Besatzung!$F$14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$14&lt;&gt;"")*IF(B197="",1,(IF(Besatzung!$C$14="",Besatzung!$B$5,Besatzung!$C$14)&lt;=B197)*(IF(Besatzung!$D$14="",Besatzung!$B$6,Besatzung!$D$14)&gt;=B197)))*((G197-IFERROR(H197,0))/IFERROR(SUMPRODUCT((Besatzung!$B$11:$B$22&lt;&gt;"")*(IF(Besatzung!$C$11:$C$22="",Besatzung!$B$5,Besatzung!$C$11:$C$22)&lt;=B197)*(IF(Besatzung!$D$11:$D$22="",Besatzung!$B$6,Besatzung!$D$11:$D$22)&gt;=B197)),1)+(Besatzung!$F$14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M197="x")*((G197-IFERROR(H197,0))/IFERROR(COUNTIF(J197:U197,"x"),1)+(Besatzung!$F$14="x")*IFERROR(H197,0)/IFERROR(SUMPRODUCT((J197:U197="x")*(Besatzung!$F$11:$F$22="x")),1))),(IF(COUNTIF(J197:U197,"x")=0,IF(Besatzung!$B$14&lt;&gt;"",1,0),(M197="x"))*(G197-IFERROR(H197,0))/IFERROR(IF(COUNTIF(J197:U197,"x")=0,COUNTA(Besatzung!$B$11:$B$22),COUNTIF(J197:U197,"x")),1)+IF(COUNTIF(J197:U197,"x")=0,(Besatzung!$F$14="x"),(M197="x")*(Besatzung!$F$14="x"))*IFERROR(H197,0)/IFERROR(IF(COUNTIF(J197:U197,"x")=0,SUMPRODUCT((Besatzung!$B$11:$B$22&lt;&gt;"")*(Besatzung!$F$11:$F$22="x")),SUMPRODUCT((J197:U197="x")*(Besatzung!$F$11:$F$22="x"))),1))))),0))))</f>
        <v/>
      </c>
      <c r="Z197" s="106">
        <f>IF(C197="Gutschrift","",IF(G197="","",IF(Besatzung!$B$13="","",IFERROR(IF(I197="Zeitanteilig",(Besatzung!$G$15*(G197-IFERROR(H197,0))+((Besatzung!$B$13&lt;&gt;"")*IF(B197="",1,(IF(Besatzung!$C$15="",Besatzung!$B$5,Besatzung!$C$15)&lt;=B197)*(IF(Besatzung!$D$15="",Besatzung!$B$6,Besatzung!$D$15)&gt;=B197)))*(Besatzung!$F$15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$13&lt;&gt;"")*IF(B197="",1,(IF(Besatzung!$C$15="",Besatzung!$B$5,Besatzung!$C$15)&lt;=B197)*(IF(Besatzung!$D$15="",Besatzung!$B$6,Besatzung!$D$15)&gt;=B197)))*((G197-IFERROR(H197,0))/IFERROR(SUMPRODUCT((Besatzung!$B$11:$B$22&lt;&gt;"")*(IF(Besatzung!$C$11:$C$22="",Besatzung!$B$5,Besatzung!$C$11:$C$22)&lt;=B197)*(IF(Besatzung!$D$11:$D$22="",Besatzung!$B$6,Besatzung!$D$11:$D$22)&gt;=B197)),1)+(Besatzung!$F$15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N197="x")*((G197-IFERROR(H197,0))/IFERROR(COUNTIF(J197:U197,"x"),1)+(Besatzung!$F$15="x")*IFERROR(H197,0)/IFERROR(SUMPRODUCT((J197:U197="x")*(Besatzung!$F$11:$F$22="x")),1))),(IF(COUNTIF(J197:U197,"x")=0,IF(Besatzung!$B$13&lt;&gt;"",1,0),(N197="x"))*(G197-IFERROR(H197,0))/IFERROR(IF(COUNTIF(J197:U197,"x")=0,COUNTA(Besatzung!$B$11:$B$22),COUNTIF(J197:U197,"x")),1)+IF(COUNTIF(J197:U197,"x")=0,(Besatzung!$F$15="x"),(N197="x")*(Besatzung!$F$15="x"))*IFERROR(H197,0)/IFERROR(IF(COUNTIF(J197:U197,"x")=0,SUMPRODUCT((Besatzung!$B$11:$B$22&lt;&gt;"")*(Besatzung!$F$11:$F$22="x")),SUMPRODUCT((J197:U197="x")*(Besatzung!$F$11:$F$22="x"))),1))))),0))))</f>
        <v/>
      </c>
      <c r="AA197" s="106">
        <f>IF(C197="Gutschrift","",IF(G197="","",IF(Besatzung!$B$15="","",IFERROR(IF(I197="Zeitanteilig",(Besatzung!$G$16*(G197-IFERROR(H197,0))+((Besatzung!$B$15&lt;&gt;"")*IF(B197="",1,(IF(Besatzung!$C$16="",Besatzung!$B$5,Besatzung!$C$16)&lt;=B197)*(IF(Besatzung!$D$16="",Besatzung!$B$6,Besatzung!$D$16)&gt;=B197)))*(Besatzung!$F$16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$15&lt;&gt;"")*IF(B197="",1,(IF(Besatzung!$C$16="",Besatzung!$B$5,Besatzung!$C$16)&lt;=B197)*(IF(Besatzung!$D$16="",Besatzung!$B$6,Besatzung!$D$16)&gt;=B197)))*((G197-IFERROR(H197,0))/IFERROR(SUMPRODUCT((Besatzung!$B$11:$B$22&lt;&gt;"")*(IF(Besatzung!$C$11:$C$22="",Besatzung!$B$5,Besatzung!$C$11:$C$22)&lt;=B197)*(IF(Besatzung!$D$11:$D$22="",Besatzung!$B$6,Besatzung!$D$11:$D$22)&gt;=B197)),1)+(Besatzung!$F$16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O197="x")*((G197-IFERROR(H197,0))/IFERROR(COUNTIF(J197:U197,"x"),1)+(Besatzung!$F$16="x")*IFERROR(H197,0)/IFERROR(SUMPRODUCT((J197:U197="x")*(Besatzung!$F$11:$F$22="x")),1))),(IF(COUNTIF(J197:U197,"x")=0,IF(Besatzung!$B$15&lt;&gt;"",1,0),(O197="x"))*(G197-IFERROR(H197,0))/IFERROR(IF(COUNTIF(J197:U197,"x")=0,COUNTA(Besatzung!$B$11:$B$22),COUNTIF(J197:U197,"x")),1)+IF(COUNTIF(J197:U197,"x")=0,(Besatzung!$F$16="x"),(O197="x")*(Besatzung!$F$16="x"))*IFERROR(H197,0)/IFERROR(IF(COUNTIF(J197:U197,"x")=0,SUMPRODUCT((Besatzung!$B$11:$B$22&lt;&gt;"")*(Besatzung!$F$11:$F$22="x")),SUMPRODUCT((J197:U197="x")*(Besatzung!$F$11:$F$22="x"))),1))))),0))))</f>
        <v/>
      </c>
      <c r="AB197" s="106">
        <f>IF(C197="Gutschrift","",IF(G197="","",IF(Besatzung!$B$17="","",IFERROR(IF(I197="Zeitanteilig",(Besatzung!$G$17*(G197-IFERROR(H197,0))+((Besatzung!$B$17&lt;&gt;"")*IF(B197="",1,(IF(Besatzung!$C$17="",Besatzung!$B$5,Besatzung!$C$17)&lt;=B197)*(IF(Besatzung!$D$17="",Besatzung!$B$6,Besatzung!$D$17)&gt;=B197)))*(Besatzung!$F$17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$17&lt;&gt;"")*IF(B197="",1,(IF(Besatzung!$C$17="",Besatzung!$B$5,Besatzung!$C$17)&lt;=B197)*(IF(Besatzung!$D$17="",Besatzung!$B$6,Besatzung!$D$17)&gt;=B197)))*((G197-IFERROR(H197,0))/IFERROR(SUMPRODUCT((Besatzung!$B$11:$B$22&lt;&gt;"")*(IF(Besatzung!$C$11:$C$22="",Besatzung!$B$5,Besatzung!$C$11:$C$22)&lt;=B197)*(IF(Besatzung!$D$11:$D$22="",Besatzung!$B$6,Besatzung!$D$11:$D$22)&gt;=B197)),1)+(Besatzung!$F$17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P197="x")*((G197-IFERROR(H197,0))/IFERROR(COUNTIF(J197:U197,"x"),1)+(Besatzung!$F$17="x")*IFERROR(H197,0)/IFERROR(SUMPRODUCT((J197:U197="x")*(Besatzung!$F$11:$F$22="x")),1))),(IF(COUNTIF(J197:U197,"x")=0,IF(Besatzung!$B$17&lt;&gt;"",1,0),(P197="x"))*(G197-IFERROR(H197,0))/IFERROR(IF(COUNTIF(J197:U197,"x")=0,COUNTA(Besatzung!$B$11:$B$22),COUNTIF(J197:U197,"x")),1)+IF(COUNTIF(J197:U197,"x")=0,(Besatzung!$F$17="x"),(P197="x")*(Besatzung!$F$17="x"))*IFERROR(H197,0)/IFERROR(IF(COUNTIF(J197:U197,"x")=0,SUMPRODUCT((Besatzung!$B$11:$B$22&lt;&gt;"")*(Besatzung!$F$11:$F$22="x")),SUMPRODUCT((J197:U197="x")*(Besatzung!$F$11:$F$22="x"))),1))))),0))))</f>
        <v/>
      </c>
      <c r="AC197" s="106">
        <f>IF(C197="Gutschrift","",IF(G197="","",IF(Besatzung!$B$18="","",IFERROR(IF(I197="Zeitanteilig",(Besatzung!$G$18*(G197-IFERROR(H197,0))+((Besatzung!$B$18&lt;&gt;"")*IF(B197="",1,(IF(Besatzung!$C$18="",Besatzung!$B$5,Besatzung!$C$18)&lt;=B197)*(IF(Besatzung!$D$18="",Besatzung!$B$6,Besatzung!$D$18)&gt;=B197)))*(Besatzung!$F$18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$18&lt;&gt;"")*IF(B197="",1,(IF(Besatzung!$C$18="",Besatzung!$B$5,Besatzung!$C$18)&lt;=B197)*(IF(Besatzung!$D$18="",Besatzung!$B$6,Besatzung!$D$18)&gt;=B197)))*((G197-IFERROR(H197,0))/IFERROR(SUMPRODUCT((Besatzung!$B$11:$B$22&lt;&gt;"")*(IF(Besatzung!$C$11:$C$22="",Besatzung!$B$5,Besatzung!$C$11:$C$22)&lt;=B197)*(IF(Besatzung!$D$11:$D$22="",Besatzung!$B$6,Besatzung!$D$11:$D$22)&gt;=B197)),1)+(Besatzung!$F$18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Q197="x")*((G197-IFERROR(H197,0))/IFERROR(COUNTIF(J197:U197,"x"),1)+(Besatzung!$F$18="x")*IFERROR(H197,0)/IFERROR(SUMPRODUCT((J197:U197="x")*(Besatzung!$F$11:$F$22="x")),1))),(IF(COUNTIF(J197:U197,"x")=0,IF(Besatzung!$B$18&lt;&gt;"",1,0),(Q197="x"))*(G197-IFERROR(H197,0))/IFERROR(IF(COUNTIF(J197:U197,"x")=0,COUNTA(Besatzung!$B$11:$B$22),COUNTIF(J197:U197,"x")),1)+IF(COUNTIF(J197:U197,"x")=0,(Besatzung!$F$18="x"),(Q197="x")*(Besatzung!$F$18="x"))*IFERROR(H197,0)/IFERROR(IF(COUNTIF(J197:U197,"x")=0,SUMPRODUCT((Besatzung!$B$11:$B$22&lt;&gt;"")*(Besatzung!$F$11:$F$22="x")),SUMPRODUCT((J197:U197="x")*(Besatzung!$F$11:$F$22="x"))),1))))),0))))</f>
        <v/>
      </c>
      <c r="AD197" s="106">
        <f>IF(C197="Gutschrift","",IF(G197="","",IF(Besatzung!$B$19="","",IFERROR(IF(I197="Zeitanteilig",(Besatzung!$G$19*(G197-IFERROR(H197,0))+((Besatzung!$B$19&lt;&gt;"")*IF(B197="",1,(IF(Besatzung!$C$19="",Besatzung!$B$5,Besatzung!$C$19)&lt;=B197)*(IF(Besatzung!$D$19="",Besatzung!$B$6,Besatzung!$D$19)&gt;=B197)))*(Besatzung!$F$19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$19&lt;&gt;"")*IF(B197="",1,(IF(Besatzung!$C$19="",Besatzung!$B$5,Besatzung!$C$19)&lt;=B197)*(IF(Besatzung!$D$19="",Besatzung!$B$6,Besatzung!$D$19)&gt;=B197)))*((G197-IFERROR(H197,0))/IFERROR(SUMPRODUCT((Besatzung!$B$11:$B$22&lt;&gt;"")*(IF(Besatzung!$C$11:$C$22="",Besatzung!$B$5,Besatzung!$C$11:$C$22)&lt;=B197)*(IF(Besatzung!$D$11:$D$22="",Besatzung!$B$6,Besatzung!$D$11:$D$22)&gt;=B197)),1)+(Besatzung!$F$19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R197="x")*((G197-IFERROR(H197,0))/IFERROR(COUNTIF(J197:U197,"x"),1)+(Besatzung!$F$19="x")*IFERROR(H197,0)/IFERROR(SUMPRODUCT((J197:U197="x")*(Besatzung!$F$11:$F$22="x")),1))),(IF(COUNTIF(J197:U197,"x")=0,IF(Besatzung!$B$19&lt;&gt;"",1,0),(R197="x"))*(G197-IFERROR(H197,0))/IFERROR(IF(COUNTIF(J197:U197,"x")=0,COUNTA(Besatzung!$B$11:$B$22),COUNTIF(J197:U197,"x")),1)+IF(COUNTIF(J197:U197,"x")=0,(Besatzung!$F$19="x"),(R197="x")*(Besatzung!$F$19="x"))*IFERROR(H197,0)/IFERROR(IF(COUNTIF(J197:U197,"x")=0,SUMPRODUCT((Besatzung!$B$11:$B$22&lt;&gt;"")*(Besatzung!$F$11:$F$22="x")),SUMPRODUCT((J197:U197="x")*(Besatzung!$F$11:$F$22="x"))),1))))),0))))</f>
        <v/>
      </c>
      <c r="AE197" s="106">
        <f>IF(C197="Gutschrift","",IF(G197="","",IF(Besatzung!$B$20="","",IFERROR(IF(I197="Zeitanteilig",(Besatzung!$G$20*(G197-IFERROR(H197,0))+((Besatzung!$B$20&lt;&gt;"")*IF(B197="",1,(IF(Besatzung!$C$20="",Besatzung!$B$5,Besatzung!$C$20)&lt;=B197)*(IF(Besatzung!$D$20="",Besatzung!$B$6,Besatzung!$D$20)&gt;=B197)))*(Besatzung!$F$20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$20&lt;&gt;"")*IF(B197="",1,(IF(Besatzung!$C$20="",Besatzung!$B$5,Besatzung!$C$20)&lt;=B197)*(IF(Besatzung!$D$20="",Besatzung!$B$6,Besatzung!$D$20)&gt;=B197)))*((G197-IFERROR(H197,0))/IFERROR(SUMPRODUCT((Besatzung!$B$11:$B$22&lt;&gt;"")*(IF(Besatzung!$C$11:$C$22="",Besatzung!$B$5,Besatzung!$C$11:$C$22)&lt;=B197)*(IF(Besatzung!$D$11:$D$22="",Besatzung!$B$6,Besatzung!$D$11:$D$22)&gt;=B197)),1)+(Besatzung!$F$20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S197="x")*((G197-IFERROR(H197,0))/IFERROR(COUNTIF(J197:U197,"x"),1)+(Besatzung!$F$20="x")*IFERROR(H197,0)/IFERROR(SUMPRODUCT((J197:U197="x")*(Besatzung!$F$11:$F$22="x")),1))),(IF(COUNTIF(J197:U197,"x")=0,IF(Besatzung!$B$20&lt;&gt;"",1,0),(S197="x"))*(G197-IFERROR(H197,0))/IFERROR(IF(COUNTIF(J197:U197,"x")=0,COUNTA(Besatzung!$B$11:$B$22),COUNTIF(J197:U197,"x")),1)+IF(COUNTIF(J197:U197,"x")=0,(Besatzung!$F$20="x"),(S197="x")*(Besatzung!$F$20="x"))*IFERROR(H197,0)/IFERROR(IF(COUNTIF(J197:U197,"x")=0,SUMPRODUCT((Besatzung!$B$11:$B$22&lt;&gt;"")*(Besatzung!$F$11:$F$22="x")),SUMPRODUCT((J197:U197="x")*(Besatzung!$F$11:$F$22="x"))),1))))),0))))</f>
        <v/>
      </c>
      <c r="AF197" s="106">
        <f>IF(C197="Gutschrift","",IF(G197="","",IF(Besatzung!$B$21="","",IFERROR(IF(I197="Zeitanteilig",(Besatzung!$G$21*(G197-IFERROR(H197,0))+((Besatzung!$B$21&lt;&gt;"")*IF(B197="",1,(IF(Besatzung!$C$21="",Besatzung!$B$5,Besatzung!$C$21)&lt;=B197)*(IF(Besatzung!$D$21="",Besatzung!$B$6,Besatzung!$D$21)&gt;=B197)))*(Besatzung!$F$21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$21&lt;&gt;"")*IF(B197="",1,(IF(Besatzung!$C$21="",Besatzung!$B$5,Besatzung!$C$21)&lt;=B197)*(IF(Besatzung!$D$21="",Besatzung!$B$6,Besatzung!$D$21)&gt;=B197)))*((G197-IFERROR(H197,0))/IFERROR(SUMPRODUCT((Besatzung!$B$11:$B$22&lt;&gt;"")*(IF(Besatzung!$C$11:$C$22="",Besatzung!$B$5,Besatzung!$C$11:$C$22)&lt;=B197)*(IF(Besatzung!$D$11:$D$22="",Besatzung!$B$6,Besatzung!$D$11:$D$22)&gt;=B197)),1)+(Besatzung!$F$21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T197="x")*((G197-IFERROR(H197,0))/IFERROR(COUNTIF(J197:U197,"x"),1)+(Besatzung!$F$21="x")*IFERROR(H197,0)/IFERROR(SUMPRODUCT((J197:U197="x")*(Besatzung!$F$11:$F$22="x")),1))),(IF(COUNTIF(J197:U197,"x")=0,IF(Besatzung!$B$21&lt;&gt;"",1,0),(T197="x"))*(G197-IFERROR(H197,0))/IFERROR(IF(COUNTIF(J197:U197,"x")=0,COUNTA(Besatzung!$B$11:$B$22),COUNTIF(J197:U197,"x")),1)+IF(COUNTIF(J197:U197,"x")=0,(Besatzung!$F$21="x"),(T197="x")*(Besatzung!$F$21="x"))*IFERROR(H197,0)/IFERROR(IF(COUNTIF(J197:U197,"x")=0,SUMPRODUCT((Besatzung!$B$11:$B$22&lt;&gt;"")*(Besatzung!$F$11:$F$22="x")),SUMPRODUCT((J197:U197="x")*(Besatzung!$F$11:$F$22="x"))),1))))),0))))</f>
        <v/>
      </c>
      <c r="AG197" s="106">
        <f>IF(C197="Gutschrift","",IF(G197="","",IF(Besatzung!$B$22="","",IFERROR(IF(I197="Zeitanteilig",(Besatzung!$G$22*(G197-IFERROR(H197,0))+((Besatzung!$B$22&lt;&gt;"")*IF(B197="",1,(IF(Besatzung!$C$22="",Besatzung!$B$5,Besatzung!$C$22)&lt;=B197)*(IF(Besatzung!$D$22="",Besatzung!$B$6,Besatzung!$D$22)&gt;=B197)))*(Besatzung!$F$22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$22&lt;&gt;"")*IF(B197="",1,(IF(Besatzung!$C$22="",Besatzung!$B$5,Besatzung!$C$22)&lt;=B197)*(IF(Besatzung!$D$22="",Besatzung!$B$6,Besatzung!$D$22)&gt;=B197)))*((G197-IFERROR(H197,0))/IFERROR(SUMPRODUCT((Besatzung!$B$11:$B$22&lt;&gt;"")*(IF(Besatzung!$C$11:$C$22="",Besatzung!$B$5,Besatzung!$C$11:$C$22)&lt;=B197)*(IF(Besatzung!$D$11:$D$22="",Besatzung!$B$6,Besatzung!$D$11:$D$22)&gt;=B197)),1)+(Besatzung!$F$22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U197="x")*((G197-IFERROR(H197,0))/IFERROR(COUNTIF(J197:U197,"x"),1)+(Besatzung!$F$22="x")*IFERROR(H197,0)/IFERROR(SUMPRODUCT((J197:U197="x")*(Besatzung!$F$11:$F$22="x")),1))),(IF(COUNTIF(J197:U197,"x")=0,IF(Besatzung!$B$22&lt;&gt;"",1,0),(U197="x"))*(G197-IFERROR(H197,0))/IFERROR(IF(COUNTIF(J197:U197,"x")=0,COUNTA(Besatzung!$B$11:$B$22),COUNTIF(J197:U197,"x")),1)+IF(COUNTIF(J197:U197,"x")=0,(Besatzung!$F$22="x"),(U197="x")*(Besatzung!$F$22="x"))*IFERROR(H197,0)/IFERROR(IF(COUNTIF(J197:U197,"x")=0,SUMPRODUCT((Besatzung!$B$11:$B$22&lt;&gt;"")*(Besatzung!$F$11:$F$22="x")),SUMPRODUCT((J197:U197="x")*(Besatzung!$F$11:$F$22="x"))),1))))),0))))</f>
        <v/>
      </c>
      <c r="AH197" s="107" t="n"/>
      <c r="AI197" s="107" t="n"/>
    </row>
    <row r="198" ht="21.75" customHeight="1" s="182">
      <c r="A198" s="97">
        <f>IF(AND(D198="",C198=""),"",195)</f>
        <v/>
      </c>
      <c r="B198" s="56" t="n"/>
      <c r="C198" s="98" t="n"/>
      <c r="D198" s="99" t="n"/>
      <c r="E198" s="100" t="n"/>
      <c r="F198" s="101" t="n"/>
      <c r="G198" s="102" t="n"/>
      <c r="H198" s="103" t="n"/>
      <c r="I198" s="104" t="n"/>
      <c r="J198" s="105" t="n"/>
      <c r="K198" s="105" t="n"/>
      <c r="L198" s="105" t="n"/>
      <c r="M198" s="105" t="n"/>
      <c r="N198" s="105" t="n"/>
      <c r="O198" s="105" t="n"/>
      <c r="P198" s="105" t="n"/>
      <c r="Q198" s="105" t="n"/>
      <c r="R198" s="105" t="n"/>
      <c r="S198" s="105" t="n"/>
      <c r="T198" s="105" t="n"/>
      <c r="U198" s="105" t="n"/>
      <c r="V198" s="106">
        <f>IF(C198="Gutschrift","",IF(G198="","",IF(Besatzung!$B$11="","",IFERROR(IF(I198="Zeitanteilig",(Besatzung!$G$11*(G198-IFERROR(H198,0))+((Besatzung!$B$11&lt;&gt;"")*IF(B198="",1,(IF(Besatzung!$C$11="",Besatzung!$B$5,Besatzung!$C$11)&lt;=B198)*(IF(Besatzung!$D$11="",Besatzung!$B$6,Besatzung!$D$11)&gt;=B198)))*(Besatzung!$F$11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$11&lt;&gt;"")*IF(B198="",1,(IF(Besatzung!$C$11="",Besatzung!$B$5,Besatzung!$C$11)&lt;=B198)*(IF(Besatzung!$D$11="",Besatzung!$B$6,Besatzung!$D$11)&gt;=B198)))*((G198-IFERROR(H198,0))/IFERROR(SUMPRODUCT((Besatzung!$B$11:$B$22&lt;&gt;"")*(IF(Besatzung!$C$11:$C$22="",Besatzung!$B$5,Besatzung!$C$11:$C$22)&lt;=B198)*(IF(Besatzung!$D$11:$D$22="",Besatzung!$B$6,Besatzung!$D$11:$D$22)&gt;=B198)),1)+(Besatzung!$F$11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J198="x")*((G198-IFERROR(H198,0))/IFERROR(COUNTIF(J198:U198,"x"),1)+(Besatzung!$F$11="x")*IFERROR(H198,0)/IFERROR(SUMPRODUCT((J198:U198="x")*(Besatzung!$F$11:$F$22="x")),1))),(IF(COUNTIF(J198:U198,"x")=0,IF(Besatzung!$B$11&lt;&gt;"",1,0),(J198="x"))*(G198-IFERROR(H198,0))/IFERROR(IF(COUNTIF(J198:U198,"x")=0,COUNTA(Besatzung!$B$11:$B$22),COUNTIF(J198:U198,"x")),1)+IF(COUNTIF(J198:U198,"x")=0,(Besatzung!$F$11="x"),(J198="x")*(Besatzung!$F$11="x"))*IFERROR(H198,0)/IFERROR(IF(COUNTIF(J198:U198,"x")=0,SUMPRODUCT((Besatzung!$B$11:$B$22&lt;&gt;"")*(Besatzung!$F$11:$F$22="x")),SUMPRODUCT((J198:U198="x")*(Besatzung!$F$11:$F$22="x"))),1))))),0))))</f>
        <v/>
      </c>
      <c r="W198" s="106">
        <f>IF(C198="Gutschrift","",IF(G198="","",IF(Besatzung!$B$12="","",IFERROR(IF(I198="Zeitanteilig",(Besatzung!$G$12*(G198-IFERROR(H198,0))+((Besatzung!$B$12&lt;&gt;"")*IF(B198="",1,(IF(Besatzung!$C$12="",Besatzung!$B$5,Besatzung!$C$12)&lt;=B198)*(IF(Besatzung!$D$12="",Besatzung!$B$6,Besatzung!$D$12)&gt;=B198)))*(Besatzung!$F$12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$12&lt;&gt;"")*IF(B198="",1,(IF(Besatzung!$C$12="",Besatzung!$B$5,Besatzung!$C$12)&lt;=B198)*(IF(Besatzung!$D$12="",Besatzung!$B$6,Besatzung!$D$12)&gt;=B198)))*((G198-IFERROR(H198,0))/IFERROR(SUMPRODUCT((Besatzung!$B$11:$B$22&lt;&gt;"")*(IF(Besatzung!$C$11:$C$22="",Besatzung!$B$5,Besatzung!$C$11:$C$22)&lt;=B198)*(IF(Besatzung!$D$11:$D$22="",Besatzung!$B$6,Besatzung!$D$11:$D$22)&gt;=B198)),1)+(Besatzung!$F$12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K198="x")*((G198-IFERROR(H198,0))/IFERROR(COUNTIF(J198:U198,"x"),1)+(Besatzung!$F$12="x")*IFERROR(H198,0)/IFERROR(SUMPRODUCT((J198:U198="x")*(Besatzung!$F$11:$F$22="x")),1))),(IF(COUNTIF(J198:U198,"x")=0,IF(Besatzung!$B$12&lt;&gt;"",1,0),(K198="x"))*(G198-IFERROR(H198,0))/IFERROR(IF(COUNTIF(J198:U198,"x")=0,COUNTA(Besatzung!$B$11:$B$22),COUNTIF(J198:U198,"x")),1)+IF(COUNTIF(J198:U198,"x")=0,(Besatzung!$F$12="x"),(K198="x")*(Besatzung!$F$12="x"))*IFERROR(H198,0)/IFERROR(IF(COUNTIF(J198:U198,"x")=0,SUMPRODUCT((Besatzung!$B$11:$B$22&lt;&gt;"")*(Besatzung!$F$11:$F$22="x")),SUMPRODUCT((J198:U198="x")*(Besatzung!$F$11:$F$22="x"))),1))))),0))))</f>
        <v/>
      </c>
      <c r="X198" s="106">
        <f>IF(C198="Gutschrift","",IF(G198="","",IF(Besatzung!$B$13="","",IFERROR(IF(I198="Zeitanteilig",(Besatzung!$G$13*(G198-IFERROR(H198,0))+((Besatzung!$B$13&lt;&gt;"")*IF(B198="",1,(IF(Besatzung!$C$13="",Besatzung!$B$5,Besatzung!$C$13)&lt;=B198)*(IF(Besatzung!$D$13="",Besatzung!$B$6,Besatzung!$D$13)&gt;=B198)))*(Besatzung!$F$13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$13&lt;&gt;"")*IF(B198="",1,(IF(Besatzung!$C$13="",Besatzung!$B$5,Besatzung!$C$13)&lt;=B198)*(IF(Besatzung!$D$13="",Besatzung!$B$6,Besatzung!$D$13)&gt;=B198)))*((G198-IFERROR(H198,0))/IFERROR(SUMPRODUCT((Besatzung!$B$11:$B$22&lt;&gt;"")*(IF(Besatzung!$C$11:$C$22="",Besatzung!$B$5,Besatzung!$C$11:$C$22)&lt;=B198)*(IF(Besatzung!$D$11:$D$22="",Besatzung!$B$6,Besatzung!$D$11:$D$22)&gt;=B198)),1)+(Besatzung!$F$13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K198="x")*((G198-IFERROR(H198,0))/IFERROR(COUNTIF(J198:U198,"x"),1)+(Besatzung!$F$13="x")*IFERROR(H198,0)/IFERROR(SUMPRODUCT((J198:U198="x")*(Besatzung!$F$11:$F$22="x")),1))),(IF(COUNTIF(J198:U198,"x")=0,IF(Besatzung!$B$13&lt;&gt;"",1,0),(K198="x"))*(G198-IFERROR(H198,0))/IFERROR(IF(COUNTIF(J198:U198,"x")=0,COUNTA(Besatzung!$B$11:$B$22),COUNTIF(J198:U198,"x")),1)+IF(COUNTIF(J198:U198,"x")=0,(Besatzung!$F$13="x"),(K198="x")*(Besatzung!$F$13="x"))*IFERROR(H198,0)/IFERROR(IF(COUNTIF(J198:U198,"x")=0,SUMPRODUCT((Besatzung!$B$11:$B$22&lt;&gt;"")*(Besatzung!$F$11:$F$22="x")),SUMPRODUCT((J198:U198="x")*(Besatzung!$F$11:$F$22="x"))),1))))),0))))</f>
        <v/>
      </c>
      <c r="Y198" s="106">
        <f>IF(C198="Gutschrift","",IF(G198="","",IF(Besatzung!$B$14="","",IFERROR(IF(I198="Zeitanteilig",(Besatzung!$G$14*(G198-IFERROR(H198,0))+((Besatzung!$B$14&lt;&gt;"")*IF(B198="",1,(IF(Besatzung!$C$14="",Besatzung!$B$5,Besatzung!$C$14)&lt;=B198)*(IF(Besatzung!$D$14="",Besatzung!$B$6,Besatzung!$D$14)&gt;=B198)))*(Besatzung!$F$14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$14&lt;&gt;"")*IF(B198="",1,(IF(Besatzung!$C$14="",Besatzung!$B$5,Besatzung!$C$14)&lt;=B198)*(IF(Besatzung!$D$14="",Besatzung!$B$6,Besatzung!$D$14)&gt;=B198)))*((G198-IFERROR(H198,0))/IFERROR(SUMPRODUCT((Besatzung!$B$11:$B$22&lt;&gt;"")*(IF(Besatzung!$C$11:$C$22="",Besatzung!$B$5,Besatzung!$C$11:$C$22)&lt;=B198)*(IF(Besatzung!$D$11:$D$22="",Besatzung!$B$6,Besatzung!$D$11:$D$22)&gt;=B198)),1)+(Besatzung!$F$14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M198="x")*((G198-IFERROR(H198,0))/IFERROR(COUNTIF(J198:U198,"x"),1)+(Besatzung!$F$14="x")*IFERROR(H198,0)/IFERROR(SUMPRODUCT((J198:U198="x")*(Besatzung!$F$11:$F$22="x")),1))),(IF(COUNTIF(J198:U198,"x")=0,IF(Besatzung!$B$14&lt;&gt;"",1,0),(M198="x"))*(G198-IFERROR(H198,0))/IFERROR(IF(COUNTIF(J198:U198,"x")=0,COUNTA(Besatzung!$B$11:$B$22),COUNTIF(J198:U198,"x")),1)+IF(COUNTIF(J198:U198,"x")=0,(Besatzung!$F$14="x"),(M198="x")*(Besatzung!$F$14="x"))*IFERROR(H198,0)/IFERROR(IF(COUNTIF(J198:U198,"x")=0,SUMPRODUCT((Besatzung!$B$11:$B$22&lt;&gt;"")*(Besatzung!$F$11:$F$22="x")),SUMPRODUCT((J198:U198="x")*(Besatzung!$F$11:$F$22="x"))),1))))),0))))</f>
        <v/>
      </c>
      <c r="Z198" s="106">
        <f>IF(C198="Gutschrift","",IF(G198="","",IF(Besatzung!$B$13="","",IFERROR(IF(I198="Zeitanteilig",(Besatzung!$G$15*(G198-IFERROR(H198,0))+((Besatzung!$B$13&lt;&gt;"")*IF(B198="",1,(IF(Besatzung!$C$15="",Besatzung!$B$5,Besatzung!$C$15)&lt;=B198)*(IF(Besatzung!$D$15="",Besatzung!$B$6,Besatzung!$D$15)&gt;=B198)))*(Besatzung!$F$15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$13&lt;&gt;"")*IF(B198="",1,(IF(Besatzung!$C$15="",Besatzung!$B$5,Besatzung!$C$15)&lt;=B198)*(IF(Besatzung!$D$15="",Besatzung!$B$6,Besatzung!$D$15)&gt;=B198)))*((G198-IFERROR(H198,0))/IFERROR(SUMPRODUCT((Besatzung!$B$11:$B$22&lt;&gt;"")*(IF(Besatzung!$C$11:$C$22="",Besatzung!$B$5,Besatzung!$C$11:$C$22)&lt;=B198)*(IF(Besatzung!$D$11:$D$22="",Besatzung!$B$6,Besatzung!$D$11:$D$22)&gt;=B198)),1)+(Besatzung!$F$15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N198="x")*((G198-IFERROR(H198,0))/IFERROR(COUNTIF(J198:U198,"x"),1)+(Besatzung!$F$15="x")*IFERROR(H198,0)/IFERROR(SUMPRODUCT((J198:U198="x")*(Besatzung!$F$11:$F$22="x")),1))),(IF(COUNTIF(J198:U198,"x")=0,IF(Besatzung!$B$13&lt;&gt;"",1,0),(N198="x"))*(G198-IFERROR(H198,0))/IFERROR(IF(COUNTIF(J198:U198,"x")=0,COUNTA(Besatzung!$B$11:$B$22),COUNTIF(J198:U198,"x")),1)+IF(COUNTIF(J198:U198,"x")=0,(Besatzung!$F$15="x"),(N198="x")*(Besatzung!$F$15="x"))*IFERROR(H198,0)/IFERROR(IF(COUNTIF(J198:U198,"x")=0,SUMPRODUCT((Besatzung!$B$11:$B$22&lt;&gt;"")*(Besatzung!$F$11:$F$22="x")),SUMPRODUCT((J198:U198="x")*(Besatzung!$F$11:$F$22="x"))),1))))),0))))</f>
        <v/>
      </c>
      <c r="AA198" s="106">
        <f>IF(C198="Gutschrift","",IF(G198="","",IF(Besatzung!$B$15="","",IFERROR(IF(I198="Zeitanteilig",(Besatzung!$G$16*(G198-IFERROR(H198,0))+((Besatzung!$B$15&lt;&gt;"")*IF(B198="",1,(IF(Besatzung!$C$16="",Besatzung!$B$5,Besatzung!$C$16)&lt;=B198)*(IF(Besatzung!$D$16="",Besatzung!$B$6,Besatzung!$D$16)&gt;=B198)))*(Besatzung!$F$16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$15&lt;&gt;"")*IF(B198="",1,(IF(Besatzung!$C$16="",Besatzung!$B$5,Besatzung!$C$16)&lt;=B198)*(IF(Besatzung!$D$16="",Besatzung!$B$6,Besatzung!$D$16)&gt;=B198)))*((G198-IFERROR(H198,0))/IFERROR(SUMPRODUCT((Besatzung!$B$11:$B$22&lt;&gt;"")*(IF(Besatzung!$C$11:$C$22="",Besatzung!$B$5,Besatzung!$C$11:$C$22)&lt;=B198)*(IF(Besatzung!$D$11:$D$22="",Besatzung!$B$6,Besatzung!$D$11:$D$22)&gt;=B198)),1)+(Besatzung!$F$16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O198="x")*((G198-IFERROR(H198,0))/IFERROR(COUNTIF(J198:U198,"x"),1)+(Besatzung!$F$16="x")*IFERROR(H198,0)/IFERROR(SUMPRODUCT((J198:U198="x")*(Besatzung!$F$11:$F$22="x")),1))),(IF(COUNTIF(J198:U198,"x")=0,IF(Besatzung!$B$15&lt;&gt;"",1,0),(O198="x"))*(G198-IFERROR(H198,0))/IFERROR(IF(COUNTIF(J198:U198,"x")=0,COUNTA(Besatzung!$B$11:$B$22),COUNTIF(J198:U198,"x")),1)+IF(COUNTIF(J198:U198,"x")=0,(Besatzung!$F$16="x"),(O198="x")*(Besatzung!$F$16="x"))*IFERROR(H198,0)/IFERROR(IF(COUNTIF(J198:U198,"x")=0,SUMPRODUCT((Besatzung!$B$11:$B$22&lt;&gt;"")*(Besatzung!$F$11:$F$22="x")),SUMPRODUCT((J198:U198="x")*(Besatzung!$F$11:$F$22="x"))),1))))),0))))</f>
        <v/>
      </c>
      <c r="AB198" s="106">
        <f>IF(C198="Gutschrift","",IF(G198="","",IF(Besatzung!$B$17="","",IFERROR(IF(I198="Zeitanteilig",(Besatzung!$G$17*(G198-IFERROR(H198,0))+((Besatzung!$B$17&lt;&gt;"")*IF(B198="",1,(IF(Besatzung!$C$17="",Besatzung!$B$5,Besatzung!$C$17)&lt;=B198)*(IF(Besatzung!$D$17="",Besatzung!$B$6,Besatzung!$D$17)&gt;=B198)))*(Besatzung!$F$17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$17&lt;&gt;"")*IF(B198="",1,(IF(Besatzung!$C$17="",Besatzung!$B$5,Besatzung!$C$17)&lt;=B198)*(IF(Besatzung!$D$17="",Besatzung!$B$6,Besatzung!$D$17)&gt;=B198)))*((G198-IFERROR(H198,0))/IFERROR(SUMPRODUCT((Besatzung!$B$11:$B$22&lt;&gt;"")*(IF(Besatzung!$C$11:$C$22="",Besatzung!$B$5,Besatzung!$C$11:$C$22)&lt;=B198)*(IF(Besatzung!$D$11:$D$22="",Besatzung!$B$6,Besatzung!$D$11:$D$22)&gt;=B198)),1)+(Besatzung!$F$17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P198="x")*((G198-IFERROR(H198,0))/IFERROR(COUNTIF(J198:U198,"x"),1)+(Besatzung!$F$17="x")*IFERROR(H198,0)/IFERROR(SUMPRODUCT((J198:U198="x")*(Besatzung!$F$11:$F$22="x")),1))),(IF(COUNTIF(J198:U198,"x")=0,IF(Besatzung!$B$17&lt;&gt;"",1,0),(P198="x"))*(G198-IFERROR(H198,0))/IFERROR(IF(COUNTIF(J198:U198,"x")=0,COUNTA(Besatzung!$B$11:$B$22),COUNTIF(J198:U198,"x")),1)+IF(COUNTIF(J198:U198,"x")=0,(Besatzung!$F$17="x"),(P198="x")*(Besatzung!$F$17="x"))*IFERROR(H198,0)/IFERROR(IF(COUNTIF(J198:U198,"x")=0,SUMPRODUCT((Besatzung!$B$11:$B$22&lt;&gt;"")*(Besatzung!$F$11:$F$22="x")),SUMPRODUCT((J198:U198="x")*(Besatzung!$F$11:$F$22="x"))),1))))),0))))</f>
        <v/>
      </c>
      <c r="AC198" s="106">
        <f>IF(C198="Gutschrift","",IF(G198="","",IF(Besatzung!$B$18="","",IFERROR(IF(I198="Zeitanteilig",(Besatzung!$G$18*(G198-IFERROR(H198,0))+((Besatzung!$B$18&lt;&gt;"")*IF(B198="",1,(IF(Besatzung!$C$18="",Besatzung!$B$5,Besatzung!$C$18)&lt;=B198)*(IF(Besatzung!$D$18="",Besatzung!$B$6,Besatzung!$D$18)&gt;=B198)))*(Besatzung!$F$18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$18&lt;&gt;"")*IF(B198="",1,(IF(Besatzung!$C$18="",Besatzung!$B$5,Besatzung!$C$18)&lt;=B198)*(IF(Besatzung!$D$18="",Besatzung!$B$6,Besatzung!$D$18)&gt;=B198)))*((G198-IFERROR(H198,0))/IFERROR(SUMPRODUCT((Besatzung!$B$11:$B$22&lt;&gt;"")*(IF(Besatzung!$C$11:$C$22="",Besatzung!$B$5,Besatzung!$C$11:$C$22)&lt;=B198)*(IF(Besatzung!$D$11:$D$22="",Besatzung!$B$6,Besatzung!$D$11:$D$22)&gt;=B198)),1)+(Besatzung!$F$18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Q198="x")*((G198-IFERROR(H198,0))/IFERROR(COUNTIF(J198:U198,"x"),1)+(Besatzung!$F$18="x")*IFERROR(H198,0)/IFERROR(SUMPRODUCT((J198:U198="x")*(Besatzung!$F$11:$F$22="x")),1))),(IF(COUNTIF(J198:U198,"x")=0,IF(Besatzung!$B$18&lt;&gt;"",1,0),(Q198="x"))*(G198-IFERROR(H198,0))/IFERROR(IF(COUNTIF(J198:U198,"x")=0,COUNTA(Besatzung!$B$11:$B$22),COUNTIF(J198:U198,"x")),1)+IF(COUNTIF(J198:U198,"x")=0,(Besatzung!$F$18="x"),(Q198="x")*(Besatzung!$F$18="x"))*IFERROR(H198,0)/IFERROR(IF(COUNTIF(J198:U198,"x")=0,SUMPRODUCT((Besatzung!$B$11:$B$22&lt;&gt;"")*(Besatzung!$F$11:$F$22="x")),SUMPRODUCT((J198:U198="x")*(Besatzung!$F$11:$F$22="x"))),1))))),0))))</f>
        <v/>
      </c>
      <c r="AD198" s="106">
        <f>IF(C198="Gutschrift","",IF(G198="","",IF(Besatzung!$B$19="","",IFERROR(IF(I198="Zeitanteilig",(Besatzung!$G$19*(G198-IFERROR(H198,0))+((Besatzung!$B$19&lt;&gt;"")*IF(B198="",1,(IF(Besatzung!$C$19="",Besatzung!$B$5,Besatzung!$C$19)&lt;=B198)*(IF(Besatzung!$D$19="",Besatzung!$B$6,Besatzung!$D$19)&gt;=B198)))*(Besatzung!$F$19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$19&lt;&gt;"")*IF(B198="",1,(IF(Besatzung!$C$19="",Besatzung!$B$5,Besatzung!$C$19)&lt;=B198)*(IF(Besatzung!$D$19="",Besatzung!$B$6,Besatzung!$D$19)&gt;=B198)))*((G198-IFERROR(H198,0))/IFERROR(SUMPRODUCT((Besatzung!$B$11:$B$22&lt;&gt;"")*(IF(Besatzung!$C$11:$C$22="",Besatzung!$B$5,Besatzung!$C$11:$C$22)&lt;=B198)*(IF(Besatzung!$D$11:$D$22="",Besatzung!$B$6,Besatzung!$D$11:$D$22)&gt;=B198)),1)+(Besatzung!$F$19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R198="x")*((G198-IFERROR(H198,0))/IFERROR(COUNTIF(J198:U198,"x"),1)+(Besatzung!$F$19="x")*IFERROR(H198,0)/IFERROR(SUMPRODUCT((J198:U198="x")*(Besatzung!$F$11:$F$22="x")),1))),(IF(COUNTIF(J198:U198,"x")=0,IF(Besatzung!$B$19&lt;&gt;"",1,0),(R198="x"))*(G198-IFERROR(H198,0))/IFERROR(IF(COUNTIF(J198:U198,"x")=0,COUNTA(Besatzung!$B$11:$B$22),COUNTIF(J198:U198,"x")),1)+IF(COUNTIF(J198:U198,"x")=0,(Besatzung!$F$19="x"),(R198="x")*(Besatzung!$F$19="x"))*IFERROR(H198,0)/IFERROR(IF(COUNTIF(J198:U198,"x")=0,SUMPRODUCT((Besatzung!$B$11:$B$22&lt;&gt;"")*(Besatzung!$F$11:$F$22="x")),SUMPRODUCT((J198:U198="x")*(Besatzung!$F$11:$F$22="x"))),1))))),0))))</f>
        <v/>
      </c>
      <c r="AE198" s="106">
        <f>IF(C198="Gutschrift","",IF(G198="","",IF(Besatzung!$B$20="","",IFERROR(IF(I198="Zeitanteilig",(Besatzung!$G$20*(G198-IFERROR(H198,0))+((Besatzung!$B$20&lt;&gt;"")*IF(B198="",1,(IF(Besatzung!$C$20="",Besatzung!$B$5,Besatzung!$C$20)&lt;=B198)*(IF(Besatzung!$D$20="",Besatzung!$B$6,Besatzung!$D$20)&gt;=B198)))*(Besatzung!$F$20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$20&lt;&gt;"")*IF(B198="",1,(IF(Besatzung!$C$20="",Besatzung!$B$5,Besatzung!$C$20)&lt;=B198)*(IF(Besatzung!$D$20="",Besatzung!$B$6,Besatzung!$D$20)&gt;=B198)))*((G198-IFERROR(H198,0))/IFERROR(SUMPRODUCT((Besatzung!$B$11:$B$22&lt;&gt;"")*(IF(Besatzung!$C$11:$C$22="",Besatzung!$B$5,Besatzung!$C$11:$C$22)&lt;=B198)*(IF(Besatzung!$D$11:$D$22="",Besatzung!$B$6,Besatzung!$D$11:$D$22)&gt;=B198)),1)+(Besatzung!$F$20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S198="x")*((G198-IFERROR(H198,0))/IFERROR(COUNTIF(J198:U198,"x"),1)+(Besatzung!$F$20="x")*IFERROR(H198,0)/IFERROR(SUMPRODUCT((J198:U198="x")*(Besatzung!$F$11:$F$22="x")),1))),(IF(COUNTIF(J198:U198,"x")=0,IF(Besatzung!$B$20&lt;&gt;"",1,0),(S198="x"))*(G198-IFERROR(H198,0))/IFERROR(IF(COUNTIF(J198:U198,"x")=0,COUNTA(Besatzung!$B$11:$B$22),COUNTIF(J198:U198,"x")),1)+IF(COUNTIF(J198:U198,"x")=0,(Besatzung!$F$20="x"),(S198="x")*(Besatzung!$F$20="x"))*IFERROR(H198,0)/IFERROR(IF(COUNTIF(J198:U198,"x")=0,SUMPRODUCT((Besatzung!$B$11:$B$22&lt;&gt;"")*(Besatzung!$F$11:$F$22="x")),SUMPRODUCT((J198:U198="x")*(Besatzung!$F$11:$F$22="x"))),1))))),0))))</f>
        <v/>
      </c>
      <c r="AF198" s="106">
        <f>IF(C198="Gutschrift","",IF(G198="","",IF(Besatzung!$B$21="","",IFERROR(IF(I198="Zeitanteilig",(Besatzung!$G$21*(G198-IFERROR(H198,0))+((Besatzung!$B$21&lt;&gt;"")*IF(B198="",1,(IF(Besatzung!$C$21="",Besatzung!$B$5,Besatzung!$C$21)&lt;=B198)*(IF(Besatzung!$D$21="",Besatzung!$B$6,Besatzung!$D$21)&gt;=B198)))*(Besatzung!$F$21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$21&lt;&gt;"")*IF(B198="",1,(IF(Besatzung!$C$21="",Besatzung!$B$5,Besatzung!$C$21)&lt;=B198)*(IF(Besatzung!$D$21="",Besatzung!$B$6,Besatzung!$D$21)&gt;=B198)))*((G198-IFERROR(H198,0))/IFERROR(SUMPRODUCT((Besatzung!$B$11:$B$22&lt;&gt;"")*(IF(Besatzung!$C$11:$C$22="",Besatzung!$B$5,Besatzung!$C$11:$C$22)&lt;=B198)*(IF(Besatzung!$D$11:$D$22="",Besatzung!$B$6,Besatzung!$D$11:$D$22)&gt;=B198)),1)+(Besatzung!$F$21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T198="x")*((G198-IFERROR(H198,0))/IFERROR(COUNTIF(J198:U198,"x"),1)+(Besatzung!$F$21="x")*IFERROR(H198,0)/IFERROR(SUMPRODUCT((J198:U198="x")*(Besatzung!$F$11:$F$22="x")),1))),(IF(COUNTIF(J198:U198,"x")=0,IF(Besatzung!$B$21&lt;&gt;"",1,0),(T198="x"))*(G198-IFERROR(H198,0))/IFERROR(IF(COUNTIF(J198:U198,"x")=0,COUNTA(Besatzung!$B$11:$B$22),COUNTIF(J198:U198,"x")),1)+IF(COUNTIF(J198:U198,"x")=0,(Besatzung!$F$21="x"),(T198="x")*(Besatzung!$F$21="x"))*IFERROR(H198,0)/IFERROR(IF(COUNTIF(J198:U198,"x")=0,SUMPRODUCT((Besatzung!$B$11:$B$22&lt;&gt;"")*(Besatzung!$F$11:$F$22="x")),SUMPRODUCT((J198:U198="x")*(Besatzung!$F$11:$F$22="x"))),1))))),0))))</f>
        <v/>
      </c>
      <c r="AG198" s="106">
        <f>IF(C198="Gutschrift","",IF(G198="","",IF(Besatzung!$B$22="","",IFERROR(IF(I198="Zeitanteilig",(Besatzung!$G$22*(G198-IFERROR(H198,0))+((Besatzung!$B$22&lt;&gt;"")*IF(B198="",1,(IF(Besatzung!$C$22="",Besatzung!$B$5,Besatzung!$C$22)&lt;=B198)*(IF(Besatzung!$D$22="",Besatzung!$B$6,Besatzung!$D$22)&gt;=B198)))*(Besatzung!$F$22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$22&lt;&gt;"")*IF(B198="",1,(IF(Besatzung!$C$22="",Besatzung!$B$5,Besatzung!$C$22)&lt;=B198)*(IF(Besatzung!$D$22="",Besatzung!$B$6,Besatzung!$D$22)&gt;=B198)))*((G198-IFERROR(H198,0))/IFERROR(SUMPRODUCT((Besatzung!$B$11:$B$22&lt;&gt;"")*(IF(Besatzung!$C$11:$C$22="",Besatzung!$B$5,Besatzung!$C$11:$C$22)&lt;=B198)*(IF(Besatzung!$D$11:$D$22="",Besatzung!$B$6,Besatzung!$D$11:$D$22)&gt;=B198)),1)+(Besatzung!$F$22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U198="x")*((G198-IFERROR(H198,0))/IFERROR(COUNTIF(J198:U198,"x"),1)+(Besatzung!$F$22="x")*IFERROR(H198,0)/IFERROR(SUMPRODUCT((J198:U198="x")*(Besatzung!$F$11:$F$22="x")),1))),(IF(COUNTIF(J198:U198,"x")=0,IF(Besatzung!$B$22&lt;&gt;"",1,0),(U198="x"))*(G198-IFERROR(H198,0))/IFERROR(IF(COUNTIF(J198:U198,"x")=0,COUNTA(Besatzung!$B$11:$B$22),COUNTIF(J198:U198,"x")),1)+IF(COUNTIF(J198:U198,"x")=0,(Besatzung!$F$22="x"),(U198="x")*(Besatzung!$F$22="x"))*IFERROR(H198,0)/IFERROR(IF(COUNTIF(J198:U198,"x")=0,SUMPRODUCT((Besatzung!$B$11:$B$22&lt;&gt;"")*(Besatzung!$F$11:$F$22="x")),SUMPRODUCT((J198:U198="x")*(Besatzung!$F$11:$F$22="x"))),1))))),0))))</f>
        <v/>
      </c>
      <c r="AH198" s="107" t="n"/>
      <c r="AI198" s="107" t="n"/>
    </row>
    <row r="199" ht="21.75" customHeight="1" s="182">
      <c r="A199" s="97">
        <f>IF(AND(D199="",C199=""),"",196)</f>
        <v/>
      </c>
      <c r="B199" s="63" t="n"/>
      <c r="C199" s="108" t="n"/>
      <c r="D199" s="109" t="n"/>
      <c r="E199" s="110" t="n"/>
      <c r="F199" s="111" t="n"/>
      <c r="G199" s="112" t="n"/>
      <c r="H199" s="113" t="n"/>
      <c r="I199" s="114" t="n"/>
      <c r="J199" s="115" t="n"/>
      <c r="K199" s="115" t="n"/>
      <c r="L199" s="115" t="n"/>
      <c r="M199" s="115" t="n"/>
      <c r="N199" s="115" t="n"/>
      <c r="O199" s="115" t="n"/>
      <c r="P199" s="115" t="n"/>
      <c r="Q199" s="115" t="n"/>
      <c r="R199" s="115" t="n"/>
      <c r="S199" s="115" t="n"/>
      <c r="T199" s="115" t="n"/>
      <c r="U199" s="115" t="n"/>
      <c r="V199" s="106">
        <f>IF(C199="Gutschrift","",IF(G199="","",IF(Besatzung!$B$11="","",IFERROR(IF(I199="Zeitanteilig",(Besatzung!$G$11*(G199-IFERROR(H199,0))+((Besatzung!$B$11&lt;&gt;"")*IF(B199="",1,(IF(Besatzung!$C$11="",Besatzung!$B$5,Besatzung!$C$11)&lt;=B199)*(IF(Besatzung!$D$11="",Besatzung!$B$6,Besatzung!$D$11)&gt;=B199)))*(Besatzung!$F$11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$11&lt;&gt;"")*IF(B199="",1,(IF(Besatzung!$C$11="",Besatzung!$B$5,Besatzung!$C$11)&lt;=B199)*(IF(Besatzung!$D$11="",Besatzung!$B$6,Besatzung!$D$11)&gt;=B199)))*((G199-IFERROR(H199,0))/IFERROR(SUMPRODUCT((Besatzung!$B$11:$B$22&lt;&gt;"")*(IF(Besatzung!$C$11:$C$22="",Besatzung!$B$5,Besatzung!$C$11:$C$22)&lt;=B199)*(IF(Besatzung!$D$11:$D$22="",Besatzung!$B$6,Besatzung!$D$11:$D$22)&gt;=B199)),1)+(Besatzung!$F$11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J199="x")*((G199-IFERROR(H199,0))/IFERROR(COUNTIF(J199:U199,"x"),1)+(Besatzung!$F$11="x")*IFERROR(H199,0)/IFERROR(SUMPRODUCT((J199:U199="x")*(Besatzung!$F$11:$F$22="x")),1))),(IF(COUNTIF(J199:U199,"x")=0,IF(Besatzung!$B$11&lt;&gt;"",1,0),(J199="x"))*(G199-IFERROR(H199,0))/IFERROR(IF(COUNTIF(J199:U199,"x")=0,COUNTA(Besatzung!$B$11:$B$22),COUNTIF(J199:U199,"x")),1)+IF(COUNTIF(J199:U199,"x")=0,(Besatzung!$F$11="x"),(J199="x")*(Besatzung!$F$11="x"))*IFERROR(H199,0)/IFERROR(IF(COUNTIF(J199:U199,"x")=0,SUMPRODUCT((Besatzung!$B$11:$B$22&lt;&gt;"")*(Besatzung!$F$11:$F$22="x")),SUMPRODUCT((J199:U199="x")*(Besatzung!$F$11:$F$22="x"))),1))))),0))))</f>
        <v/>
      </c>
      <c r="W199" s="106">
        <f>IF(C199="Gutschrift","",IF(G199="","",IF(Besatzung!$B$12="","",IFERROR(IF(I199="Zeitanteilig",(Besatzung!$G$12*(G199-IFERROR(H199,0))+((Besatzung!$B$12&lt;&gt;"")*IF(B199="",1,(IF(Besatzung!$C$12="",Besatzung!$B$5,Besatzung!$C$12)&lt;=B199)*(IF(Besatzung!$D$12="",Besatzung!$B$6,Besatzung!$D$12)&gt;=B199)))*(Besatzung!$F$12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$12&lt;&gt;"")*IF(B199="",1,(IF(Besatzung!$C$12="",Besatzung!$B$5,Besatzung!$C$12)&lt;=B199)*(IF(Besatzung!$D$12="",Besatzung!$B$6,Besatzung!$D$12)&gt;=B199)))*((G199-IFERROR(H199,0))/IFERROR(SUMPRODUCT((Besatzung!$B$11:$B$22&lt;&gt;"")*(IF(Besatzung!$C$11:$C$22="",Besatzung!$B$5,Besatzung!$C$11:$C$22)&lt;=B199)*(IF(Besatzung!$D$11:$D$22="",Besatzung!$B$6,Besatzung!$D$11:$D$22)&gt;=B199)),1)+(Besatzung!$F$12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K199="x")*((G199-IFERROR(H199,0))/IFERROR(COUNTIF(J199:U199,"x"),1)+(Besatzung!$F$12="x")*IFERROR(H199,0)/IFERROR(SUMPRODUCT((J199:U199="x")*(Besatzung!$F$11:$F$22="x")),1))),(IF(COUNTIF(J199:U199,"x")=0,IF(Besatzung!$B$12&lt;&gt;"",1,0),(K199="x"))*(G199-IFERROR(H199,0))/IFERROR(IF(COUNTIF(J199:U199,"x")=0,COUNTA(Besatzung!$B$11:$B$22),COUNTIF(J199:U199,"x")),1)+IF(COUNTIF(J199:U199,"x")=0,(Besatzung!$F$12="x"),(K199="x")*(Besatzung!$F$12="x"))*IFERROR(H199,0)/IFERROR(IF(COUNTIF(J199:U199,"x")=0,SUMPRODUCT((Besatzung!$B$11:$B$22&lt;&gt;"")*(Besatzung!$F$11:$F$22="x")),SUMPRODUCT((J199:U199="x")*(Besatzung!$F$11:$F$22="x"))),1))))),0))))</f>
        <v/>
      </c>
      <c r="X199" s="106">
        <f>IF(C199="Gutschrift","",IF(G199="","",IF(Besatzung!$B$13="","",IFERROR(IF(I199="Zeitanteilig",(Besatzung!$G$13*(G199-IFERROR(H199,0))+((Besatzung!$B$13&lt;&gt;"")*IF(B199="",1,(IF(Besatzung!$C$13="",Besatzung!$B$5,Besatzung!$C$13)&lt;=B199)*(IF(Besatzung!$D$13="",Besatzung!$B$6,Besatzung!$D$13)&gt;=B199)))*(Besatzung!$F$13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$13&lt;&gt;"")*IF(B199="",1,(IF(Besatzung!$C$13="",Besatzung!$B$5,Besatzung!$C$13)&lt;=B199)*(IF(Besatzung!$D$13="",Besatzung!$B$6,Besatzung!$D$13)&gt;=B199)))*((G199-IFERROR(H199,0))/IFERROR(SUMPRODUCT((Besatzung!$B$11:$B$22&lt;&gt;"")*(IF(Besatzung!$C$11:$C$22="",Besatzung!$B$5,Besatzung!$C$11:$C$22)&lt;=B199)*(IF(Besatzung!$D$11:$D$22="",Besatzung!$B$6,Besatzung!$D$11:$D$22)&gt;=B199)),1)+(Besatzung!$F$13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K199="x")*((G199-IFERROR(H199,0))/IFERROR(COUNTIF(J199:U199,"x"),1)+(Besatzung!$F$13="x")*IFERROR(H199,0)/IFERROR(SUMPRODUCT((J199:U199="x")*(Besatzung!$F$11:$F$22="x")),1))),(IF(COUNTIF(J199:U199,"x")=0,IF(Besatzung!$B$13&lt;&gt;"",1,0),(K199="x"))*(G199-IFERROR(H199,0))/IFERROR(IF(COUNTIF(J199:U199,"x")=0,COUNTA(Besatzung!$B$11:$B$22),COUNTIF(J199:U199,"x")),1)+IF(COUNTIF(J199:U199,"x")=0,(Besatzung!$F$13="x"),(K199="x")*(Besatzung!$F$13="x"))*IFERROR(H199,0)/IFERROR(IF(COUNTIF(J199:U199,"x")=0,SUMPRODUCT((Besatzung!$B$11:$B$22&lt;&gt;"")*(Besatzung!$F$11:$F$22="x")),SUMPRODUCT((J199:U199="x")*(Besatzung!$F$11:$F$22="x"))),1))))),0))))</f>
        <v/>
      </c>
      <c r="Y199" s="106">
        <f>IF(C199="Gutschrift","",IF(G199="","",IF(Besatzung!$B$14="","",IFERROR(IF(I199="Zeitanteilig",(Besatzung!$G$14*(G199-IFERROR(H199,0))+((Besatzung!$B$14&lt;&gt;"")*IF(B199="",1,(IF(Besatzung!$C$14="",Besatzung!$B$5,Besatzung!$C$14)&lt;=B199)*(IF(Besatzung!$D$14="",Besatzung!$B$6,Besatzung!$D$14)&gt;=B199)))*(Besatzung!$F$14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$14&lt;&gt;"")*IF(B199="",1,(IF(Besatzung!$C$14="",Besatzung!$B$5,Besatzung!$C$14)&lt;=B199)*(IF(Besatzung!$D$14="",Besatzung!$B$6,Besatzung!$D$14)&gt;=B199)))*((G199-IFERROR(H199,0))/IFERROR(SUMPRODUCT((Besatzung!$B$11:$B$22&lt;&gt;"")*(IF(Besatzung!$C$11:$C$22="",Besatzung!$B$5,Besatzung!$C$11:$C$22)&lt;=B199)*(IF(Besatzung!$D$11:$D$22="",Besatzung!$B$6,Besatzung!$D$11:$D$22)&gt;=B199)),1)+(Besatzung!$F$14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M199="x")*((G199-IFERROR(H199,0))/IFERROR(COUNTIF(J199:U199,"x"),1)+(Besatzung!$F$14="x")*IFERROR(H199,0)/IFERROR(SUMPRODUCT((J199:U199="x")*(Besatzung!$F$11:$F$22="x")),1))),(IF(COUNTIF(J199:U199,"x")=0,IF(Besatzung!$B$14&lt;&gt;"",1,0),(M199="x"))*(G199-IFERROR(H199,0))/IFERROR(IF(COUNTIF(J199:U199,"x")=0,COUNTA(Besatzung!$B$11:$B$22),COUNTIF(J199:U199,"x")),1)+IF(COUNTIF(J199:U199,"x")=0,(Besatzung!$F$14="x"),(M199="x")*(Besatzung!$F$14="x"))*IFERROR(H199,0)/IFERROR(IF(COUNTIF(J199:U199,"x")=0,SUMPRODUCT((Besatzung!$B$11:$B$22&lt;&gt;"")*(Besatzung!$F$11:$F$22="x")),SUMPRODUCT((J199:U199="x")*(Besatzung!$F$11:$F$22="x"))),1))))),0))))</f>
        <v/>
      </c>
      <c r="Z199" s="106">
        <f>IF(C199="Gutschrift","",IF(G199="","",IF(Besatzung!$B$13="","",IFERROR(IF(I199="Zeitanteilig",(Besatzung!$G$15*(G199-IFERROR(H199,0))+((Besatzung!$B$13&lt;&gt;"")*IF(B199="",1,(IF(Besatzung!$C$15="",Besatzung!$B$5,Besatzung!$C$15)&lt;=B199)*(IF(Besatzung!$D$15="",Besatzung!$B$6,Besatzung!$D$15)&gt;=B199)))*(Besatzung!$F$15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$13&lt;&gt;"")*IF(B199="",1,(IF(Besatzung!$C$15="",Besatzung!$B$5,Besatzung!$C$15)&lt;=B199)*(IF(Besatzung!$D$15="",Besatzung!$B$6,Besatzung!$D$15)&gt;=B199)))*((G199-IFERROR(H199,0))/IFERROR(SUMPRODUCT((Besatzung!$B$11:$B$22&lt;&gt;"")*(IF(Besatzung!$C$11:$C$22="",Besatzung!$B$5,Besatzung!$C$11:$C$22)&lt;=B199)*(IF(Besatzung!$D$11:$D$22="",Besatzung!$B$6,Besatzung!$D$11:$D$22)&gt;=B199)),1)+(Besatzung!$F$15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N199="x")*((G199-IFERROR(H199,0))/IFERROR(COUNTIF(J199:U199,"x"),1)+(Besatzung!$F$15="x")*IFERROR(H199,0)/IFERROR(SUMPRODUCT((J199:U199="x")*(Besatzung!$F$11:$F$22="x")),1))),(IF(COUNTIF(J199:U199,"x")=0,IF(Besatzung!$B$13&lt;&gt;"",1,0),(N199="x"))*(G199-IFERROR(H199,0))/IFERROR(IF(COUNTIF(J199:U199,"x")=0,COUNTA(Besatzung!$B$11:$B$22),COUNTIF(J199:U199,"x")),1)+IF(COUNTIF(J199:U199,"x")=0,(Besatzung!$F$15="x"),(N199="x")*(Besatzung!$F$15="x"))*IFERROR(H199,0)/IFERROR(IF(COUNTIF(J199:U199,"x")=0,SUMPRODUCT((Besatzung!$B$11:$B$22&lt;&gt;"")*(Besatzung!$F$11:$F$22="x")),SUMPRODUCT((J199:U199="x")*(Besatzung!$F$11:$F$22="x"))),1))))),0))))</f>
        <v/>
      </c>
      <c r="AA199" s="106">
        <f>IF(C199="Gutschrift","",IF(G199="","",IF(Besatzung!$B$15="","",IFERROR(IF(I199="Zeitanteilig",(Besatzung!$G$16*(G199-IFERROR(H199,0))+((Besatzung!$B$15&lt;&gt;"")*IF(B199="",1,(IF(Besatzung!$C$16="",Besatzung!$B$5,Besatzung!$C$16)&lt;=B199)*(IF(Besatzung!$D$16="",Besatzung!$B$6,Besatzung!$D$16)&gt;=B199)))*(Besatzung!$F$16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$15&lt;&gt;"")*IF(B199="",1,(IF(Besatzung!$C$16="",Besatzung!$B$5,Besatzung!$C$16)&lt;=B199)*(IF(Besatzung!$D$16="",Besatzung!$B$6,Besatzung!$D$16)&gt;=B199)))*((G199-IFERROR(H199,0))/IFERROR(SUMPRODUCT((Besatzung!$B$11:$B$22&lt;&gt;"")*(IF(Besatzung!$C$11:$C$22="",Besatzung!$B$5,Besatzung!$C$11:$C$22)&lt;=B199)*(IF(Besatzung!$D$11:$D$22="",Besatzung!$B$6,Besatzung!$D$11:$D$22)&gt;=B199)),1)+(Besatzung!$F$16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O199="x")*((G199-IFERROR(H199,0))/IFERROR(COUNTIF(J199:U199,"x"),1)+(Besatzung!$F$16="x")*IFERROR(H199,0)/IFERROR(SUMPRODUCT((J199:U199="x")*(Besatzung!$F$11:$F$22="x")),1))),(IF(COUNTIF(J199:U199,"x")=0,IF(Besatzung!$B$15&lt;&gt;"",1,0),(O199="x"))*(G199-IFERROR(H199,0))/IFERROR(IF(COUNTIF(J199:U199,"x")=0,COUNTA(Besatzung!$B$11:$B$22),COUNTIF(J199:U199,"x")),1)+IF(COUNTIF(J199:U199,"x")=0,(Besatzung!$F$16="x"),(O199="x")*(Besatzung!$F$16="x"))*IFERROR(H199,0)/IFERROR(IF(COUNTIF(J199:U199,"x")=0,SUMPRODUCT((Besatzung!$B$11:$B$22&lt;&gt;"")*(Besatzung!$F$11:$F$22="x")),SUMPRODUCT((J199:U199="x")*(Besatzung!$F$11:$F$22="x"))),1))))),0))))</f>
        <v/>
      </c>
      <c r="AB199" s="106">
        <f>IF(C199="Gutschrift","",IF(G199="","",IF(Besatzung!$B$17="","",IFERROR(IF(I199="Zeitanteilig",(Besatzung!$G$17*(G199-IFERROR(H199,0))+((Besatzung!$B$17&lt;&gt;"")*IF(B199="",1,(IF(Besatzung!$C$17="",Besatzung!$B$5,Besatzung!$C$17)&lt;=B199)*(IF(Besatzung!$D$17="",Besatzung!$B$6,Besatzung!$D$17)&gt;=B199)))*(Besatzung!$F$17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$17&lt;&gt;"")*IF(B199="",1,(IF(Besatzung!$C$17="",Besatzung!$B$5,Besatzung!$C$17)&lt;=B199)*(IF(Besatzung!$D$17="",Besatzung!$B$6,Besatzung!$D$17)&gt;=B199)))*((G199-IFERROR(H199,0))/IFERROR(SUMPRODUCT((Besatzung!$B$11:$B$22&lt;&gt;"")*(IF(Besatzung!$C$11:$C$22="",Besatzung!$B$5,Besatzung!$C$11:$C$22)&lt;=B199)*(IF(Besatzung!$D$11:$D$22="",Besatzung!$B$6,Besatzung!$D$11:$D$22)&gt;=B199)),1)+(Besatzung!$F$17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P199="x")*((G199-IFERROR(H199,0))/IFERROR(COUNTIF(J199:U199,"x"),1)+(Besatzung!$F$17="x")*IFERROR(H199,0)/IFERROR(SUMPRODUCT((J199:U199="x")*(Besatzung!$F$11:$F$22="x")),1))),(IF(COUNTIF(J199:U199,"x")=0,IF(Besatzung!$B$17&lt;&gt;"",1,0),(P199="x"))*(G199-IFERROR(H199,0))/IFERROR(IF(COUNTIF(J199:U199,"x")=0,COUNTA(Besatzung!$B$11:$B$22),COUNTIF(J199:U199,"x")),1)+IF(COUNTIF(J199:U199,"x")=0,(Besatzung!$F$17="x"),(P199="x")*(Besatzung!$F$17="x"))*IFERROR(H199,0)/IFERROR(IF(COUNTIF(J199:U199,"x")=0,SUMPRODUCT((Besatzung!$B$11:$B$22&lt;&gt;"")*(Besatzung!$F$11:$F$22="x")),SUMPRODUCT((J199:U199="x")*(Besatzung!$F$11:$F$22="x"))),1))))),0))))</f>
        <v/>
      </c>
      <c r="AC199" s="106">
        <f>IF(C199="Gutschrift","",IF(G199="","",IF(Besatzung!$B$18="","",IFERROR(IF(I199="Zeitanteilig",(Besatzung!$G$18*(G199-IFERROR(H199,0))+((Besatzung!$B$18&lt;&gt;"")*IF(B199="",1,(IF(Besatzung!$C$18="",Besatzung!$B$5,Besatzung!$C$18)&lt;=B199)*(IF(Besatzung!$D$18="",Besatzung!$B$6,Besatzung!$D$18)&gt;=B199)))*(Besatzung!$F$18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$18&lt;&gt;"")*IF(B199="",1,(IF(Besatzung!$C$18="",Besatzung!$B$5,Besatzung!$C$18)&lt;=B199)*(IF(Besatzung!$D$18="",Besatzung!$B$6,Besatzung!$D$18)&gt;=B199)))*((G199-IFERROR(H199,0))/IFERROR(SUMPRODUCT((Besatzung!$B$11:$B$22&lt;&gt;"")*(IF(Besatzung!$C$11:$C$22="",Besatzung!$B$5,Besatzung!$C$11:$C$22)&lt;=B199)*(IF(Besatzung!$D$11:$D$22="",Besatzung!$B$6,Besatzung!$D$11:$D$22)&gt;=B199)),1)+(Besatzung!$F$18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Q199="x")*((G199-IFERROR(H199,0))/IFERROR(COUNTIF(J199:U199,"x"),1)+(Besatzung!$F$18="x")*IFERROR(H199,0)/IFERROR(SUMPRODUCT((J199:U199="x")*(Besatzung!$F$11:$F$22="x")),1))),(IF(COUNTIF(J199:U199,"x")=0,IF(Besatzung!$B$18&lt;&gt;"",1,0),(Q199="x"))*(G199-IFERROR(H199,0))/IFERROR(IF(COUNTIF(J199:U199,"x")=0,COUNTA(Besatzung!$B$11:$B$22),COUNTIF(J199:U199,"x")),1)+IF(COUNTIF(J199:U199,"x")=0,(Besatzung!$F$18="x"),(Q199="x")*(Besatzung!$F$18="x"))*IFERROR(H199,0)/IFERROR(IF(COUNTIF(J199:U199,"x")=0,SUMPRODUCT((Besatzung!$B$11:$B$22&lt;&gt;"")*(Besatzung!$F$11:$F$22="x")),SUMPRODUCT((J199:U199="x")*(Besatzung!$F$11:$F$22="x"))),1))))),0))))</f>
        <v/>
      </c>
      <c r="AD199" s="106">
        <f>IF(C199="Gutschrift","",IF(G199="","",IF(Besatzung!$B$19="","",IFERROR(IF(I199="Zeitanteilig",(Besatzung!$G$19*(G199-IFERROR(H199,0))+((Besatzung!$B$19&lt;&gt;"")*IF(B199="",1,(IF(Besatzung!$C$19="",Besatzung!$B$5,Besatzung!$C$19)&lt;=B199)*(IF(Besatzung!$D$19="",Besatzung!$B$6,Besatzung!$D$19)&gt;=B199)))*(Besatzung!$F$19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$19&lt;&gt;"")*IF(B199="",1,(IF(Besatzung!$C$19="",Besatzung!$B$5,Besatzung!$C$19)&lt;=B199)*(IF(Besatzung!$D$19="",Besatzung!$B$6,Besatzung!$D$19)&gt;=B199)))*((G199-IFERROR(H199,0))/IFERROR(SUMPRODUCT((Besatzung!$B$11:$B$22&lt;&gt;"")*(IF(Besatzung!$C$11:$C$22="",Besatzung!$B$5,Besatzung!$C$11:$C$22)&lt;=B199)*(IF(Besatzung!$D$11:$D$22="",Besatzung!$B$6,Besatzung!$D$11:$D$22)&gt;=B199)),1)+(Besatzung!$F$19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R199="x")*((G199-IFERROR(H199,0))/IFERROR(COUNTIF(J199:U199,"x"),1)+(Besatzung!$F$19="x")*IFERROR(H199,0)/IFERROR(SUMPRODUCT((J199:U199="x")*(Besatzung!$F$11:$F$22="x")),1))),(IF(COUNTIF(J199:U199,"x")=0,IF(Besatzung!$B$19&lt;&gt;"",1,0),(R199="x"))*(G199-IFERROR(H199,0))/IFERROR(IF(COUNTIF(J199:U199,"x")=0,COUNTA(Besatzung!$B$11:$B$22),COUNTIF(J199:U199,"x")),1)+IF(COUNTIF(J199:U199,"x")=0,(Besatzung!$F$19="x"),(R199="x")*(Besatzung!$F$19="x"))*IFERROR(H199,0)/IFERROR(IF(COUNTIF(J199:U199,"x")=0,SUMPRODUCT((Besatzung!$B$11:$B$22&lt;&gt;"")*(Besatzung!$F$11:$F$22="x")),SUMPRODUCT((J199:U199="x")*(Besatzung!$F$11:$F$22="x"))),1))))),0))))</f>
        <v/>
      </c>
      <c r="AE199" s="106">
        <f>IF(C199="Gutschrift","",IF(G199="","",IF(Besatzung!$B$20="","",IFERROR(IF(I199="Zeitanteilig",(Besatzung!$G$20*(G199-IFERROR(H199,0))+((Besatzung!$B$20&lt;&gt;"")*IF(B199="",1,(IF(Besatzung!$C$20="",Besatzung!$B$5,Besatzung!$C$20)&lt;=B199)*(IF(Besatzung!$D$20="",Besatzung!$B$6,Besatzung!$D$20)&gt;=B199)))*(Besatzung!$F$20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$20&lt;&gt;"")*IF(B199="",1,(IF(Besatzung!$C$20="",Besatzung!$B$5,Besatzung!$C$20)&lt;=B199)*(IF(Besatzung!$D$20="",Besatzung!$B$6,Besatzung!$D$20)&gt;=B199)))*((G199-IFERROR(H199,0))/IFERROR(SUMPRODUCT((Besatzung!$B$11:$B$22&lt;&gt;"")*(IF(Besatzung!$C$11:$C$22="",Besatzung!$B$5,Besatzung!$C$11:$C$22)&lt;=B199)*(IF(Besatzung!$D$11:$D$22="",Besatzung!$B$6,Besatzung!$D$11:$D$22)&gt;=B199)),1)+(Besatzung!$F$20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S199="x")*((G199-IFERROR(H199,0))/IFERROR(COUNTIF(J199:U199,"x"),1)+(Besatzung!$F$20="x")*IFERROR(H199,0)/IFERROR(SUMPRODUCT((J199:U199="x")*(Besatzung!$F$11:$F$22="x")),1))),(IF(COUNTIF(J199:U199,"x")=0,IF(Besatzung!$B$20&lt;&gt;"",1,0),(S199="x"))*(G199-IFERROR(H199,0))/IFERROR(IF(COUNTIF(J199:U199,"x")=0,COUNTA(Besatzung!$B$11:$B$22),COUNTIF(J199:U199,"x")),1)+IF(COUNTIF(J199:U199,"x")=0,(Besatzung!$F$20="x"),(S199="x")*(Besatzung!$F$20="x"))*IFERROR(H199,0)/IFERROR(IF(COUNTIF(J199:U199,"x")=0,SUMPRODUCT((Besatzung!$B$11:$B$22&lt;&gt;"")*(Besatzung!$F$11:$F$22="x")),SUMPRODUCT((J199:U199="x")*(Besatzung!$F$11:$F$22="x"))),1))))),0))))</f>
        <v/>
      </c>
      <c r="AF199" s="106">
        <f>IF(C199="Gutschrift","",IF(G199="","",IF(Besatzung!$B$21="","",IFERROR(IF(I199="Zeitanteilig",(Besatzung!$G$21*(G199-IFERROR(H199,0))+((Besatzung!$B$21&lt;&gt;"")*IF(B199="",1,(IF(Besatzung!$C$21="",Besatzung!$B$5,Besatzung!$C$21)&lt;=B199)*(IF(Besatzung!$D$21="",Besatzung!$B$6,Besatzung!$D$21)&gt;=B199)))*(Besatzung!$F$21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$21&lt;&gt;"")*IF(B199="",1,(IF(Besatzung!$C$21="",Besatzung!$B$5,Besatzung!$C$21)&lt;=B199)*(IF(Besatzung!$D$21="",Besatzung!$B$6,Besatzung!$D$21)&gt;=B199)))*((G199-IFERROR(H199,0))/IFERROR(SUMPRODUCT((Besatzung!$B$11:$B$22&lt;&gt;"")*(IF(Besatzung!$C$11:$C$22="",Besatzung!$B$5,Besatzung!$C$11:$C$22)&lt;=B199)*(IF(Besatzung!$D$11:$D$22="",Besatzung!$B$6,Besatzung!$D$11:$D$22)&gt;=B199)),1)+(Besatzung!$F$21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T199="x")*((G199-IFERROR(H199,0))/IFERROR(COUNTIF(J199:U199,"x"),1)+(Besatzung!$F$21="x")*IFERROR(H199,0)/IFERROR(SUMPRODUCT((J199:U199="x")*(Besatzung!$F$11:$F$22="x")),1))),(IF(COUNTIF(J199:U199,"x")=0,IF(Besatzung!$B$21&lt;&gt;"",1,0),(T199="x"))*(G199-IFERROR(H199,0))/IFERROR(IF(COUNTIF(J199:U199,"x")=0,COUNTA(Besatzung!$B$11:$B$22),COUNTIF(J199:U199,"x")),1)+IF(COUNTIF(J199:U199,"x")=0,(Besatzung!$F$21="x"),(T199="x")*(Besatzung!$F$21="x"))*IFERROR(H199,0)/IFERROR(IF(COUNTIF(J199:U199,"x")=0,SUMPRODUCT((Besatzung!$B$11:$B$22&lt;&gt;"")*(Besatzung!$F$11:$F$22="x")),SUMPRODUCT((J199:U199="x")*(Besatzung!$F$11:$F$22="x"))),1))))),0))))</f>
        <v/>
      </c>
      <c r="AG199" s="106">
        <f>IF(C199="Gutschrift","",IF(G199="","",IF(Besatzung!$B$22="","",IFERROR(IF(I199="Zeitanteilig",(Besatzung!$G$22*(G199-IFERROR(H199,0))+((Besatzung!$B$22&lt;&gt;"")*IF(B199="",1,(IF(Besatzung!$C$22="",Besatzung!$B$5,Besatzung!$C$22)&lt;=B199)*(IF(Besatzung!$D$22="",Besatzung!$B$6,Besatzung!$D$22)&gt;=B199)))*(Besatzung!$F$22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$22&lt;&gt;"")*IF(B199="",1,(IF(Besatzung!$C$22="",Besatzung!$B$5,Besatzung!$C$22)&lt;=B199)*(IF(Besatzung!$D$22="",Besatzung!$B$6,Besatzung!$D$22)&gt;=B199)))*((G199-IFERROR(H199,0))/IFERROR(SUMPRODUCT((Besatzung!$B$11:$B$22&lt;&gt;"")*(IF(Besatzung!$C$11:$C$22="",Besatzung!$B$5,Besatzung!$C$11:$C$22)&lt;=B199)*(IF(Besatzung!$D$11:$D$22="",Besatzung!$B$6,Besatzung!$D$11:$D$22)&gt;=B199)),1)+(Besatzung!$F$22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U199="x")*((G199-IFERROR(H199,0))/IFERROR(COUNTIF(J199:U199,"x"),1)+(Besatzung!$F$22="x")*IFERROR(H199,0)/IFERROR(SUMPRODUCT((J199:U199="x")*(Besatzung!$F$11:$F$22="x")),1))),(IF(COUNTIF(J199:U199,"x")=0,IF(Besatzung!$B$22&lt;&gt;"",1,0),(U199="x"))*(G199-IFERROR(H199,0))/IFERROR(IF(COUNTIF(J199:U199,"x")=0,COUNTA(Besatzung!$B$11:$B$22),COUNTIF(J199:U199,"x")),1)+IF(COUNTIF(J199:U199,"x")=0,(Besatzung!$F$22="x"),(U199="x")*(Besatzung!$F$22="x"))*IFERROR(H199,0)/IFERROR(IF(COUNTIF(J199:U199,"x")=0,SUMPRODUCT((Besatzung!$B$11:$B$22&lt;&gt;"")*(Besatzung!$F$11:$F$22="x")),SUMPRODUCT((J199:U199="x")*(Besatzung!$F$11:$F$22="x"))),1))))),0))))</f>
        <v/>
      </c>
      <c r="AH199" s="107" t="n"/>
      <c r="AI199" s="107" t="n"/>
    </row>
    <row r="200" ht="21.75" customHeight="1" s="182">
      <c r="A200" s="97">
        <f>IF(AND(D200="",C200=""),"",197)</f>
        <v/>
      </c>
      <c r="B200" s="56" t="n"/>
      <c r="C200" s="98" t="n"/>
      <c r="D200" s="99" t="n"/>
      <c r="E200" s="100" t="n"/>
      <c r="F200" s="101" t="n"/>
      <c r="G200" s="102" t="n"/>
      <c r="H200" s="103" t="n"/>
      <c r="I200" s="104" t="n"/>
      <c r="J200" s="105" t="n"/>
      <c r="K200" s="105" t="n"/>
      <c r="L200" s="105" t="n"/>
      <c r="M200" s="105" t="n"/>
      <c r="N200" s="105" t="n"/>
      <c r="O200" s="105" t="n"/>
      <c r="P200" s="105" t="n"/>
      <c r="Q200" s="105" t="n"/>
      <c r="R200" s="105" t="n"/>
      <c r="S200" s="105" t="n"/>
      <c r="T200" s="105" t="n"/>
      <c r="U200" s="105" t="n"/>
      <c r="V200" s="106">
        <f>IF(C200="Gutschrift","",IF(G200="","",IF(Besatzung!$B$11="","",IFERROR(IF(I200="Zeitanteilig",(Besatzung!$G$11*(G200-IFERROR(H200,0))+((Besatzung!$B$11&lt;&gt;"")*IF(B200="",1,(IF(Besatzung!$C$11="",Besatzung!$B$5,Besatzung!$C$11)&lt;=B200)*(IF(Besatzung!$D$11="",Besatzung!$B$6,Besatzung!$D$11)&gt;=B200)))*(Besatzung!$F$11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$11&lt;&gt;"")*IF(B200="",1,(IF(Besatzung!$C$11="",Besatzung!$B$5,Besatzung!$C$11)&lt;=B200)*(IF(Besatzung!$D$11="",Besatzung!$B$6,Besatzung!$D$11)&gt;=B200)))*((G200-IFERROR(H200,0))/IFERROR(SUMPRODUCT((Besatzung!$B$11:$B$22&lt;&gt;"")*(IF(Besatzung!$C$11:$C$22="",Besatzung!$B$5,Besatzung!$C$11:$C$22)&lt;=B200)*(IF(Besatzung!$D$11:$D$22="",Besatzung!$B$6,Besatzung!$D$11:$D$22)&gt;=B200)),1)+(Besatzung!$F$11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J200="x")*((G200-IFERROR(H200,0))/IFERROR(COUNTIF(J200:U200,"x"),1)+(Besatzung!$F$11="x")*IFERROR(H200,0)/IFERROR(SUMPRODUCT((J200:U200="x")*(Besatzung!$F$11:$F$22="x")),1))),(IF(COUNTIF(J200:U200,"x")=0,IF(Besatzung!$B$11&lt;&gt;"",1,0),(J200="x"))*(G200-IFERROR(H200,0))/IFERROR(IF(COUNTIF(J200:U200,"x")=0,COUNTA(Besatzung!$B$11:$B$22),COUNTIF(J200:U200,"x")),1)+IF(COUNTIF(J200:U200,"x")=0,(Besatzung!$F$11="x"),(J200="x")*(Besatzung!$F$11="x"))*IFERROR(H200,0)/IFERROR(IF(COUNTIF(J200:U200,"x")=0,SUMPRODUCT((Besatzung!$B$11:$B$22&lt;&gt;"")*(Besatzung!$F$11:$F$22="x")),SUMPRODUCT((J200:U200="x")*(Besatzung!$F$11:$F$22="x"))),1))))),0))))</f>
        <v/>
      </c>
      <c r="W200" s="106">
        <f>IF(C200="Gutschrift","",IF(G200="","",IF(Besatzung!$B$12="","",IFERROR(IF(I200="Zeitanteilig",(Besatzung!$G$12*(G200-IFERROR(H200,0))+((Besatzung!$B$12&lt;&gt;"")*IF(B200="",1,(IF(Besatzung!$C$12="",Besatzung!$B$5,Besatzung!$C$12)&lt;=B200)*(IF(Besatzung!$D$12="",Besatzung!$B$6,Besatzung!$D$12)&gt;=B200)))*(Besatzung!$F$12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$12&lt;&gt;"")*IF(B200="",1,(IF(Besatzung!$C$12="",Besatzung!$B$5,Besatzung!$C$12)&lt;=B200)*(IF(Besatzung!$D$12="",Besatzung!$B$6,Besatzung!$D$12)&gt;=B200)))*((G200-IFERROR(H200,0))/IFERROR(SUMPRODUCT((Besatzung!$B$11:$B$22&lt;&gt;"")*(IF(Besatzung!$C$11:$C$22="",Besatzung!$B$5,Besatzung!$C$11:$C$22)&lt;=B200)*(IF(Besatzung!$D$11:$D$22="",Besatzung!$B$6,Besatzung!$D$11:$D$22)&gt;=B200)),1)+(Besatzung!$F$12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K200="x")*((G200-IFERROR(H200,0))/IFERROR(COUNTIF(J200:U200,"x"),1)+(Besatzung!$F$12="x")*IFERROR(H200,0)/IFERROR(SUMPRODUCT((J200:U200="x")*(Besatzung!$F$11:$F$22="x")),1))),(IF(COUNTIF(J200:U200,"x")=0,IF(Besatzung!$B$12&lt;&gt;"",1,0),(K200="x"))*(G200-IFERROR(H200,0))/IFERROR(IF(COUNTIF(J200:U200,"x")=0,COUNTA(Besatzung!$B$11:$B$22),COUNTIF(J200:U200,"x")),1)+IF(COUNTIF(J200:U200,"x")=0,(Besatzung!$F$12="x"),(K200="x")*(Besatzung!$F$12="x"))*IFERROR(H200,0)/IFERROR(IF(COUNTIF(J200:U200,"x")=0,SUMPRODUCT((Besatzung!$B$11:$B$22&lt;&gt;"")*(Besatzung!$F$11:$F$22="x")),SUMPRODUCT((J200:U200="x")*(Besatzung!$F$11:$F$22="x"))),1))))),0))))</f>
        <v/>
      </c>
      <c r="X200" s="106">
        <f>IF(C200="Gutschrift","",IF(G200="","",IF(Besatzung!$B$13="","",IFERROR(IF(I200="Zeitanteilig",(Besatzung!$G$13*(G200-IFERROR(H200,0))+((Besatzung!$B$13&lt;&gt;"")*IF(B200="",1,(IF(Besatzung!$C$13="",Besatzung!$B$5,Besatzung!$C$13)&lt;=B200)*(IF(Besatzung!$D$13="",Besatzung!$B$6,Besatzung!$D$13)&gt;=B200)))*(Besatzung!$F$13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$13&lt;&gt;"")*IF(B200="",1,(IF(Besatzung!$C$13="",Besatzung!$B$5,Besatzung!$C$13)&lt;=B200)*(IF(Besatzung!$D$13="",Besatzung!$B$6,Besatzung!$D$13)&gt;=B200)))*((G200-IFERROR(H200,0))/IFERROR(SUMPRODUCT((Besatzung!$B$11:$B$22&lt;&gt;"")*(IF(Besatzung!$C$11:$C$22="",Besatzung!$B$5,Besatzung!$C$11:$C$22)&lt;=B200)*(IF(Besatzung!$D$11:$D$22="",Besatzung!$B$6,Besatzung!$D$11:$D$22)&gt;=B200)),1)+(Besatzung!$F$13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K200="x")*((G200-IFERROR(H200,0))/IFERROR(COUNTIF(J200:U200,"x"),1)+(Besatzung!$F$13="x")*IFERROR(H200,0)/IFERROR(SUMPRODUCT((J200:U200="x")*(Besatzung!$F$11:$F$22="x")),1))),(IF(COUNTIF(J200:U200,"x")=0,IF(Besatzung!$B$13&lt;&gt;"",1,0),(K200="x"))*(G200-IFERROR(H200,0))/IFERROR(IF(COUNTIF(J200:U200,"x")=0,COUNTA(Besatzung!$B$11:$B$22),COUNTIF(J200:U200,"x")),1)+IF(COUNTIF(J200:U200,"x")=0,(Besatzung!$F$13="x"),(K200="x")*(Besatzung!$F$13="x"))*IFERROR(H200,0)/IFERROR(IF(COUNTIF(J200:U200,"x")=0,SUMPRODUCT((Besatzung!$B$11:$B$22&lt;&gt;"")*(Besatzung!$F$11:$F$22="x")),SUMPRODUCT((J200:U200="x")*(Besatzung!$F$11:$F$22="x"))),1))))),0))))</f>
        <v/>
      </c>
      <c r="Y200" s="106">
        <f>IF(C200="Gutschrift","",IF(G200="","",IF(Besatzung!$B$14="","",IFERROR(IF(I200="Zeitanteilig",(Besatzung!$G$14*(G200-IFERROR(H200,0))+((Besatzung!$B$14&lt;&gt;"")*IF(B200="",1,(IF(Besatzung!$C$14="",Besatzung!$B$5,Besatzung!$C$14)&lt;=B200)*(IF(Besatzung!$D$14="",Besatzung!$B$6,Besatzung!$D$14)&gt;=B200)))*(Besatzung!$F$14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$14&lt;&gt;"")*IF(B200="",1,(IF(Besatzung!$C$14="",Besatzung!$B$5,Besatzung!$C$14)&lt;=B200)*(IF(Besatzung!$D$14="",Besatzung!$B$6,Besatzung!$D$14)&gt;=B200)))*((G200-IFERROR(H200,0))/IFERROR(SUMPRODUCT((Besatzung!$B$11:$B$22&lt;&gt;"")*(IF(Besatzung!$C$11:$C$22="",Besatzung!$B$5,Besatzung!$C$11:$C$22)&lt;=B200)*(IF(Besatzung!$D$11:$D$22="",Besatzung!$B$6,Besatzung!$D$11:$D$22)&gt;=B200)),1)+(Besatzung!$F$14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M200="x")*((G200-IFERROR(H200,0))/IFERROR(COUNTIF(J200:U200,"x"),1)+(Besatzung!$F$14="x")*IFERROR(H200,0)/IFERROR(SUMPRODUCT((J200:U200="x")*(Besatzung!$F$11:$F$22="x")),1))),(IF(COUNTIF(J200:U200,"x")=0,IF(Besatzung!$B$14&lt;&gt;"",1,0),(M200="x"))*(G200-IFERROR(H200,0))/IFERROR(IF(COUNTIF(J200:U200,"x")=0,COUNTA(Besatzung!$B$11:$B$22),COUNTIF(J200:U200,"x")),1)+IF(COUNTIF(J200:U200,"x")=0,(Besatzung!$F$14="x"),(M200="x")*(Besatzung!$F$14="x"))*IFERROR(H200,0)/IFERROR(IF(COUNTIF(J200:U200,"x")=0,SUMPRODUCT((Besatzung!$B$11:$B$22&lt;&gt;"")*(Besatzung!$F$11:$F$22="x")),SUMPRODUCT((J200:U200="x")*(Besatzung!$F$11:$F$22="x"))),1))))),0))))</f>
        <v/>
      </c>
      <c r="Z200" s="106">
        <f>IF(C200="Gutschrift","",IF(G200="","",IF(Besatzung!$B$13="","",IFERROR(IF(I200="Zeitanteilig",(Besatzung!$G$15*(G200-IFERROR(H200,0))+((Besatzung!$B$13&lt;&gt;"")*IF(B200="",1,(IF(Besatzung!$C$15="",Besatzung!$B$5,Besatzung!$C$15)&lt;=B200)*(IF(Besatzung!$D$15="",Besatzung!$B$6,Besatzung!$D$15)&gt;=B200)))*(Besatzung!$F$15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$13&lt;&gt;"")*IF(B200="",1,(IF(Besatzung!$C$15="",Besatzung!$B$5,Besatzung!$C$15)&lt;=B200)*(IF(Besatzung!$D$15="",Besatzung!$B$6,Besatzung!$D$15)&gt;=B200)))*((G200-IFERROR(H200,0))/IFERROR(SUMPRODUCT((Besatzung!$B$11:$B$22&lt;&gt;"")*(IF(Besatzung!$C$11:$C$22="",Besatzung!$B$5,Besatzung!$C$11:$C$22)&lt;=B200)*(IF(Besatzung!$D$11:$D$22="",Besatzung!$B$6,Besatzung!$D$11:$D$22)&gt;=B200)),1)+(Besatzung!$F$15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N200="x")*((G200-IFERROR(H200,0))/IFERROR(COUNTIF(J200:U200,"x"),1)+(Besatzung!$F$15="x")*IFERROR(H200,0)/IFERROR(SUMPRODUCT((J200:U200="x")*(Besatzung!$F$11:$F$22="x")),1))),(IF(COUNTIF(J200:U200,"x")=0,IF(Besatzung!$B$13&lt;&gt;"",1,0),(N200="x"))*(G200-IFERROR(H200,0))/IFERROR(IF(COUNTIF(J200:U200,"x")=0,COUNTA(Besatzung!$B$11:$B$22),COUNTIF(J200:U200,"x")),1)+IF(COUNTIF(J200:U200,"x")=0,(Besatzung!$F$15="x"),(N200="x")*(Besatzung!$F$15="x"))*IFERROR(H200,0)/IFERROR(IF(COUNTIF(J200:U200,"x")=0,SUMPRODUCT((Besatzung!$B$11:$B$22&lt;&gt;"")*(Besatzung!$F$11:$F$22="x")),SUMPRODUCT((J200:U200="x")*(Besatzung!$F$11:$F$22="x"))),1))))),0))))</f>
        <v/>
      </c>
      <c r="AA200" s="106">
        <f>IF(C200="Gutschrift","",IF(G200="","",IF(Besatzung!$B$15="","",IFERROR(IF(I200="Zeitanteilig",(Besatzung!$G$16*(G200-IFERROR(H200,0))+((Besatzung!$B$15&lt;&gt;"")*IF(B200="",1,(IF(Besatzung!$C$16="",Besatzung!$B$5,Besatzung!$C$16)&lt;=B200)*(IF(Besatzung!$D$16="",Besatzung!$B$6,Besatzung!$D$16)&gt;=B200)))*(Besatzung!$F$16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$15&lt;&gt;"")*IF(B200="",1,(IF(Besatzung!$C$16="",Besatzung!$B$5,Besatzung!$C$16)&lt;=B200)*(IF(Besatzung!$D$16="",Besatzung!$B$6,Besatzung!$D$16)&gt;=B200)))*((G200-IFERROR(H200,0))/IFERROR(SUMPRODUCT((Besatzung!$B$11:$B$22&lt;&gt;"")*(IF(Besatzung!$C$11:$C$22="",Besatzung!$B$5,Besatzung!$C$11:$C$22)&lt;=B200)*(IF(Besatzung!$D$11:$D$22="",Besatzung!$B$6,Besatzung!$D$11:$D$22)&gt;=B200)),1)+(Besatzung!$F$16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O200="x")*((G200-IFERROR(H200,0))/IFERROR(COUNTIF(J200:U200,"x"),1)+(Besatzung!$F$16="x")*IFERROR(H200,0)/IFERROR(SUMPRODUCT((J200:U200="x")*(Besatzung!$F$11:$F$22="x")),1))),(IF(COUNTIF(J200:U200,"x")=0,IF(Besatzung!$B$15&lt;&gt;"",1,0),(O200="x"))*(G200-IFERROR(H200,0))/IFERROR(IF(COUNTIF(J200:U200,"x")=0,COUNTA(Besatzung!$B$11:$B$22),COUNTIF(J200:U200,"x")),1)+IF(COUNTIF(J200:U200,"x")=0,(Besatzung!$F$16="x"),(O200="x")*(Besatzung!$F$16="x"))*IFERROR(H200,0)/IFERROR(IF(COUNTIF(J200:U200,"x")=0,SUMPRODUCT((Besatzung!$B$11:$B$22&lt;&gt;"")*(Besatzung!$F$11:$F$22="x")),SUMPRODUCT((J200:U200="x")*(Besatzung!$F$11:$F$22="x"))),1))))),0))))</f>
        <v/>
      </c>
      <c r="AB200" s="106">
        <f>IF(C200="Gutschrift","",IF(G200="","",IF(Besatzung!$B$17="","",IFERROR(IF(I200="Zeitanteilig",(Besatzung!$G$17*(G200-IFERROR(H200,0))+((Besatzung!$B$17&lt;&gt;"")*IF(B200="",1,(IF(Besatzung!$C$17="",Besatzung!$B$5,Besatzung!$C$17)&lt;=B200)*(IF(Besatzung!$D$17="",Besatzung!$B$6,Besatzung!$D$17)&gt;=B200)))*(Besatzung!$F$17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$17&lt;&gt;"")*IF(B200="",1,(IF(Besatzung!$C$17="",Besatzung!$B$5,Besatzung!$C$17)&lt;=B200)*(IF(Besatzung!$D$17="",Besatzung!$B$6,Besatzung!$D$17)&gt;=B200)))*((G200-IFERROR(H200,0))/IFERROR(SUMPRODUCT((Besatzung!$B$11:$B$22&lt;&gt;"")*(IF(Besatzung!$C$11:$C$22="",Besatzung!$B$5,Besatzung!$C$11:$C$22)&lt;=B200)*(IF(Besatzung!$D$11:$D$22="",Besatzung!$B$6,Besatzung!$D$11:$D$22)&gt;=B200)),1)+(Besatzung!$F$17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P200="x")*((G200-IFERROR(H200,0))/IFERROR(COUNTIF(J200:U200,"x"),1)+(Besatzung!$F$17="x")*IFERROR(H200,0)/IFERROR(SUMPRODUCT((J200:U200="x")*(Besatzung!$F$11:$F$22="x")),1))),(IF(COUNTIF(J200:U200,"x")=0,IF(Besatzung!$B$17&lt;&gt;"",1,0),(P200="x"))*(G200-IFERROR(H200,0))/IFERROR(IF(COUNTIF(J200:U200,"x")=0,COUNTA(Besatzung!$B$11:$B$22),COUNTIF(J200:U200,"x")),1)+IF(COUNTIF(J200:U200,"x")=0,(Besatzung!$F$17="x"),(P200="x")*(Besatzung!$F$17="x"))*IFERROR(H200,0)/IFERROR(IF(COUNTIF(J200:U200,"x")=0,SUMPRODUCT((Besatzung!$B$11:$B$22&lt;&gt;"")*(Besatzung!$F$11:$F$22="x")),SUMPRODUCT((J200:U200="x")*(Besatzung!$F$11:$F$22="x"))),1))))),0))))</f>
        <v/>
      </c>
      <c r="AC200" s="106">
        <f>IF(C200="Gutschrift","",IF(G200="","",IF(Besatzung!$B$18="","",IFERROR(IF(I200="Zeitanteilig",(Besatzung!$G$18*(G200-IFERROR(H200,0))+((Besatzung!$B$18&lt;&gt;"")*IF(B200="",1,(IF(Besatzung!$C$18="",Besatzung!$B$5,Besatzung!$C$18)&lt;=B200)*(IF(Besatzung!$D$18="",Besatzung!$B$6,Besatzung!$D$18)&gt;=B200)))*(Besatzung!$F$18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$18&lt;&gt;"")*IF(B200="",1,(IF(Besatzung!$C$18="",Besatzung!$B$5,Besatzung!$C$18)&lt;=B200)*(IF(Besatzung!$D$18="",Besatzung!$B$6,Besatzung!$D$18)&gt;=B200)))*((G200-IFERROR(H200,0))/IFERROR(SUMPRODUCT((Besatzung!$B$11:$B$22&lt;&gt;"")*(IF(Besatzung!$C$11:$C$22="",Besatzung!$B$5,Besatzung!$C$11:$C$22)&lt;=B200)*(IF(Besatzung!$D$11:$D$22="",Besatzung!$B$6,Besatzung!$D$11:$D$22)&gt;=B200)),1)+(Besatzung!$F$18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Q200="x")*((G200-IFERROR(H200,0))/IFERROR(COUNTIF(J200:U200,"x"),1)+(Besatzung!$F$18="x")*IFERROR(H200,0)/IFERROR(SUMPRODUCT((J200:U200="x")*(Besatzung!$F$11:$F$22="x")),1))),(IF(COUNTIF(J200:U200,"x")=0,IF(Besatzung!$B$18&lt;&gt;"",1,0),(Q200="x"))*(G200-IFERROR(H200,0))/IFERROR(IF(COUNTIF(J200:U200,"x")=0,COUNTA(Besatzung!$B$11:$B$22),COUNTIF(J200:U200,"x")),1)+IF(COUNTIF(J200:U200,"x")=0,(Besatzung!$F$18="x"),(Q200="x")*(Besatzung!$F$18="x"))*IFERROR(H200,0)/IFERROR(IF(COUNTIF(J200:U200,"x")=0,SUMPRODUCT((Besatzung!$B$11:$B$22&lt;&gt;"")*(Besatzung!$F$11:$F$22="x")),SUMPRODUCT((J200:U200="x")*(Besatzung!$F$11:$F$22="x"))),1))))),0))))</f>
        <v/>
      </c>
      <c r="AD200" s="106">
        <f>IF(C200="Gutschrift","",IF(G200="","",IF(Besatzung!$B$19="","",IFERROR(IF(I200="Zeitanteilig",(Besatzung!$G$19*(G200-IFERROR(H200,0))+((Besatzung!$B$19&lt;&gt;"")*IF(B200="",1,(IF(Besatzung!$C$19="",Besatzung!$B$5,Besatzung!$C$19)&lt;=B200)*(IF(Besatzung!$D$19="",Besatzung!$B$6,Besatzung!$D$19)&gt;=B200)))*(Besatzung!$F$19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$19&lt;&gt;"")*IF(B200="",1,(IF(Besatzung!$C$19="",Besatzung!$B$5,Besatzung!$C$19)&lt;=B200)*(IF(Besatzung!$D$19="",Besatzung!$B$6,Besatzung!$D$19)&gt;=B200)))*((G200-IFERROR(H200,0))/IFERROR(SUMPRODUCT((Besatzung!$B$11:$B$22&lt;&gt;"")*(IF(Besatzung!$C$11:$C$22="",Besatzung!$B$5,Besatzung!$C$11:$C$22)&lt;=B200)*(IF(Besatzung!$D$11:$D$22="",Besatzung!$B$6,Besatzung!$D$11:$D$22)&gt;=B200)),1)+(Besatzung!$F$19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R200="x")*((G200-IFERROR(H200,0))/IFERROR(COUNTIF(J200:U200,"x"),1)+(Besatzung!$F$19="x")*IFERROR(H200,0)/IFERROR(SUMPRODUCT((J200:U200="x")*(Besatzung!$F$11:$F$22="x")),1))),(IF(COUNTIF(J200:U200,"x")=0,IF(Besatzung!$B$19&lt;&gt;"",1,0),(R200="x"))*(G200-IFERROR(H200,0))/IFERROR(IF(COUNTIF(J200:U200,"x")=0,COUNTA(Besatzung!$B$11:$B$22),COUNTIF(J200:U200,"x")),1)+IF(COUNTIF(J200:U200,"x")=0,(Besatzung!$F$19="x"),(R200="x")*(Besatzung!$F$19="x"))*IFERROR(H200,0)/IFERROR(IF(COUNTIF(J200:U200,"x")=0,SUMPRODUCT((Besatzung!$B$11:$B$22&lt;&gt;"")*(Besatzung!$F$11:$F$22="x")),SUMPRODUCT((J200:U200="x")*(Besatzung!$F$11:$F$22="x"))),1))))),0))))</f>
        <v/>
      </c>
      <c r="AE200" s="106">
        <f>IF(C200="Gutschrift","",IF(G200="","",IF(Besatzung!$B$20="","",IFERROR(IF(I200="Zeitanteilig",(Besatzung!$G$20*(G200-IFERROR(H200,0))+((Besatzung!$B$20&lt;&gt;"")*IF(B200="",1,(IF(Besatzung!$C$20="",Besatzung!$B$5,Besatzung!$C$20)&lt;=B200)*(IF(Besatzung!$D$20="",Besatzung!$B$6,Besatzung!$D$20)&gt;=B200)))*(Besatzung!$F$20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$20&lt;&gt;"")*IF(B200="",1,(IF(Besatzung!$C$20="",Besatzung!$B$5,Besatzung!$C$20)&lt;=B200)*(IF(Besatzung!$D$20="",Besatzung!$B$6,Besatzung!$D$20)&gt;=B200)))*((G200-IFERROR(H200,0))/IFERROR(SUMPRODUCT((Besatzung!$B$11:$B$22&lt;&gt;"")*(IF(Besatzung!$C$11:$C$22="",Besatzung!$B$5,Besatzung!$C$11:$C$22)&lt;=B200)*(IF(Besatzung!$D$11:$D$22="",Besatzung!$B$6,Besatzung!$D$11:$D$22)&gt;=B200)),1)+(Besatzung!$F$20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S200="x")*((G200-IFERROR(H200,0))/IFERROR(COUNTIF(J200:U200,"x"),1)+(Besatzung!$F$20="x")*IFERROR(H200,0)/IFERROR(SUMPRODUCT((J200:U200="x")*(Besatzung!$F$11:$F$22="x")),1))),(IF(COUNTIF(J200:U200,"x")=0,IF(Besatzung!$B$20&lt;&gt;"",1,0),(S200="x"))*(G200-IFERROR(H200,0))/IFERROR(IF(COUNTIF(J200:U200,"x")=0,COUNTA(Besatzung!$B$11:$B$22),COUNTIF(J200:U200,"x")),1)+IF(COUNTIF(J200:U200,"x")=0,(Besatzung!$F$20="x"),(S200="x")*(Besatzung!$F$20="x"))*IFERROR(H200,0)/IFERROR(IF(COUNTIF(J200:U200,"x")=0,SUMPRODUCT((Besatzung!$B$11:$B$22&lt;&gt;"")*(Besatzung!$F$11:$F$22="x")),SUMPRODUCT((J200:U200="x")*(Besatzung!$F$11:$F$22="x"))),1))))),0))))</f>
        <v/>
      </c>
      <c r="AF200" s="106">
        <f>IF(C200="Gutschrift","",IF(G200="","",IF(Besatzung!$B$21="","",IFERROR(IF(I200="Zeitanteilig",(Besatzung!$G$21*(G200-IFERROR(H200,0))+((Besatzung!$B$21&lt;&gt;"")*IF(B200="",1,(IF(Besatzung!$C$21="",Besatzung!$B$5,Besatzung!$C$21)&lt;=B200)*(IF(Besatzung!$D$21="",Besatzung!$B$6,Besatzung!$D$21)&gt;=B200)))*(Besatzung!$F$21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$21&lt;&gt;"")*IF(B200="",1,(IF(Besatzung!$C$21="",Besatzung!$B$5,Besatzung!$C$21)&lt;=B200)*(IF(Besatzung!$D$21="",Besatzung!$B$6,Besatzung!$D$21)&gt;=B200)))*((G200-IFERROR(H200,0))/IFERROR(SUMPRODUCT((Besatzung!$B$11:$B$22&lt;&gt;"")*(IF(Besatzung!$C$11:$C$22="",Besatzung!$B$5,Besatzung!$C$11:$C$22)&lt;=B200)*(IF(Besatzung!$D$11:$D$22="",Besatzung!$B$6,Besatzung!$D$11:$D$22)&gt;=B200)),1)+(Besatzung!$F$21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T200="x")*((G200-IFERROR(H200,0))/IFERROR(COUNTIF(J200:U200,"x"),1)+(Besatzung!$F$21="x")*IFERROR(H200,0)/IFERROR(SUMPRODUCT((J200:U200="x")*(Besatzung!$F$11:$F$22="x")),1))),(IF(COUNTIF(J200:U200,"x")=0,IF(Besatzung!$B$21&lt;&gt;"",1,0),(T200="x"))*(G200-IFERROR(H200,0))/IFERROR(IF(COUNTIF(J200:U200,"x")=0,COUNTA(Besatzung!$B$11:$B$22),COUNTIF(J200:U200,"x")),1)+IF(COUNTIF(J200:U200,"x")=0,(Besatzung!$F$21="x"),(T200="x")*(Besatzung!$F$21="x"))*IFERROR(H200,0)/IFERROR(IF(COUNTIF(J200:U200,"x")=0,SUMPRODUCT((Besatzung!$B$11:$B$22&lt;&gt;"")*(Besatzung!$F$11:$F$22="x")),SUMPRODUCT((J200:U200="x")*(Besatzung!$F$11:$F$22="x"))),1))))),0))))</f>
        <v/>
      </c>
      <c r="AG200" s="106">
        <f>IF(C200="Gutschrift","",IF(G200="","",IF(Besatzung!$B$22="","",IFERROR(IF(I200="Zeitanteilig",(Besatzung!$G$22*(G200-IFERROR(H200,0))+((Besatzung!$B$22&lt;&gt;"")*IF(B200="",1,(IF(Besatzung!$C$22="",Besatzung!$B$5,Besatzung!$C$22)&lt;=B200)*(IF(Besatzung!$D$22="",Besatzung!$B$6,Besatzung!$D$22)&gt;=B200)))*(Besatzung!$F$22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$22&lt;&gt;"")*IF(B200="",1,(IF(Besatzung!$C$22="",Besatzung!$B$5,Besatzung!$C$22)&lt;=B200)*(IF(Besatzung!$D$22="",Besatzung!$B$6,Besatzung!$D$22)&gt;=B200)))*((G200-IFERROR(H200,0))/IFERROR(SUMPRODUCT((Besatzung!$B$11:$B$22&lt;&gt;"")*(IF(Besatzung!$C$11:$C$22="",Besatzung!$B$5,Besatzung!$C$11:$C$22)&lt;=B200)*(IF(Besatzung!$D$11:$D$22="",Besatzung!$B$6,Besatzung!$D$11:$D$22)&gt;=B200)),1)+(Besatzung!$F$22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U200="x")*((G200-IFERROR(H200,0))/IFERROR(COUNTIF(J200:U200,"x"),1)+(Besatzung!$F$22="x")*IFERROR(H200,0)/IFERROR(SUMPRODUCT((J200:U200="x")*(Besatzung!$F$11:$F$22="x")),1))),(IF(COUNTIF(J200:U200,"x")=0,IF(Besatzung!$B$22&lt;&gt;"",1,0),(U200="x"))*(G200-IFERROR(H200,0))/IFERROR(IF(COUNTIF(J200:U200,"x")=0,COUNTA(Besatzung!$B$11:$B$22),COUNTIF(J200:U200,"x")),1)+IF(COUNTIF(J200:U200,"x")=0,(Besatzung!$F$22="x"),(U200="x")*(Besatzung!$F$22="x"))*IFERROR(H200,0)/IFERROR(IF(COUNTIF(J200:U200,"x")=0,SUMPRODUCT((Besatzung!$B$11:$B$22&lt;&gt;"")*(Besatzung!$F$11:$F$22="x")),SUMPRODUCT((J200:U200="x")*(Besatzung!$F$11:$F$22="x"))),1))))),0))))</f>
        <v/>
      </c>
      <c r="AH200" s="107" t="n"/>
      <c r="AI200" s="107" t="n"/>
    </row>
    <row r="201" ht="21.75" customHeight="1" s="182">
      <c r="A201" s="97">
        <f>IF(AND(D201="",C201=""),"",198)</f>
        <v/>
      </c>
      <c r="B201" s="63" t="n"/>
      <c r="C201" s="108" t="n"/>
      <c r="D201" s="109" t="n"/>
      <c r="E201" s="110" t="n"/>
      <c r="F201" s="111" t="n"/>
      <c r="G201" s="112" t="n"/>
      <c r="H201" s="113" t="n"/>
      <c r="I201" s="114" t="n"/>
      <c r="J201" s="115" t="n"/>
      <c r="K201" s="115" t="n"/>
      <c r="L201" s="115" t="n"/>
      <c r="M201" s="115" t="n"/>
      <c r="N201" s="115" t="n"/>
      <c r="O201" s="115" t="n"/>
      <c r="P201" s="115" t="n"/>
      <c r="Q201" s="115" t="n"/>
      <c r="R201" s="115" t="n"/>
      <c r="S201" s="115" t="n"/>
      <c r="T201" s="115" t="n"/>
      <c r="U201" s="115" t="n"/>
      <c r="V201" s="106">
        <f>IF(C201="Gutschrift","",IF(G201="","",IF(Besatzung!$B$11="","",IFERROR(IF(I201="Zeitanteilig",(Besatzung!$G$11*(G201-IFERROR(H201,0))+((Besatzung!$B$11&lt;&gt;"")*IF(B201="",1,(IF(Besatzung!$C$11="",Besatzung!$B$5,Besatzung!$C$11)&lt;=B201)*(IF(Besatzung!$D$11="",Besatzung!$B$6,Besatzung!$D$11)&gt;=B201)))*(Besatzung!$F$11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$11&lt;&gt;"")*IF(B201="",1,(IF(Besatzung!$C$11="",Besatzung!$B$5,Besatzung!$C$11)&lt;=B201)*(IF(Besatzung!$D$11="",Besatzung!$B$6,Besatzung!$D$11)&gt;=B201)))*((G201-IFERROR(H201,0))/IFERROR(SUMPRODUCT((Besatzung!$B$11:$B$22&lt;&gt;"")*(IF(Besatzung!$C$11:$C$22="",Besatzung!$B$5,Besatzung!$C$11:$C$22)&lt;=B201)*(IF(Besatzung!$D$11:$D$22="",Besatzung!$B$6,Besatzung!$D$11:$D$22)&gt;=B201)),1)+(Besatzung!$F$11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J201="x")*((G201-IFERROR(H201,0))/IFERROR(COUNTIF(J201:U201,"x"),1)+(Besatzung!$F$11="x")*IFERROR(H201,0)/IFERROR(SUMPRODUCT((J201:U201="x")*(Besatzung!$F$11:$F$22="x")),1))),(IF(COUNTIF(J201:U201,"x")=0,IF(Besatzung!$B$11&lt;&gt;"",1,0),(J201="x"))*(G201-IFERROR(H201,0))/IFERROR(IF(COUNTIF(J201:U201,"x")=0,COUNTA(Besatzung!$B$11:$B$22),COUNTIF(J201:U201,"x")),1)+IF(COUNTIF(J201:U201,"x")=0,(Besatzung!$F$11="x"),(J201="x")*(Besatzung!$F$11="x"))*IFERROR(H201,0)/IFERROR(IF(COUNTIF(J201:U201,"x")=0,SUMPRODUCT((Besatzung!$B$11:$B$22&lt;&gt;"")*(Besatzung!$F$11:$F$22="x")),SUMPRODUCT((J201:U201="x")*(Besatzung!$F$11:$F$22="x"))),1))))),0))))</f>
        <v/>
      </c>
      <c r="W201" s="106">
        <f>IF(C201="Gutschrift","",IF(G201="","",IF(Besatzung!$B$12="","",IFERROR(IF(I201="Zeitanteilig",(Besatzung!$G$12*(G201-IFERROR(H201,0))+((Besatzung!$B$12&lt;&gt;"")*IF(B201="",1,(IF(Besatzung!$C$12="",Besatzung!$B$5,Besatzung!$C$12)&lt;=B201)*(IF(Besatzung!$D$12="",Besatzung!$B$6,Besatzung!$D$12)&gt;=B201)))*(Besatzung!$F$12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$12&lt;&gt;"")*IF(B201="",1,(IF(Besatzung!$C$12="",Besatzung!$B$5,Besatzung!$C$12)&lt;=B201)*(IF(Besatzung!$D$12="",Besatzung!$B$6,Besatzung!$D$12)&gt;=B201)))*((G201-IFERROR(H201,0))/IFERROR(SUMPRODUCT((Besatzung!$B$11:$B$22&lt;&gt;"")*(IF(Besatzung!$C$11:$C$22="",Besatzung!$B$5,Besatzung!$C$11:$C$22)&lt;=B201)*(IF(Besatzung!$D$11:$D$22="",Besatzung!$B$6,Besatzung!$D$11:$D$22)&gt;=B201)),1)+(Besatzung!$F$12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K201="x")*((G201-IFERROR(H201,0))/IFERROR(COUNTIF(J201:U201,"x"),1)+(Besatzung!$F$12="x")*IFERROR(H201,0)/IFERROR(SUMPRODUCT((J201:U201="x")*(Besatzung!$F$11:$F$22="x")),1))),(IF(COUNTIF(J201:U201,"x")=0,IF(Besatzung!$B$12&lt;&gt;"",1,0),(K201="x"))*(G201-IFERROR(H201,0))/IFERROR(IF(COUNTIF(J201:U201,"x")=0,COUNTA(Besatzung!$B$11:$B$22),COUNTIF(J201:U201,"x")),1)+IF(COUNTIF(J201:U201,"x")=0,(Besatzung!$F$12="x"),(K201="x")*(Besatzung!$F$12="x"))*IFERROR(H201,0)/IFERROR(IF(COUNTIF(J201:U201,"x")=0,SUMPRODUCT((Besatzung!$B$11:$B$22&lt;&gt;"")*(Besatzung!$F$11:$F$22="x")),SUMPRODUCT((J201:U201="x")*(Besatzung!$F$11:$F$22="x"))),1))))),0))))</f>
        <v/>
      </c>
      <c r="X201" s="106">
        <f>IF(C201="Gutschrift","",IF(G201="","",IF(Besatzung!$B$13="","",IFERROR(IF(I201="Zeitanteilig",(Besatzung!$G$13*(G201-IFERROR(H201,0))+((Besatzung!$B$13&lt;&gt;"")*IF(B201="",1,(IF(Besatzung!$C$13="",Besatzung!$B$5,Besatzung!$C$13)&lt;=B201)*(IF(Besatzung!$D$13="",Besatzung!$B$6,Besatzung!$D$13)&gt;=B201)))*(Besatzung!$F$13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$13&lt;&gt;"")*IF(B201="",1,(IF(Besatzung!$C$13="",Besatzung!$B$5,Besatzung!$C$13)&lt;=B201)*(IF(Besatzung!$D$13="",Besatzung!$B$6,Besatzung!$D$13)&gt;=B201)))*((G201-IFERROR(H201,0))/IFERROR(SUMPRODUCT((Besatzung!$B$11:$B$22&lt;&gt;"")*(IF(Besatzung!$C$11:$C$22="",Besatzung!$B$5,Besatzung!$C$11:$C$22)&lt;=B201)*(IF(Besatzung!$D$11:$D$22="",Besatzung!$B$6,Besatzung!$D$11:$D$22)&gt;=B201)),1)+(Besatzung!$F$13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K201="x")*((G201-IFERROR(H201,0))/IFERROR(COUNTIF(J201:U201,"x"),1)+(Besatzung!$F$13="x")*IFERROR(H201,0)/IFERROR(SUMPRODUCT((J201:U201="x")*(Besatzung!$F$11:$F$22="x")),1))),(IF(COUNTIF(J201:U201,"x")=0,IF(Besatzung!$B$13&lt;&gt;"",1,0),(K201="x"))*(G201-IFERROR(H201,0))/IFERROR(IF(COUNTIF(J201:U201,"x")=0,COUNTA(Besatzung!$B$11:$B$22),COUNTIF(J201:U201,"x")),1)+IF(COUNTIF(J201:U201,"x")=0,(Besatzung!$F$13="x"),(K201="x")*(Besatzung!$F$13="x"))*IFERROR(H201,0)/IFERROR(IF(COUNTIF(J201:U201,"x")=0,SUMPRODUCT((Besatzung!$B$11:$B$22&lt;&gt;"")*(Besatzung!$F$11:$F$22="x")),SUMPRODUCT((J201:U201="x")*(Besatzung!$F$11:$F$22="x"))),1))))),0))))</f>
        <v/>
      </c>
      <c r="Y201" s="106">
        <f>IF(C201="Gutschrift","",IF(G201="","",IF(Besatzung!$B$14="","",IFERROR(IF(I201="Zeitanteilig",(Besatzung!$G$14*(G201-IFERROR(H201,0))+((Besatzung!$B$14&lt;&gt;"")*IF(B201="",1,(IF(Besatzung!$C$14="",Besatzung!$B$5,Besatzung!$C$14)&lt;=B201)*(IF(Besatzung!$D$14="",Besatzung!$B$6,Besatzung!$D$14)&gt;=B201)))*(Besatzung!$F$14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$14&lt;&gt;"")*IF(B201="",1,(IF(Besatzung!$C$14="",Besatzung!$B$5,Besatzung!$C$14)&lt;=B201)*(IF(Besatzung!$D$14="",Besatzung!$B$6,Besatzung!$D$14)&gt;=B201)))*((G201-IFERROR(H201,0))/IFERROR(SUMPRODUCT((Besatzung!$B$11:$B$22&lt;&gt;"")*(IF(Besatzung!$C$11:$C$22="",Besatzung!$B$5,Besatzung!$C$11:$C$22)&lt;=B201)*(IF(Besatzung!$D$11:$D$22="",Besatzung!$B$6,Besatzung!$D$11:$D$22)&gt;=B201)),1)+(Besatzung!$F$14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M201="x")*((G201-IFERROR(H201,0))/IFERROR(COUNTIF(J201:U201,"x"),1)+(Besatzung!$F$14="x")*IFERROR(H201,0)/IFERROR(SUMPRODUCT((J201:U201="x")*(Besatzung!$F$11:$F$22="x")),1))),(IF(COUNTIF(J201:U201,"x")=0,IF(Besatzung!$B$14&lt;&gt;"",1,0),(M201="x"))*(G201-IFERROR(H201,0))/IFERROR(IF(COUNTIF(J201:U201,"x")=0,COUNTA(Besatzung!$B$11:$B$22),COUNTIF(J201:U201,"x")),1)+IF(COUNTIF(J201:U201,"x")=0,(Besatzung!$F$14="x"),(M201="x")*(Besatzung!$F$14="x"))*IFERROR(H201,0)/IFERROR(IF(COUNTIF(J201:U201,"x")=0,SUMPRODUCT((Besatzung!$B$11:$B$22&lt;&gt;"")*(Besatzung!$F$11:$F$22="x")),SUMPRODUCT((J201:U201="x")*(Besatzung!$F$11:$F$22="x"))),1))))),0))))</f>
        <v/>
      </c>
      <c r="Z201" s="106">
        <f>IF(C201="Gutschrift","",IF(G201="","",IF(Besatzung!$B$13="","",IFERROR(IF(I201="Zeitanteilig",(Besatzung!$G$15*(G201-IFERROR(H201,0))+((Besatzung!$B$13&lt;&gt;"")*IF(B201="",1,(IF(Besatzung!$C$15="",Besatzung!$B$5,Besatzung!$C$15)&lt;=B201)*(IF(Besatzung!$D$15="",Besatzung!$B$6,Besatzung!$D$15)&gt;=B201)))*(Besatzung!$F$15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$13&lt;&gt;"")*IF(B201="",1,(IF(Besatzung!$C$15="",Besatzung!$B$5,Besatzung!$C$15)&lt;=B201)*(IF(Besatzung!$D$15="",Besatzung!$B$6,Besatzung!$D$15)&gt;=B201)))*((G201-IFERROR(H201,0))/IFERROR(SUMPRODUCT((Besatzung!$B$11:$B$22&lt;&gt;"")*(IF(Besatzung!$C$11:$C$22="",Besatzung!$B$5,Besatzung!$C$11:$C$22)&lt;=B201)*(IF(Besatzung!$D$11:$D$22="",Besatzung!$B$6,Besatzung!$D$11:$D$22)&gt;=B201)),1)+(Besatzung!$F$15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N201="x")*((G201-IFERROR(H201,0))/IFERROR(COUNTIF(J201:U201,"x"),1)+(Besatzung!$F$15="x")*IFERROR(H201,0)/IFERROR(SUMPRODUCT((J201:U201="x")*(Besatzung!$F$11:$F$22="x")),1))),(IF(COUNTIF(J201:U201,"x")=0,IF(Besatzung!$B$13&lt;&gt;"",1,0),(N201="x"))*(G201-IFERROR(H201,0))/IFERROR(IF(COUNTIF(J201:U201,"x")=0,COUNTA(Besatzung!$B$11:$B$22),COUNTIF(J201:U201,"x")),1)+IF(COUNTIF(J201:U201,"x")=0,(Besatzung!$F$15="x"),(N201="x")*(Besatzung!$F$15="x"))*IFERROR(H201,0)/IFERROR(IF(COUNTIF(J201:U201,"x")=0,SUMPRODUCT((Besatzung!$B$11:$B$22&lt;&gt;"")*(Besatzung!$F$11:$F$22="x")),SUMPRODUCT((J201:U201="x")*(Besatzung!$F$11:$F$22="x"))),1))))),0))))</f>
        <v/>
      </c>
      <c r="AA201" s="106">
        <f>IF(C201="Gutschrift","",IF(G201="","",IF(Besatzung!$B$15="","",IFERROR(IF(I201="Zeitanteilig",(Besatzung!$G$16*(G201-IFERROR(H201,0))+((Besatzung!$B$15&lt;&gt;"")*IF(B201="",1,(IF(Besatzung!$C$16="",Besatzung!$B$5,Besatzung!$C$16)&lt;=B201)*(IF(Besatzung!$D$16="",Besatzung!$B$6,Besatzung!$D$16)&gt;=B201)))*(Besatzung!$F$16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$15&lt;&gt;"")*IF(B201="",1,(IF(Besatzung!$C$16="",Besatzung!$B$5,Besatzung!$C$16)&lt;=B201)*(IF(Besatzung!$D$16="",Besatzung!$B$6,Besatzung!$D$16)&gt;=B201)))*((G201-IFERROR(H201,0))/IFERROR(SUMPRODUCT((Besatzung!$B$11:$B$22&lt;&gt;"")*(IF(Besatzung!$C$11:$C$22="",Besatzung!$B$5,Besatzung!$C$11:$C$22)&lt;=B201)*(IF(Besatzung!$D$11:$D$22="",Besatzung!$B$6,Besatzung!$D$11:$D$22)&gt;=B201)),1)+(Besatzung!$F$16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O201="x")*((G201-IFERROR(H201,0))/IFERROR(COUNTIF(J201:U201,"x"),1)+(Besatzung!$F$16="x")*IFERROR(H201,0)/IFERROR(SUMPRODUCT((J201:U201="x")*(Besatzung!$F$11:$F$22="x")),1))),(IF(COUNTIF(J201:U201,"x")=0,IF(Besatzung!$B$15&lt;&gt;"",1,0),(O201="x"))*(G201-IFERROR(H201,0))/IFERROR(IF(COUNTIF(J201:U201,"x")=0,COUNTA(Besatzung!$B$11:$B$22),COUNTIF(J201:U201,"x")),1)+IF(COUNTIF(J201:U201,"x")=0,(Besatzung!$F$16="x"),(O201="x")*(Besatzung!$F$16="x"))*IFERROR(H201,0)/IFERROR(IF(COUNTIF(J201:U201,"x")=0,SUMPRODUCT((Besatzung!$B$11:$B$22&lt;&gt;"")*(Besatzung!$F$11:$F$22="x")),SUMPRODUCT((J201:U201="x")*(Besatzung!$F$11:$F$22="x"))),1))))),0))))</f>
        <v/>
      </c>
      <c r="AB201" s="106">
        <f>IF(C201="Gutschrift","",IF(G201="","",IF(Besatzung!$B$17="","",IFERROR(IF(I201="Zeitanteilig",(Besatzung!$G$17*(G201-IFERROR(H201,0))+((Besatzung!$B$17&lt;&gt;"")*IF(B201="",1,(IF(Besatzung!$C$17="",Besatzung!$B$5,Besatzung!$C$17)&lt;=B201)*(IF(Besatzung!$D$17="",Besatzung!$B$6,Besatzung!$D$17)&gt;=B201)))*(Besatzung!$F$17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$17&lt;&gt;"")*IF(B201="",1,(IF(Besatzung!$C$17="",Besatzung!$B$5,Besatzung!$C$17)&lt;=B201)*(IF(Besatzung!$D$17="",Besatzung!$B$6,Besatzung!$D$17)&gt;=B201)))*((G201-IFERROR(H201,0))/IFERROR(SUMPRODUCT((Besatzung!$B$11:$B$22&lt;&gt;"")*(IF(Besatzung!$C$11:$C$22="",Besatzung!$B$5,Besatzung!$C$11:$C$22)&lt;=B201)*(IF(Besatzung!$D$11:$D$22="",Besatzung!$B$6,Besatzung!$D$11:$D$22)&gt;=B201)),1)+(Besatzung!$F$17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P201="x")*((G201-IFERROR(H201,0))/IFERROR(COUNTIF(J201:U201,"x"),1)+(Besatzung!$F$17="x")*IFERROR(H201,0)/IFERROR(SUMPRODUCT((J201:U201="x")*(Besatzung!$F$11:$F$22="x")),1))),(IF(COUNTIF(J201:U201,"x")=0,IF(Besatzung!$B$17&lt;&gt;"",1,0),(P201="x"))*(G201-IFERROR(H201,0))/IFERROR(IF(COUNTIF(J201:U201,"x")=0,COUNTA(Besatzung!$B$11:$B$22),COUNTIF(J201:U201,"x")),1)+IF(COUNTIF(J201:U201,"x")=0,(Besatzung!$F$17="x"),(P201="x")*(Besatzung!$F$17="x"))*IFERROR(H201,0)/IFERROR(IF(COUNTIF(J201:U201,"x")=0,SUMPRODUCT((Besatzung!$B$11:$B$22&lt;&gt;"")*(Besatzung!$F$11:$F$22="x")),SUMPRODUCT((J201:U201="x")*(Besatzung!$F$11:$F$22="x"))),1))))),0))))</f>
        <v/>
      </c>
      <c r="AC201" s="106">
        <f>IF(C201="Gutschrift","",IF(G201="","",IF(Besatzung!$B$18="","",IFERROR(IF(I201="Zeitanteilig",(Besatzung!$G$18*(G201-IFERROR(H201,0))+((Besatzung!$B$18&lt;&gt;"")*IF(B201="",1,(IF(Besatzung!$C$18="",Besatzung!$B$5,Besatzung!$C$18)&lt;=B201)*(IF(Besatzung!$D$18="",Besatzung!$B$6,Besatzung!$D$18)&gt;=B201)))*(Besatzung!$F$18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$18&lt;&gt;"")*IF(B201="",1,(IF(Besatzung!$C$18="",Besatzung!$B$5,Besatzung!$C$18)&lt;=B201)*(IF(Besatzung!$D$18="",Besatzung!$B$6,Besatzung!$D$18)&gt;=B201)))*((G201-IFERROR(H201,0))/IFERROR(SUMPRODUCT((Besatzung!$B$11:$B$22&lt;&gt;"")*(IF(Besatzung!$C$11:$C$22="",Besatzung!$B$5,Besatzung!$C$11:$C$22)&lt;=B201)*(IF(Besatzung!$D$11:$D$22="",Besatzung!$B$6,Besatzung!$D$11:$D$22)&gt;=B201)),1)+(Besatzung!$F$18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Q201="x")*((G201-IFERROR(H201,0))/IFERROR(COUNTIF(J201:U201,"x"),1)+(Besatzung!$F$18="x")*IFERROR(H201,0)/IFERROR(SUMPRODUCT((J201:U201="x")*(Besatzung!$F$11:$F$22="x")),1))),(IF(COUNTIF(J201:U201,"x")=0,IF(Besatzung!$B$18&lt;&gt;"",1,0),(Q201="x"))*(G201-IFERROR(H201,0))/IFERROR(IF(COUNTIF(J201:U201,"x")=0,COUNTA(Besatzung!$B$11:$B$22),COUNTIF(J201:U201,"x")),1)+IF(COUNTIF(J201:U201,"x")=0,(Besatzung!$F$18="x"),(Q201="x")*(Besatzung!$F$18="x"))*IFERROR(H201,0)/IFERROR(IF(COUNTIF(J201:U201,"x")=0,SUMPRODUCT((Besatzung!$B$11:$B$22&lt;&gt;"")*(Besatzung!$F$11:$F$22="x")),SUMPRODUCT((J201:U201="x")*(Besatzung!$F$11:$F$22="x"))),1))))),0))))</f>
        <v/>
      </c>
      <c r="AD201" s="106">
        <f>IF(C201="Gutschrift","",IF(G201="","",IF(Besatzung!$B$19="","",IFERROR(IF(I201="Zeitanteilig",(Besatzung!$G$19*(G201-IFERROR(H201,0))+((Besatzung!$B$19&lt;&gt;"")*IF(B201="",1,(IF(Besatzung!$C$19="",Besatzung!$B$5,Besatzung!$C$19)&lt;=B201)*(IF(Besatzung!$D$19="",Besatzung!$B$6,Besatzung!$D$19)&gt;=B201)))*(Besatzung!$F$19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$19&lt;&gt;"")*IF(B201="",1,(IF(Besatzung!$C$19="",Besatzung!$B$5,Besatzung!$C$19)&lt;=B201)*(IF(Besatzung!$D$19="",Besatzung!$B$6,Besatzung!$D$19)&gt;=B201)))*((G201-IFERROR(H201,0))/IFERROR(SUMPRODUCT((Besatzung!$B$11:$B$22&lt;&gt;"")*(IF(Besatzung!$C$11:$C$22="",Besatzung!$B$5,Besatzung!$C$11:$C$22)&lt;=B201)*(IF(Besatzung!$D$11:$D$22="",Besatzung!$B$6,Besatzung!$D$11:$D$22)&gt;=B201)),1)+(Besatzung!$F$19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R201="x")*((G201-IFERROR(H201,0))/IFERROR(COUNTIF(J201:U201,"x"),1)+(Besatzung!$F$19="x")*IFERROR(H201,0)/IFERROR(SUMPRODUCT((J201:U201="x")*(Besatzung!$F$11:$F$22="x")),1))),(IF(COUNTIF(J201:U201,"x")=0,IF(Besatzung!$B$19&lt;&gt;"",1,0),(R201="x"))*(G201-IFERROR(H201,0))/IFERROR(IF(COUNTIF(J201:U201,"x")=0,COUNTA(Besatzung!$B$11:$B$22),COUNTIF(J201:U201,"x")),1)+IF(COUNTIF(J201:U201,"x")=0,(Besatzung!$F$19="x"),(R201="x")*(Besatzung!$F$19="x"))*IFERROR(H201,0)/IFERROR(IF(COUNTIF(J201:U201,"x")=0,SUMPRODUCT((Besatzung!$B$11:$B$22&lt;&gt;"")*(Besatzung!$F$11:$F$22="x")),SUMPRODUCT((J201:U201="x")*(Besatzung!$F$11:$F$22="x"))),1))))),0))))</f>
        <v/>
      </c>
      <c r="AE201" s="106">
        <f>IF(C201="Gutschrift","",IF(G201="","",IF(Besatzung!$B$20="","",IFERROR(IF(I201="Zeitanteilig",(Besatzung!$G$20*(G201-IFERROR(H201,0))+((Besatzung!$B$20&lt;&gt;"")*IF(B201="",1,(IF(Besatzung!$C$20="",Besatzung!$B$5,Besatzung!$C$20)&lt;=B201)*(IF(Besatzung!$D$20="",Besatzung!$B$6,Besatzung!$D$20)&gt;=B201)))*(Besatzung!$F$20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$20&lt;&gt;"")*IF(B201="",1,(IF(Besatzung!$C$20="",Besatzung!$B$5,Besatzung!$C$20)&lt;=B201)*(IF(Besatzung!$D$20="",Besatzung!$B$6,Besatzung!$D$20)&gt;=B201)))*((G201-IFERROR(H201,0))/IFERROR(SUMPRODUCT((Besatzung!$B$11:$B$22&lt;&gt;"")*(IF(Besatzung!$C$11:$C$22="",Besatzung!$B$5,Besatzung!$C$11:$C$22)&lt;=B201)*(IF(Besatzung!$D$11:$D$22="",Besatzung!$B$6,Besatzung!$D$11:$D$22)&gt;=B201)),1)+(Besatzung!$F$20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S201="x")*((G201-IFERROR(H201,0))/IFERROR(COUNTIF(J201:U201,"x"),1)+(Besatzung!$F$20="x")*IFERROR(H201,0)/IFERROR(SUMPRODUCT((J201:U201="x")*(Besatzung!$F$11:$F$22="x")),1))),(IF(COUNTIF(J201:U201,"x")=0,IF(Besatzung!$B$20&lt;&gt;"",1,0),(S201="x"))*(G201-IFERROR(H201,0))/IFERROR(IF(COUNTIF(J201:U201,"x")=0,COUNTA(Besatzung!$B$11:$B$22),COUNTIF(J201:U201,"x")),1)+IF(COUNTIF(J201:U201,"x")=0,(Besatzung!$F$20="x"),(S201="x")*(Besatzung!$F$20="x"))*IFERROR(H201,0)/IFERROR(IF(COUNTIF(J201:U201,"x")=0,SUMPRODUCT((Besatzung!$B$11:$B$22&lt;&gt;"")*(Besatzung!$F$11:$F$22="x")),SUMPRODUCT((J201:U201="x")*(Besatzung!$F$11:$F$22="x"))),1))))),0))))</f>
        <v/>
      </c>
      <c r="AF201" s="106">
        <f>IF(C201="Gutschrift","",IF(G201="","",IF(Besatzung!$B$21="","",IFERROR(IF(I201="Zeitanteilig",(Besatzung!$G$21*(G201-IFERROR(H201,0))+((Besatzung!$B$21&lt;&gt;"")*IF(B201="",1,(IF(Besatzung!$C$21="",Besatzung!$B$5,Besatzung!$C$21)&lt;=B201)*(IF(Besatzung!$D$21="",Besatzung!$B$6,Besatzung!$D$21)&gt;=B201)))*(Besatzung!$F$21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$21&lt;&gt;"")*IF(B201="",1,(IF(Besatzung!$C$21="",Besatzung!$B$5,Besatzung!$C$21)&lt;=B201)*(IF(Besatzung!$D$21="",Besatzung!$B$6,Besatzung!$D$21)&gt;=B201)))*((G201-IFERROR(H201,0))/IFERROR(SUMPRODUCT((Besatzung!$B$11:$B$22&lt;&gt;"")*(IF(Besatzung!$C$11:$C$22="",Besatzung!$B$5,Besatzung!$C$11:$C$22)&lt;=B201)*(IF(Besatzung!$D$11:$D$22="",Besatzung!$B$6,Besatzung!$D$11:$D$22)&gt;=B201)),1)+(Besatzung!$F$21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T201="x")*((G201-IFERROR(H201,0))/IFERROR(COUNTIF(J201:U201,"x"),1)+(Besatzung!$F$21="x")*IFERROR(H201,0)/IFERROR(SUMPRODUCT((J201:U201="x")*(Besatzung!$F$11:$F$22="x")),1))),(IF(COUNTIF(J201:U201,"x")=0,IF(Besatzung!$B$21&lt;&gt;"",1,0),(T201="x"))*(G201-IFERROR(H201,0))/IFERROR(IF(COUNTIF(J201:U201,"x")=0,COUNTA(Besatzung!$B$11:$B$22),COUNTIF(J201:U201,"x")),1)+IF(COUNTIF(J201:U201,"x")=0,(Besatzung!$F$21="x"),(T201="x")*(Besatzung!$F$21="x"))*IFERROR(H201,0)/IFERROR(IF(COUNTIF(J201:U201,"x")=0,SUMPRODUCT((Besatzung!$B$11:$B$22&lt;&gt;"")*(Besatzung!$F$11:$F$22="x")),SUMPRODUCT((J201:U201="x")*(Besatzung!$F$11:$F$22="x"))),1))))),0))))</f>
        <v/>
      </c>
      <c r="AG201" s="106">
        <f>IF(C201="Gutschrift","",IF(G201="","",IF(Besatzung!$B$22="","",IFERROR(IF(I201="Zeitanteilig",(Besatzung!$G$22*(G201-IFERROR(H201,0))+((Besatzung!$B$22&lt;&gt;"")*IF(B201="",1,(IF(Besatzung!$C$22="",Besatzung!$B$5,Besatzung!$C$22)&lt;=B201)*(IF(Besatzung!$D$22="",Besatzung!$B$6,Besatzung!$D$22)&gt;=B201)))*(Besatzung!$F$22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$22&lt;&gt;"")*IF(B201="",1,(IF(Besatzung!$C$22="",Besatzung!$B$5,Besatzung!$C$22)&lt;=B201)*(IF(Besatzung!$D$22="",Besatzung!$B$6,Besatzung!$D$22)&gt;=B201)))*((G201-IFERROR(H201,0))/IFERROR(SUMPRODUCT((Besatzung!$B$11:$B$22&lt;&gt;"")*(IF(Besatzung!$C$11:$C$22="",Besatzung!$B$5,Besatzung!$C$11:$C$22)&lt;=B201)*(IF(Besatzung!$D$11:$D$22="",Besatzung!$B$6,Besatzung!$D$11:$D$22)&gt;=B201)),1)+(Besatzung!$F$22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U201="x")*((G201-IFERROR(H201,0))/IFERROR(COUNTIF(J201:U201,"x"),1)+(Besatzung!$F$22="x")*IFERROR(H201,0)/IFERROR(SUMPRODUCT((J201:U201="x")*(Besatzung!$F$11:$F$22="x")),1))),(IF(COUNTIF(J201:U201,"x")=0,IF(Besatzung!$B$22&lt;&gt;"",1,0),(U201="x"))*(G201-IFERROR(H201,0))/IFERROR(IF(COUNTIF(J201:U201,"x")=0,COUNTA(Besatzung!$B$11:$B$22),COUNTIF(J201:U201,"x")),1)+IF(COUNTIF(J201:U201,"x")=0,(Besatzung!$F$22="x"),(U201="x")*(Besatzung!$F$22="x"))*IFERROR(H201,0)/IFERROR(IF(COUNTIF(J201:U201,"x")=0,SUMPRODUCT((Besatzung!$B$11:$B$22&lt;&gt;"")*(Besatzung!$F$11:$F$22="x")),SUMPRODUCT((J201:U201="x")*(Besatzung!$F$11:$F$22="x"))),1))))),0))))</f>
        <v/>
      </c>
      <c r="AH201" s="107" t="n"/>
      <c r="AI201" s="107" t="n"/>
    </row>
    <row r="202" ht="21.75" customHeight="1" s="182">
      <c r="A202" s="97">
        <f>IF(AND(D202="",C202=""),"",199)</f>
        <v/>
      </c>
      <c r="B202" s="56" t="n"/>
      <c r="C202" s="98" t="n"/>
      <c r="D202" s="99" t="n"/>
      <c r="E202" s="100" t="n"/>
      <c r="F202" s="101" t="n"/>
      <c r="G202" s="102" t="n"/>
      <c r="H202" s="103" t="n"/>
      <c r="I202" s="104" t="n"/>
      <c r="J202" s="105" t="n"/>
      <c r="K202" s="105" t="n"/>
      <c r="L202" s="105" t="n"/>
      <c r="M202" s="105" t="n"/>
      <c r="N202" s="105" t="n"/>
      <c r="O202" s="105" t="n"/>
      <c r="P202" s="105" t="n"/>
      <c r="Q202" s="105" t="n"/>
      <c r="R202" s="105" t="n"/>
      <c r="S202" s="105" t="n"/>
      <c r="T202" s="105" t="n"/>
      <c r="U202" s="105" t="n"/>
      <c r="V202" s="106">
        <f>IF(C202="Gutschrift","",IF(G202="","",IF(Besatzung!$B$11="","",IFERROR(IF(I202="Zeitanteilig",(Besatzung!$G$11*(G202-IFERROR(H202,0))+((Besatzung!$B$11&lt;&gt;"")*IF(B202="",1,(IF(Besatzung!$C$11="",Besatzung!$B$5,Besatzung!$C$11)&lt;=B202)*(IF(Besatzung!$D$11="",Besatzung!$B$6,Besatzung!$D$11)&gt;=B202)))*(Besatzung!$F$11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$11&lt;&gt;"")*IF(B202="",1,(IF(Besatzung!$C$11="",Besatzung!$B$5,Besatzung!$C$11)&lt;=B202)*(IF(Besatzung!$D$11="",Besatzung!$B$6,Besatzung!$D$11)&gt;=B202)))*((G202-IFERROR(H202,0))/IFERROR(SUMPRODUCT((Besatzung!$B$11:$B$22&lt;&gt;"")*(IF(Besatzung!$C$11:$C$22="",Besatzung!$B$5,Besatzung!$C$11:$C$22)&lt;=B202)*(IF(Besatzung!$D$11:$D$22="",Besatzung!$B$6,Besatzung!$D$11:$D$22)&gt;=B202)),1)+(Besatzung!$F$11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J202="x")*((G202-IFERROR(H202,0))/IFERROR(COUNTIF(J202:U202,"x"),1)+(Besatzung!$F$11="x")*IFERROR(H202,0)/IFERROR(SUMPRODUCT((J202:U202="x")*(Besatzung!$F$11:$F$22="x")),1))),(IF(COUNTIF(J202:U202,"x")=0,IF(Besatzung!$B$11&lt;&gt;"",1,0),(J202="x"))*(G202-IFERROR(H202,0))/IFERROR(IF(COUNTIF(J202:U202,"x")=0,COUNTA(Besatzung!$B$11:$B$22),COUNTIF(J202:U202,"x")),1)+IF(COUNTIF(J202:U202,"x")=0,(Besatzung!$F$11="x"),(J202="x")*(Besatzung!$F$11="x"))*IFERROR(H202,0)/IFERROR(IF(COUNTIF(J202:U202,"x")=0,SUMPRODUCT((Besatzung!$B$11:$B$22&lt;&gt;"")*(Besatzung!$F$11:$F$22="x")),SUMPRODUCT((J202:U202="x")*(Besatzung!$F$11:$F$22="x"))),1))))),0))))</f>
        <v/>
      </c>
      <c r="W202" s="106">
        <f>IF(C202="Gutschrift","",IF(G202="","",IF(Besatzung!$B$12="","",IFERROR(IF(I202="Zeitanteilig",(Besatzung!$G$12*(G202-IFERROR(H202,0))+((Besatzung!$B$12&lt;&gt;"")*IF(B202="",1,(IF(Besatzung!$C$12="",Besatzung!$B$5,Besatzung!$C$12)&lt;=B202)*(IF(Besatzung!$D$12="",Besatzung!$B$6,Besatzung!$D$12)&gt;=B202)))*(Besatzung!$F$12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$12&lt;&gt;"")*IF(B202="",1,(IF(Besatzung!$C$12="",Besatzung!$B$5,Besatzung!$C$12)&lt;=B202)*(IF(Besatzung!$D$12="",Besatzung!$B$6,Besatzung!$D$12)&gt;=B202)))*((G202-IFERROR(H202,0))/IFERROR(SUMPRODUCT((Besatzung!$B$11:$B$22&lt;&gt;"")*(IF(Besatzung!$C$11:$C$22="",Besatzung!$B$5,Besatzung!$C$11:$C$22)&lt;=B202)*(IF(Besatzung!$D$11:$D$22="",Besatzung!$B$6,Besatzung!$D$11:$D$22)&gt;=B202)),1)+(Besatzung!$F$12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K202="x")*((G202-IFERROR(H202,0))/IFERROR(COUNTIF(J202:U202,"x"),1)+(Besatzung!$F$12="x")*IFERROR(H202,0)/IFERROR(SUMPRODUCT((J202:U202="x")*(Besatzung!$F$11:$F$22="x")),1))),(IF(COUNTIF(J202:U202,"x")=0,IF(Besatzung!$B$12&lt;&gt;"",1,0),(K202="x"))*(G202-IFERROR(H202,0))/IFERROR(IF(COUNTIF(J202:U202,"x")=0,COUNTA(Besatzung!$B$11:$B$22),COUNTIF(J202:U202,"x")),1)+IF(COUNTIF(J202:U202,"x")=0,(Besatzung!$F$12="x"),(K202="x")*(Besatzung!$F$12="x"))*IFERROR(H202,0)/IFERROR(IF(COUNTIF(J202:U202,"x")=0,SUMPRODUCT((Besatzung!$B$11:$B$22&lt;&gt;"")*(Besatzung!$F$11:$F$22="x")),SUMPRODUCT((J202:U202="x")*(Besatzung!$F$11:$F$22="x"))),1))))),0))))</f>
        <v/>
      </c>
      <c r="X202" s="106">
        <f>IF(C202="Gutschrift","",IF(G202="","",IF(Besatzung!$B$13="","",IFERROR(IF(I202="Zeitanteilig",(Besatzung!$G$13*(G202-IFERROR(H202,0))+((Besatzung!$B$13&lt;&gt;"")*IF(B202="",1,(IF(Besatzung!$C$13="",Besatzung!$B$5,Besatzung!$C$13)&lt;=B202)*(IF(Besatzung!$D$13="",Besatzung!$B$6,Besatzung!$D$13)&gt;=B202)))*(Besatzung!$F$13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$13&lt;&gt;"")*IF(B202="",1,(IF(Besatzung!$C$13="",Besatzung!$B$5,Besatzung!$C$13)&lt;=B202)*(IF(Besatzung!$D$13="",Besatzung!$B$6,Besatzung!$D$13)&gt;=B202)))*((G202-IFERROR(H202,0))/IFERROR(SUMPRODUCT((Besatzung!$B$11:$B$22&lt;&gt;"")*(IF(Besatzung!$C$11:$C$22="",Besatzung!$B$5,Besatzung!$C$11:$C$22)&lt;=B202)*(IF(Besatzung!$D$11:$D$22="",Besatzung!$B$6,Besatzung!$D$11:$D$22)&gt;=B202)),1)+(Besatzung!$F$13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K202="x")*((G202-IFERROR(H202,0))/IFERROR(COUNTIF(J202:U202,"x"),1)+(Besatzung!$F$13="x")*IFERROR(H202,0)/IFERROR(SUMPRODUCT((J202:U202="x")*(Besatzung!$F$11:$F$22="x")),1))),(IF(COUNTIF(J202:U202,"x")=0,IF(Besatzung!$B$13&lt;&gt;"",1,0),(K202="x"))*(G202-IFERROR(H202,0))/IFERROR(IF(COUNTIF(J202:U202,"x")=0,COUNTA(Besatzung!$B$11:$B$22),COUNTIF(J202:U202,"x")),1)+IF(COUNTIF(J202:U202,"x")=0,(Besatzung!$F$13="x"),(K202="x")*(Besatzung!$F$13="x"))*IFERROR(H202,0)/IFERROR(IF(COUNTIF(J202:U202,"x")=0,SUMPRODUCT((Besatzung!$B$11:$B$22&lt;&gt;"")*(Besatzung!$F$11:$F$22="x")),SUMPRODUCT((J202:U202="x")*(Besatzung!$F$11:$F$22="x"))),1))))),0))))</f>
        <v/>
      </c>
      <c r="Y202" s="106">
        <f>IF(C202="Gutschrift","",IF(G202="","",IF(Besatzung!$B$14="","",IFERROR(IF(I202="Zeitanteilig",(Besatzung!$G$14*(G202-IFERROR(H202,0))+((Besatzung!$B$14&lt;&gt;"")*IF(B202="",1,(IF(Besatzung!$C$14="",Besatzung!$B$5,Besatzung!$C$14)&lt;=B202)*(IF(Besatzung!$D$14="",Besatzung!$B$6,Besatzung!$D$14)&gt;=B202)))*(Besatzung!$F$14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$14&lt;&gt;"")*IF(B202="",1,(IF(Besatzung!$C$14="",Besatzung!$B$5,Besatzung!$C$14)&lt;=B202)*(IF(Besatzung!$D$14="",Besatzung!$B$6,Besatzung!$D$14)&gt;=B202)))*((G202-IFERROR(H202,0))/IFERROR(SUMPRODUCT((Besatzung!$B$11:$B$22&lt;&gt;"")*(IF(Besatzung!$C$11:$C$22="",Besatzung!$B$5,Besatzung!$C$11:$C$22)&lt;=B202)*(IF(Besatzung!$D$11:$D$22="",Besatzung!$B$6,Besatzung!$D$11:$D$22)&gt;=B202)),1)+(Besatzung!$F$14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M202="x")*((G202-IFERROR(H202,0))/IFERROR(COUNTIF(J202:U202,"x"),1)+(Besatzung!$F$14="x")*IFERROR(H202,0)/IFERROR(SUMPRODUCT((J202:U202="x")*(Besatzung!$F$11:$F$22="x")),1))),(IF(COUNTIF(J202:U202,"x")=0,IF(Besatzung!$B$14&lt;&gt;"",1,0),(M202="x"))*(G202-IFERROR(H202,0))/IFERROR(IF(COUNTIF(J202:U202,"x")=0,COUNTA(Besatzung!$B$11:$B$22),COUNTIF(J202:U202,"x")),1)+IF(COUNTIF(J202:U202,"x")=0,(Besatzung!$F$14="x"),(M202="x")*(Besatzung!$F$14="x"))*IFERROR(H202,0)/IFERROR(IF(COUNTIF(J202:U202,"x")=0,SUMPRODUCT((Besatzung!$B$11:$B$22&lt;&gt;"")*(Besatzung!$F$11:$F$22="x")),SUMPRODUCT((J202:U202="x")*(Besatzung!$F$11:$F$22="x"))),1))))),0))))</f>
        <v/>
      </c>
      <c r="Z202" s="106">
        <f>IF(C202="Gutschrift","",IF(G202="","",IF(Besatzung!$B$13="","",IFERROR(IF(I202="Zeitanteilig",(Besatzung!$G$15*(G202-IFERROR(H202,0))+((Besatzung!$B$13&lt;&gt;"")*IF(B202="",1,(IF(Besatzung!$C$15="",Besatzung!$B$5,Besatzung!$C$15)&lt;=B202)*(IF(Besatzung!$D$15="",Besatzung!$B$6,Besatzung!$D$15)&gt;=B202)))*(Besatzung!$F$15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$13&lt;&gt;"")*IF(B202="",1,(IF(Besatzung!$C$15="",Besatzung!$B$5,Besatzung!$C$15)&lt;=B202)*(IF(Besatzung!$D$15="",Besatzung!$B$6,Besatzung!$D$15)&gt;=B202)))*((G202-IFERROR(H202,0))/IFERROR(SUMPRODUCT((Besatzung!$B$11:$B$22&lt;&gt;"")*(IF(Besatzung!$C$11:$C$22="",Besatzung!$B$5,Besatzung!$C$11:$C$22)&lt;=B202)*(IF(Besatzung!$D$11:$D$22="",Besatzung!$B$6,Besatzung!$D$11:$D$22)&gt;=B202)),1)+(Besatzung!$F$15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N202="x")*((G202-IFERROR(H202,0))/IFERROR(COUNTIF(J202:U202,"x"),1)+(Besatzung!$F$15="x")*IFERROR(H202,0)/IFERROR(SUMPRODUCT((J202:U202="x")*(Besatzung!$F$11:$F$22="x")),1))),(IF(COUNTIF(J202:U202,"x")=0,IF(Besatzung!$B$13&lt;&gt;"",1,0),(N202="x"))*(G202-IFERROR(H202,0))/IFERROR(IF(COUNTIF(J202:U202,"x")=0,COUNTA(Besatzung!$B$11:$B$22),COUNTIF(J202:U202,"x")),1)+IF(COUNTIF(J202:U202,"x")=0,(Besatzung!$F$15="x"),(N202="x")*(Besatzung!$F$15="x"))*IFERROR(H202,0)/IFERROR(IF(COUNTIF(J202:U202,"x")=0,SUMPRODUCT((Besatzung!$B$11:$B$22&lt;&gt;"")*(Besatzung!$F$11:$F$22="x")),SUMPRODUCT((J202:U202="x")*(Besatzung!$F$11:$F$22="x"))),1))))),0))))</f>
        <v/>
      </c>
      <c r="AA202" s="106">
        <f>IF(C202="Gutschrift","",IF(G202="","",IF(Besatzung!$B$15="","",IFERROR(IF(I202="Zeitanteilig",(Besatzung!$G$16*(G202-IFERROR(H202,0))+((Besatzung!$B$15&lt;&gt;"")*IF(B202="",1,(IF(Besatzung!$C$16="",Besatzung!$B$5,Besatzung!$C$16)&lt;=B202)*(IF(Besatzung!$D$16="",Besatzung!$B$6,Besatzung!$D$16)&gt;=B202)))*(Besatzung!$F$16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$15&lt;&gt;"")*IF(B202="",1,(IF(Besatzung!$C$16="",Besatzung!$B$5,Besatzung!$C$16)&lt;=B202)*(IF(Besatzung!$D$16="",Besatzung!$B$6,Besatzung!$D$16)&gt;=B202)))*((G202-IFERROR(H202,0))/IFERROR(SUMPRODUCT((Besatzung!$B$11:$B$22&lt;&gt;"")*(IF(Besatzung!$C$11:$C$22="",Besatzung!$B$5,Besatzung!$C$11:$C$22)&lt;=B202)*(IF(Besatzung!$D$11:$D$22="",Besatzung!$B$6,Besatzung!$D$11:$D$22)&gt;=B202)),1)+(Besatzung!$F$16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O202="x")*((G202-IFERROR(H202,0))/IFERROR(COUNTIF(J202:U202,"x"),1)+(Besatzung!$F$16="x")*IFERROR(H202,0)/IFERROR(SUMPRODUCT((J202:U202="x")*(Besatzung!$F$11:$F$22="x")),1))),(IF(COUNTIF(J202:U202,"x")=0,IF(Besatzung!$B$15&lt;&gt;"",1,0),(O202="x"))*(G202-IFERROR(H202,0))/IFERROR(IF(COUNTIF(J202:U202,"x")=0,COUNTA(Besatzung!$B$11:$B$22),COUNTIF(J202:U202,"x")),1)+IF(COUNTIF(J202:U202,"x")=0,(Besatzung!$F$16="x"),(O202="x")*(Besatzung!$F$16="x"))*IFERROR(H202,0)/IFERROR(IF(COUNTIF(J202:U202,"x")=0,SUMPRODUCT((Besatzung!$B$11:$B$22&lt;&gt;"")*(Besatzung!$F$11:$F$22="x")),SUMPRODUCT((J202:U202="x")*(Besatzung!$F$11:$F$22="x"))),1))))),0))))</f>
        <v/>
      </c>
      <c r="AB202" s="106">
        <f>IF(C202="Gutschrift","",IF(G202="","",IF(Besatzung!$B$17="","",IFERROR(IF(I202="Zeitanteilig",(Besatzung!$G$17*(G202-IFERROR(H202,0))+((Besatzung!$B$17&lt;&gt;"")*IF(B202="",1,(IF(Besatzung!$C$17="",Besatzung!$B$5,Besatzung!$C$17)&lt;=B202)*(IF(Besatzung!$D$17="",Besatzung!$B$6,Besatzung!$D$17)&gt;=B202)))*(Besatzung!$F$17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$17&lt;&gt;"")*IF(B202="",1,(IF(Besatzung!$C$17="",Besatzung!$B$5,Besatzung!$C$17)&lt;=B202)*(IF(Besatzung!$D$17="",Besatzung!$B$6,Besatzung!$D$17)&gt;=B202)))*((G202-IFERROR(H202,0))/IFERROR(SUMPRODUCT((Besatzung!$B$11:$B$22&lt;&gt;"")*(IF(Besatzung!$C$11:$C$22="",Besatzung!$B$5,Besatzung!$C$11:$C$22)&lt;=B202)*(IF(Besatzung!$D$11:$D$22="",Besatzung!$B$6,Besatzung!$D$11:$D$22)&gt;=B202)),1)+(Besatzung!$F$17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P202="x")*((G202-IFERROR(H202,0))/IFERROR(COUNTIF(J202:U202,"x"),1)+(Besatzung!$F$17="x")*IFERROR(H202,0)/IFERROR(SUMPRODUCT((J202:U202="x")*(Besatzung!$F$11:$F$22="x")),1))),(IF(COUNTIF(J202:U202,"x")=0,IF(Besatzung!$B$17&lt;&gt;"",1,0),(P202="x"))*(G202-IFERROR(H202,0))/IFERROR(IF(COUNTIF(J202:U202,"x")=0,COUNTA(Besatzung!$B$11:$B$22),COUNTIF(J202:U202,"x")),1)+IF(COUNTIF(J202:U202,"x")=0,(Besatzung!$F$17="x"),(P202="x")*(Besatzung!$F$17="x"))*IFERROR(H202,0)/IFERROR(IF(COUNTIF(J202:U202,"x")=0,SUMPRODUCT((Besatzung!$B$11:$B$22&lt;&gt;"")*(Besatzung!$F$11:$F$22="x")),SUMPRODUCT((J202:U202="x")*(Besatzung!$F$11:$F$22="x"))),1))))),0))))</f>
        <v/>
      </c>
      <c r="AC202" s="106">
        <f>IF(C202="Gutschrift","",IF(G202="","",IF(Besatzung!$B$18="","",IFERROR(IF(I202="Zeitanteilig",(Besatzung!$G$18*(G202-IFERROR(H202,0))+((Besatzung!$B$18&lt;&gt;"")*IF(B202="",1,(IF(Besatzung!$C$18="",Besatzung!$B$5,Besatzung!$C$18)&lt;=B202)*(IF(Besatzung!$D$18="",Besatzung!$B$6,Besatzung!$D$18)&gt;=B202)))*(Besatzung!$F$18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$18&lt;&gt;"")*IF(B202="",1,(IF(Besatzung!$C$18="",Besatzung!$B$5,Besatzung!$C$18)&lt;=B202)*(IF(Besatzung!$D$18="",Besatzung!$B$6,Besatzung!$D$18)&gt;=B202)))*((G202-IFERROR(H202,0))/IFERROR(SUMPRODUCT((Besatzung!$B$11:$B$22&lt;&gt;"")*(IF(Besatzung!$C$11:$C$22="",Besatzung!$B$5,Besatzung!$C$11:$C$22)&lt;=B202)*(IF(Besatzung!$D$11:$D$22="",Besatzung!$B$6,Besatzung!$D$11:$D$22)&gt;=B202)),1)+(Besatzung!$F$18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Q202="x")*((G202-IFERROR(H202,0))/IFERROR(COUNTIF(J202:U202,"x"),1)+(Besatzung!$F$18="x")*IFERROR(H202,0)/IFERROR(SUMPRODUCT((J202:U202="x")*(Besatzung!$F$11:$F$22="x")),1))),(IF(COUNTIF(J202:U202,"x")=0,IF(Besatzung!$B$18&lt;&gt;"",1,0),(Q202="x"))*(G202-IFERROR(H202,0))/IFERROR(IF(COUNTIF(J202:U202,"x")=0,COUNTA(Besatzung!$B$11:$B$22),COUNTIF(J202:U202,"x")),1)+IF(COUNTIF(J202:U202,"x")=0,(Besatzung!$F$18="x"),(Q202="x")*(Besatzung!$F$18="x"))*IFERROR(H202,0)/IFERROR(IF(COUNTIF(J202:U202,"x")=0,SUMPRODUCT((Besatzung!$B$11:$B$22&lt;&gt;"")*(Besatzung!$F$11:$F$22="x")),SUMPRODUCT((J202:U202="x")*(Besatzung!$F$11:$F$22="x"))),1))))),0))))</f>
        <v/>
      </c>
      <c r="AD202" s="106">
        <f>IF(C202="Gutschrift","",IF(G202="","",IF(Besatzung!$B$19="","",IFERROR(IF(I202="Zeitanteilig",(Besatzung!$G$19*(G202-IFERROR(H202,0))+((Besatzung!$B$19&lt;&gt;"")*IF(B202="",1,(IF(Besatzung!$C$19="",Besatzung!$B$5,Besatzung!$C$19)&lt;=B202)*(IF(Besatzung!$D$19="",Besatzung!$B$6,Besatzung!$D$19)&gt;=B202)))*(Besatzung!$F$19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$19&lt;&gt;"")*IF(B202="",1,(IF(Besatzung!$C$19="",Besatzung!$B$5,Besatzung!$C$19)&lt;=B202)*(IF(Besatzung!$D$19="",Besatzung!$B$6,Besatzung!$D$19)&gt;=B202)))*((G202-IFERROR(H202,0))/IFERROR(SUMPRODUCT((Besatzung!$B$11:$B$22&lt;&gt;"")*(IF(Besatzung!$C$11:$C$22="",Besatzung!$B$5,Besatzung!$C$11:$C$22)&lt;=B202)*(IF(Besatzung!$D$11:$D$22="",Besatzung!$B$6,Besatzung!$D$11:$D$22)&gt;=B202)),1)+(Besatzung!$F$19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R202="x")*((G202-IFERROR(H202,0))/IFERROR(COUNTIF(J202:U202,"x"),1)+(Besatzung!$F$19="x")*IFERROR(H202,0)/IFERROR(SUMPRODUCT((J202:U202="x")*(Besatzung!$F$11:$F$22="x")),1))),(IF(COUNTIF(J202:U202,"x")=0,IF(Besatzung!$B$19&lt;&gt;"",1,0),(R202="x"))*(G202-IFERROR(H202,0))/IFERROR(IF(COUNTIF(J202:U202,"x")=0,COUNTA(Besatzung!$B$11:$B$22),COUNTIF(J202:U202,"x")),1)+IF(COUNTIF(J202:U202,"x")=0,(Besatzung!$F$19="x"),(R202="x")*(Besatzung!$F$19="x"))*IFERROR(H202,0)/IFERROR(IF(COUNTIF(J202:U202,"x")=0,SUMPRODUCT((Besatzung!$B$11:$B$22&lt;&gt;"")*(Besatzung!$F$11:$F$22="x")),SUMPRODUCT((J202:U202="x")*(Besatzung!$F$11:$F$22="x"))),1))))),0))))</f>
        <v/>
      </c>
      <c r="AE202" s="106">
        <f>IF(C202="Gutschrift","",IF(G202="","",IF(Besatzung!$B$20="","",IFERROR(IF(I202="Zeitanteilig",(Besatzung!$G$20*(G202-IFERROR(H202,0))+((Besatzung!$B$20&lt;&gt;"")*IF(B202="",1,(IF(Besatzung!$C$20="",Besatzung!$B$5,Besatzung!$C$20)&lt;=B202)*(IF(Besatzung!$D$20="",Besatzung!$B$6,Besatzung!$D$20)&gt;=B202)))*(Besatzung!$F$20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$20&lt;&gt;"")*IF(B202="",1,(IF(Besatzung!$C$20="",Besatzung!$B$5,Besatzung!$C$20)&lt;=B202)*(IF(Besatzung!$D$20="",Besatzung!$B$6,Besatzung!$D$20)&gt;=B202)))*((G202-IFERROR(H202,0))/IFERROR(SUMPRODUCT((Besatzung!$B$11:$B$22&lt;&gt;"")*(IF(Besatzung!$C$11:$C$22="",Besatzung!$B$5,Besatzung!$C$11:$C$22)&lt;=B202)*(IF(Besatzung!$D$11:$D$22="",Besatzung!$B$6,Besatzung!$D$11:$D$22)&gt;=B202)),1)+(Besatzung!$F$20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S202="x")*((G202-IFERROR(H202,0))/IFERROR(COUNTIF(J202:U202,"x"),1)+(Besatzung!$F$20="x")*IFERROR(H202,0)/IFERROR(SUMPRODUCT((J202:U202="x")*(Besatzung!$F$11:$F$22="x")),1))),(IF(COUNTIF(J202:U202,"x")=0,IF(Besatzung!$B$20&lt;&gt;"",1,0),(S202="x"))*(G202-IFERROR(H202,0))/IFERROR(IF(COUNTIF(J202:U202,"x")=0,COUNTA(Besatzung!$B$11:$B$22),COUNTIF(J202:U202,"x")),1)+IF(COUNTIF(J202:U202,"x")=0,(Besatzung!$F$20="x"),(S202="x")*(Besatzung!$F$20="x"))*IFERROR(H202,0)/IFERROR(IF(COUNTIF(J202:U202,"x")=0,SUMPRODUCT((Besatzung!$B$11:$B$22&lt;&gt;"")*(Besatzung!$F$11:$F$22="x")),SUMPRODUCT((J202:U202="x")*(Besatzung!$F$11:$F$22="x"))),1))))),0))))</f>
        <v/>
      </c>
      <c r="AF202" s="106">
        <f>IF(C202="Gutschrift","",IF(G202="","",IF(Besatzung!$B$21="","",IFERROR(IF(I202="Zeitanteilig",(Besatzung!$G$21*(G202-IFERROR(H202,0))+((Besatzung!$B$21&lt;&gt;"")*IF(B202="",1,(IF(Besatzung!$C$21="",Besatzung!$B$5,Besatzung!$C$21)&lt;=B202)*(IF(Besatzung!$D$21="",Besatzung!$B$6,Besatzung!$D$21)&gt;=B202)))*(Besatzung!$F$21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$21&lt;&gt;"")*IF(B202="",1,(IF(Besatzung!$C$21="",Besatzung!$B$5,Besatzung!$C$21)&lt;=B202)*(IF(Besatzung!$D$21="",Besatzung!$B$6,Besatzung!$D$21)&gt;=B202)))*((G202-IFERROR(H202,0))/IFERROR(SUMPRODUCT((Besatzung!$B$11:$B$22&lt;&gt;"")*(IF(Besatzung!$C$11:$C$22="",Besatzung!$B$5,Besatzung!$C$11:$C$22)&lt;=B202)*(IF(Besatzung!$D$11:$D$22="",Besatzung!$B$6,Besatzung!$D$11:$D$22)&gt;=B202)),1)+(Besatzung!$F$21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T202="x")*((G202-IFERROR(H202,0))/IFERROR(COUNTIF(J202:U202,"x"),1)+(Besatzung!$F$21="x")*IFERROR(H202,0)/IFERROR(SUMPRODUCT((J202:U202="x")*(Besatzung!$F$11:$F$22="x")),1))),(IF(COUNTIF(J202:U202,"x")=0,IF(Besatzung!$B$21&lt;&gt;"",1,0),(T202="x"))*(G202-IFERROR(H202,0))/IFERROR(IF(COUNTIF(J202:U202,"x")=0,COUNTA(Besatzung!$B$11:$B$22),COUNTIF(J202:U202,"x")),1)+IF(COUNTIF(J202:U202,"x")=0,(Besatzung!$F$21="x"),(T202="x")*(Besatzung!$F$21="x"))*IFERROR(H202,0)/IFERROR(IF(COUNTIF(J202:U202,"x")=0,SUMPRODUCT((Besatzung!$B$11:$B$22&lt;&gt;"")*(Besatzung!$F$11:$F$22="x")),SUMPRODUCT((J202:U202="x")*(Besatzung!$F$11:$F$22="x"))),1))))),0))))</f>
        <v/>
      </c>
      <c r="AG202" s="106">
        <f>IF(C202="Gutschrift","",IF(G202="","",IF(Besatzung!$B$22="","",IFERROR(IF(I202="Zeitanteilig",(Besatzung!$G$22*(G202-IFERROR(H202,0))+((Besatzung!$B$22&lt;&gt;"")*IF(B202="",1,(IF(Besatzung!$C$22="",Besatzung!$B$5,Besatzung!$C$22)&lt;=B202)*(IF(Besatzung!$D$22="",Besatzung!$B$6,Besatzung!$D$22)&gt;=B202)))*(Besatzung!$F$22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$22&lt;&gt;"")*IF(B202="",1,(IF(Besatzung!$C$22="",Besatzung!$B$5,Besatzung!$C$22)&lt;=B202)*(IF(Besatzung!$D$22="",Besatzung!$B$6,Besatzung!$D$22)&gt;=B202)))*((G202-IFERROR(H202,0))/IFERROR(SUMPRODUCT((Besatzung!$B$11:$B$22&lt;&gt;"")*(IF(Besatzung!$C$11:$C$22="",Besatzung!$B$5,Besatzung!$C$11:$C$22)&lt;=B202)*(IF(Besatzung!$D$11:$D$22="",Besatzung!$B$6,Besatzung!$D$11:$D$22)&gt;=B202)),1)+(Besatzung!$F$22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U202="x")*((G202-IFERROR(H202,0))/IFERROR(COUNTIF(J202:U202,"x"),1)+(Besatzung!$F$22="x")*IFERROR(H202,0)/IFERROR(SUMPRODUCT((J202:U202="x")*(Besatzung!$F$11:$F$22="x")),1))),(IF(COUNTIF(J202:U202,"x")=0,IF(Besatzung!$B$22&lt;&gt;"",1,0),(U202="x"))*(G202-IFERROR(H202,0))/IFERROR(IF(COUNTIF(J202:U202,"x")=0,COUNTA(Besatzung!$B$11:$B$22),COUNTIF(J202:U202,"x")),1)+IF(COUNTIF(J202:U202,"x")=0,(Besatzung!$F$22="x"),(U202="x")*(Besatzung!$F$22="x"))*IFERROR(H202,0)/IFERROR(IF(COUNTIF(J202:U202,"x")=0,SUMPRODUCT((Besatzung!$B$11:$B$22&lt;&gt;"")*(Besatzung!$F$11:$F$22="x")),SUMPRODUCT((J202:U202="x")*(Besatzung!$F$11:$F$22="x"))),1))))),0))))</f>
        <v/>
      </c>
      <c r="AH202" s="107" t="n"/>
      <c r="AI202" s="107" t="n"/>
    </row>
    <row r="203" ht="21.75" customHeight="1" s="182">
      <c r="A203" s="116">
        <f>IF(AND(D203="",C203=""),"",200)</f>
        <v/>
      </c>
      <c r="B203" s="70" t="n"/>
      <c r="C203" s="117" t="n"/>
      <c r="D203" s="118" t="n"/>
      <c r="E203" s="119" t="n"/>
      <c r="F203" s="120" t="n"/>
      <c r="G203" s="121" t="n"/>
      <c r="H203" s="122" t="n"/>
      <c r="I203" s="123" t="n"/>
      <c r="J203" s="124" t="n"/>
      <c r="K203" s="124" t="n"/>
      <c r="L203" s="124" t="n"/>
      <c r="M203" s="124" t="n"/>
      <c r="N203" s="124" t="n"/>
      <c r="O203" s="124" t="n"/>
      <c r="P203" s="124" t="n"/>
      <c r="Q203" s="124" t="n"/>
      <c r="R203" s="124" t="n"/>
      <c r="S203" s="124" t="n"/>
      <c r="T203" s="124" t="n"/>
      <c r="U203" s="124" t="n"/>
      <c r="V203" s="125">
        <f>IF(C203="Gutschrift","",IF(G203="","",IF(Besatzung!$B$11="","",IFERROR(IF(I203="Zeitanteilig",(Besatzung!$G$11*(G203-IFERROR(H203,0))+((Besatzung!$B$11&lt;&gt;"")*IF(B203="",1,(IF(Besatzung!$C$11="",Besatzung!$B$5,Besatzung!$C$11)&lt;=B203)*(IF(Besatzung!$D$11="",Besatzung!$B$6,Besatzung!$D$11)&gt;=B203)))*(Besatzung!$F$11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$11&lt;&gt;"")*IF(B203="",1,(IF(Besatzung!$C$11="",Besatzung!$B$5,Besatzung!$C$11)&lt;=B203)*(IF(Besatzung!$D$11="",Besatzung!$B$6,Besatzung!$D$11)&gt;=B203)))*((G203-IFERROR(H203,0))/IFERROR(SUMPRODUCT((Besatzung!$B$11:$B$22&lt;&gt;"")*(IF(Besatzung!$C$11:$C$22="",Besatzung!$B$5,Besatzung!$C$11:$C$22)&lt;=B203)*(IF(Besatzung!$D$11:$D$22="",Besatzung!$B$6,Besatzung!$D$11:$D$22)&gt;=B203)),1)+(Besatzung!$F$11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J203="x")*((G203-IFERROR(H203,0))/IFERROR(COUNTIF(J203:U203,"x"),1)+(Besatzung!$F$11="x")*IFERROR(H203,0)/IFERROR(SUMPRODUCT((J203:U203="x")*(Besatzung!$F$11:$F$22="x")),1))),(IF(COUNTIF(J203:U203,"x")=0,IF(Besatzung!$B$11&lt;&gt;"",1,0),(J203="x"))*(G203-IFERROR(H203,0))/IFERROR(IF(COUNTIF(J203:U203,"x")=0,COUNTA(Besatzung!$B$11:$B$22),COUNTIF(J203:U203,"x")),1)+IF(COUNTIF(J203:U203,"x")=0,(Besatzung!$F$11="x"),(J203="x")*(Besatzung!$F$11="x"))*IFERROR(H203,0)/IFERROR(IF(COUNTIF(J203:U203,"x")=0,SUMPRODUCT((Besatzung!$B$11:$B$22&lt;&gt;"")*(Besatzung!$F$11:$F$22="x")),SUMPRODUCT((J203:U203="x")*(Besatzung!$F$11:$F$22="x"))),1))))),0))))</f>
        <v/>
      </c>
      <c r="W203" s="125">
        <f>IF(C203="Gutschrift","",IF(G203="","",IF(Besatzung!$B$12="","",IFERROR(IF(I203="Zeitanteilig",(Besatzung!$G$12*(G203-IFERROR(H203,0))+((Besatzung!$B$12&lt;&gt;"")*IF(B203="",1,(IF(Besatzung!$C$12="",Besatzung!$B$5,Besatzung!$C$12)&lt;=B203)*(IF(Besatzung!$D$12="",Besatzung!$B$6,Besatzung!$D$12)&gt;=B203)))*(Besatzung!$F$12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$12&lt;&gt;"")*IF(B203="",1,(IF(Besatzung!$C$12="",Besatzung!$B$5,Besatzung!$C$12)&lt;=B203)*(IF(Besatzung!$D$12="",Besatzung!$B$6,Besatzung!$D$12)&gt;=B203)))*((G203-IFERROR(H203,0))/IFERROR(SUMPRODUCT((Besatzung!$B$11:$B$22&lt;&gt;"")*(IF(Besatzung!$C$11:$C$22="",Besatzung!$B$5,Besatzung!$C$11:$C$22)&lt;=B203)*(IF(Besatzung!$D$11:$D$22="",Besatzung!$B$6,Besatzung!$D$11:$D$22)&gt;=B203)),1)+(Besatzung!$F$12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K203="x")*((G203-IFERROR(H203,0))/IFERROR(COUNTIF(J203:U203,"x"),1)+(Besatzung!$F$12="x")*IFERROR(H203,0)/IFERROR(SUMPRODUCT((J203:U203="x")*(Besatzung!$F$11:$F$22="x")),1))),(IF(COUNTIF(J203:U203,"x")=0,IF(Besatzung!$B$12&lt;&gt;"",1,0),(K203="x"))*(G203-IFERROR(H203,0))/IFERROR(IF(COUNTIF(J203:U203,"x")=0,COUNTA(Besatzung!$B$11:$B$22),COUNTIF(J203:U203,"x")),1)+IF(COUNTIF(J203:U203,"x")=0,(Besatzung!$F$12="x"),(K203="x")*(Besatzung!$F$12="x"))*IFERROR(H203,0)/IFERROR(IF(COUNTIF(J203:U203,"x")=0,SUMPRODUCT((Besatzung!$B$11:$B$22&lt;&gt;"")*(Besatzung!$F$11:$F$22="x")),SUMPRODUCT((J203:U203="x")*(Besatzung!$F$11:$F$22="x"))),1))))),0))))</f>
        <v/>
      </c>
      <c r="X203" s="125">
        <f>IF(C203="Gutschrift","",IF(G203="","",IF(Besatzung!$B$13="","",IFERROR(IF(I203="Zeitanteilig",(Besatzung!$G$13*(G203-IFERROR(H203,0))+((Besatzung!$B$13&lt;&gt;"")*IF(B203="",1,(IF(Besatzung!$C$13="",Besatzung!$B$5,Besatzung!$C$13)&lt;=B203)*(IF(Besatzung!$D$13="",Besatzung!$B$6,Besatzung!$D$13)&gt;=B203)))*(Besatzung!$F$13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$13&lt;&gt;"")*IF(B203="",1,(IF(Besatzung!$C$13="",Besatzung!$B$5,Besatzung!$C$13)&lt;=B203)*(IF(Besatzung!$D$13="",Besatzung!$B$6,Besatzung!$D$13)&gt;=B203)))*((G203-IFERROR(H203,0))/IFERROR(SUMPRODUCT((Besatzung!$B$11:$B$22&lt;&gt;"")*(IF(Besatzung!$C$11:$C$22="",Besatzung!$B$5,Besatzung!$C$11:$C$22)&lt;=B203)*(IF(Besatzung!$D$11:$D$22="",Besatzung!$B$6,Besatzung!$D$11:$D$22)&gt;=B203)),1)+(Besatzung!$F$13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K203="x")*((G203-IFERROR(H203,0))/IFERROR(COUNTIF(J203:U203,"x"),1)+(Besatzung!$F$13="x")*IFERROR(H203,0)/IFERROR(SUMPRODUCT((J203:U203="x")*(Besatzung!$F$11:$F$22="x")),1))),(IF(COUNTIF(J203:U203,"x")=0,IF(Besatzung!$B$13&lt;&gt;"",1,0),(K203="x"))*(G203-IFERROR(H203,0))/IFERROR(IF(COUNTIF(J203:U203,"x")=0,COUNTA(Besatzung!$B$11:$B$22),COUNTIF(J203:U203,"x")),1)+IF(COUNTIF(J203:U203,"x")=0,(Besatzung!$F$13="x"),(K203="x")*(Besatzung!$F$13="x"))*IFERROR(H203,0)/IFERROR(IF(COUNTIF(J203:U203,"x")=0,SUMPRODUCT((Besatzung!$B$11:$B$22&lt;&gt;"")*(Besatzung!$F$11:$F$22="x")),SUMPRODUCT((J203:U203="x")*(Besatzung!$F$11:$F$22="x"))),1))))),0))))</f>
        <v/>
      </c>
      <c r="Y203" s="125">
        <f>IF(C203="Gutschrift","",IF(G203="","",IF(Besatzung!$B$14="","",IFERROR(IF(I203="Zeitanteilig",(Besatzung!$G$14*(G203-IFERROR(H203,0))+((Besatzung!$B$14&lt;&gt;"")*IF(B203="",1,(IF(Besatzung!$C$14="",Besatzung!$B$5,Besatzung!$C$14)&lt;=B203)*(IF(Besatzung!$D$14="",Besatzung!$B$6,Besatzung!$D$14)&gt;=B203)))*(Besatzung!$F$14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$14&lt;&gt;"")*IF(B203="",1,(IF(Besatzung!$C$14="",Besatzung!$B$5,Besatzung!$C$14)&lt;=B203)*(IF(Besatzung!$D$14="",Besatzung!$B$6,Besatzung!$D$14)&gt;=B203)))*((G203-IFERROR(H203,0))/IFERROR(SUMPRODUCT((Besatzung!$B$11:$B$22&lt;&gt;"")*(IF(Besatzung!$C$11:$C$22="",Besatzung!$B$5,Besatzung!$C$11:$C$22)&lt;=B203)*(IF(Besatzung!$D$11:$D$22="",Besatzung!$B$6,Besatzung!$D$11:$D$22)&gt;=B203)),1)+(Besatzung!$F$14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M203="x")*((G203-IFERROR(H203,0))/IFERROR(COUNTIF(J203:U203,"x"),1)+(Besatzung!$F$14="x")*IFERROR(H203,0)/IFERROR(SUMPRODUCT((J203:U203="x")*(Besatzung!$F$11:$F$22="x")),1))),(IF(COUNTIF(J203:U203,"x")=0,IF(Besatzung!$B$14&lt;&gt;"",1,0),(M203="x"))*(G203-IFERROR(H203,0))/IFERROR(IF(COUNTIF(J203:U203,"x")=0,COUNTA(Besatzung!$B$11:$B$22),COUNTIF(J203:U203,"x")),1)+IF(COUNTIF(J203:U203,"x")=0,(Besatzung!$F$14="x"),(M203="x")*(Besatzung!$F$14="x"))*IFERROR(H203,0)/IFERROR(IF(COUNTIF(J203:U203,"x")=0,SUMPRODUCT((Besatzung!$B$11:$B$22&lt;&gt;"")*(Besatzung!$F$11:$F$22="x")),SUMPRODUCT((J203:U203="x")*(Besatzung!$F$11:$F$22="x"))),1))))),0))))</f>
        <v/>
      </c>
      <c r="Z203" s="125">
        <f>IF(C203="Gutschrift","",IF(G203="","",IF(Besatzung!$B$13="","",IFERROR(IF(I203="Zeitanteilig",(Besatzung!$G$15*(G203-IFERROR(H203,0))+((Besatzung!$B$13&lt;&gt;"")*IF(B203="",1,(IF(Besatzung!$C$15="",Besatzung!$B$5,Besatzung!$C$15)&lt;=B203)*(IF(Besatzung!$D$15="",Besatzung!$B$6,Besatzung!$D$15)&gt;=B203)))*(Besatzung!$F$15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$13&lt;&gt;"")*IF(B203="",1,(IF(Besatzung!$C$15="",Besatzung!$B$5,Besatzung!$C$15)&lt;=B203)*(IF(Besatzung!$D$15="",Besatzung!$B$6,Besatzung!$D$15)&gt;=B203)))*((G203-IFERROR(H203,0))/IFERROR(SUMPRODUCT((Besatzung!$B$11:$B$22&lt;&gt;"")*(IF(Besatzung!$C$11:$C$22="",Besatzung!$B$5,Besatzung!$C$11:$C$22)&lt;=B203)*(IF(Besatzung!$D$11:$D$22="",Besatzung!$B$6,Besatzung!$D$11:$D$22)&gt;=B203)),1)+(Besatzung!$F$15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N203="x")*((G203-IFERROR(H203,0))/IFERROR(COUNTIF(J203:U203,"x"),1)+(Besatzung!$F$15="x")*IFERROR(H203,0)/IFERROR(SUMPRODUCT((J203:U203="x")*(Besatzung!$F$11:$F$22="x")),1))),(IF(COUNTIF(J203:U203,"x")=0,IF(Besatzung!$B$13&lt;&gt;"",1,0),(N203="x"))*(G203-IFERROR(H203,0))/IFERROR(IF(COUNTIF(J203:U203,"x")=0,COUNTA(Besatzung!$B$11:$B$22),COUNTIF(J203:U203,"x")),1)+IF(COUNTIF(J203:U203,"x")=0,(Besatzung!$F$15="x"),(N203="x")*(Besatzung!$F$15="x"))*IFERROR(H203,0)/IFERROR(IF(COUNTIF(J203:U203,"x")=0,SUMPRODUCT((Besatzung!$B$11:$B$22&lt;&gt;"")*(Besatzung!$F$11:$F$22="x")),SUMPRODUCT((J203:U203="x")*(Besatzung!$F$11:$F$22="x"))),1))))),0))))</f>
        <v/>
      </c>
      <c r="AA203" s="125">
        <f>IF(C203="Gutschrift","",IF(G203="","",IF(Besatzung!$B$15="","",IFERROR(IF(I203="Zeitanteilig",(Besatzung!$G$16*(G203-IFERROR(H203,0))+((Besatzung!$B$15&lt;&gt;"")*IF(B203="",1,(IF(Besatzung!$C$16="",Besatzung!$B$5,Besatzung!$C$16)&lt;=B203)*(IF(Besatzung!$D$16="",Besatzung!$B$6,Besatzung!$D$16)&gt;=B203)))*(Besatzung!$F$16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$15&lt;&gt;"")*IF(B203="",1,(IF(Besatzung!$C$16="",Besatzung!$B$5,Besatzung!$C$16)&lt;=B203)*(IF(Besatzung!$D$16="",Besatzung!$B$6,Besatzung!$D$16)&gt;=B203)))*((G203-IFERROR(H203,0))/IFERROR(SUMPRODUCT((Besatzung!$B$11:$B$22&lt;&gt;"")*(IF(Besatzung!$C$11:$C$22="",Besatzung!$B$5,Besatzung!$C$11:$C$22)&lt;=B203)*(IF(Besatzung!$D$11:$D$22="",Besatzung!$B$6,Besatzung!$D$11:$D$22)&gt;=B203)),1)+(Besatzung!$F$16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O203="x")*((G203-IFERROR(H203,0))/IFERROR(COUNTIF(J203:U203,"x"),1)+(Besatzung!$F$16="x")*IFERROR(H203,0)/IFERROR(SUMPRODUCT((J203:U203="x")*(Besatzung!$F$11:$F$22="x")),1))),(IF(COUNTIF(J203:U203,"x")=0,IF(Besatzung!$B$15&lt;&gt;"",1,0),(O203="x"))*(G203-IFERROR(H203,0))/IFERROR(IF(COUNTIF(J203:U203,"x")=0,COUNTA(Besatzung!$B$11:$B$22),COUNTIF(J203:U203,"x")),1)+IF(COUNTIF(J203:U203,"x")=0,(Besatzung!$F$16="x"),(O203="x")*(Besatzung!$F$16="x"))*IFERROR(H203,0)/IFERROR(IF(COUNTIF(J203:U203,"x")=0,SUMPRODUCT((Besatzung!$B$11:$B$22&lt;&gt;"")*(Besatzung!$F$11:$F$22="x")),SUMPRODUCT((J203:U203="x")*(Besatzung!$F$11:$F$22="x"))),1))))),0))))</f>
        <v/>
      </c>
      <c r="AB203" s="125">
        <f>IF(C203="Gutschrift","",IF(G203="","",IF(Besatzung!$B$17="","",IFERROR(IF(I203="Zeitanteilig",(Besatzung!$G$17*(G203-IFERROR(H203,0))+((Besatzung!$B$17&lt;&gt;"")*IF(B203="",1,(IF(Besatzung!$C$17="",Besatzung!$B$5,Besatzung!$C$17)&lt;=B203)*(IF(Besatzung!$D$17="",Besatzung!$B$6,Besatzung!$D$17)&gt;=B203)))*(Besatzung!$F$17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$17&lt;&gt;"")*IF(B203="",1,(IF(Besatzung!$C$17="",Besatzung!$B$5,Besatzung!$C$17)&lt;=B203)*(IF(Besatzung!$D$17="",Besatzung!$B$6,Besatzung!$D$17)&gt;=B203)))*((G203-IFERROR(H203,0))/IFERROR(SUMPRODUCT((Besatzung!$B$11:$B$22&lt;&gt;"")*(IF(Besatzung!$C$11:$C$22="",Besatzung!$B$5,Besatzung!$C$11:$C$22)&lt;=B203)*(IF(Besatzung!$D$11:$D$22="",Besatzung!$B$6,Besatzung!$D$11:$D$22)&gt;=B203)),1)+(Besatzung!$F$17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P203="x")*((G203-IFERROR(H203,0))/IFERROR(COUNTIF(J203:U203,"x"),1)+(Besatzung!$F$17="x")*IFERROR(H203,0)/IFERROR(SUMPRODUCT((J203:U203="x")*(Besatzung!$F$11:$F$22="x")),1))),(IF(COUNTIF(J203:U203,"x")=0,IF(Besatzung!$B$17&lt;&gt;"",1,0),(P203="x"))*(G203-IFERROR(H203,0))/IFERROR(IF(COUNTIF(J203:U203,"x")=0,COUNTA(Besatzung!$B$11:$B$22),COUNTIF(J203:U203,"x")),1)+IF(COUNTIF(J203:U203,"x")=0,(Besatzung!$F$17="x"),(P203="x")*(Besatzung!$F$17="x"))*IFERROR(H203,0)/IFERROR(IF(COUNTIF(J203:U203,"x")=0,SUMPRODUCT((Besatzung!$B$11:$B$22&lt;&gt;"")*(Besatzung!$F$11:$F$22="x")),SUMPRODUCT((J203:U203="x")*(Besatzung!$F$11:$F$22="x"))),1))))),0))))</f>
        <v/>
      </c>
      <c r="AC203" s="125">
        <f>IF(C203="Gutschrift","",IF(G203="","",IF(Besatzung!$B$18="","",IFERROR(IF(I203="Zeitanteilig",(Besatzung!$G$18*(G203-IFERROR(H203,0))+((Besatzung!$B$18&lt;&gt;"")*IF(B203="",1,(IF(Besatzung!$C$18="",Besatzung!$B$5,Besatzung!$C$18)&lt;=B203)*(IF(Besatzung!$D$18="",Besatzung!$B$6,Besatzung!$D$18)&gt;=B203)))*(Besatzung!$F$18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$18&lt;&gt;"")*IF(B203="",1,(IF(Besatzung!$C$18="",Besatzung!$B$5,Besatzung!$C$18)&lt;=B203)*(IF(Besatzung!$D$18="",Besatzung!$B$6,Besatzung!$D$18)&gt;=B203)))*((G203-IFERROR(H203,0))/IFERROR(SUMPRODUCT((Besatzung!$B$11:$B$22&lt;&gt;"")*(IF(Besatzung!$C$11:$C$22="",Besatzung!$B$5,Besatzung!$C$11:$C$22)&lt;=B203)*(IF(Besatzung!$D$11:$D$22="",Besatzung!$B$6,Besatzung!$D$11:$D$22)&gt;=B203)),1)+(Besatzung!$F$18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Q203="x")*((G203-IFERROR(H203,0))/IFERROR(COUNTIF(J203:U203,"x"),1)+(Besatzung!$F$18="x")*IFERROR(H203,0)/IFERROR(SUMPRODUCT((J203:U203="x")*(Besatzung!$F$11:$F$22="x")),1))),(IF(COUNTIF(J203:U203,"x")=0,IF(Besatzung!$B$18&lt;&gt;"",1,0),(Q203="x"))*(G203-IFERROR(H203,0))/IFERROR(IF(COUNTIF(J203:U203,"x")=0,COUNTA(Besatzung!$B$11:$B$22),COUNTIF(J203:U203,"x")),1)+IF(COUNTIF(J203:U203,"x")=0,(Besatzung!$F$18="x"),(Q203="x")*(Besatzung!$F$18="x"))*IFERROR(H203,0)/IFERROR(IF(COUNTIF(J203:U203,"x")=0,SUMPRODUCT((Besatzung!$B$11:$B$22&lt;&gt;"")*(Besatzung!$F$11:$F$22="x")),SUMPRODUCT((J203:U203="x")*(Besatzung!$F$11:$F$22="x"))),1))))),0))))</f>
        <v/>
      </c>
      <c r="AD203" s="125">
        <f>IF(C203="Gutschrift","",IF(G203="","",IF(Besatzung!$B$19="","",IFERROR(IF(I203="Zeitanteilig",(Besatzung!$G$19*(G203-IFERROR(H203,0))+((Besatzung!$B$19&lt;&gt;"")*IF(B203="",1,(IF(Besatzung!$C$19="",Besatzung!$B$5,Besatzung!$C$19)&lt;=B203)*(IF(Besatzung!$D$19="",Besatzung!$B$6,Besatzung!$D$19)&gt;=B203)))*(Besatzung!$F$19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$19&lt;&gt;"")*IF(B203="",1,(IF(Besatzung!$C$19="",Besatzung!$B$5,Besatzung!$C$19)&lt;=B203)*(IF(Besatzung!$D$19="",Besatzung!$B$6,Besatzung!$D$19)&gt;=B203)))*((G203-IFERROR(H203,0))/IFERROR(SUMPRODUCT((Besatzung!$B$11:$B$22&lt;&gt;"")*(IF(Besatzung!$C$11:$C$22="",Besatzung!$B$5,Besatzung!$C$11:$C$22)&lt;=B203)*(IF(Besatzung!$D$11:$D$22="",Besatzung!$B$6,Besatzung!$D$11:$D$22)&gt;=B203)),1)+(Besatzung!$F$19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R203="x")*((G203-IFERROR(H203,0))/IFERROR(COUNTIF(J203:U203,"x"),1)+(Besatzung!$F$19="x")*IFERROR(H203,0)/IFERROR(SUMPRODUCT((J203:U203="x")*(Besatzung!$F$11:$F$22="x")),1))),(IF(COUNTIF(J203:U203,"x")=0,IF(Besatzung!$B$19&lt;&gt;"",1,0),(R203="x"))*(G203-IFERROR(H203,0))/IFERROR(IF(COUNTIF(J203:U203,"x")=0,COUNTA(Besatzung!$B$11:$B$22),COUNTIF(J203:U203,"x")),1)+IF(COUNTIF(J203:U203,"x")=0,(Besatzung!$F$19="x"),(R203="x")*(Besatzung!$F$19="x"))*IFERROR(H203,0)/IFERROR(IF(COUNTIF(J203:U203,"x")=0,SUMPRODUCT((Besatzung!$B$11:$B$22&lt;&gt;"")*(Besatzung!$F$11:$F$22="x")),SUMPRODUCT((J203:U203="x")*(Besatzung!$F$11:$F$22="x"))),1))))),0))))</f>
        <v/>
      </c>
      <c r="AE203" s="125">
        <f>IF(C203="Gutschrift","",IF(G203="","",IF(Besatzung!$B$20="","",IFERROR(IF(I203="Zeitanteilig",(Besatzung!$G$20*(G203-IFERROR(H203,0))+((Besatzung!$B$20&lt;&gt;"")*IF(B203="",1,(IF(Besatzung!$C$20="",Besatzung!$B$5,Besatzung!$C$20)&lt;=B203)*(IF(Besatzung!$D$20="",Besatzung!$B$6,Besatzung!$D$20)&gt;=B203)))*(Besatzung!$F$20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$20&lt;&gt;"")*IF(B203="",1,(IF(Besatzung!$C$20="",Besatzung!$B$5,Besatzung!$C$20)&lt;=B203)*(IF(Besatzung!$D$20="",Besatzung!$B$6,Besatzung!$D$20)&gt;=B203)))*((G203-IFERROR(H203,0))/IFERROR(SUMPRODUCT((Besatzung!$B$11:$B$22&lt;&gt;"")*(IF(Besatzung!$C$11:$C$22="",Besatzung!$B$5,Besatzung!$C$11:$C$22)&lt;=B203)*(IF(Besatzung!$D$11:$D$22="",Besatzung!$B$6,Besatzung!$D$11:$D$22)&gt;=B203)),1)+(Besatzung!$F$20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S203="x")*((G203-IFERROR(H203,0))/IFERROR(COUNTIF(J203:U203,"x"),1)+(Besatzung!$F$20="x")*IFERROR(H203,0)/IFERROR(SUMPRODUCT((J203:U203="x")*(Besatzung!$F$11:$F$22="x")),1))),(IF(COUNTIF(J203:U203,"x")=0,IF(Besatzung!$B$20&lt;&gt;"",1,0),(S203="x"))*(G203-IFERROR(H203,0))/IFERROR(IF(COUNTIF(J203:U203,"x")=0,COUNTA(Besatzung!$B$11:$B$22),COUNTIF(J203:U203,"x")),1)+IF(COUNTIF(J203:U203,"x")=0,(Besatzung!$F$20="x"),(S203="x")*(Besatzung!$F$20="x"))*IFERROR(H203,0)/IFERROR(IF(COUNTIF(J203:U203,"x")=0,SUMPRODUCT((Besatzung!$B$11:$B$22&lt;&gt;"")*(Besatzung!$F$11:$F$22="x")),SUMPRODUCT((J203:U203="x")*(Besatzung!$F$11:$F$22="x"))),1))))),0))))</f>
        <v/>
      </c>
      <c r="AF203" s="125">
        <f>IF(C203="Gutschrift","",IF(G203="","",IF(Besatzung!$B$21="","",IFERROR(IF(I203="Zeitanteilig",(Besatzung!$G$21*(G203-IFERROR(H203,0))+((Besatzung!$B$21&lt;&gt;"")*IF(B203="",1,(IF(Besatzung!$C$21="",Besatzung!$B$5,Besatzung!$C$21)&lt;=B203)*(IF(Besatzung!$D$21="",Besatzung!$B$6,Besatzung!$D$21)&gt;=B203)))*(Besatzung!$F$21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$21&lt;&gt;"")*IF(B203="",1,(IF(Besatzung!$C$21="",Besatzung!$B$5,Besatzung!$C$21)&lt;=B203)*(IF(Besatzung!$D$21="",Besatzung!$B$6,Besatzung!$D$21)&gt;=B203)))*((G203-IFERROR(H203,0))/IFERROR(SUMPRODUCT((Besatzung!$B$11:$B$22&lt;&gt;"")*(IF(Besatzung!$C$11:$C$22="",Besatzung!$B$5,Besatzung!$C$11:$C$22)&lt;=B203)*(IF(Besatzung!$D$11:$D$22="",Besatzung!$B$6,Besatzung!$D$11:$D$22)&gt;=B203)),1)+(Besatzung!$F$21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T203="x")*((G203-IFERROR(H203,0))/IFERROR(COUNTIF(J203:U203,"x"),1)+(Besatzung!$F$21="x")*IFERROR(H203,0)/IFERROR(SUMPRODUCT((J203:U203="x")*(Besatzung!$F$11:$F$22="x")),1))),(IF(COUNTIF(J203:U203,"x")=0,IF(Besatzung!$B$21&lt;&gt;"",1,0),(T203="x"))*(G203-IFERROR(H203,0))/IFERROR(IF(COUNTIF(J203:U203,"x")=0,COUNTA(Besatzung!$B$11:$B$22),COUNTIF(J203:U203,"x")),1)+IF(COUNTIF(J203:U203,"x")=0,(Besatzung!$F$21="x"),(T203="x")*(Besatzung!$F$21="x"))*IFERROR(H203,0)/IFERROR(IF(COUNTIF(J203:U203,"x")=0,SUMPRODUCT((Besatzung!$B$11:$B$22&lt;&gt;"")*(Besatzung!$F$11:$F$22="x")),SUMPRODUCT((J203:U203="x")*(Besatzung!$F$11:$F$22="x"))),1))))),0))))</f>
        <v/>
      </c>
      <c r="AG203" s="125">
        <f>IF(C203="Gutschrift","",IF(G203="","",IF(Besatzung!$B$22="","",IFERROR(IF(I203="Zeitanteilig",(Besatzung!$G$22*(G203-IFERROR(H203,0))+((Besatzung!$B$22&lt;&gt;"")*IF(B203="",1,(IF(Besatzung!$C$22="",Besatzung!$B$5,Besatzung!$C$22)&lt;=B203)*(IF(Besatzung!$D$22="",Besatzung!$B$6,Besatzung!$D$22)&gt;=B203)))*(Besatzung!$F$22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$22&lt;&gt;"")*IF(B203="",1,(IF(Besatzung!$C$22="",Besatzung!$B$5,Besatzung!$C$22)&lt;=B203)*(IF(Besatzung!$D$22="",Besatzung!$B$6,Besatzung!$D$22)&gt;=B203)))*((G203-IFERROR(H203,0))/IFERROR(SUMPRODUCT((Besatzung!$B$11:$B$22&lt;&gt;"")*(IF(Besatzung!$C$11:$C$22="",Besatzung!$B$5,Besatzung!$C$11:$C$22)&lt;=B203)*(IF(Besatzung!$D$11:$D$22="",Besatzung!$B$6,Besatzung!$D$11:$D$22)&gt;=B203)),1)+(Besatzung!$F$22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U203="x")*((G203-IFERROR(H203,0))/IFERROR(COUNTIF(J203:U203,"x"),1)+(Besatzung!$F$22="x")*IFERROR(H203,0)/IFERROR(SUMPRODUCT((J203:U203="x")*(Besatzung!$F$11:$F$22="x")),1))),(IF(COUNTIF(J203:U203,"x")=0,IF(Besatzung!$B$22&lt;&gt;"",1,0),(U203="x"))*(G203-IFERROR(H203,0))/IFERROR(IF(COUNTIF(J203:U203,"x")=0,COUNTA(Besatzung!$B$11:$B$22),COUNTIF(J203:U203,"x")),1)+IF(COUNTIF(J203:U203,"x")=0,(Besatzung!$F$22="x"),(U203="x")*(Besatzung!$F$22="x"))*IFERROR(H203,0)/IFERROR(IF(COUNTIF(J203:U203,"x")=0,SUMPRODUCT((Besatzung!$B$11:$B$22&lt;&gt;"")*(Besatzung!$F$11:$F$22="x")),SUMPRODUCT((J203:U203="x")*(Besatzung!$F$11:$F$22="x"))),1))))),0))))</f>
        <v/>
      </c>
      <c r="AH203" s="126" t="n"/>
      <c r="AI203" s="126" t="n"/>
    </row>
    <row r="204" ht="15.75" customHeight="1" s="18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</row>
    <row r="205" ht="15.75" customHeight="1" s="18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</row>
    <row r="206" ht="15.75" customHeight="1" s="18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</row>
    <row r="207" ht="15.75" customHeight="1" s="18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</row>
    <row r="208" ht="15.75" customHeight="1" s="18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</row>
    <row r="209" ht="15.75" customHeight="1" s="18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</row>
    <row r="210" ht="15.75" customHeight="1" s="18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</row>
    <row r="211" ht="15.75" customHeight="1" s="18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</row>
    <row r="212" ht="15.75" customHeight="1" s="18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</row>
    <row r="213" ht="15.75" customHeight="1" s="18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</row>
    <row r="214" ht="15.75" customHeight="1" s="18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</row>
    <row r="215" ht="15.75" customHeight="1" s="18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</row>
    <row r="216" ht="15.75" customHeight="1" s="18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</row>
    <row r="217" ht="15.75" customHeight="1" s="18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</row>
    <row r="218" ht="15.75" customHeight="1" s="18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</row>
    <row r="219" ht="15.75" customHeight="1" s="18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</row>
    <row r="220" ht="15.75" customHeight="1" s="18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</row>
    <row r="221" ht="15.75" customHeight="1" s="182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</row>
    <row r="222" ht="15.75" customHeight="1" s="18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</row>
    <row r="223" ht="15.75" customHeight="1" s="182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</row>
    <row r="224" ht="15.75" customHeight="1" s="182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</row>
    <row r="225" ht="15.75" customHeight="1" s="182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</row>
    <row r="226" ht="15.75" customHeight="1" s="182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</row>
    <row r="227" ht="15.75" customHeight="1" s="182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</row>
    <row r="228" ht="15.75" customHeight="1" s="182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</row>
    <row r="229" ht="15.75" customHeight="1" s="182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</row>
    <row r="230" ht="15.75" customHeight="1" s="182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</row>
    <row r="231" ht="15.75" customHeight="1" s="182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</row>
    <row r="232" ht="15.75" customHeight="1" s="18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</row>
    <row r="233" ht="15.75" customHeight="1" s="182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</row>
    <row r="234" ht="15.75" customHeight="1" s="182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</row>
    <row r="235" ht="15.75" customHeight="1" s="182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</row>
    <row r="236" ht="15.75" customHeight="1" s="182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</row>
    <row r="237" ht="15.75" customHeight="1" s="182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</row>
    <row r="238" ht="15.75" customHeight="1" s="182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</row>
    <row r="239" ht="15.75" customHeight="1" s="182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</row>
    <row r="240" ht="15.75" customHeight="1" s="182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</row>
    <row r="241" ht="15.75" customHeight="1" s="182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</row>
    <row r="242" ht="15.75" customHeight="1" s="18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</row>
    <row r="243" ht="15.75" customHeight="1" s="182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</row>
    <row r="244" ht="15.75" customHeight="1" s="182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</row>
    <row r="245" ht="15.75" customHeight="1" s="182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</row>
    <row r="246" ht="15.75" customHeight="1" s="182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</row>
    <row r="247" ht="15.75" customHeight="1" s="182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</row>
    <row r="248" ht="15.75" customHeight="1" s="182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</row>
    <row r="249" ht="15.75" customHeight="1" s="182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</row>
    <row r="250" ht="15.75" customHeight="1" s="182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</row>
    <row r="251" ht="15.75" customHeight="1" s="182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</row>
    <row r="252" ht="15.75" customHeight="1" s="18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</row>
    <row r="253" ht="15.75" customHeight="1" s="182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</row>
    <row r="254" ht="15.75" customHeight="1" s="182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</row>
    <row r="255" ht="15.75" customHeight="1" s="182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</row>
    <row r="256" ht="15.75" customHeight="1" s="182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</row>
    <row r="257" ht="15.75" customHeight="1" s="182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</row>
    <row r="258" ht="15.75" customHeight="1" s="182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</row>
    <row r="259" ht="15.75" customHeight="1" s="182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</row>
    <row r="260" ht="15.75" customHeight="1" s="182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</row>
    <row r="261" ht="15.75" customHeight="1" s="182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</row>
    <row r="262" ht="15.75" customHeight="1" s="18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</row>
    <row r="263" ht="15.75" customHeight="1" s="182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</row>
    <row r="264" ht="15.75" customHeight="1" s="182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</row>
    <row r="265" ht="15.75" customHeight="1" s="182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</row>
    <row r="266" ht="15.75" customHeight="1" s="182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</row>
    <row r="267" ht="15.75" customHeight="1" s="182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</row>
    <row r="268" ht="15.75" customHeight="1" s="182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</row>
    <row r="269" ht="15.75" customHeight="1" s="182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</row>
    <row r="270" ht="15.75" customHeight="1" s="182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</row>
    <row r="271" ht="15.75" customHeight="1" s="182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</row>
    <row r="272" ht="15.75" customHeight="1" s="18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</row>
    <row r="273" ht="15.75" customHeight="1" s="182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</row>
    <row r="274" ht="15.75" customHeight="1" s="182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</row>
    <row r="275" ht="15.75" customHeight="1" s="182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</row>
    <row r="276" ht="15.75" customHeight="1" s="182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</row>
    <row r="277" ht="15.75" customHeight="1" s="182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</row>
    <row r="278" ht="15.75" customHeight="1" s="182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</row>
    <row r="279" ht="15.75" customHeight="1" s="182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</row>
    <row r="280" ht="15.75" customHeight="1" s="182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</row>
    <row r="281" ht="15.75" customHeight="1" s="182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</row>
    <row r="282" ht="15.75" customHeight="1" s="1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</row>
    <row r="283" ht="15.75" customHeight="1" s="182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</row>
    <row r="284" ht="15.75" customHeight="1" s="182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</row>
    <row r="285" ht="15.75" customHeight="1" s="182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</row>
    <row r="286" ht="15.75" customHeight="1" s="182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</row>
    <row r="287" ht="15.75" customHeight="1" s="182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</row>
    <row r="288" ht="15.75" customHeight="1" s="182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</row>
    <row r="289" ht="15.75" customHeight="1" s="182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</row>
    <row r="290" ht="15.75" customHeight="1" s="182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</row>
    <row r="291" ht="15.75" customHeight="1" s="182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</row>
    <row r="292" ht="15.75" customHeight="1" s="18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</row>
    <row r="293" ht="15.75" customHeight="1" s="182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</row>
    <row r="294" ht="15.75" customHeight="1" s="182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</row>
    <row r="295" ht="15.75" customHeight="1" s="182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</row>
    <row r="296" ht="15.75" customHeight="1" s="182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</row>
    <row r="297" ht="15.75" customHeight="1" s="182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</row>
    <row r="298" ht="15.75" customHeight="1" s="182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</row>
    <row r="299" ht="15.75" customHeight="1" s="182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</row>
    <row r="300" ht="15.75" customHeight="1" s="182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</row>
    <row r="301" ht="15.75" customHeight="1" s="182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</row>
    <row r="302" ht="15.75" customHeight="1" s="18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</row>
    <row r="303" ht="15.75" customHeight="1" s="182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</row>
    <row r="304" ht="15.75" customHeight="1" s="182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</row>
    <row r="305" ht="15.75" customHeight="1" s="182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</row>
    <row r="306" ht="15.75" customHeight="1" s="182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</row>
    <row r="307" ht="15.75" customHeight="1" s="182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</row>
    <row r="308" ht="15.75" customHeight="1" s="182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</row>
    <row r="309" ht="15.75" customHeight="1" s="182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</row>
    <row r="310" ht="15.75" customHeight="1" s="182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</row>
    <row r="311" ht="15.75" customHeight="1" s="182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</row>
    <row r="312" ht="15.75" customHeight="1" s="18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</row>
    <row r="313" ht="15.75" customHeight="1" s="182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</row>
    <row r="314" ht="15.75" customHeight="1" s="182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</row>
    <row r="315" ht="15.75" customHeight="1" s="182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</row>
    <row r="316" ht="15.75" customHeight="1" s="182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</row>
    <row r="317" ht="15.75" customHeight="1" s="182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</row>
    <row r="318" ht="15.75" customHeight="1" s="182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</row>
    <row r="319" ht="15.75" customHeight="1" s="182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</row>
    <row r="320" ht="15.75" customHeight="1" s="182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</row>
    <row r="321" ht="15.75" customHeight="1" s="182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</row>
    <row r="322" ht="15.75" customHeight="1" s="18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</row>
    <row r="323" ht="15.75" customHeight="1" s="182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</row>
    <row r="324" ht="15.75" customHeight="1" s="182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</row>
    <row r="325" ht="15.75" customHeight="1" s="182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</row>
    <row r="326" ht="15.75" customHeight="1" s="182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</row>
    <row r="327" ht="15.75" customHeight="1" s="182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</row>
    <row r="328" ht="15.75" customHeight="1" s="182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</row>
    <row r="329" ht="15.75" customHeight="1" s="182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</row>
    <row r="330" ht="15.75" customHeight="1" s="182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</row>
    <row r="331" ht="15.75" customHeight="1" s="182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</row>
    <row r="332" ht="15.75" customHeight="1" s="18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</row>
    <row r="333" ht="15.75" customHeight="1" s="182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</row>
    <row r="334" ht="15.75" customHeight="1" s="182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</row>
    <row r="335" ht="15.75" customHeight="1" s="182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</row>
    <row r="336" ht="15.75" customHeight="1" s="182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</row>
    <row r="337" ht="15.75" customHeight="1" s="182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</row>
    <row r="338" ht="15.75" customHeight="1" s="182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</row>
    <row r="339" ht="15.75" customHeight="1" s="182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</row>
    <row r="340" ht="15.75" customHeight="1" s="182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</row>
    <row r="341" ht="15.75" customHeight="1" s="182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</row>
    <row r="342" ht="15.75" customHeight="1" s="18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</row>
    <row r="343" ht="15.75" customHeight="1" s="182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</row>
    <row r="344" ht="15.75" customHeight="1" s="182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</row>
    <row r="345" ht="15.75" customHeight="1" s="182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</row>
    <row r="346" ht="15.75" customHeight="1" s="182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</row>
    <row r="347" ht="15.75" customHeight="1" s="182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</row>
    <row r="348" ht="15.75" customHeight="1" s="182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</row>
    <row r="349" ht="15.75" customHeight="1" s="182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</row>
    <row r="350" ht="15.75" customHeight="1" s="182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</row>
    <row r="351" ht="15.75" customHeight="1" s="182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</row>
    <row r="352" ht="15.75" customHeight="1" s="18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</row>
    <row r="353" ht="15.75" customHeight="1" s="182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</row>
    <row r="354" ht="15.75" customHeight="1" s="182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</row>
    <row r="355" ht="15.75" customHeight="1" s="182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</row>
    <row r="356" ht="15.75" customHeight="1" s="182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</row>
    <row r="357" ht="15.75" customHeight="1" s="182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</row>
    <row r="358" ht="15.75" customHeight="1" s="182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</row>
    <row r="359" ht="15.75" customHeight="1" s="182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</row>
    <row r="360" ht="15.75" customHeight="1" s="182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</row>
    <row r="361" ht="15.75" customHeight="1" s="182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</row>
    <row r="362" ht="15.75" customHeight="1" s="18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</row>
    <row r="363" ht="15.75" customHeight="1" s="182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</row>
    <row r="364" ht="15.75" customHeight="1" s="182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</row>
    <row r="365" ht="15.75" customHeight="1" s="182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</row>
    <row r="366" ht="15.75" customHeight="1" s="182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</row>
    <row r="367" ht="15.75" customHeight="1" s="182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</row>
    <row r="368" ht="15.75" customHeight="1" s="182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</row>
    <row r="369" ht="15.75" customHeight="1" s="182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</row>
    <row r="370" ht="15.75" customHeight="1" s="182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</row>
    <row r="371" ht="15.75" customHeight="1" s="182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</row>
    <row r="372" ht="15.75" customHeight="1" s="18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</row>
    <row r="373" ht="15.75" customHeight="1" s="182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</row>
    <row r="374" ht="15.75" customHeight="1" s="182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</row>
    <row r="375" ht="15.75" customHeight="1" s="182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</row>
    <row r="376" ht="15.75" customHeight="1" s="182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</row>
    <row r="377" ht="15.75" customHeight="1" s="182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</row>
    <row r="378" ht="15.75" customHeight="1" s="182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</row>
    <row r="379" ht="15.75" customHeight="1" s="182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</row>
    <row r="380" ht="15.75" customHeight="1" s="182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</row>
    <row r="381" ht="15.75" customHeight="1" s="182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</row>
    <row r="382" ht="15.75" customHeight="1" s="1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</row>
    <row r="383" ht="15.75" customHeight="1" s="182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</row>
    <row r="384" ht="15.75" customHeight="1" s="182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</row>
    <row r="385" ht="15.75" customHeight="1" s="182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</row>
    <row r="386" ht="15.75" customHeight="1" s="182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</row>
    <row r="387" ht="15.75" customHeight="1" s="182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</row>
    <row r="388" ht="15.75" customHeight="1" s="182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</row>
    <row r="389" ht="15.75" customHeight="1" s="182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</row>
    <row r="390" ht="15.75" customHeight="1" s="182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</row>
    <row r="391" ht="15.75" customHeight="1" s="182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</row>
    <row r="392" ht="15.75" customHeight="1" s="18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</row>
    <row r="393" ht="15.75" customHeight="1" s="182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</row>
    <row r="394" ht="15.75" customHeight="1" s="182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</row>
    <row r="395" ht="15.75" customHeight="1" s="182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</row>
    <row r="396" ht="15.75" customHeight="1" s="182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</row>
    <row r="397" ht="15.75" customHeight="1" s="182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</row>
    <row r="398" ht="15.75" customHeight="1" s="182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</row>
    <row r="399" ht="15.75" customHeight="1" s="182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</row>
    <row r="400" ht="15.75" customHeight="1" s="182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</row>
    <row r="401" ht="15.75" customHeight="1" s="182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</row>
    <row r="402" ht="15.75" customHeight="1" s="18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</row>
    <row r="403" ht="15.75" customHeight="1" s="182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</row>
    <row r="404" ht="15.75" customHeight="1" s="182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</row>
    <row r="405" ht="15.75" customHeight="1" s="182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</row>
    <row r="406" ht="15.75" customHeight="1" s="182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</row>
    <row r="407" ht="15.75" customHeight="1" s="182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</row>
    <row r="408" ht="15.75" customHeight="1" s="182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</row>
    <row r="409" ht="15.75" customHeight="1" s="182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</row>
    <row r="410" ht="15.75" customHeight="1" s="182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</row>
    <row r="411" ht="15.75" customHeight="1" s="182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</row>
    <row r="412" ht="15.75" customHeight="1" s="18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</row>
    <row r="413" ht="15.75" customHeight="1" s="182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</row>
    <row r="414" ht="15.75" customHeight="1" s="182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</row>
    <row r="415" ht="15.75" customHeight="1" s="182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4" t="n"/>
    </row>
    <row r="416" ht="15.75" customHeight="1" s="182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</row>
    <row r="417" ht="15.75" customHeight="1" s="182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4" t="n"/>
    </row>
    <row r="418" ht="15.75" customHeight="1" s="182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</row>
    <row r="419" ht="15.75" customHeight="1" s="182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</row>
    <row r="420" ht="15.75" customHeight="1" s="182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</row>
    <row r="421" ht="15.75" customHeight="1" s="182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</row>
    <row r="422" ht="15.75" customHeight="1" s="18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</row>
    <row r="423" ht="15.75" customHeight="1" s="182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4" t="n"/>
    </row>
    <row r="424" ht="15.75" customHeight="1" s="182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</row>
    <row r="425" ht="15.75" customHeight="1" s="182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4" t="n"/>
    </row>
    <row r="426" ht="15.75" customHeight="1" s="182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</row>
    <row r="427" ht="15.75" customHeight="1" s="182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n"/>
    </row>
    <row r="428" ht="15.75" customHeight="1" s="182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</row>
    <row r="429" ht="15.75" customHeight="1" s="182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4" t="n"/>
    </row>
    <row r="430" ht="15.75" customHeight="1" s="182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</row>
    <row r="431" ht="15.75" customHeight="1" s="182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4" t="n"/>
    </row>
    <row r="432" ht="15.75" customHeight="1" s="18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</row>
    <row r="433" ht="15.75" customHeight="1" s="182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</row>
    <row r="434" ht="15.75" customHeight="1" s="182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</row>
    <row r="435" ht="15.75" customHeight="1" s="182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n"/>
    </row>
    <row r="436" ht="15.75" customHeight="1" s="182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</row>
    <row r="437" ht="15.75" customHeight="1" s="182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/>
    </row>
    <row r="438" ht="15.75" customHeight="1" s="182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</row>
    <row r="439" ht="15.75" customHeight="1" s="182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n"/>
    </row>
    <row r="440" ht="15.75" customHeight="1" s="182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</row>
    <row r="441" ht="15.75" customHeight="1" s="182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n"/>
    </row>
    <row r="442" ht="15.75" customHeight="1" s="18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</row>
    <row r="443" ht="15.75" customHeight="1" s="182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4" t="n"/>
    </row>
    <row r="444" ht="15.75" customHeight="1" s="182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</row>
    <row r="445" ht="15.75" customHeight="1" s="182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4" t="n"/>
    </row>
    <row r="446" ht="15.75" customHeight="1" s="182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</row>
    <row r="447" ht="15.75" customHeight="1" s="182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4" t="n"/>
    </row>
    <row r="448" ht="15.75" customHeight="1" s="182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</row>
    <row r="449" ht="15.75" customHeight="1" s="182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4" t="n"/>
    </row>
    <row r="450" ht="15.75" customHeight="1" s="182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</row>
    <row r="451" ht="15.75" customHeight="1" s="182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4" t="n"/>
    </row>
    <row r="452" ht="15.75" customHeight="1" s="18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</row>
    <row r="453" ht="15.75" customHeight="1" s="182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n"/>
    </row>
    <row r="454" ht="15.75" customHeight="1" s="182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</row>
    <row r="455" ht="15.75" customHeight="1" s="182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n"/>
    </row>
    <row r="456" ht="15.75" customHeight="1" s="182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</row>
    <row r="457" ht="15.75" customHeight="1" s="182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n"/>
    </row>
    <row r="458" ht="15.75" customHeight="1" s="182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</row>
    <row r="459" ht="15.75" customHeight="1" s="182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4" t="n"/>
    </row>
    <row r="460" ht="15.75" customHeight="1" s="182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</row>
    <row r="461" ht="15.75" customHeight="1" s="182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4" t="n"/>
    </row>
    <row r="462" ht="15.75" customHeight="1" s="18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</row>
    <row r="463" ht="15.75" customHeight="1" s="182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4" t="n"/>
    </row>
    <row r="464" ht="15.75" customHeight="1" s="182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</row>
    <row r="465" ht="15.75" customHeight="1" s="182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</row>
    <row r="466" ht="15.75" customHeight="1" s="182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</row>
    <row r="467" ht="15.75" customHeight="1" s="182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4" t="n"/>
    </row>
    <row r="468" ht="15.75" customHeight="1" s="182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</row>
    <row r="469" ht="15.75" customHeight="1" s="182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4" t="n"/>
    </row>
    <row r="470" ht="15.75" customHeight="1" s="182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</row>
    <row r="471" ht="15.75" customHeight="1" s="182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4" t="n"/>
    </row>
    <row r="472" ht="15.75" customHeight="1" s="18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</row>
    <row r="473" ht="15.75" customHeight="1" s="182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4" t="n"/>
    </row>
    <row r="474" ht="15.75" customHeight="1" s="182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</row>
    <row r="475" ht="15.75" customHeight="1" s="182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4" t="n"/>
    </row>
    <row r="476" ht="15.75" customHeight="1" s="182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</row>
    <row r="477" ht="15.75" customHeight="1" s="182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4" t="n"/>
    </row>
    <row r="478" ht="15.75" customHeight="1" s="182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</row>
    <row r="479" ht="15.75" customHeight="1" s="182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n"/>
    </row>
    <row r="480" ht="15.75" customHeight="1" s="182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</row>
    <row r="481" ht="15.75" customHeight="1" s="182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4" t="n"/>
    </row>
    <row r="482" ht="15.75" customHeight="1" s="1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</row>
    <row r="483" ht="15.75" customHeight="1" s="182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n"/>
    </row>
    <row r="484" ht="15.75" customHeight="1" s="182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</row>
    <row r="485" ht="15.75" customHeight="1" s="182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n"/>
    </row>
    <row r="486" ht="15.75" customHeight="1" s="182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</row>
    <row r="487" ht="15.75" customHeight="1" s="182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n"/>
    </row>
    <row r="488" ht="15.75" customHeight="1" s="182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</row>
    <row r="489" ht="15.75" customHeight="1" s="182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</row>
    <row r="490" ht="15.75" customHeight="1" s="182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</row>
    <row r="491" ht="15.75" customHeight="1" s="182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n"/>
    </row>
    <row r="492" ht="15.75" customHeight="1" s="18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</row>
    <row r="493" ht="15.75" customHeight="1" s="182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</row>
    <row r="494" ht="15.75" customHeight="1" s="182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</row>
    <row r="495" ht="15.75" customHeight="1" s="182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n"/>
    </row>
    <row r="496" ht="15.75" customHeight="1" s="182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</row>
    <row r="497" ht="15.75" customHeight="1" s="182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/>
    </row>
    <row r="498" ht="15.75" customHeight="1" s="182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</row>
    <row r="499" ht="15.75" customHeight="1" s="182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4" t="n"/>
    </row>
    <row r="500" ht="15.75" customHeight="1" s="182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</row>
    <row r="501" ht="15.75" customHeight="1" s="182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/>
    </row>
    <row r="502" ht="15.75" customHeight="1" s="18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</row>
    <row r="503" ht="15.75" customHeight="1" s="182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4" t="n"/>
    </row>
    <row r="504" ht="15.75" customHeight="1" s="182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</row>
    <row r="505" ht="15.75" customHeight="1" s="182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n"/>
    </row>
    <row r="506" ht="15.75" customHeight="1" s="182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</row>
    <row r="507" ht="15.75" customHeight="1" s="182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4" t="n"/>
    </row>
    <row r="508" ht="15.75" customHeight="1" s="182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</row>
    <row r="509" ht="15.75" customHeight="1" s="182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n"/>
    </row>
    <row r="510" ht="15.75" customHeight="1" s="182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</row>
    <row r="511" ht="15.75" customHeight="1" s="182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n"/>
    </row>
    <row r="512" ht="15.75" customHeight="1" s="18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</row>
    <row r="513" ht="15.75" customHeight="1" s="182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</row>
    <row r="514" ht="15.75" customHeight="1" s="182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</row>
    <row r="515" ht="15.75" customHeight="1" s="182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n"/>
    </row>
    <row r="516" ht="15.75" customHeight="1" s="182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</row>
    <row r="517" ht="15.75" customHeight="1" s="182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n"/>
    </row>
    <row r="518" ht="15.75" customHeight="1" s="182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</row>
    <row r="519" ht="15.75" customHeight="1" s="182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</row>
    <row r="520" ht="15.75" customHeight="1" s="182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</row>
    <row r="521" ht="15.75" customHeight="1" s="182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</row>
    <row r="522" ht="15.75" customHeight="1" s="18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</row>
    <row r="523" ht="15.75" customHeight="1" s="182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</row>
    <row r="524" ht="15.75" customHeight="1" s="182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</row>
    <row r="525" ht="15.75" customHeight="1" s="182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4" t="n"/>
    </row>
    <row r="526" ht="15.75" customHeight="1" s="182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</row>
    <row r="527" ht="15.75" customHeight="1" s="182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n"/>
    </row>
    <row r="528" ht="15.75" customHeight="1" s="182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</row>
    <row r="529" ht="15.75" customHeight="1" s="182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n"/>
    </row>
    <row r="530" ht="15.75" customHeight="1" s="182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</row>
    <row r="531" ht="15.75" customHeight="1" s="182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4" t="n"/>
    </row>
    <row r="532" ht="15.75" customHeight="1" s="18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4" t="n"/>
    </row>
    <row r="533" ht="15.75" customHeight="1" s="182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4" t="n"/>
    </row>
    <row r="534" ht="15.75" customHeight="1" s="182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</row>
    <row r="535" ht="15.75" customHeight="1" s="182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4" t="n"/>
    </row>
    <row r="536" ht="15.75" customHeight="1" s="182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</row>
    <row r="537" ht="15.75" customHeight="1" s="182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n"/>
    </row>
    <row r="538" ht="15.75" customHeight="1" s="182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</row>
    <row r="539" ht="15.75" customHeight="1" s="182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4" t="n"/>
    </row>
    <row r="540" ht="15.75" customHeight="1" s="182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</row>
    <row r="541" ht="15.75" customHeight="1" s="182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4" t="n"/>
    </row>
    <row r="542" ht="15.75" customHeight="1" s="18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4" t="n"/>
    </row>
    <row r="543" ht="15.75" customHeight="1" s="182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4" t="n"/>
    </row>
    <row r="544" ht="15.75" customHeight="1" s="182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</row>
    <row r="545" ht="15.75" customHeight="1" s="182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4" t="n"/>
    </row>
    <row r="546" ht="15.75" customHeight="1" s="182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</row>
    <row r="547" ht="15.75" customHeight="1" s="182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4" t="n"/>
    </row>
    <row r="548" ht="15.75" customHeight="1" s="182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4" t="n"/>
    </row>
    <row r="549" ht="15.75" customHeight="1" s="182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4" t="n"/>
    </row>
    <row r="550" ht="15.75" customHeight="1" s="182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</row>
    <row r="551" ht="15.75" customHeight="1" s="182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4" t="n"/>
    </row>
    <row r="552" ht="15.75" customHeight="1" s="18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</row>
    <row r="553" ht="15.75" customHeight="1" s="182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4" t="n"/>
    </row>
    <row r="554" ht="15.75" customHeight="1" s="182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</row>
    <row r="555" ht="15.75" customHeight="1" s="182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n"/>
    </row>
    <row r="556" ht="15.75" customHeight="1" s="182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</row>
    <row r="557" ht="15.75" customHeight="1" s="182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4" t="n"/>
    </row>
    <row r="558" ht="15.75" customHeight="1" s="182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</row>
    <row r="559" ht="15.75" customHeight="1" s="182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4" t="n"/>
    </row>
    <row r="560" ht="15.75" customHeight="1" s="182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n"/>
    </row>
    <row r="561" ht="15.75" customHeight="1" s="182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4" t="n"/>
    </row>
    <row r="562" ht="15.75" customHeight="1" s="18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n"/>
    </row>
    <row r="563" ht="15.75" customHeight="1" s="182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n"/>
    </row>
    <row r="564" ht="15.75" customHeight="1" s="182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</row>
    <row r="565" ht="15.75" customHeight="1" s="182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4" t="n"/>
    </row>
    <row r="566" ht="15.75" customHeight="1" s="182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</row>
    <row r="567" ht="15.75" customHeight="1" s="182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4" t="n"/>
    </row>
    <row r="568" ht="15.75" customHeight="1" s="182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</row>
    <row r="569" ht="15.75" customHeight="1" s="182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4" t="n"/>
    </row>
    <row r="570" ht="15.75" customHeight="1" s="182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</row>
    <row r="571" ht="15.75" customHeight="1" s="182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4" t="n"/>
    </row>
    <row r="572" ht="15.75" customHeight="1" s="18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</row>
    <row r="573" ht="15.75" customHeight="1" s="182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4" t="n"/>
    </row>
    <row r="574" ht="15.75" customHeight="1" s="182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</row>
    <row r="575" ht="15.75" customHeight="1" s="182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4" t="n"/>
    </row>
    <row r="576" ht="15.75" customHeight="1" s="182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</row>
    <row r="577" ht="15.75" customHeight="1" s="182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4" t="n"/>
    </row>
    <row r="578" ht="15.75" customHeight="1" s="182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</row>
    <row r="579" ht="15.75" customHeight="1" s="182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4" t="n"/>
    </row>
    <row r="580" ht="15.75" customHeight="1" s="182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</row>
    <row r="581" ht="15.75" customHeight="1" s="182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4" t="n"/>
    </row>
    <row r="582" ht="15.75" customHeight="1" s="1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</row>
    <row r="583" ht="15.75" customHeight="1" s="182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4" t="n"/>
    </row>
    <row r="584" ht="15.75" customHeight="1" s="182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</row>
    <row r="585" ht="15.75" customHeight="1" s="182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4" t="n"/>
    </row>
    <row r="586" ht="15.75" customHeight="1" s="182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n"/>
    </row>
    <row r="587" ht="15.75" customHeight="1" s="182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4" t="n"/>
    </row>
    <row r="588" ht="15.75" customHeight="1" s="182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</row>
    <row r="589" ht="15.75" customHeight="1" s="182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4" t="n"/>
    </row>
    <row r="590" ht="15.75" customHeight="1" s="182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</row>
    <row r="591" ht="15.75" customHeight="1" s="182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4" t="n"/>
    </row>
    <row r="592" ht="15.75" customHeight="1" s="18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</row>
    <row r="593" ht="15.75" customHeight="1" s="182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4" t="n"/>
    </row>
    <row r="594" ht="15.75" customHeight="1" s="182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</row>
    <row r="595" ht="15.75" customHeight="1" s="182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4" t="n"/>
    </row>
    <row r="596" ht="15.75" customHeight="1" s="182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</row>
    <row r="597" ht="15.75" customHeight="1" s="182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4" t="n"/>
    </row>
    <row r="598" ht="15.75" customHeight="1" s="182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</row>
    <row r="599" ht="15.75" customHeight="1" s="182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4" t="n"/>
    </row>
    <row r="600" ht="15.75" customHeight="1" s="182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</row>
    <row r="601" ht="15.75" customHeight="1" s="182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4" t="n"/>
    </row>
    <row r="602" ht="15.75" customHeight="1" s="18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</row>
    <row r="603" ht="15.75" customHeight="1" s="182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4" t="n"/>
    </row>
    <row r="604" ht="15.75" customHeight="1" s="182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</row>
    <row r="605" ht="15.75" customHeight="1" s="182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4" t="n"/>
    </row>
    <row r="606" ht="15.75" customHeight="1" s="182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</row>
    <row r="607" ht="15.75" customHeight="1" s="182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4" t="n"/>
    </row>
    <row r="608" ht="15.75" customHeight="1" s="182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</row>
    <row r="609" ht="15.75" customHeight="1" s="182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4" t="n"/>
    </row>
    <row r="610" ht="15.75" customHeight="1" s="182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</row>
    <row r="611" ht="15.75" customHeight="1" s="182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4" t="n"/>
    </row>
    <row r="612" ht="15.75" customHeight="1" s="18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</row>
    <row r="613" ht="15.75" customHeight="1" s="182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4" t="n"/>
    </row>
    <row r="614" ht="15.75" customHeight="1" s="182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</row>
    <row r="615" ht="15.75" customHeight="1" s="182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4" t="n"/>
    </row>
    <row r="616" ht="15.75" customHeight="1" s="182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n"/>
    </row>
    <row r="617" ht="15.75" customHeight="1" s="182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n"/>
    </row>
    <row r="618" ht="15.75" customHeight="1" s="182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</row>
    <row r="619" ht="15.75" customHeight="1" s="182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4" t="n"/>
    </row>
    <row r="620" ht="15.75" customHeight="1" s="182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</row>
    <row r="621" ht="15.75" customHeight="1" s="182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4" t="n"/>
    </row>
    <row r="622" ht="15.75" customHeight="1" s="18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</row>
    <row r="623" ht="15.75" customHeight="1" s="182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4" t="n"/>
    </row>
    <row r="624" ht="15.75" customHeight="1" s="182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n"/>
    </row>
    <row r="625" ht="15.75" customHeight="1" s="182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4" t="n"/>
    </row>
    <row r="626" ht="15.75" customHeight="1" s="182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</row>
    <row r="627" ht="15.75" customHeight="1" s="182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n"/>
    </row>
    <row r="628" ht="15.75" customHeight="1" s="182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</row>
    <row r="629" ht="15.75" customHeight="1" s="182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4" t="n"/>
    </row>
    <row r="630" ht="15.75" customHeight="1" s="182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4" t="n"/>
    </row>
    <row r="631" ht="15.75" customHeight="1" s="182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4" t="n"/>
    </row>
    <row r="632" ht="15.75" customHeight="1" s="18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n"/>
    </row>
    <row r="633" ht="15.75" customHeight="1" s="182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4" t="n"/>
    </row>
    <row r="634" ht="15.75" customHeight="1" s="182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n"/>
    </row>
    <row r="635" ht="15.75" customHeight="1" s="182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n"/>
    </row>
    <row r="636" ht="15.75" customHeight="1" s="182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</row>
    <row r="637" ht="15.75" customHeight="1" s="182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4" t="n"/>
    </row>
    <row r="638" ht="15.75" customHeight="1" s="182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4" t="n"/>
    </row>
    <row r="639" ht="15.75" customHeight="1" s="182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4" t="n"/>
    </row>
    <row r="640" ht="15.75" customHeight="1" s="182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n"/>
    </row>
    <row r="641" ht="15.75" customHeight="1" s="182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4" t="n"/>
    </row>
    <row r="642" ht="15.75" customHeight="1" s="18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n"/>
    </row>
    <row r="643" ht="15.75" customHeight="1" s="182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4" t="n"/>
    </row>
    <row r="644" ht="15.75" customHeight="1" s="182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</row>
    <row r="645" ht="15.75" customHeight="1" s="182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n"/>
    </row>
    <row r="646" ht="15.75" customHeight="1" s="182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</row>
    <row r="647" ht="15.75" customHeight="1" s="182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4" t="n"/>
    </row>
    <row r="648" ht="15.75" customHeight="1" s="182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</row>
    <row r="649" ht="15.75" customHeight="1" s="182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4" t="n"/>
    </row>
    <row r="650" ht="15.75" customHeight="1" s="182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</row>
    <row r="651" ht="15.75" customHeight="1" s="182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4" t="n"/>
    </row>
    <row r="652" ht="15.75" customHeight="1" s="18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</row>
    <row r="653" ht="15.75" customHeight="1" s="182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n"/>
    </row>
    <row r="654" ht="15.75" customHeight="1" s="182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</row>
    <row r="655" ht="15.75" customHeight="1" s="182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n"/>
    </row>
    <row r="656" ht="15.75" customHeight="1" s="182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n"/>
    </row>
    <row r="657" ht="15.75" customHeight="1" s="182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4" t="n"/>
    </row>
    <row r="658" ht="15.75" customHeight="1" s="182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4" t="n"/>
    </row>
    <row r="659" ht="15.75" customHeight="1" s="182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4" t="n"/>
    </row>
    <row r="660" ht="15.75" customHeight="1" s="182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n"/>
    </row>
    <row r="661" ht="15.75" customHeight="1" s="182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4" t="n"/>
    </row>
    <row r="662" ht="15.75" customHeight="1" s="18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</row>
    <row r="663" ht="15.75" customHeight="1" s="182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n"/>
    </row>
    <row r="664" ht="15.75" customHeight="1" s="182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</row>
    <row r="665" ht="15.75" customHeight="1" s="182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4" t="n"/>
    </row>
    <row r="666" ht="15.75" customHeight="1" s="182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n"/>
    </row>
    <row r="667" ht="15.75" customHeight="1" s="182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4" t="n"/>
    </row>
    <row r="668" ht="15.75" customHeight="1" s="182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4" t="n"/>
    </row>
    <row r="669" ht="15.75" customHeight="1" s="182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4" t="n"/>
    </row>
    <row r="670" ht="15.75" customHeight="1" s="182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4" t="n"/>
    </row>
    <row r="671" ht="15.75" customHeight="1" s="182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4" t="n"/>
    </row>
    <row r="672" ht="15.75" customHeight="1" s="18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</row>
    <row r="673" ht="15.75" customHeight="1" s="182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4" t="n"/>
    </row>
    <row r="674" ht="15.75" customHeight="1" s="182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4" t="n"/>
    </row>
    <row r="675" ht="15.75" customHeight="1" s="182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4" t="n"/>
    </row>
    <row r="676" ht="15.75" customHeight="1" s="182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4" t="n"/>
    </row>
    <row r="677" ht="15.75" customHeight="1" s="182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4" t="n"/>
    </row>
    <row r="678" ht="15.75" customHeight="1" s="182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4" t="n"/>
    </row>
    <row r="679" ht="15.75" customHeight="1" s="182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4" t="n"/>
    </row>
    <row r="680" ht="15.75" customHeight="1" s="182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</row>
    <row r="681" ht="15.75" customHeight="1" s="182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n"/>
    </row>
    <row r="682" ht="15.75" customHeight="1" s="1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</row>
    <row r="683" ht="15.75" customHeight="1" s="182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4" t="n"/>
    </row>
    <row r="684" ht="15.75" customHeight="1" s="182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4" t="n"/>
    </row>
    <row r="685" ht="15.75" customHeight="1" s="182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4" t="n"/>
    </row>
    <row r="686" ht="15.75" customHeight="1" s="182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n"/>
    </row>
    <row r="687" ht="15.75" customHeight="1" s="182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4" t="n"/>
    </row>
    <row r="688" ht="15.75" customHeight="1" s="182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4" t="n"/>
    </row>
    <row r="689" ht="15.75" customHeight="1" s="182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4" t="n"/>
    </row>
    <row r="690" ht="15.75" customHeight="1" s="182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</row>
    <row r="691" ht="15.75" customHeight="1" s="182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4" t="n"/>
    </row>
    <row r="692" ht="15.75" customHeight="1" s="18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4" t="n"/>
    </row>
    <row r="693" ht="15.75" customHeight="1" s="182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4" t="n"/>
    </row>
    <row r="694" ht="15.75" customHeight="1" s="182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4" t="n"/>
    </row>
    <row r="695" ht="15.75" customHeight="1" s="182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4" t="n"/>
    </row>
    <row r="696" ht="15.75" customHeight="1" s="182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4" t="n"/>
    </row>
    <row r="697" ht="15.75" customHeight="1" s="182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4" t="n"/>
    </row>
    <row r="698" ht="15.75" customHeight="1" s="182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</row>
    <row r="699" ht="15.75" customHeight="1" s="182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4" t="n"/>
    </row>
    <row r="700" ht="15.75" customHeight="1" s="182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</row>
    <row r="701" ht="15.75" customHeight="1" s="182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4" t="n"/>
    </row>
    <row r="702" ht="15.75" customHeight="1" s="18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n"/>
    </row>
    <row r="703" ht="15.75" customHeight="1" s="182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4" t="n"/>
    </row>
    <row r="704" ht="15.75" customHeight="1" s="182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4" t="n"/>
    </row>
    <row r="705" ht="15.75" customHeight="1" s="182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4" t="n"/>
    </row>
    <row r="706" ht="15.75" customHeight="1" s="182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4" t="n"/>
    </row>
    <row r="707" ht="15.75" customHeight="1" s="182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4" t="n"/>
    </row>
    <row r="708" ht="15.75" customHeight="1" s="182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</row>
    <row r="709" ht="15.75" customHeight="1" s="182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4" t="n"/>
    </row>
    <row r="710" ht="15.75" customHeight="1" s="182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n"/>
    </row>
    <row r="711" ht="15.75" customHeight="1" s="182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4" t="n"/>
    </row>
    <row r="712" ht="15.75" customHeight="1" s="18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4" t="n"/>
    </row>
    <row r="713" ht="15.75" customHeight="1" s="182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4" t="n"/>
    </row>
    <row r="714" ht="15.75" customHeight="1" s="182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4" t="n"/>
    </row>
    <row r="715" ht="15.75" customHeight="1" s="182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4" t="n"/>
    </row>
    <row r="716" ht="15.75" customHeight="1" s="182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n"/>
    </row>
    <row r="717" ht="15.75" customHeight="1" s="182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4" t="n"/>
    </row>
    <row r="718" ht="15.75" customHeight="1" s="182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4" t="n"/>
    </row>
    <row r="719" ht="15.75" customHeight="1" s="182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4" t="n"/>
    </row>
    <row r="720" ht="15.75" customHeight="1" s="182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4" t="n"/>
    </row>
    <row r="721" ht="15.75" customHeight="1" s="182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4" t="n"/>
    </row>
    <row r="722" ht="15.75" customHeight="1" s="18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4" t="n"/>
    </row>
    <row r="723" ht="15.75" customHeight="1" s="182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4" t="n"/>
    </row>
    <row r="724" ht="15.75" customHeight="1" s="182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4" t="n"/>
    </row>
    <row r="725" ht="15.75" customHeight="1" s="182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4" t="n"/>
    </row>
    <row r="726" ht="15.75" customHeight="1" s="182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</row>
    <row r="727" ht="15.75" customHeight="1" s="182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n"/>
    </row>
    <row r="728" ht="15.75" customHeight="1" s="182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4" t="n"/>
    </row>
    <row r="729" ht="15.75" customHeight="1" s="182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4" t="n"/>
    </row>
    <row r="730" ht="15.75" customHeight="1" s="182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4" t="n"/>
    </row>
    <row r="731" ht="15.75" customHeight="1" s="182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4" t="n"/>
    </row>
    <row r="732" ht="15.75" customHeight="1" s="18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4" t="n"/>
    </row>
    <row r="733" ht="15.75" customHeight="1" s="182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4" t="n"/>
    </row>
    <row r="734" ht="15.75" customHeight="1" s="182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</row>
    <row r="735" ht="15.75" customHeight="1" s="182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4" t="n"/>
    </row>
    <row r="736" ht="15.75" customHeight="1" s="182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</row>
    <row r="737" ht="15.75" customHeight="1" s="182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4" t="n"/>
    </row>
    <row r="738" ht="15.75" customHeight="1" s="182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4" t="n"/>
    </row>
    <row r="739" ht="15.75" customHeight="1" s="182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4" t="n"/>
    </row>
    <row r="740" ht="15.75" customHeight="1" s="182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4" t="n"/>
    </row>
    <row r="741" ht="15.75" customHeight="1" s="182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4" t="n"/>
    </row>
    <row r="742" ht="15.75" customHeight="1" s="18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4" t="n"/>
    </row>
    <row r="743" ht="15.75" customHeight="1" s="182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4" t="n"/>
    </row>
    <row r="744" ht="15.75" customHeight="1" s="182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</row>
    <row r="745" ht="15.75" customHeight="1" s="182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4" t="n"/>
    </row>
    <row r="746" ht="15.75" customHeight="1" s="182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4" t="n"/>
    </row>
    <row r="747" ht="15.75" customHeight="1" s="182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4" t="n"/>
    </row>
    <row r="748" ht="15.75" customHeight="1" s="182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4" t="n"/>
    </row>
    <row r="749" ht="15.75" customHeight="1" s="182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4" t="n"/>
    </row>
    <row r="750" ht="15.75" customHeight="1" s="182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4" t="n"/>
    </row>
    <row r="751" ht="15.75" customHeight="1" s="182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4" t="n"/>
    </row>
    <row r="752" ht="15.75" customHeight="1" s="18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</row>
    <row r="753" ht="15.75" customHeight="1" s="182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4" t="n"/>
    </row>
    <row r="754" ht="15.75" customHeight="1" s="182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n"/>
    </row>
    <row r="755" ht="15.75" customHeight="1" s="182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4" t="n"/>
    </row>
    <row r="756" ht="15.75" customHeight="1" s="182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4" t="n"/>
    </row>
    <row r="757" ht="15.75" customHeight="1" s="182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4" t="n"/>
    </row>
    <row r="758" ht="15.75" customHeight="1" s="182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4" t="n"/>
    </row>
    <row r="759" ht="15.75" customHeight="1" s="182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4" t="n"/>
    </row>
    <row r="760" ht="15.75" customHeight="1" s="182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4" t="n"/>
    </row>
    <row r="761" ht="15.75" customHeight="1" s="182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4" t="n"/>
    </row>
    <row r="762" ht="15.75" customHeight="1" s="18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</row>
    <row r="763" ht="15.75" customHeight="1" s="182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4" t="n"/>
    </row>
    <row r="764" ht="15.75" customHeight="1" s="182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4" t="n"/>
    </row>
    <row r="765" ht="15.75" customHeight="1" s="182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4" t="n"/>
    </row>
    <row r="766" ht="15.75" customHeight="1" s="182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4" t="n"/>
    </row>
    <row r="767" ht="15.75" customHeight="1" s="182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4" t="n"/>
    </row>
    <row r="768" ht="15.75" customHeight="1" s="182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4" t="n"/>
    </row>
    <row r="769" ht="15.75" customHeight="1" s="182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4" t="n"/>
    </row>
    <row r="770" ht="15.75" customHeight="1" s="182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</row>
    <row r="771" ht="15.75" customHeight="1" s="182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4" t="n"/>
    </row>
    <row r="772" ht="15.75" customHeight="1" s="18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</row>
    <row r="773" ht="15.75" customHeight="1" s="182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4" t="n"/>
    </row>
    <row r="774" ht="15.75" customHeight="1" s="182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4" t="n"/>
    </row>
    <row r="775" ht="15.75" customHeight="1" s="182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4" t="n"/>
    </row>
    <row r="776" ht="15.75" customHeight="1" s="182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4" t="n"/>
    </row>
    <row r="777" ht="15.75" customHeight="1" s="182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4" t="n"/>
    </row>
    <row r="778" ht="15.75" customHeight="1" s="182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4" t="n"/>
    </row>
    <row r="779" ht="15.75" customHeight="1" s="182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4" t="n"/>
    </row>
    <row r="780" ht="15.75" customHeight="1" s="182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</row>
    <row r="781" ht="15.75" customHeight="1" s="182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4" t="n"/>
    </row>
    <row r="782" ht="15.75" customHeight="1" s="1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4" t="n"/>
    </row>
    <row r="783" ht="15.75" customHeight="1" s="182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4" t="n"/>
    </row>
    <row r="784" ht="15.75" customHeight="1" s="182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4" t="n"/>
    </row>
    <row r="785" ht="15.75" customHeight="1" s="182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4" t="n"/>
    </row>
    <row r="786" ht="15.75" customHeight="1" s="182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4" t="n"/>
    </row>
    <row r="787" ht="15.75" customHeight="1" s="182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4" t="n"/>
    </row>
    <row r="788" ht="15.75" customHeight="1" s="182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</row>
    <row r="789" ht="15.75" customHeight="1" s="182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4" t="n"/>
    </row>
    <row r="790" ht="15.75" customHeight="1" s="182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</row>
    <row r="791" ht="15.75" customHeight="1" s="182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4" t="n"/>
    </row>
    <row r="792" ht="15.75" customHeight="1" s="18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4" t="n"/>
    </row>
    <row r="793" ht="15.75" customHeight="1" s="182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4" t="n"/>
    </row>
    <row r="794" ht="15.75" customHeight="1" s="182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4" t="n"/>
    </row>
    <row r="795" ht="15.75" customHeight="1" s="182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4" t="n"/>
    </row>
    <row r="796" ht="15.75" customHeight="1" s="182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4" t="n"/>
    </row>
    <row r="797" ht="15.75" customHeight="1" s="182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4" t="n"/>
    </row>
    <row r="798" ht="15.75" customHeight="1" s="182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</row>
    <row r="799" ht="15.75" customHeight="1" s="182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4" t="n"/>
    </row>
    <row r="800" ht="15.75" customHeight="1" s="182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4" t="n"/>
    </row>
    <row r="801" ht="15.75" customHeight="1" s="182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4" t="n"/>
    </row>
    <row r="802" ht="15.75" customHeight="1" s="18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4" t="n"/>
    </row>
    <row r="803" ht="15.75" customHeight="1" s="182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4" t="n"/>
    </row>
    <row r="804" ht="15.75" customHeight="1" s="182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4" t="n"/>
    </row>
    <row r="805" ht="15.75" customHeight="1" s="182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4" t="n"/>
    </row>
    <row r="806" ht="15.75" customHeight="1" s="182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</row>
    <row r="807" ht="15.75" customHeight="1" s="182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4" t="n"/>
    </row>
    <row r="808" ht="15.75" customHeight="1" s="182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</row>
    <row r="809" ht="15.75" customHeight="1" s="182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4" t="n"/>
    </row>
    <row r="810" ht="15.75" customHeight="1" s="182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4" t="n"/>
    </row>
    <row r="811" ht="15.75" customHeight="1" s="182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4" t="n"/>
    </row>
    <row r="812" ht="15.75" customHeight="1" s="18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4" t="n"/>
    </row>
    <row r="813" ht="15.75" customHeight="1" s="182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4" t="n"/>
    </row>
    <row r="814" ht="15.75" customHeight="1" s="182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4" t="n"/>
    </row>
    <row r="815" ht="15.75" customHeight="1" s="182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4" t="n"/>
    </row>
    <row r="816" ht="15.75" customHeight="1" s="182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</row>
    <row r="817" ht="15.75" customHeight="1" s="182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4" t="n"/>
    </row>
    <row r="818" ht="15.75" customHeight="1" s="182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4" t="n"/>
    </row>
    <row r="819" ht="15.75" customHeight="1" s="182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4" t="n"/>
    </row>
    <row r="820" ht="15.75" customHeight="1" s="182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4" t="n"/>
    </row>
    <row r="821" ht="15.75" customHeight="1" s="182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4" t="n"/>
    </row>
    <row r="822" ht="15.75" customHeight="1" s="18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4" t="n"/>
    </row>
    <row r="823" ht="15.75" customHeight="1" s="182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4" t="n"/>
    </row>
    <row r="824" ht="15.75" customHeight="1" s="182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</row>
    <row r="825" ht="15.75" customHeight="1" s="182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4" t="n"/>
    </row>
    <row r="826" ht="15.75" customHeight="1" s="182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</row>
    <row r="827" ht="15.75" customHeight="1" s="182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4" t="n"/>
    </row>
    <row r="828" ht="15.75" customHeight="1" s="182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4" t="n"/>
    </row>
    <row r="829" ht="15.75" customHeight="1" s="182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4" t="n"/>
    </row>
    <row r="830" ht="15.75" customHeight="1" s="182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4" t="n"/>
    </row>
    <row r="831" ht="15.75" customHeight="1" s="182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4" t="n"/>
    </row>
    <row r="832" ht="15.75" customHeight="1" s="18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4" t="n"/>
    </row>
    <row r="833" ht="15.75" customHeight="1" s="182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4" t="n"/>
    </row>
    <row r="834" ht="15.75" customHeight="1" s="182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</row>
    <row r="835" ht="15.75" customHeight="1" s="182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4" t="n"/>
    </row>
    <row r="836" ht="15.75" customHeight="1" s="182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4" t="n"/>
    </row>
    <row r="837" ht="15.75" customHeight="1" s="182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4" t="n"/>
    </row>
    <row r="838" ht="15.75" customHeight="1" s="182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4" t="n"/>
    </row>
    <row r="839" ht="15.75" customHeight="1" s="182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4" t="n"/>
    </row>
    <row r="840" ht="15.75" customHeight="1" s="182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4" t="n"/>
    </row>
    <row r="841" ht="15.75" customHeight="1" s="182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4" t="n"/>
    </row>
    <row r="842" ht="15.75" customHeight="1" s="18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</row>
    <row r="843" ht="15.75" customHeight="1" s="182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4" t="n"/>
    </row>
    <row r="844" ht="15.75" customHeight="1" s="182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</row>
    <row r="845" ht="15.75" customHeight="1" s="182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4" t="n"/>
    </row>
    <row r="846" ht="15.75" customHeight="1" s="182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4" t="n"/>
    </row>
    <row r="847" ht="15.75" customHeight="1" s="182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4" t="n"/>
    </row>
    <row r="848" ht="15.75" customHeight="1" s="182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4" t="n"/>
    </row>
    <row r="849" ht="15.75" customHeight="1" s="182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4" t="n"/>
    </row>
    <row r="850" ht="15.75" customHeight="1" s="182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4" t="n"/>
    </row>
    <row r="851" ht="15.75" customHeight="1" s="182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4" t="n"/>
    </row>
    <row r="852" ht="15.75" customHeight="1" s="18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</row>
    <row r="853" ht="15.75" customHeight="1" s="182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4" t="n"/>
    </row>
    <row r="854" ht="15.75" customHeight="1" s="182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4" t="n"/>
    </row>
    <row r="855" ht="15.75" customHeight="1" s="182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4" t="n"/>
    </row>
    <row r="856" ht="15.75" customHeight="1" s="182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4" t="n"/>
    </row>
    <row r="857" ht="15.75" customHeight="1" s="182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4" t="n"/>
    </row>
    <row r="858" ht="15.75" customHeight="1" s="182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4" t="n"/>
    </row>
    <row r="859" ht="15.75" customHeight="1" s="182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4" t="n"/>
    </row>
    <row r="860" ht="15.75" customHeight="1" s="182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</row>
    <row r="861" ht="15.75" customHeight="1" s="182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4" t="n"/>
    </row>
    <row r="862" ht="15.75" customHeight="1" s="18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</row>
    <row r="863" ht="15.75" customHeight="1" s="182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4" t="n"/>
    </row>
    <row r="864" ht="15.75" customHeight="1" s="182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4" t="n"/>
    </row>
    <row r="865" ht="15.75" customHeight="1" s="182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4" t="n"/>
    </row>
    <row r="866" ht="15.75" customHeight="1" s="182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4" t="n"/>
    </row>
    <row r="867" ht="15.75" customHeight="1" s="182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4" t="n"/>
    </row>
    <row r="868" ht="15.75" customHeight="1" s="182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4" t="n"/>
    </row>
    <row r="869" ht="15.75" customHeight="1" s="182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4" t="n"/>
    </row>
    <row r="870" ht="15.75" customHeight="1" s="182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</row>
    <row r="871" ht="15.75" customHeight="1" s="182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4" t="n"/>
    </row>
    <row r="872" ht="15.75" customHeight="1" s="18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4" t="n"/>
    </row>
    <row r="873" ht="15.75" customHeight="1" s="182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4" t="n"/>
    </row>
    <row r="874" ht="15.75" customHeight="1" s="182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4" t="n"/>
    </row>
    <row r="875" ht="15.75" customHeight="1" s="182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4" t="n"/>
    </row>
    <row r="876" ht="15.75" customHeight="1" s="182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4" t="n"/>
    </row>
    <row r="877" ht="15.75" customHeight="1" s="182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4" t="n"/>
    </row>
    <row r="878" ht="15.75" customHeight="1" s="182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</row>
    <row r="879" ht="15.75" customHeight="1" s="182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4" t="n"/>
    </row>
    <row r="880" ht="15.75" customHeight="1" s="182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</row>
    <row r="881" ht="15.75" customHeight="1" s="182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4" t="n"/>
    </row>
    <row r="882" ht="15.75" customHeight="1" s="1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4" t="n"/>
    </row>
    <row r="883" ht="15.75" customHeight="1" s="182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4" t="n"/>
    </row>
    <row r="884" ht="15.75" customHeight="1" s="182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4" t="n"/>
    </row>
    <row r="885" ht="15.75" customHeight="1" s="182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4" t="n"/>
    </row>
    <row r="886" ht="15.75" customHeight="1" s="182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4" t="n"/>
    </row>
    <row r="887" ht="15.75" customHeight="1" s="182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4" t="n"/>
    </row>
    <row r="888" ht="15.75" customHeight="1" s="182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</row>
    <row r="889" ht="15.75" customHeight="1" s="182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4" t="n"/>
    </row>
    <row r="890" ht="15.75" customHeight="1" s="182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4" t="n"/>
    </row>
    <row r="891" ht="15.75" customHeight="1" s="182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4" t="n"/>
    </row>
    <row r="892" ht="15.75" customHeight="1" s="18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4" t="n"/>
    </row>
    <row r="893" ht="15.75" customHeight="1" s="182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4" t="n"/>
    </row>
    <row r="894" ht="15.75" customHeight="1" s="182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4" t="n"/>
    </row>
    <row r="895" ht="15.75" customHeight="1" s="182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4" t="n"/>
    </row>
    <row r="896" ht="15.75" customHeight="1" s="182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</row>
    <row r="897" ht="15.75" customHeight="1" s="182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n"/>
    </row>
    <row r="898" ht="15.75" customHeight="1" s="182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</row>
    <row r="899" ht="15.75" customHeight="1" s="182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4" t="n"/>
    </row>
    <row r="900" ht="15.75" customHeight="1" s="182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4" t="n"/>
    </row>
    <row r="901" ht="15.75" customHeight="1" s="182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4" t="n"/>
    </row>
    <row r="902" ht="15.75" customHeight="1" s="18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4" t="n"/>
    </row>
    <row r="903" ht="15.75" customHeight="1" s="182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4" t="n"/>
    </row>
    <row r="904" ht="15.75" customHeight="1" s="182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4" t="n"/>
    </row>
    <row r="905" ht="15.75" customHeight="1" s="182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4" t="n"/>
    </row>
    <row r="906" ht="15.75" customHeight="1" s="182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4" t="n"/>
    </row>
    <row r="907" ht="15.75" customHeight="1" s="182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4" t="n"/>
    </row>
    <row r="908" ht="15.75" customHeight="1" s="182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4" t="n"/>
    </row>
    <row r="909" ht="15.75" customHeight="1" s="182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4" t="n"/>
    </row>
    <row r="910" ht="15.75" customHeight="1" s="182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4" t="n"/>
    </row>
    <row r="911" ht="15.75" customHeight="1" s="182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4" t="n"/>
    </row>
    <row r="912" ht="15.75" customHeight="1" s="18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4" t="n"/>
    </row>
    <row r="913" ht="15.75" customHeight="1" s="182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4" t="n"/>
    </row>
    <row r="914" ht="15.75" customHeight="1" s="182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4" t="n"/>
    </row>
    <row r="915" ht="15.75" customHeight="1" s="182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4" t="n"/>
    </row>
    <row r="916" ht="15.75" customHeight="1" s="182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4" t="n"/>
    </row>
    <row r="917" ht="15.75" customHeight="1" s="182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4" t="n"/>
    </row>
    <row r="918" ht="15.75" customHeight="1" s="182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4" t="n"/>
    </row>
    <row r="919" ht="15.75" customHeight="1" s="182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4" t="n"/>
    </row>
    <row r="920" ht="15.75" customHeight="1" s="182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4" t="n"/>
    </row>
    <row r="921" ht="15.75" customHeight="1" s="182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4" t="n"/>
    </row>
    <row r="922" ht="15.75" customHeight="1" s="18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4" t="n"/>
    </row>
    <row r="923" ht="15.75" customHeight="1" s="182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4" t="n"/>
    </row>
    <row r="924" ht="15.75" customHeight="1" s="182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4" t="n"/>
    </row>
    <row r="925" ht="15.75" customHeight="1" s="182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4" t="n"/>
    </row>
    <row r="926" ht="15.75" customHeight="1" s="182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4" t="n"/>
    </row>
    <row r="927" ht="15.75" customHeight="1" s="182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4" t="n"/>
    </row>
    <row r="928" ht="15.75" customHeight="1" s="182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4" t="n"/>
    </row>
    <row r="929" ht="15.75" customHeight="1" s="182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4" t="n"/>
    </row>
    <row r="930" ht="15.75" customHeight="1" s="182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4" t="n"/>
    </row>
    <row r="931" ht="15.75" customHeight="1" s="182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4" t="n"/>
    </row>
    <row r="932" ht="15.75" customHeight="1" s="18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4" t="n"/>
    </row>
    <row r="933" ht="15.75" customHeight="1" s="182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4" t="n"/>
    </row>
    <row r="934" ht="15.75" customHeight="1" s="182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4" t="n"/>
    </row>
    <row r="935" ht="15.75" customHeight="1" s="182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4" t="n"/>
    </row>
    <row r="936" ht="15.75" customHeight="1" s="182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4" t="n"/>
    </row>
    <row r="937" ht="15.75" customHeight="1" s="182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4" t="n"/>
    </row>
    <row r="938" ht="15.75" customHeight="1" s="182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4" t="n"/>
    </row>
    <row r="939" ht="15.75" customHeight="1" s="182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4" t="n"/>
    </row>
    <row r="940" ht="15.75" customHeight="1" s="182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4" t="n"/>
    </row>
    <row r="941" ht="15.75" customHeight="1" s="182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4" t="n"/>
    </row>
    <row r="942" ht="15.75" customHeight="1" s="18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4" t="n"/>
    </row>
    <row r="943" ht="15.75" customHeight="1" s="182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4" t="n"/>
    </row>
    <row r="944" ht="15.75" customHeight="1" s="182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4" t="n"/>
    </row>
    <row r="945" ht="15.75" customHeight="1" s="182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4" t="n"/>
    </row>
    <row r="946" ht="15.75" customHeight="1" s="182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4" t="n"/>
    </row>
    <row r="947" ht="15.75" customHeight="1" s="182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4" t="n"/>
    </row>
    <row r="948" ht="15.75" customHeight="1" s="182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4" t="n"/>
    </row>
    <row r="949" ht="15.75" customHeight="1" s="182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4" t="n"/>
    </row>
    <row r="950" ht="15.75" customHeight="1" s="182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4" t="n"/>
    </row>
    <row r="951" ht="15.75" customHeight="1" s="182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4" t="n"/>
    </row>
    <row r="952" ht="15.75" customHeight="1" s="18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4" t="n"/>
    </row>
    <row r="953" ht="15.75" customHeight="1" s="182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4" t="n"/>
    </row>
    <row r="954" ht="15.75" customHeight="1" s="182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4" t="n"/>
    </row>
    <row r="955" ht="15.75" customHeight="1" s="182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4" t="n"/>
    </row>
    <row r="956" ht="15.75" customHeight="1" s="182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4" t="n"/>
    </row>
    <row r="957" ht="15.75" customHeight="1" s="182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4" t="n"/>
    </row>
    <row r="958" ht="15.75" customHeight="1" s="182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</row>
    <row r="959" ht="15.75" customHeight="1" s="182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4" t="n"/>
    </row>
    <row r="960" ht="15.75" customHeight="1" s="182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4" t="n"/>
    </row>
    <row r="961" ht="15.75" customHeight="1" s="182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4" t="n"/>
    </row>
    <row r="962" ht="15.75" customHeight="1" s="18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4" t="n"/>
    </row>
    <row r="963" ht="15.75" customHeight="1" s="182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4" t="n"/>
    </row>
    <row r="964" ht="15.75" customHeight="1" s="182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4" t="n"/>
    </row>
    <row r="965" ht="15.75" customHeight="1" s="182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4" t="n"/>
    </row>
    <row r="966" ht="15.75" customHeight="1" s="182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4" t="n"/>
    </row>
    <row r="967" ht="15.75" customHeight="1" s="182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4" t="n"/>
    </row>
    <row r="968" ht="15.75" customHeight="1" s="182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4" t="n"/>
    </row>
    <row r="969" ht="15.75" customHeight="1" s="182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4" t="n"/>
    </row>
    <row r="970" ht="15.75" customHeight="1" s="182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4" t="n"/>
    </row>
    <row r="971" ht="15.75" customHeight="1" s="182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4" t="n"/>
    </row>
    <row r="972" ht="15.75" customHeight="1" s="18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4" t="n"/>
    </row>
    <row r="973" ht="15.75" customHeight="1" s="182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4" t="n"/>
    </row>
    <row r="974" ht="15.75" customHeight="1" s="182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4" t="n"/>
    </row>
    <row r="975" ht="15.75" customHeight="1" s="182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4" t="n"/>
    </row>
    <row r="976" ht="15.75" customHeight="1" s="182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4" t="n"/>
    </row>
    <row r="977" ht="15.75" customHeight="1" s="182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4" t="n"/>
    </row>
    <row r="978" ht="15.75" customHeight="1" s="182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4" t="n"/>
    </row>
    <row r="979" ht="15.75" customHeight="1" s="182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4" t="n"/>
    </row>
    <row r="980" ht="15.75" customHeight="1" s="182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4" t="n"/>
    </row>
    <row r="981" ht="15.75" customHeight="1" s="182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4" t="n"/>
    </row>
    <row r="982" ht="15.75" customHeight="1" s="1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4" t="n"/>
    </row>
    <row r="983" ht="15.75" customHeight="1" s="182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4" t="n"/>
    </row>
    <row r="984" ht="15.75" customHeight="1" s="182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4" t="n"/>
    </row>
    <row r="985" ht="15.75" customHeight="1" s="182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4" t="n"/>
    </row>
    <row r="986" ht="15.75" customHeight="1" s="182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4" t="n"/>
    </row>
    <row r="987" ht="15.75" customHeight="1" s="182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4" t="n"/>
    </row>
    <row r="988" ht="15.75" customHeight="1" s="182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4" t="n"/>
    </row>
    <row r="989" ht="15.75" customHeight="1" s="182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4" t="n"/>
    </row>
    <row r="990" ht="15.75" customHeight="1" s="182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4" t="n"/>
    </row>
    <row r="991" ht="15.75" customHeight="1" s="182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4" t="n"/>
    </row>
    <row r="992" ht="15.75" customHeight="1" s="18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4" t="n"/>
    </row>
    <row r="993" ht="15.75" customHeight="1" s="182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4" t="n"/>
    </row>
    <row r="994" ht="15.75" customHeight="1" s="182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4" t="n"/>
    </row>
    <row r="995" ht="15.75" customHeight="1" s="182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4" t="n"/>
    </row>
    <row r="996" ht="15.75" customHeight="1" s="182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4" t="n"/>
    </row>
    <row r="997" ht="15.75" customHeight="1" s="182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4" t="n"/>
    </row>
    <row r="998" ht="15.75" customHeight="1" s="182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4" t="n"/>
    </row>
    <row r="999" ht="15.75" customHeight="1" s="182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4" t="n"/>
    </row>
    <row r="1000" ht="15.75" customHeight="1" s="182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4" t="n"/>
    </row>
  </sheetData>
  <mergeCells count="1">
    <mergeCell ref="A1:AI1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tabColor rgb="FF114884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182" min="1" max="1"/>
    <col width="13" customWidth="1" style="182" min="2" max="2"/>
    <col width="15" customWidth="1" style="182" min="3" max="3"/>
    <col width="17" customWidth="1" style="182" min="4" max="6"/>
    <col width="30" customWidth="1" style="182" min="7" max="7"/>
    <col width="11" customWidth="1" style="182" min="8" max="8"/>
  </cols>
  <sheetData>
    <row r="1" ht="48" customHeight="1" s="182">
      <c r="A1" s="213" t="inlineStr">
        <is>
          <t>⚓  Bilanz  —  Automatische Abrechnung</t>
        </is>
      </c>
      <c r="B1" s="194" t="n"/>
      <c r="C1" s="194" t="n"/>
      <c r="D1" s="194" t="n"/>
      <c r="E1" s="194" t="n"/>
      <c r="F1" s="194" t="n"/>
      <c r="G1" s="194" t="n"/>
      <c r="H1" s="19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1.75" customHeight="1" s="182">
      <c r="A2" s="210">
        <f>IFERROR("Törn: "&amp;Besatzung!C4&amp;"  |  Gesamtausgaben: "&amp;TEXT(SUMIF(Transaktionen!C4:C203,"Ausgabe",Transaktionen!G4:G203),"#,##0.00 €"),"—")</f>
        <v/>
      </c>
      <c r="B2" s="211" t="n"/>
      <c r="C2" s="211" t="n"/>
      <c r="D2" s="211" t="n"/>
      <c r="E2" s="211" t="n"/>
      <c r="F2" s="211" t="n"/>
      <c r="G2" s="211" t="n"/>
      <c r="H2" s="211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7.75" customHeight="1" s="182">
      <c r="A3" s="51" t="inlineStr">
        <is>
          <t>Person</t>
        </is>
      </c>
      <c r="B3" s="51" t="inlineStr">
        <is>
          <t>Bezahlt</t>
        </is>
      </c>
      <c r="C3" s="51" t="inlineStr">
        <is>
          <t>Anteil (Schuld)</t>
        </is>
      </c>
      <c r="D3" s="51" t="inlineStr">
        <is>
          <t>Gutschrift gegeben</t>
        </is>
      </c>
      <c r="E3" s="51" t="inlineStr">
        <is>
          <t>Gutschrift erhalten</t>
        </is>
      </c>
      <c r="F3" s="51" t="inlineStr">
        <is>
          <t>Bilanz (Saldo)</t>
        </is>
      </c>
      <c r="G3" s="51" t="inlineStr">
        <is>
          <t>Status</t>
        </is>
      </c>
      <c r="H3" s="51" t="inlineStr">
        <is>
          <t>Bord-Tage</t>
        </is>
      </c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7.75" customHeight="1" s="182">
      <c r="A4" s="128">
        <f>Besatzung!B11</f>
        <v/>
      </c>
      <c r="B4" s="129">
        <f>IFERROR(SUMPRODUCT((Transaktionen!$C$4:$C$203="Ausgabe")*(Transaktionen!$F$4:$F$203=Besatzung!$B$11)*Transaktionen!$G$4:$G$203),0)</f>
        <v/>
      </c>
      <c r="C4" s="130">
        <f>IFERROR(SUM(Transaktionen!$V$4:$V$203),0)</f>
        <v/>
      </c>
      <c r="D4" s="129">
        <f>IFERROR(SUMPRODUCT((Transaktionen!$C$4:$C$203="Gutschrift")*(Transaktionen!$AH$4:$AH$203=Besatzung!$B$11)*Transaktionen!$G$4:$G$203),0)</f>
        <v/>
      </c>
      <c r="E4" s="131">
        <f>IFERROR(SUMPRODUCT((Transaktionen!$C$4:$C$203="Gutschrift")*(Transaktionen!$AI$4:$AI$203=Besatzung!$B$11)*Transaktionen!$G$4:$G$203)+SUMPRODUCT((Transaktionen!$C$4:$C$203="Gutschrift")*(Transaktionen!$AI$4:$AI$203="Alle")*(Transaktionen!$AH$4:$AH$203&lt;&gt;Besatzung!$B$11)*(Transaktionen!$AH$4:$AH$203&lt;&gt;"")*Transaktionen!$G$4:$G$203)/MAX(COUNTA(Besatzung!$B$11:$B$22)-1,1),0)</f>
        <v/>
      </c>
      <c r="F4" s="132">
        <f>B4+D4-C4-E4</f>
        <v/>
      </c>
      <c r="G4" s="100">
        <f>IF(Besatzung!$B$11="","—",IF(F4&gt;0.005,"✅ bekommt "&amp;TEXT(F4,"#,##0.00 €")&amp;" zurück",IF(F4&lt;-0.005,"❗ schuldet "&amp;TEXT(ABS(F4),"#,##0.00 €"),"✔ ausgeglichen")))</f>
        <v/>
      </c>
      <c r="H4" s="133">
        <f>IFERROR(Besatzung!E11,"—")</f>
        <v/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7.75" customHeight="1" s="182">
      <c r="A5" s="134">
        <f>Besatzung!B12</f>
        <v/>
      </c>
      <c r="B5" s="135">
        <f>IFERROR(SUMPRODUCT((Transaktionen!$C$4:$C$203="Ausgabe")*(Transaktionen!$F$4:$F$203=Besatzung!$B$12)*Transaktionen!$G$4:$G$203),0)</f>
        <v/>
      </c>
      <c r="C5" s="136">
        <f>IFERROR(SUM(Transaktionen!$W$4:$W$203),0)</f>
        <v/>
      </c>
      <c r="D5" s="135">
        <f>IFERROR(SUMPRODUCT((Transaktionen!$C$4:$C$203="Gutschrift")*(Transaktionen!$AH$4:$AH$203=Besatzung!$B$12)*Transaktionen!$G$4:$G$203),0)</f>
        <v/>
      </c>
      <c r="E5" s="137">
        <f>IFERROR(SUMPRODUCT((Transaktionen!$C$4:$C$203="Gutschrift")*(Transaktionen!$AI$4:$AI$203=Besatzung!$B$12)*Transaktionen!$G$4:$G$203)+SUMPRODUCT((Transaktionen!$C$4:$C$203="Gutschrift")*(Transaktionen!$AI$4:$AI$203="Alle")*(Transaktionen!$AH$4:$AH$203&lt;&gt;Besatzung!$B$12)*(Transaktionen!$AH$4:$AH$203&lt;&gt;"")*Transaktionen!$G$4:$G$203)/MAX(COUNTA(Besatzung!$B$11:$B$22)-1,1),0)</f>
        <v/>
      </c>
      <c r="F5" s="138">
        <f>B5+D5-C5-E5</f>
        <v/>
      </c>
      <c r="G5" s="110">
        <f>IF(Besatzung!$B$12="","—",IF(F5&gt;0.005,"✅ bekommt "&amp;TEXT(F5,"#,##0.00 €")&amp;" zurück",IF(F5&lt;-0.005,"❗ schuldet "&amp;TEXT(ABS(F5),"#,##0.00 €"),"✔ ausgeglichen")))</f>
        <v/>
      </c>
      <c r="H5" s="139">
        <f>IFERROR(Besatzung!E12,"—")</f>
        <v/>
      </c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7.75" customHeight="1" s="182">
      <c r="A6" s="134">
        <f>Besatzung!B14</f>
        <v/>
      </c>
      <c r="B6" s="135">
        <f>IFERROR(SUMPRODUCT((Transaktionen!$C$4:$C$203="Ausgabe")*(Transaktionen!$F$4:$F$203=Besatzung!$B$14)*Transaktionen!$G$4:$G$203),0)</f>
        <v/>
      </c>
      <c r="C6" s="136">
        <f>IFERROR(SUM(Transaktionen!$Y$4:$Y$203),0)</f>
        <v/>
      </c>
      <c r="D6" s="135">
        <f>IFERROR(SUMPRODUCT((Transaktionen!$C$4:$C$203="Gutschrift")*(Transaktionen!$AH$4:$AH$203=Besatzung!$B$14)*Transaktionen!$G$4:$G$203),0)</f>
        <v/>
      </c>
      <c r="E6" s="137">
        <f>IFERROR(SUMPRODUCT((Transaktionen!$C$4:$C$203="Gutschrift")*(Transaktionen!$AI$4:$AI$203=Besatzung!$B$14)*Transaktionen!$G$4:$G$203)+SUMPRODUCT((Transaktionen!$C$4:$C$203="Gutschrift")*(Transaktionen!$AI$4:$AI$203="Alle")*(Transaktionen!$AH$4:$AH$203&lt;&gt;Besatzung!$B$14)*(Transaktionen!$AH$4:$AH$203&lt;&gt;"")*Transaktionen!$G$4:$G$203)/MAX(COUNTA(Besatzung!$B$11:$B$22)-1,1),0)</f>
        <v/>
      </c>
      <c r="F6" s="138">
        <f>B6+D6-C6-E6</f>
        <v/>
      </c>
      <c r="G6" s="110">
        <f>IF(Besatzung!$B$14="","—",IF(F6&gt;0.005,"✅ bekommt "&amp;TEXT(F6,"#,##0.00 €")&amp;" zurück",IF(F6&lt;-0.005,"❗ schuldet "&amp;TEXT(ABS(F6),"#,##0.00 €"),"✔ ausgeglichen")))</f>
        <v/>
      </c>
      <c r="H6" s="139">
        <f>IFERROR(Besatzung!E14,"—")</f>
        <v/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7.75" customHeight="1" s="182">
      <c r="A7" s="128">
        <f>Besatzung!B13</f>
        <v/>
      </c>
      <c r="B7" s="129">
        <f>IFERROR(SUMPRODUCT((Transaktionen!$C$4:$C$203="Ausgabe")*(Transaktionen!$F$4:$F$203=Besatzung!$B$13)*Transaktionen!$G$4:$G$203),0)</f>
        <v/>
      </c>
      <c r="C7" s="130">
        <f>IFERROR(SUM(Transaktionen!$Z$4:$Z$203),0)</f>
        <v/>
      </c>
      <c r="D7" s="129">
        <f>IFERROR(SUMPRODUCT((Transaktionen!$C$4:$C$203="Gutschrift")*(Transaktionen!$AH$4:$AH$203=Besatzung!$B$13)*Transaktionen!$G$4:$G$203),0)</f>
        <v/>
      </c>
      <c r="E7" s="131">
        <f>IFERROR(SUMPRODUCT((Transaktionen!$C$4:$C$203="Gutschrift")*(Transaktionen!$AI$4:$AI$203=Besatzung!$B$13)*Transaktionen!$G$4:$G$203)+SUMPRODUCT((Transaktionen!$C$4:$C$203="Gutschrift")*(Transaktionen!$AI$4:$AI$203="Alle")*(Transaktionen!$AH$4:$AH$203&lt;&gt;Besatzung!$B$13)*(Transaktionen!$AH$4:$AH$203&lt;&gt;"")*Transaktionen!$G$4:$G$203)/MAX(COUNTA(Besatzung!$B$11:$B$22)-1,1),0)</f>
        <v/>
      </c>
      <c r="F7" s="132">
        <f>B7+D7-C7-E7</f>
        <v/>
      </c>
      <c r="G7" s="100">
        <f>IF(Besatzung!$B$13="","—",IF(F7&gt;0.005,"✅ bekommt "&amp;TEXT(F7,"#,##0.00 €")&amp;" zurück",IF(F7&lt;-0.005,"❗ schuldet "&amp;TEXT(ABS(F7),"#,##0.00 €"),"✔ ausgeglichen")))</f>
        <v/>
      </c>
      <c r="H7" s="133">
        <f>IFERROR(Besatzung!E15,"—")</f>
        <v/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7.75" customHeight="1" s="182">
      <c r="A8" s="134">
        <f>Besatzung!B15</f>
        <v/>
      </c>
      <c r="B8" s="135">
        <f>IFERROR(SUMPRODUCT((Transaktionen!$C$4:$C$203="Ausgabe")*(Transaktionen!$F$4:$F$203=Besatzung!$B$15)*Transaktionen!$G$4:$G$203),0)</f>
        <v/>
      </c>
      <c r="C8" s="136">
        <f>IFERROR(SUM(Transaktionen!$AA$4:$AA$203),0)</f>
        <v/>
      </c>
      <c r="D8" s="135">
        <f>IFERROR(SUMPRODUCT((Transaktionen!$C$4:$C$203="Gutschrift")*(Transaktionen!$AH$4:$AH$203=Besatzung!$B$15)*Transaktionen!$G$4:$G$203),0)</f>
        <v/>
      </c>
      <c r="E8" s="137">
        <f>IFERROR(SUMPRODUCT((Transaktionen!$C$4:$C$203="Gutschrift")*(Transaktionen!$AI$4:$AI$203=Besatzung!$B$15)*Transaktionen!$G$4:$G$203)+SUMPRODUCT((Transaktionen!$C$4:$C$203="Gutschrift")*(Transaktionen!$AI$4:$AI$203="Alle")*(Transaktionen!$AH$4:$AH$203&lt;&gt;Besatzung!$B$15)*(Transaktionen!$AH$4:$AH$203&lt;&gt;"")*Transaktionen!$G$4:$G$203)/MAX(COUNTA(Besatzung!$B$11:$B$22)-1,1),0)</f>
        <v/>
      </c>
      <c r="F8" s="138">
        <f>B8+D8-C8-E8</f>
        <v/>
      </c>
      <c r="G8" s="110">
        <f>IF(Besatzung!$B$15="","—",IF(F8&gt;0.005,"✅ bekommt "&amp;TEXT(F8,"#,##0.00 €")&amp;" zurück",IF(F8&lt;-0.005,"❗ schuldet "&amp;TEXT(ABS(F8),"#,##0.00 €"),"✔ ausgeglichen")))</f>
        <v/>
      </c>
      <c r="H8" s="139">
        <f>IFERROR(Besatzung!E16,"—")</f>
        <v/>
      </c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7.75" customHeight="1" s="182">
      <c r="A9" s="128">
        <f>Besatzung!B17</f>
        <v/>
      </c>
      <c r="B9" s="129">
        <f>IFERROR(SUMPRODUCT((Transaktionen!$C$4:$C$203="Ausgabe")*(Transaktionen!$F$4:$F$203=Besatzung!$B$17)*Transaktionen!$G$4:$G$203),0)</f>
        <v/>
      </c>
      <c r="C9" s="130">
        <f>IFERROR(SUM(Transaktionen!$AB$4:$AB$203),0)</f>
        <v/>
      </c>
      <c r="D9" s="129">
        <f>IFERROR(SUMPRODUCT((Transaktionen!$C$4:$C$203="Gutschrift")*(Transaktionen!$AH$4:$AH$203=Besatzung!$B$17)*Transaktionen!$G$4:$G$203),0)</f>
        <v/>
      </c>
      <c r="E9" s="131">
        <f>IFERROR(SUMPRODUCT((Transaktionen!$C$4:$C$203="Gutschrift")*(Transaktionen!$AI$4:$AI$203=Besatzung!$B$17)*Transaktionen!$G$4:$G$203)+SUMPRODUCT((Transaktionen!$C$4:$C$203="Gutschrift")*(Transaktionen!$AI$4:$AI$203="Alle")*(Transaktionen!$AH$4:$AH$203&lt;&gt;Besatzung!$B$17)*(Transaktionen!$AH$4:$AH$203&lt;&gt;"")*Transaktionen!$G$4:$G$203)/MAX(COUNTA(Besatzung!$B$11:$B$22)-1,1),0)</f>
        <v/>
      </c>
      <c r="F9" s="132">
        <f>B9+D9-C9-E9</f>
        <v/>
      </c>
      <c r="G9" s="100">
        <f>IF(Besatzung!$B$17="","—",IF(F9&gt;0.005,"✅ bekommt "&amp;TEXT(F9,"#,##0.00 €")&amp;" zurück",IF(F9&lt;-0.005,"❗ schuldet "&amp;TEXT(ABS(F9),"#,##0.00 €"),"✔ ausgeglichen")))</f>
        <v/>
      </c>
      <c r="H9" s="133">
        <f>IFERROR(Besatzung!E17,"—")</f>
        <v/>
      </c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7.75" customHeight="1" s="182">
      <c r="A10" s="134">
        <f>Besatzung!B18</f>
        <v/>
      </c>
      <c r="B10" s="135">
        <f>IFERROR(SUMPRODUCT((Transaktionen!$C$4:$C$203="Ausgabe")*(Transaktionen!$F$4:$F$203=Besatzung!$B$18)*Transaktionen!$G$4:$G$203),0)</f>
        <v/>
      </c>
      <c r="C10" s="136">
        <f>IFERROR(SUM(Transaktionen!$AC$4:$AC$203),0)</f>
        <v/>
      </c>
      <c r="D10" s="135">
        <f>IFERROR(SUMPRODUCT((Transaktionen!$C$4:$C$203="Gutschrift")*(Transaktionen!$AH$4:$AH$203=Besatzung!$B$18)*Transaktionen!$G$4:$G$203),0)</f>
        <v/>
      </c>
      <c r="E10" s="137">
        <f>IFERROR(SUMPRODUCT((Transaktionen!$C$4:$C$203="Gutschrift")*(Transaktionen!$AI$4:$AI$203=Besatzung!$B$18)*Transaktionen!$G$4:$G$203)+SUMPRODUCT((Transaktionen!$C$4:$C$203="Gutschrift")*(Transaktionen!$AI$4:$AI$203="Alle")*(Transaktionen!$AH$4:$AH$203&lt;&gt;Besatzung!$B$18)*(Transaktionen!$AH$4:$AH$203&lt;&gt;"")*Transaktionen!$G$4:$G$203)/MAX(COUNTA(Besatzung!$B$11:$B$22)-1,1),0)</f>
        <v/>
      </c>
      <c r="F10" s="138">
        <f>B10+D10-C10-E10</f>
        <v/>
      </c>
      <c r="G10" s="110">
        <f>IF(Besatzung!$B$18="","—",IF(F10&gt;0.005,"✅ bekommt "&amp;TEXT(F10,"#,##0.00 €")&amp;" zurück",IF(F10&lt;-0.005,"❗ schuldet "&amp;TEXT(ABS(F10),"#,##0.00 €"),"✔ ausgeglichen")))</f>
        <v/>
      </c>
      <c r="H10" s="139">
        <f>IFERROR(Besatzung!E18,"—")</f>
        <v/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7.75" customHeight="1" s="182">
      <c r="A11" s="128">
        <f>Besatzung!B19</f>
        <v/>
      </c>
      <c r="B11" s="129">
        <f>IFERROR(SUMPRODUCT((Transaktionen!$C$4:$C$203="Ausgabe")*(Transaktionen!$F$4:$F$203=Besatzung!$B$19)*Transaktionen!$G$4:$G$203),0)</f>
        <v/>
      </c>
      <c r="C11" s="130">
        <f>IFERROR(SUM(Transaktionen!$AD$4:$AD$203),0)</f>
        <v/>
      </c>
      <c r="D11" s="129">
        <f>IFERROR(SUMPRODUCT((Transaktionen!$C$4:$C$203="Gutschrift")*(Transaktionen!$AH$4:$AH$203=Besatzung!$B$19)*Transaktionen!$G$4:$G$203),0)</f>
        <v/>
      </c>
      <c r="E11" s="131">
        <f>IFERROR(SUMPRODUCT((Transaktionen!$C$4:$C$203="Gutschrift")*(Transaktionen!$AI$4:$AI$203=Besatzung!$B$19)*Transaktionen!$G$4:$G$203)+SUMPRODUCT((Transaktionen!$C$4:$C$203="Gutschrift")*(Transaktionen!$AI$4:$AI$203="Alle")*(Transaktionen!$AH$4:$AH$203&lt;&gt;Besatzung!$B$19)*(Transaktionen!$AH$4:$AH$203&lt;&gt;"")*Transaktionen!$G$4:$G$203)/MAX(COUNTA(Besatzung!$B$11:$B$22)-1,1),0)</f>
        <v/>
      </c>
      <c r="F11" s="132">
        <f>B11+D11-C11-E11</f>
        <v/>
      </c>
      <c r="G11" s="100">
        <f>IF(Besatzung!$B$19="","—",IF(F11&gt;0.005,"✅ bekommt "&amp;TEXT(F11,"#,##0.00 €")&amp;" zurück",IF(F11&lt;-0.005,"❗ schuldet "&amp;TEXT(ABS(F11),"#,##0.00 €"),"✔ ausgeglichen")))</f>
        <v/>
      </c>
      <c r="H11" s="133">
        <f>IFERROR(Besatzung!E19,"—")</f>
        <v/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7.75" customHeight="1" s="182">
      <c r="A12" s="134">
        <f>Besatzung!B20</f>
        <v/>
      </c>
      <c r="B12" s="135">
        <f>IFERROR(SUMPRODUCT((Transaktionen!$C$4:$C$203="Ausgabe")*(Transaktionen!$F$4:$F$203=Besatzung!$B$20)*Transaktionen!$G$4:$G$203),0)</f>
        <v/>
      </c>
      <c r="C12" s="136">
        <f>IFERROR(SUM(Transaktionen!$AE$4:$AE$203),0)</f>
        <v/>
      </c>
      <c r="D12" s="135">
        <f>IFERROR(SUMPRODUCT((Transaktionen!$C$4:$C$203="Gutschrift")*(Transaktionen!$AH$4:$AH$203=Besatzung!$B$20)*Transaktionen!$G$4:$G$203),0)</f>
        <v/>
      </c>
      <c r="E12" s="137">
        <f>IFERROR(SUMPRODUCT((Transaktionen!$C$4:$C$203="Gutschrift")*(Transaktionen!$AI$4:$AI$203=Besatzung!$B$20)*Transaktionen!$G$4:$G$203)+SUMPRODUCT((Transaktionen!$C$4:$C$203="Gutschrift")*(Transaktionen!$AI$4:$AI$203="Alle")*(Transaktionen!$AH$4:$AH$203&lt;&gt;Besatzung!$B$20)*(Transaktionen!$AH$4:$AH$203&lt;&gt;"")*Transaktionen!$G$4:$G$203)/MAX(COUNTA(Besatzung!$B$11:$B$22)-1,1),0)</f>
        <v/>
      </c>
      <c r="F12" s="138">
        <f>B12+D12-C12-E12</f>
        <v/>
      </c>
      <c r="G12" s="110">
        <f>IF(Besatzung!$B$20="","—",IF(F12&gt;0.005,"✅ bekommt "&amp;TEXT(F12,"#,##0.00 €")&amp;" zurück",IF(F12&lt;-0.005,"❗ schuldet "&amp;TEXT(ABS(F12),"#,##0.00 €"),"✔ ausgeglichen")))</f>
        <v/>
      </c>
      <c r="H12" s="139">
        <f>IFERROR(Besatzung!E20,"—")</f>
        <v/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7.75" customHeight="1" s="182">
      <c r="A13" s="128">
        <f>Besatzung!B21</f>
        <v/>
      </c>
      <c r="B13" s="129">
        <f>IFERROR(SUMPRODUCT((Transaktionen!$C$4:$C$203="Ausgabe")*(Transaktionen!$F$4:$F$203=Besatzung!$B$21)*Transaktionen!$G$4:$G$203),0)</f>
        <v/>
      </c>
      <c r="C13" s="130">
        <f>IFERROR(SUM(Transaktionen!$AF$4:$AF$203),0)</f>
        <v/>
      </c>
      <c r="D13" s="129">
        <f>IFERROR(SUMPRODUCT((Transaktionen!$C$4:$C$203="Gutschrift")*(Transaktionen!$AH$4:$AH$203=Besatzung!$B$21)*Transaktionen!$G$4:$G$203),0)</f>
        <v/>
      </c>
      <c r="E13" s="131">
        <f>IFERROR(SUMPRODUCT((Transaktionen!$C$4:$C$203="Gutschrift")*(Transaktionen!$AI$4:$AI$203=Besatzung!$B$21)*Transaktionen!$G$4:$G$203)+SUMPRODUCT((Transaktionen!$C$4:$C$203="Gutschrift")*(Transaktionen!$AI$4:$AI$203="Alle")*(Transaktionen!$AH$4:$AH$203&lt;&gt;Besatzung!$B$21)*(Transaktionen!$AH$4:$AH$203&lt;&gt;"")*Transaktionen!$G$4:$G$203)/MAX(COUNTA(Besatzung!$B$11:$B$22)-1,1),0)</f>
        <v/>
      </c>
      <c r="F13" s="132">
        <f>B13+D13-C13-E13</f>
        <v/>
      </c>
      <c r="G13" s="100">
        <f>IF(Besatzung!$B$21="","—",IF(F13&gt;0.005,"✅ bekommt "&amp;TEXT(F13,"#,##0.00 €")&amp;" zurück",IF(F13&lt;-0.005,"❗ schuldet "&amp;TEXT(ABS(F13),"#,##0.00 €"),"✔ ausgeglichen")))</f>
        <v/>
      </c>
      <c r="H13" s="133">
        <f>IFERROR(Besatzung!E21,"—")</f>
        <v/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7.75" customHeight="1" s="182">
      <c r="A14" s="134">
        <f>Besatzung!B22</f>
        <v/>
      </c>
      <c r="B14" s="135">
        <f>IFERROR(SUMPRODUCT((Transaktionen!$C$4:$C$203="Ausgabe")*(Transaktionen!$F$4:$F$203=Besatzung!$B$22)*Transaktionen!$G$4:$G$203),0)</f>
        <v/>
      </c>
      <c r="C14" s="136">
        <f>IFERROR(SUM(Transaktionen!$AG$4:$AG$203),0)</f>
        <v/>
      </c>
      <c r="D14" s="135">
        <f>IFERROR(SUMPRODUCT((Transaktionen!$C$4:$C$203="Gutschrift")*(Transaktionen!$AH$4:$AH$203=Besatzung!$B$22)*Transaktionen!$G$4:$G$203),0)</f>
        <v/>
      </c>
      <c r="E14" s="137">
        <f>IFERROR(SUMPRODUCT((Transaktionen!$C$4:$C$203="Gutschrift")*(Transaktionen!$AI$4:$AI$203=Besatzung!$B$22)*Transaktionen!$G$4:$G$203)+SUMPRODUCT((Transaktionen!$C$4:$C$203="Gutschrift")*(Transaktionen!$AI$4:$AI$203="Alle")*(Transaktionen!$AH$4:$AH$203&lt;&gt;Besatzung!$B$22)*(Transaktionen!$AH$4:$AH$203&lt;&gt;"")*Transaktionen!$G$4:$G$203)/MAX(COUNTA(Besatzung!$B$11:$B$22)-1,1),0)</f>
        <v/>
      </c>
      <c r="F14" s="138">
        <f>B14+D14-C14-E14</f>
        <v/>
      </c>
      <c r="G14" s="110">
        <f>IF(Besatzung!$B$22="","—",IF(F14&gt;0.005,"✅ bekommt "&amp;TEXT(F14,"#,##0.00 €")&amp;" zurück",IF(F14&lt;-0.005,"❗ schuldet "&amp;TEXT(ABS(F14),"#,##0.00 €"),"✔ ausgeglichen")))</f>
        <v/>
      </c>
      <c r="H14" s="139">
        <f>IFERROR(Besatzung!E22,"—")</f>
        <v/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30" customHeight="1" s="182">
      <c r="A15" s="140" t="inlineStr">
        <is>
          <t>GESAMT</t>
        </is>
      </c>
      <c r="B15" s="141" t="n"/>
      <c r="C15" s="141" t="n"/>
      <c r="D15" s="141" t="n"/>
      <c r="E15" s="141" t="n"/>
      <c r="F15" s="141" t="n"/>
      <c r="G15" s="140" t="n"/>
      <c r="H15" s="14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9.75" customHeight="1" s="182">
      <c r="A16" s="142" t="inlineStr">
        <is>
          <t>GESAMT</t>
        </is>
      </c>
      <c r="B16" s="143">
        <f>SUM(B4:B14)</f>
        <v/>
      </c>
      <c r="C16" s="143">
        <f>SUM(C4:C14)</f>
        <v/>
      </c>
      <c r="D16" s="143">
        <f>SUM(D4:D14)</f>
        <v/>
      </c>
      <c r="E16" s="143">
        <f>SUM(E4:E14)</f>
        <v/>
      </c>
      <c r="F16" s="143">
        <f>SUM(F4:F14)</f>
        <v/>
      </c>
      <c r="G16" s="214" t="inlineStr">
        <is>
          <t>↑ Saldo-Summe sollte 0,00 € ergeben</t>
        </is>
      </c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8" customHeight="1" s="182">
      <c r="A17" s="78" t="inlineStr">
        <is>
          <t>💡  Wie lesen?
►  Positiver Saldo — hat mehr bezahlt als Anteil → bekommt Geld zurück
►  Negativer Saldo — schuldet Geld → Überweisungsanleitung im Tab 'Schulden'
►  'Gutschrift gegeben' — Zahlungen außerhalb der Bordkasse direkt an jemanden (erhöht Guthaben)
►  'Gutschrift erhalten' — von jemand anderem direkt empfangen (senkt Guthaben)</t>
        </is>
      </c>
      <c r="B17" s="203" t="n"/>
      <c r="C17" s="203" t="n"/>
      <c r="D17" s="203" t="n"/>
      <c r="E17" s="203" t="n"/>
      <c r="F17" s="203" t="n"/>
      <c r="G17" s="203" t="n"/>
      <c r="H17" s="20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8" customHeight="1" s="182">
      <c r="A18" s="205" t="n"/>
      <c r="H18" s="206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8" customHeight="1" s="182">
      <c r="A19" s="205" t="n"/>
      <c r="H19" s="206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8" customHeight="1" s="182">
      <c r="A20" s="205" t="n"/>
      <c r="H20" s="206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8" customHeight="1" s="182">
      <c r="A21" s="207" t="n"/>
      <c r="B21" s="208" t="n"/>
      <c r="C21" s="208" t="n"/>
      <c r="D21" s="208" t="n"/>
      <c r="E21" s="208" t="n"/>
      <c r="F21" s="208" t="n"/>
      <c r="G21" s="208" t="n"/>
      <c r="H21" s="209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18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182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182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182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182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182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182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182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182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182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18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18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182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182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182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182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182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182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182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182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18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182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182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182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182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182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182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182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182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182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18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182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182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182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182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182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182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182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182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182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18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182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182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182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182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18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182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182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182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182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18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182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182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182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182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182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182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182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182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182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1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182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182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182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182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182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182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182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182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182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18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182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182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182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182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182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182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182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182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182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18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182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182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182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182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182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182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182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182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182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18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182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182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182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182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182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182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182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182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182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18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182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182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182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182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182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182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182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182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182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18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182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182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182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182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182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182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182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182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182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18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182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182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182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182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182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182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182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182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182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18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182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182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182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182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182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182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182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182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182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18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182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182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182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182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182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182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182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182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182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18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182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182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182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182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182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182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182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182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182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182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182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182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182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182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182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182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182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182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18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182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182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182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182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182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182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182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182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182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18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182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18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18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18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18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18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18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18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18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18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18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18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18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18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18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18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18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18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182">
      <c r="A221" s="4" t="n"/>
      <c r="B221" s="4" t="n"/>
      <c r="C221" s="4" t="n"/>
      <c r="D221" s="4" t="n"/>
      <c r="E221" s="4" t="n"/>
      <c r="F221" s="4" t="n"/>
      <c r="G221" s="4" t="n"/>
      <c r="H221" s="4" t="n"/>
    </row>
    <row r="222" ht="15.75" customHeight="1" s="182">
      <c r="A222" s="4" t="n"/>
      <c r="B222" s="4" t="n"/>
      <c r="C222" s="4" t="n"/>
      <c r="D222" s="4" t="n"/>
      <c r="E222" s="4" t="n"/>
      <c r="F222" s="4" t="n"/>
      <c r="G222" s="4" t="n"/>
      <c r="H222" s="4" t="n"/>
    </row>
    <row r="223" ht="15.75" customHeight="1" s="182">
      <c r="A223" s="4" t="n"/>
      <c r="B223" s="4" t="n"/>
      <c r="C223" s="4" t="n"/>
      <c r="D223" s="4" t="n"/>
      <c r="E223" s="4" t="n"/>
      <c r="F223" s="4" t="n"/>
      <c r="G223" s="4" t="n"/>
      <c r="H223" s="4" t="n"/>
    </row>
    <row r="224" ht="15.75" customHeight="1" s="182">
      <c r="A224" s="4" t="n"/>
      <c r="B224" s="4" t="n"/>
      <c r="C224" s="4" t="n"/>
      <c r="D224" s="4" t="n"/>
      <c r="E224" s="4" t="n"/>
      <c r="F224" s="4" t="n"/>
      <c r="G224" s="4" t="n"/>
      <c r="H224" s="4" t="n"/>
    </row>
    <row r="225" ht="15.75" customHeight="1" s="182">
      <c r="A225" s="4" t="n"/>
      <c r="B225" s="4" t="n"/>
      <c r="C225" s="4" t="n"/>
      <c r="D225" s="4" t="n"/>
      <c r="E225" s="4" t="n"/>
      <c r="F225" s="4" t="n"/>
      <c r="G225" s="4" t="n"/>
      <c r="H225" s="4" t="n"/>
    </row>
    <row r="226" ht="15.75" customHeight="1" s="182">
      <c r="A226" s="4" t="n"/>
      <c r="B226" s="4" t="n"/>
      <c r="C226" s="4" t="n"/>
      <c r="D226" s="4" t="n"/>
      <c r="E226" s="4" t="n"/>
      <c r="F226" s="4" t="n"/>
      <c r="G226" s="4" t="n"/>
      <c r="H226" s="4" t="n"/>
    </row>
    <row r="227" ht="15.75" customHeight="1" s="182">
      <c r="A227" s="4" t="n"/>
      <c r="B227" s="4" t="n"/>
      <c r="C227" s="4" t="n"/>
      <c r="D227" s="4" t="n"/>
      <c r="E227" s="4" t="n"/>
      <c r="F227" s="4" t="n"/>
      <c r="G227" s="4" t="n"/>
      <c r="H227" s="4" t="n"/>
    </row>
    <row r="228" ht="15.75" customHeight="1" s="182">
      <c r="A228" s="4" t="n"/>
      <c r="B228" s="4" t="n"/>
      <c r="C228" s="4" t="n"/>
      <c r="D228" s="4" t="n"/>
      <c r="E228" s="4" t="n"/>
      <c r="F228" s="4" t="n"/>
      <c r="G228" s="4" t="n"/>
      <c r="H228" s="4" t="n"/>
    </row>
    <row r="229" ht="15.75" customHeight="1" s="182">
      <c r="A229" s="4" t="n"/>
      <c r="B229" s="4" t="n"/>
      <c r="C229" s="4" t="n"/>
      <c r="D229" s="4" t="n"/>
      <c r="E229" s="4" t="n"/>
      <c r="F229" s="4" t="n"/>
      <c r="G229" s="4" t="n"/>
      <c r="H229" s="4" t="n"/>
    </row>
    <row r="230" ht="15.75" customHeight="1" s="182">
      <c r="A230" s="4" t="n"/>
      <c r="B230" s="4" t="n"/>
      <c r="C230" s="4" t="n"/>
      <c r="D230" s="4" t="n"/>
      <c r="E230" s="4" t="n"/>
      <c r="F230" s="4" t="n"/>
      <c r="G230" s="4" t="n"/>
      <c r="H230" s="4" t="n"/>
    </row>
    <row r="231" ht="15.75" customHeight="1" s="182">
      <c r="A231" s="4" t="n"/>
      <c r="B231" s="4" t="n"/>
      <c r="C231" s="4" t="n"/>
      <c r="D231" s="4" t="n"/>
      <c r="E231" s="4" t="n"/>
      <c r="F231" s="4" t="n"/>
      <c r="G231" s="4" t="n"/>
      <c r="H231" s="4" t="n"/>
    </row>
    <row r="232" ht="15.75" customHeight="1" s="182">
      <c r="A232" s="4" t="n"/>
      <c r="B232" s="4" t="n"/>
      <c r="C232" s="4" t="n"/>
      <c r="D232" s="4" t="n"/>
      <c r="E232" s="4" t="n"/>
      <c r="F232" s="4" t="n"/>
      <c r="G232" s="4" t="n"/>
      <c r="H232" s="4" t="n"/>
    </row>
    <row r="233" ht="15.75" customHeight="1" s="182">
      <c r="A233" s="4" t="n"/>
      <c r="B233" s="4" t="n"/>
      <c r="C233" s="4" t="n"/>
      <c r="D233" s="4" t="n"/>
      <c r="E233" s="4" t="n"/>
      <c r="F233" s="4" t="n"/>
      <c r="G233" s="4" t="n"/>
      <c r="H233" s="4" t="n"/>
    </row>
    <row r="234" ht="15.75" customHeight="1" s="182">
      <c r="A234" s="4" t="n"/>
      <c r="B234" s="4" t="n"/>
      <c r="C234" s="4" t="n"/>
      <c r="D234" s="4" t="n"/>
      <c r="E234" s="4" t="n"/>
      <c r="F234" s="4" t="n"/>
      <c r="G234" s="4" t="n"/>
      <c r="H234" s="4" t="n"/>
    </row>
    <row r="235" ht="15.75" customHeight="1" s="182">
      <c r="A235" s="4" t="n"/>
      <c r="B235" s="4" t="n"/>
      <c r="C235" s="4" t="n"/>
      <c r="D235" s="4" t="n"/>
      <c r="E235" s="4" t="n"/>
      <c r="F235" s="4" t="n"/>
      <c r="G235" s="4" t="n"/>
      <c r="H235" s="4" t="n"/>
    </row>
    <row r="236" ht="15.75" customHeight="1" s="182">
      <c r="A236" s="4" t="n"/>
      <c r="B236" s="4" t="n"/>
      <c r="C236" s="4" t="n"/>
      <c r="D236" s="4" t="n"/>
      <c r="E236" s="4" t="n"/>
      <c r="F236" s="4" t="n"/>
      <c r="G236" s="4" t="n"/>
      <c r="H236" s="4" t="n"/>
    </row>
    <row r="237" ht="15.75" customHeight="1" s="182">
      <c r="A237" s="4" t="n"/>
      <c r="B237" s="4" t="n"/>
      <c r="C237" s="4" t="n"/>
      <c r="D237" s="4" t="n"/>
      <c r="E237" s="4" t="n"/>
      <c r="F237" s="4" t="n"/>
      <c r="G237" s="4" t="n"/>
      <c r="H237" s="4" t="n"/>
    </row>
    <row r="238" ht="15.75" customHeight="1" s="182">
      <c r="A238" s="4" t="n"/>
      <c r="B238" s="4" t="n"/>
      <c r="C238" s="4" t="n"/>
      <c r="D238" s="4" t="n"/>
      <c r="E238" s="4" t="n"/>
      <c r="F238" s="4" t="n"/>
      <c r="G238" s="4" t="n"/>
      <c r="H238" s="4" t="n"/>
    </row>
    <row r="239" ht="15.75" customHeight="1" s="182">
      <c r="A239" s="4" t="n"/>
      <c r="B239" s="4" t="n"/>
      <c r="C239" s="4" t="n"/>
      <c r="D239" s="4" t="n"/>
      <c r="E239" s="4" t="n"/>
      <c r="F239" s="4" t="n"/>
      <c r="G239" s="4" t="n"/>
      <c r="H239" s="4" t="n"/>
    </row>
    <row r="240" ht="15.75" customHeight="1" s="182">
      <c r="A240" s="4" t="n"/>
      <c r="B240" s="4" t="n"/>
      <c r="C240" s="4" t="n"/>
      <c r="D240" s="4" t="n"/>
      <c r="E240" s="4" t="n"/>
      <c r="F240" s="4" t="n"/>
      <c r="G240" s="4" t="n"/>
      <c r="H240" s="4" t="n"/>
    </row>
    <row r="241" ht="15.75" customHeight="1" s="182">
      <c r="A241" s="4" t="n"/>
      <c r="B241" s="4" t="n"/>
      <c r="C241" s="4" t="n"/>
      <c r="D241" s="4" t="n"/>
      <c r="E241" s="4" t="n"/>
      <c r="F241" s="4" t="n"/>
      <c r="G241" s="4" t="n"/>
      <c r="H241" s="4" t="n"/>
    </row>
    <row r="242" ht="15.75" customHeight="1" s="182">
      <c r="A242" s="4" t="n"/>
      <c r="B242" s="4" t="n"/>
      <c r="C242" s="4" t="n"/>
      <c r="D242" s="4" t="n"/>
      <c r="E242" s="4" t="n"/>
      <c r="F242" s="4" t="n"/>
      <c r="G242" s="4" t="n"/>
      <c r="H242" s="4" t="n"/>
    </row>
    <row r="243" ht="15.75" customHeight="1" s="182">
      <c r="A243" s="4" t="n"/>
      <c r="B243" s="4" t="n"/>
      <c r="C243" s="4" t="n"/>
      <c r="D243" s="4" t="n"/>
      <c r="E243" s="4" t="n"/>
      <c r="F243" s="4" t="n"/>
      <c r="G243" s="4" t="n"/>
      <c r="H243" s="4" t="n"/>
    </row>
    <row r="244" ht="15.75" customHeight="1" s="182">
      <c r="A244" s="4" t="n"/>
      <c r="B244" s="4" t="n"/>
      <c r="C244" s="4" t="n"/>
      <c r="D244" s="4" t="n"/>
      <c r="E244" s="4" t="n"/>
      <c r="F244" s="4" t="n"/>
      <c r="G244" s="4" t="n"/>
      <c r="H244" s="4" t="n"/>
    </row>
    <row r="245" ht="15.75" customHeight="1" s="182">
      <c r="A245" s="4" t="n"/>
      <c r="B245" s="4" t="n"/>
      <c r="C245" s="4" t="n"/>
      <c r="D245" s="4" t="n"/>
      <c r="E245" s="4" t="n"/>
      <c r="F245" s="4" t="n"/>
      <c r="G245" s="4" t="n"/>
      <c r="H245" s="4" t="n"/>
    </row>
    <row r="246" ht="15.75" customHeight="1" s="182">
      <c r="A246" s="4" t="n"/>
      <c r="B246" s="4" t="n"/>
      <c r="C246" s="4" t="n"/>
      <c r="D246" s="4" t="n"/>
      <c r="E246" s="4" t="n"/>
      <c r="F246" s="4" t="n"/>
      <c r="G246" s="4" t="n"/>
      <c r="H246" s="4" t="n"/>
    </row>
    <row r="247" ht="15.75" customHeight="1" s="182">
      <c r="A247" s="4" t="n"/>
      <c r="B247" s="4" t="n"/>
      <c r="C247" s="4" t="n"/>
      <c r="D247" s="4" t="n"/>
      <c r="E247" s="4" t="n"/>
      <c r="F247" s="4" t="n"/>
      <c r="G247" s="4" t="n"/>
      <c r="H247" s="4" t="n"/>
    </row>
    <row r="248" ht="15.75" customHeight="1" s="182">
      <c r="A248" s="4" t="n"/>
      <c r="B248" s="4" t="n"/>
      <c r="C248" s="4" t="n"/>
      <c r="D248" s="4" t="n"/>
      <c r="E248" s="4" t="n"/>
      <c r="F248" s="4" t="n"/>
      <c r="G248" s="4" t="n"/>
      <c r="H248" s="4" t="n"/>
    </row>
    <row r="249" ht="15.75" customHeight="1" s="182">
      <c r="A249" s="4" t="n"/>
      <c r="B249" s="4" t="n"/>
      <c r="C249" s="4" t="n"/>
      <c r="D249" s="4" t="n"/>
      <c r="E249" s="4" t="n"/>
      <c r="F249" s="4" t="n"/>
      <c r="G249" s="4" t="n"/>
      <c r="H249" s="4" t="n"/>
    </row>
    <row r="250" ht="15.75" customHeight="1" s="182">
      <c r="A250" s="4" t="n"/>
      <c r="B250" s="4" t="n"/>
      <c r="C250" s="4" t="n"/>
      <c r="D250" s="4" t="n"/>
      <c r="E250" s="4" t="n"/>
      <c r="F250" s="4" t="n"/>
      <c r="G250" s="4" t="n"/>
      <c r="H250" s="4" t="n"/>
    </row>
    <row r="251" ht="15.75" customHeight="1" s="182">
      <c r="A251" s="4" t="n"/>
      <c r="B251" s="4" t="n"/>
      <c r="C251" s="4" t="n"/>
      <c r="D251" s="4" t="n"/>
      <c r="E251" s="4" t="n"/>
      <c r="F251" s="4" t="n"/>
      <c r="G251" s="4" t="n"/>
      <c r="H251" s="4" t="n"/>
    </row>
    <row r="252" ht="15.75" customHeight="1" s="182">
      <c r="A252" s="4" t="n"/>
      <c r="B252" s="4" t="n"/>
      <c r="C252" s="4" t="n"/>
      <c r="D252" s="4" t="n"/>
      <c r="E252" s="4" t="n"/>
      <c r="F252" s="4" t="n"/>
      <c r="G252" s="4" t="n"/>
      <c r="H252" s="4" t="n"/>
    </row>
    <row r="253" ht="15.75" customHeight="1" s="182">
      <c r="A253" s="4" t="n"/>
      <c r="B253" s="4" t="n"/>
      <c r="C253" s="4" t="n"/>
      <c r="D253" s="4" t="n"/>
      <c r="E253" s="4" t="n"/>
      <c r="F253" s="4" t="n"/>
      <c r="G253" s="4" t="n"/>
      <c r="H253" s="4" t="n"/>
    </row>
    <row r="254" ht="15.75" customHeight="1" s="182">
      <c r="A254" s="4" t="n"/>
      <c r="B254" s="4" t="n"/>
      <c r="C254" s="4" t="n"/>
      <c r="D254" s="4" t="n"/>
      <c r="E254" s="4" t="n"/>
      <c r="F254" s="4" t="n"/>
      <c r="G254" s="4" t="n"/>
      <c r="H254" s="4" t="n"/>
    </row>
    <row r="255" ht="15.75" customHeight="1" s="182">
      <c r="A255" s="4" t="n"/>
      <c r="B255" s="4" t="n"/>
      <c r="C255" s="4" t="n"/>
      <c r="D255" s="4" t="n"/>
      <c r="E255" s="4" t="n"/>
      <c r="F255" s="4" t="n"/>
      <c r="G255" s="4" t="n"/>
      <c r="H255" s="4" t="n"/>
    </row>
    <row r="256" ht="15.75" customHeight="1" s="182">
      <c r="A256" s="4" t="n"/>
      <c r="B256" s="4" t="n"/>
      <c r="C256" s="4" t="n"/>
      <c r="D256" s="4" t="n"/>
      <c r="E256" s="4" t="n"/>
      <c r="F256" s="4" t="n"/>
      <c r="G256" s="4" t="n"/>
      <c r="H256" s="4" t="n"/>
    </row>
    <row r="257" ht="15.75" customHeight="1" s="182">
      <c r="A257" s="4" t="n"/>
      <c r="B257" s="4" t="n"/>
      <c r="C257" s="4" t="n"/>
      <c r="D257" s="4" t="n"/>
      <c r="E257" s="4" t="n"/>
      <c r="F257" s="4" t="n"/>
      <c r="G257" s="4" t="n"/>
      <c r="H257" s="4" t="n"/>
    </row>
    <row r="258" ht="15.75" customHeight="1" s="182">
      <c r="A258" s="4" t="n"/>
      <c r="B258" s="4" t="n"/>
      <c r="C258" s="4" t="n"/>
      <c r="D258" s="4" t="n"/>
      <c r="E258" s="4" t="n"/>
      <c r="F258" s="4" t="n"/>
      <c r="G258" s="4" t="n"/>
      <c r="H258" s="4" t="n"/>
    </row>
    <row r="259" ht="15.75" customHeight="1" s="182">
      <c r="A259" s="4" t="n"/>
      <c r="B259" s="4" t="n"/>
      <c r="C259" s="4" t="n"/>
      <c r="D259" s="4" t="n"/>
      <c r="E259" s="4" t="n"/>
      <c r="F259" s="4" t="n"/>
      <c r="G259" s="4" t="n"/>
      <c r="H259" s="4" t="n"/>
    </row>
    <row r="260" ht="15.75" customHeight="1" s="182">
      <c r="A260" s="4" t="n"/>
      <c r="B260" s="4" t="n"/>
      <c r="C260" s="4" t="n"/>
      <c r="D260" s="4" t="n"/>
      <c r="E260" s="4" t="n"/>
      <c r="F260" s="4" t="n"/>
      <c r="G260" s="4" t="n"/>
      <c r="H260" s="4" t="n"/>
    </row>
    <row r="261" ht="15.75" customHeight="1" s="182">
      <c r="A261" s="4" t="n"/>
      <c r="B261" s="4" t="n"/>
      <c r="C261" s="4" t="n"/>
      <c r="D261" s="4" t="n"/>
      <c r="E261" s="4" t="n"/>
      <c r="F261" s="4" t="n"/>
      <c r="G261" s="4" t="n"/>
      <c r="H261" s="4" t="n"/>
    </row>
    <row r="262" ht="15.75" customHeight="1" s="182">
      <c r="A262" s="4" t="n"/>
      <c r="B262" s="4" t="n"/>
      <c r="C262" s="4" t="n"/>
      <c r="D262" s="4" t="n"/>
      <c r="E262" s="4" t="n"/>
      <c r="F262" s="4" t="n"/>
      <c r="G262" s="4" t="n"/>
      <c r="H262" s="4" t="n"/>
    </row>
    <row r="263" ht="15.75" customHeight="1" s="182">
      <c r="A263" s="4" t="n"/>
      <c r="B263" s="4" t="n"/>
      <c r="C263" s="4" t="n"/>
      <c r="D263" s="4" t="n"/>
      <c r="E263" s="4" t="n"/>
      <c r="F263" s="4" t="n"/>
      <c r="G263" s="4" t="n"/>
      <c r="H263" s="4" t="n"/>
    </row>
    <row r="264" ht="15.75" customHeight="1" s="182">
      <c r="A264" s="4" t="n"/>
      <c r="B264" s="4" t="n"/>
      <c r="C264" s="4" t="n"/>
      <c r="D264" s="4" t="n"/>
      <c r="E264" s="4" t="n"/>
      <c r="F264" s="4" t="n"/>
      <c r="G264" s="4" t="n"/>
      <c r="H264" s="4" t="n"/>
    </row>
    <row r="265" ht="15.75" customHeight="1" s="182">
      <c r="A265" s="4" t="n"/>
      <c r="B265" s="4" t="n"/>
      <c r="C265" s="4" t="n"/>
      <c r="D265" s="4" t="n"/>
      <c r="E265" s="4" t="n"/>
      <c r="F265" s="4" t="n"/>
      <c r="G265" s="4" t="n"/>
      <c r="H265" s="4" t="n"/>
    </row>
    <row r="266" ht="15.75" customHeight="1" s="182">
      <c r="A266" s="4" t="n"/>
      <c r="B266" s="4" t="n"/>
      <c r="C266" s="4" t="n"/>
      <c r="D266" s="4" t="n"/>
      <c r="E266" s="4" t="n"/>
      <c r="F266" s="4" t="n"/>
      <c r="G266" s="4" t="n"/>
      <c r="H266" s="4" t="n"/>
    </row>
    <row r="267" ht="15.75" customHeight="1" s="182">
      <c r="A267" s="4" t="n"/>
      <c r="B267" s="4" t="n"/>
      <c r="C267" s="4" t="n"/>
      <c r="D267" s="4" t="n"/>
      <c r="E267" s="4" t="n"/>
      <c r="F267" s="4" t="n"/>
      <c r="G267" s="4" t="n"/>
      <c r="H267" s="4" t="n"/>
    </row>
    <row r="268" ht="15.75" customHeight="1" s="182">
      <c r="A268" s="4" t="n"/>
      <c r="B268" s="4" t="n"/>
      <c r="C268" s="4" t="n"/>
      <c r="D268" s="4" t="n"/>
      <c r="E268" s="4" t="n"/>
      <c r="F268" s="4" t="n"/>
      <c r="G268" s="4" t="n"/>
      <c r="H268" s="4" t="n"/>
    </row>
    <row r="269" ht="15.75" customHeight="1" s="182">
      <c r="A269" s="4" t="n"/>
      <c r="B269" s="4" t="n"/>
      <c r="C269" s="4" t="n"/>
      <c r="D269" s="4" t="n"/>
      <c r="E269" s="4" t="n"/>
      <c r="F269" s="4" t="n"/>
      <c r="G269" s="4" t="n"/>
      <c r="H269" s="4" t="n"/>
    </row>
    <row r="270" ht="15.75" customHeight="1" s="182">
      <c r="A270" s="4" t="n"/>
      <c r="B270" s="4" t="n"/>
      <c r="C270" s="4" t="n"/>
      <c r="D270" s="4" t="n"/>
      <c r="E270" s="4" t="n"/>
      <c r="F270" s="4" t="n"/>
      <c r="G270" s="4" t="n"/>
      <c r="H270" s="4" t="n"/>
    </row>
    <row r="271" ht="15.75" customHeight="1" s="182">
      <c r="A271" s="4" t="n"/>
      <c r="B271" s="4" t="n"/>
      <c r="C271" s="4" t="n"/>
      <c r="D271" s="4" t="n"/>
      <c r="E271" s="4" t="n"/>
      <c r="F271" s="4" t="n"/>
      <c r="G271" s="4" t="n"/>
      <c r="H271" s="4" t="n"/>
    </row>
    <row r="272" ht="15.75" customHeight="1" s="182">
      <c r="A272" s="4" t="n"/>
      <c r="B272" s="4" t="n"/>
      <c r="C272" s="4" t="n"/>
      <c r="D272" s="4" t="n"/>
      <c r="E272" s="4" t="n"/>
      <c r="F272" s="4" t="n"/>
      <c r="G272" s="4" t="n"/>
      <c r="H272" s="4" t="n"/>
    </row>
    <row r="273" ht="15.75" customHeight="1" s="182">
      <c r="A273" s="4" t="n"/>
      <c r="B273" s="4" t="n"/>
      <c r="C273" s="4" t="n"/>
      <c r="D273" s="4" t="n"/>
      <c r="E273" s="4" t="n"/>
      <c r="F273" s="4" t="n"/>
      <c r="G273" s="4" t="n"/>
      <c r="H273" s="4" t="n"/>
    </row>
    <row r="274" ht="15.75" customHeight="1" s="182">
      <c r="A274" s="4" t="n"/>
      <c r="B274" s="4" t="n"/>
      <c r="C274" s="4" t="n"/>
      <c r="D274" s="4" t="n"/>
      <c r="E274" s="4" t="n"/>
      <c r="F274" s="4" t="n"/>
      <c r="G274" s="4" t="n"/>
      <c r="H274" s="4" t="n"/>
    </row>
    <row r="275" ht="15.75" customHeight="1" s="182">
      <c r="A275" s="4" t="n"/>
      <c r="B275" s="4" t="n"/>
      <c r="C275" s="4" t="n"/>
      <c r="D275" s="4" t="n"/>
      <c r="E275" s="4" t="n"/>
      <c r="F275" s="4" t="n"/>
      <c r="G275" s="4" t="n"/>
      <c r="H275" s="4" t="n"/>
    </row>
    <row r="276" ht="15.75" customHeight="1" s="182">
      <c r="A276" s="4" t="n"/>
      <c r="B276" s="4" t="n"/>
      <c r="C276" s="4" t="n"/>
      <c r="D276" s="4" t="n"/>
      <c r="E276" s="4" t="n"/>
      <c r="F276" s="4" t="n"/>
      <c r="G276" s="4" t="n"/>
      <c r="H276" s="4" t="n"/>
    </row>
    <row r="277" ht="15.75" customHeight="1" s="182">
      <c r="A277" s="4" t="n"/>
      <c r="B277" s="4" t="n"/>
      <c r="C277" s="4" t="n"/>
      <c r="D277" s="4" t="n"/>
      <c r="E277" s="4" t="n"/>
      <c r="F277" s="4" t="n"/>
      <c r="G277" s="4" t="n"/>
      <c r="H277" s="4" t="n"/>
    </row>
    <row r="278" ht="15.75" customHeight="1" s="182">
      <c r="A278" s="4" t="n"/>
      <c r="B278" s="4" t="n"/>
      <c r="C278" s="4" t="n"/>
      <c r="D278" s="4" t="n"/>
      <c r="E278" s="4" t="n"/>
      <c r="F278" s="4" t="n"/>
      <c r="G278" s="4" t="n"/>
      <c r="H278" s="4" t="n"/>
    </row>
    <row r="279" ht="15.75" customHeight="1" s="182">
      <c r="A279" s="4" t="n"/>
      <c r="B279" s="4" t="n"/>
      <c r="C279" s="4" t="n"/>
      <c r="D279" s="4" t="n"/>
      <c r="E279" s="4" t="n"/>
      <c r="F279" s="4" t="n"/>
      <c r="G279" s="4" t="n"/>
      <c r="H279" s="4" t="n"/>
    </row>
    <row r="280" ht="15.75" customHeight="1" s="182">
      <c r="A280" s="4" t="n"/>
      <c r="B280" s="4" t="n"/>
      <c r="C280" s="4" t="n"/>
      <c r="D280" s="4" t="n"/>
      <c r="E280" s="4" t="n"/>
      <c r="F280" s="4" t="n"/>
      <c r="G280" s="4" t="n"/>
      <c r="H280" s="4" t="n"/>
    </row>
    <row r="281" ht="15.75" customHeight="1" s="182">
      <c r="A281" s="4" t="n"/>
      <c r="B281" s="4" t="n"/>
      <c r="C281" s="4" t="n"/>
      <c r="D281" s="4" t="n"/>
      <c r="E281" s="4" t="n"/>
      <c r="F281" s="4" t="n"/>
      <c r="G281" s="4" t="n"/>
      <c r="H281" s="4" t="n"/>
    </row>
    <row r="282" ht="15.75" customHeight="1" s="182">
      <c r="A282" s="4" t="n"/>
      <c r="B282" s="4" t="n"/>
      <c r="C282" s="4" t="n"/>
      <c r="D282" s="4" t="n"/>
      <c r="E282" s="4" t="n"/>
      <c r="F282" s="4" t="n"/>
      <c r="G282" s="4" t="n"/>
      <c r="H282" s="4" t="n"/>
    </row>
    <row r="283" ht="15.75" customHeight="1" s="182">
      <c r="A283" s="4" t="n"/>
      <c r="B283" s="4" t="n"/>
      <c r="C283" s="4" t="n"/>
      <c r="D283" s="4" t="n"/>
      <c r="E283" s="4" t="n"/>
      <c r="F283" s="4" t="n"/>
      <c r="G283" s="4" t="n"/>
      <c r="H283" s="4" t="n"/>
    </row>
    <row r="284" ht="15.75" customHeight="1" s="182">
      <c r="A284" s="4" t="n"/>
      <c r="B284" s="4" t="n"/>
      <c r="C284" s="4" t="n"/>
      <c r="D284" s="4" t="n"/>
      <c r="E284" s="4" t="n"/>
      <c r="F284" s="4" t="n"/>
      <c r="G284" s="4" t="n"/>
      <c r="H284" s="4" t="n"/>
    </row>
    <row r="285" ht="15.75" customHeight="1" s="182">
      <c r="A285" s="4" t="n"/>
      <c r="B285" s="4" t="n"/>
      <c r="C285" s="4" t="n"/>
      <c r="D285" s="4" t="n"/>
      <c r="E285" s="4" t="n"/>
      <c r="F285" s="4" t="n"/>
      <c r="G285" s="4" t="n"/>
      <c r="H285" s="4" t="n"/>
    </row>
    <row r="286" ht="15.75" customHeight="1" s="182">
      <c r="A286" s="4" t="n"/>
      <c r="B286" s="4" t="n"/>
      <c r="C286" s="4" t="n"/>
      <c r="D286" s="4" t="n"/>
      <c r="E286" s="4" t="n"/>
      <c r="F286" s="4" t="n"/>
      <c r="G286" s="4" t="n"/>
      <c r="H286" s="4" t="n"/>
    </row>
    <row r="287" ht="15.75" customHeight="1" s="182">
      <c r="A287" s="4" t="n"/>
      <c r="B287" s="4" t="n"/>
      <c r="C287" s="4" t="n"/>
      <c r="D287" s="4" t="n"/>
      <c r="E287" s="4" t="n"/>
      <c r="F287" s="4" t="n"/>
      <c r="G287" s="4" t="n"/>
      <c r="H287" s="4" t="n"/>
    </row>
    <row r="288" ht="15.75" customHeight="1" s="182">
      <c r="A288" s="4" t="n"/>
      <c r="B288" s="4" t="n"/>
      <c r="C288" s="4" t="n"/>
      <c r="D288" s="4" t="n"/>
      <c r="E288" s="4" t="n"/>
      <c r="F288" s="4" t="n"/>
      <c r="G288" s="4" t="n"/>
      <c r="H288" s="4" t="n"/>
    </row>
    <row r="289" ht="15.75" customHeight="1" s="182">
      <c r="A289" s="4" t="n"/>
      <c r="B289" s="4" t="n"/>
      <c r="C289" s="4" t="n"/>
      <c r="D289" s="4" t="n"/>
      <c r="E289" s="4" t="n"/>
      <c r="F289" s="4" t="n"/>
      <c r="G289" s="4" t="n"/>
      <c r="H289" s="4" t="n"/>
    </row>
    <row r="290" ht="15.75" customHeight="1" s="182">
      <c r="A290" s="4" t="n"/>
      <c r="B290" s="4" t="n"/>
      <c r="C290" s="4" t="n"/>
      <c r="D290" s="4" t="n"/>
      <c r="E290" s="4" t="n"/>
      <c r="F290" s="4" t="n"/>
      <c r="G290" s="4" t="n"/>
      <c r="H290" s="4" t="n"/>
    </row>
    <row r="291" ht="15.75" customHeight="1" s="182">
      <c r="A291" s="4" t="n"/>
      <c r="B291" s="4" t="n"/>
      <c r="C291" s="4" t="n"/>
      <c r="D291" s="4" t="n"/>
      <c r="E291" s="4" t="n"/>
      <c r="F291" s="4" t="n"/>
      <c r="G291" s="4" t="n"/>
      <c r="H291" s="4" t="n"/>
    </row>
    <row r="292" ht="15.75" customHeight="1" s="182">
      <c r="A292" s="4" t="n"/>
      <c r="B292" s="4" t="n"/>
      <c r="C292" s="4" t="n"/>
      <c r="D292" s="4" t="n"/>
      <c r="E292" s="4" t="n"/>
      <c r="F292" s="4" t="n"/>
      <c r="G292" s="4" t="n"/>
      <c r="H292" s="4" t="n"/>
    </row>
    <row r="293" ht="15.75" customHeight="1" s="182">
      <c r="A293" s="4" t="n"/>
      <c r="B293" s="4" t="n"/>
      <c r="C293" s="4" t="n"/>
      <c r="D293" s="4" t="n"/>
      <c r="E293" s="4" t="n"/>
      <c r="F293" s="4" t="n"/>
      <c r="G293" s="4" t="n"/>
      <c r="H293" s="4" t="n"/>
    </row>
    <row r="294" ht="15.75" customHeight="1" s="182">
      <c r="A294" s="4" t="n"/>
      <c r="B294" s="4" t="n"/>
      <c r="C294" s="4" t="n"/>
      <c r="D294" s="4" t="n"/>
      <c r="E294" s="4" t="n"/>
      <c r="F294" s="4" t="n"/>
      <c r="G294" s="4" t="n"/>
      <c r="H294" s="4" t="n"/>
    </row>
    <row r="295" ht="15.75" customHeight="1" s="182">
      <c r="A295" s="4" t="n"/>
      <c r="B295" s="4" t="n"/>
      <c r="C295" s="4" t="n"/>
      <c r="D295" s="4" t="n"/>
      <c r="E295" s="4" t="n"/>
      <c r="F295" s="4" t="n"/>
      <c r="G295" s="4" t="n"/>
      <c r="H295" s="4" t="n"/>
    </row>
    <row r="296" ht="15.75" customHeight="1" s="182">
      <c r="A296" s="4" t="n"/>
      <c r="B296" s="4" t="n"/>
      <c r="C296" s="4" t="n"/>
      <c r="D296" s="4" t="n"/>
      <c r="E296" s="4" t="n"/>
      <c r="F296" s="4" t="n"/>
      <c r="G296" s="4" t="n"/>
      <c r="H296" s="4" t="n"/>
    </row>
    <row r="297" ht="15.75" customHeight="1" s="182">
      <c r="A297" s="4" t="n"/>
      <c r="B297" s="4" t="n"/>
      <c r="C297" s="4" t="n"/>
      <c r="D297" s="4" t="n"/>
      <c r="E297" s="4" t="n"/>
      <c r="F297" s="4" t="n"/>
      <c r="G297" s="4" t="n"/>
      <c r="H297" s="4" t="n"/>
    </row>
    <row r="298" ht="15.75" customHeight="1" s="182">
      <c r="A298" s="4" t="n"/>
      <c r="B298" s="4" t="n"/>
      <c r="C298" s="4" t="n"/>
      <c r="D298" s="4" t="n"/>
      <c r="E298" s="4" t="n"/>
      <c r="F298" s="4" t="n"/>
      <c r="G298" s="4" t="n"/>
      <c r="H298" s="4" t="n"/>
    </row>
    <row r="299" ht="15.75" customHeight="1" s="182">
      <c r="A299" s="4" t="n"/>
      <c r="B299" s="4" t="n"/>
      <c r="C299" s="4" t="n"/>
      <c r="D299" s="4" t="n"/>
      <c r="E299" s="4" t="n"/>
      <c r="F299" s="4" t="n"/>
      <c r="G299" s="4" t="n"/>
      <c r="H299" s="4" t="n"/>
    </row>
    <row r="300" ht="15.75" customHeight="1" s="182">
      <c r="A300" s="4" t="n"/>
      <c r="B300" s="4" t="n"/>
      <c r="C300" s="4" t="n"/>
      <c r="D300" s="4" t="n"/>
      <c r="E300" s="4" t="n"/>
      <c r="F300" s="4" t="n"/>
      <c r="G300" s="4" t="n"/>
      <c r="H300" s="4" t="n"/>
    </row>
    <row r="301" ht="15.75" customHeight="1" s="182">
      <c r="A301" s="4" t="n"/>
      <c r="B301" s="4" t="n"/>
      <c r="C301" s="4" t="n"/>
      <c r="D301" s="4" t="n"/>
      <c r="E301" s="4" t="n"/>
      <c r="F301" s="4" t="n"/>
      <c r="G301" s="4" t="n"/>
      <c r="H301" s="4" t="n"/>
    </row>
    <row r="302" ht="15.75" customHeight="1" s="182">
      <c r="A302" s="4" t="n"/>
      <c r="B302" s="4" t="n"/>
      <c r="C302" s="4" t="n"/>
      <c r="D302" s="4" t="n"/>
      <c r="E302" s="4" t="n"/>
      <c r="F302" s="4" t="n"/>
      <c r="G302" s="4" t="n"/>
      <c r="H302" s="4" t="n"/>
    </row>
    <row r="303" ht="15.75" customHeight="1" s="182">
      <c r="A303" s="4" t="n"/>
      <c r="B303" s="4" t="n"/>
      <c r="C303" s="4" t="n"/>
      <c r="D303" s="4" t="n"/>
      <c r="E303" s="4" t="n"/>
      <c r="F303" s="4" t="n"/>
      <c r="G303" s="4" t="n"/>
      <c r="H303" s="4" t="n"/>
    </row>
    <row r="304" ht="15.75" customHeight="1" s="182">
      <c r="A304" s="4" t="n"/>
      <c r="B304" s="4" t="n"/>
      <c r="C304" s="4" t="n"/>
      <c r="D304" s="4" t="n"/>
      <c r="E304" s="4" t="n"/>
      <c r="F304" s="4" t="n"/>
      <c r="G304" s="4" t="n"/>
      <c r="H304" s="4" t="n"/>
    </row>
    <row r="305" ht="15.75" customHeight="1" s="182">
      <c r="A305" s="4" t="n"/>
      <c r="B305" s="4" t="n"/>
      <c r="C305" s="4" t="n"/>
      <c r="D305" s="4" t="n"/>
      <c r="E305" s="4" t="n"/>
      <c r="F305" s="4" t="n"/>
      <c r="G305" s="4" t="n"/>
      <c r="H305" s="4" t="n"/>
    </row>
    <row r="306" ht="15.75" customHeight="1" s="182">
      <c r="A306" s="4" t="n"/>
      <c r="B306" s="4" t="n"/>
      <c r="C306" s="4" t="n"/>
      <c r="D306" s="4" t="n"/>
      <c r="E306" s="4" t="n"/>
      <c r="F306" s="4" t="n"/>
      <c r="G306" s="4" t="n"/>
      <c r="H306" s="4" t="n"/>
    </row>
    <row r="307" ht="15.75" customHeight="1" s="182">
      <c r="A307" s="4" t="n"/>
      <c r="B307" s="4" t="n"/>
      <c r="C307" s="4" t="n"/>
      <c r="D307" s="4" t="n"/>
      <c r="E307" s="4" t="n"/>
      <c r="F307" s="4" t="n"/>
      <c r="G307" s="4" t="n"/>
      <c r="H307" s="4" t="n"/>
    </row>
    <row r="308" ht="15.75" customHeight="1" s="182">
      <c r="A308" s="4" t="n"/>
      <c r="B308" s="4" t="n"/>
      <c r="C308" s="4" t="n"/>
      <c r="D308" s="4" t="n"/>
      <c r="E308" s="4" t="n"/>
      <c r="F308" s="4" t="n"/>
      <c r="G308" s="4" t="n"/>
      <c r="H308" s="4" t="n"/>
    </row>
    <row r="309" ht="15.75" customHeight="1" s="182">
      <c r="A309" s="4" t="n"/>
      <c r="B309" s="4" t="n"/>
      <c r="C309" s="4" t="n"/>
      <c r="D309" s="4" t="n"/>
      <c r="E309" s="4" t="n"/>
      <c r="F309" s="4" t="n"/>
      <c r="G309" s="4" t="n"/>
      <c r="H309" s="4" t="n"/>
    </row>
    <row r="310" ht="15.75" customHeight="1" s="182">
      <c r="A310" s="4" t="n"/>
      <c r="B310" s="4" t="n"/>
      <c r="C310" s="4" t="n"/>
      <c r="D310" s="4" t="n"/>
      <c r="E310" s="4" t="n"/>
      <c r="F310" s="4" t="n"/>
      <c r="G310" s="4" t="n"/>
      <c r="H310" s="4" t="n"/>
    </row>
    <row r="311" ht="15.75" customHeight="1" s="182">
      <c r="A311" s="4" t="n"/>
      <c r="B311" s="4" t="n"/>
      <c r="C311" s="4" t="n"/>
      <c r="D311" s="4" t="n"/>
      <c r="E311" s="4" t="n"/>
      <c r="F311" s="4" t="n"/>
      <c r="G311" s="4" t="n"/>
      <c r="H311" s="4" t="n"/>
    </row>
    <row r="312" ht="15.75" customHeight="1" s="182">
      <c r="A312" s="4" t="n"/>
      <c r="B312" s="4" t="n"/>
      <c r="C312" s="4" t="n"/>
      <c r="D312" s="4" t="n"/>
      <c r="E312" s="4" t="n"/>
      <c r="F312" s="4" t="n"/>
      <c r="G312" s="4" t="n"/>
      <c r="H312" s="4" t="n"/>
    </row>
    <row r="313" ht="15.75" customHeight="1" s="182">
      <c r="A313" s="4" t="n"/>
      <c r="B313" s="4" t="n"/>
      <c r="C313" s="4" t="n"/>
      <c r="D313" s="4" t="n"/>
      <c r="E313" s="4" t="n"/>
      <c r="F313" s="4" t="n"/>
      <c r="G313" s="4" t="n"/>
      <c r="H313" s="4" t="n"/>
    </row>
    <row r="314" ht="15.75" customHeight="1" s="182">
      <c r="A314" s="4" t="n"/>
      <c r="B314" s="4" t="n"/>
      <c r="C314" s="4" t="n"/>
      <c r="D314" s="4" t="n"/>
      <c r="E314" s="4" t="n"/>
      <c r="F314" s="4" t="n"/>
      <c r="G314" s="4" t="n"/>
      <c r="H314" s="4" t="n"/>
    </row>
    <row r="315" ht="15.75" customHeight="1" s="182">
      <c r="A315" s="4" t="n"/>
      <c r="B315" s="4" t="n"/>
      <c r="C315" s="4" t="n"/>
      <c r="D315" s="4" t="n"/>
      <c r="E315" s="4" t="n"/>
      <c r="F315" s="4" t="n"/>
      <c r="G315" s="4" t="n"/>
      <c r="H315" s="4" t="n"/>
    </row>
    <row r="316" ht="15.75" customHeight="1" s="182">
      <c r="A316" s="4" t="n"/>
      <c r="B316" s="4" t="n"/>
      <c r="C316" s="4" t="n"/>
      <c r="D316" s="4" t="n"/>
      <c r="E316" s="4" t="n"/>
      <c r="F316" s="4" t="n"/>
      <c r="G316" s="4" t="n"/>
      <c r="H316" s="4" t="n"/>
    </row>
    <row r="317" ht="15.75" customHeight="1" s="182">
      <c r="A317" s="4" t="n"/>
      <c r="B317" s="4" t="n"/>
      <c r="C317" s="4" t="n"/>
      <c r="D317" s="4" t="n"/>
      <c r="E317" s="4" t="n"/>
      <c r="F317" s="4" t="n"/>
      <c r="G317" s="4" t="n"/>
      <c r="H317" s="4" t="n"/>
    </row>
    <row r="318" ht="15.75" customHeight="1" s="182">
      <c r="A318" s="4" t="n"/>
      <c r="B318" s="4" t="n"/>
      <c r="C318" s="4" t="n"/>
      <c r="D318" s="4" t="n"/>
      <c r="E318" s="4" t="n"/>
      <c r="F318" s="4" t="n"/>
      <c r="G318" s="4" t="n"/>
      <c r="H318" s="4" t="n"/>
    </row>
    <row r="319" ht="15.75" customHeight="1" s="182">
      <c r="A319" s="4" t="n"/>
      <c r="B319" s="4" t="n"/>
      <c r="C319" s="4" t="n"/>
      <c r="D319" s="4" t="n"/>
      <c r="E319" s="4" t="n"/>
      <c r="F319" s="4" t="n"/>
      <c r="G319" s="4" t="n"/>
      <c r="H319" s="4" t="n"/>
    </row>
    <row r="320" ht="15.75" customHeight="1" s="182">
      <c r="A320" s="4" t="n"/>
      <c r="B320" s="4" t="n"/>
      <c r="C320" s="4" t="n"/>
      <c r="D320" s="4" t="n"/>
      <c r="E320" s="4" t="n"/>
      <c r="F320" s="4" t="n"/>
      <c r="G320" s="4" t="n"/>
      <c r="H320" s="4" t="n"/>
    </row>
    <row r="321" ht="15.75" customHeight="1" s="182">
      <c r="A321" s="4" t="n"/>
      <c r="B321" s="4" t="n"/>
      <c r="C321" s="4" t="n"/>
      <c r="D321" s="4" t="n"/>
      <c r="E321" s="4" t="n"/>
      <c r="F321" s="4" t="n"/>
      <c r="G321" s="4" t="n"/>
      <c r="H321" s="4" t="n"/>
    </row>
    <row r="322" ht="15.75" customHeight="1" s="182">
      <c r="A322" s="4" t="n"/>
      <c r="B322" s="4" t="n"/>
      <c r="C322" s="4" t="n"/>
      <c r="D322" s="4" t="n"/>
      <c r="E322" s="4" t="n"/>
      <c r="F322" s="4" t="n"/>
      <c r="G322" s="4" t="n"/>
      <c r="H322" s="4" t="n"/>
    </row>
    <row r="323" ht="15.75" customHeight="1" s="182">
      <c r="A323" s="4" t="n"/>
      <c r="B323" s="4" t="n"/>
      <c r="C323" s="4" t="n"/>
      <c r="D323" s="4" t="n"/>
      <c r="E323" s="4" t="n"/>
      <c r="F323" s="4" t="n"/>
      <c r="G323" s="4" t="n"/>
      <c r="H323" s="4" t="n"/>
    </row>
    <row r="324" ht="15.75" customHeight="1" s="182">
      <c r="A324" s="4" t="n"/>
      <c r="B324" s="4" t="n"/>
      <c r="C324" s="4" t="n"/>
      <c r="D324" s="4" t="n"/>
      <c r="E324" s="4" t="n"/>
      <c r="F324" s="4" t="n"/>
      <c r="G324" s="4" t="n"/>
      <c r="H324" s="4" t="n"/>
    </row>
    <row r="325" ht="15.75" customHeight="1" s="182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182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182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182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182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182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182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182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182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182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182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182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182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182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182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182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182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182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182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182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182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182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182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182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182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182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182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182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182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182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182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182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182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182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182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182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182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182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182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182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182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182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182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182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182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182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182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182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182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182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182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182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182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182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182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182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182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182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182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182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182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182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182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182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182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182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182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182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182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182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182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182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182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182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182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182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182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182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182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182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182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182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182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182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182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182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182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182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182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182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182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182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182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182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182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182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182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182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182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182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182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182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182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182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182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182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182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182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182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182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182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182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182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182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182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182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182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182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182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182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182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182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182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182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182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182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182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182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182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182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182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182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182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182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182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182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182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182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182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182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182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182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182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182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182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182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182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182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182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182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182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182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182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182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182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182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182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182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182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182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182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182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182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182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182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182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182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182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182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182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182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182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182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182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182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182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182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182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182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182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182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182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182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182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182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182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182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182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182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182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182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182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182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182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182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182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182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182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182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182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182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182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182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182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182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182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182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182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182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182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182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182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182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182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182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182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182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182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182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182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182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182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182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182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182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182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182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182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182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182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182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182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182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182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182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182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182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182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182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182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182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182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182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182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182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182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182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182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182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182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182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182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182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182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182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182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182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182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182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182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182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182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182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182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182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182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182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182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182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182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182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182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182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182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182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182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182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182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182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182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182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182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182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182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182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182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182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182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182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182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182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182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182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182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182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182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182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182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182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182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182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182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182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182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182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182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182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182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182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182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182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182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182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182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182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182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182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182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182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182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182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182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182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182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182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182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182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182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182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182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182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182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182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182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182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182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182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182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182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182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182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182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182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182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182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182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182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182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182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182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182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182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182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182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182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182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182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182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182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182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182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182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182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182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182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182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182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182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182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182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182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182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182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182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182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182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182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182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182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182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182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182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182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182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182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182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182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182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182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182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182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182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182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182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182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182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182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182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182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182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182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182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182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182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182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182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182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182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182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182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182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182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182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182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182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182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182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182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182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182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182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182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182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182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182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182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182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182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182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182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182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182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182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182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182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182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182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182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182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182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182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182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182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182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182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182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182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182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182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182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182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182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182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182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182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182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182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182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182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182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182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182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182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182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182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182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182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182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182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182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182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182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182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182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182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182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182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182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182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182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182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182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182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182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182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182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182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182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182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182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182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182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182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182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182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182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182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182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182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182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182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182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182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182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182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182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182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182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182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182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182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182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182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182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182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182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182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182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182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182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182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182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182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182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182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182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182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182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182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182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182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182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182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182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182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182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182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182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182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182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182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182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182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182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182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182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182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182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182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182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182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182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182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182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182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182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182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182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182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182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182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182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182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182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182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182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182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182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182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182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182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182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182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182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182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182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182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182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182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182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182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182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182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182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182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182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182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182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182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182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182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182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182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182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182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182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182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182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182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182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182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182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182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182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182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182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182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182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182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182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182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182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182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182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182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182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182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182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182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182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182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182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182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182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182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182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182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182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182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182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182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182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182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182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182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182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182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182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182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182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182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182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182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182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182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182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182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182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182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182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182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182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182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182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182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182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182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182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182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182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182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182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182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182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182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182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182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182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182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182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182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182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182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182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182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182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mergeCells count="4">
    <mergeCell ref="G16:H16"/>
    <mergeCell ref="A17:H21"/>
    <mergeCell ref="A2:H2"/>
    <mergeCell ref="A1:H1"/>
  </mergeCell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tabColor rgb="FF114884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182" min="1" max="2"/>
    <col width="14" customWidth="1" style="182" min="3" max="3"/>
    <col width="12" customWidth="1" style="182" min="4" max="4"/>
    <col width="24" customWidth="1" style="182" min="5" max="5"/>
    <col width="8.710000000000001" customWidth="1" style="182" min="6" max="6"/>
  </cols>
  <sheetData>
    <row r="1" ht="48" customHeight="1" s="182">
      <c r="A1" s="215" t="inlineStr">
        <is>
          <t>⚓  Schulden  —  Vereinfachter Ausgleich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1.75" customHeight="1" s="182">
      <c r="A2" s="210" t="inlineStr">
        <is>
          <t>Minimale Anzahl an Transaktionen  —  berechnet durch Apps Script</t>
        </is>
      </c>
      <c r="B2" s="211" t="n"/>
      <c r="C2" s="211" t="n"/>
      <c r="D2" s="211" t="n"/>
      <c r="E2" s="211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9.5" customHeight="1" s="182">
      <c r="A3" s="216" t="inlineStr">
        <is>
          <t>💡  Diese Tabelle wird durch das Apps Script befüllt.
Menü: ⚓ Bordkasse → 🔄 Schulden neu berechnen  (oder bei jedem Speichern einer Transaktion automatisch).</t>
        </is>
      </c>
      <c r="B3" s="203" t="n"/>
      <c r="C3" s="203" t="n"/>
      <c r="D3" s="203" t="n"/>
      <c r="E3" s="20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9.5" customHeight="1" s="182">
      <c r="A4" s="205" t="n"/>
      <c r="E4" s="206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9.5" customHeight="1" s="182">
      <c r="A5" s="207" t="n"/>
      <c r="B5" s="208" t="n"/>
      <c r="C5" s="208" t="n"/>
      <c r="D5" s="208" t="n"/>
      <c r="E5" s="209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9.75" customHeight="1" s="182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7.75" customHeight="1" s="182">
      <c r="A7" s="51" t="inlineStr">
        <is>
          <t>Person (schuldet)</t>
        </is>
      </c>
      <c r="B7" s="51" t="inlineStr">
        <is>
          <t>Überweist an</t>
        </is>
      </c>
      <c r="C7" s="51" t="inlineStr">
        <is>
          <t>Betrag</t>
        </is>
      </c>
      <c r="D7" s="51" t="inlineStr">
        <is>
          <t>Erledigt?</t>
        </is>
      </c>
      <c r="E7" s="51" t="inlineStr">
        <is>
          <t>Notiz</t>
        </is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4" customHeight="1" s="182">
      <c r="A8" s="147" t="n"/>
      <c r="B8" s="148" t="n"/>
      <c r="C8" s="149" t="n"/>
      <c r="D8" s="150" t="n"/>
      <c r="E8" s="151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4" customHeight="1" s="182">
      <c r="A9" s="152" t="n"/>
      <c r="B9" s="153" t="n"/>
      <c r="C9" s="154" t="n"/>
      <c r="D9" s="155" t="n"/>
      <c r="E9" s="156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4" customHeight="1" s="182">
      <c r="A10" s="147" t="n"/>
      <c r="B10" s="148" t="n"/>
      <c r="C10" s="149" t="n"/>
      <c r="D10" s="150" t="n"/>
      <c r="E10" s="151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4" customHeight="1" s="182">
      <c r="A11" s="152" t="n"/>
      <c r="B11" s="153" t="n"/>
      <c r="C11" s="154" t="n"/>
      <c r="D11" s="155" t="n"/>
      <c r="E11" s="156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4" customHeight="1" s="182">
      <c r="A12" s="147" t="n"/>
      <c r="B12" s="148" t="n"/>
      <c r="C12" s="149" t="n"/>
      <c r="D12" s="150" t="n"/>
      <c r="E12" s="151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4" customHeight="1" s="182">
      <c r="A13" s="152" t="n"/>
      <c r="B13" s="153" t="n"/>
      <c r="C13" s="154" t="n"/>
      <c r="D13" s="155" t="n"/>
      <c r="E13" s="156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4" customHeight="1" s="182">
      <c r="A14" s="147" t="n"/>
      <c r="B14" s="148" t="n"/>
      <c r="C14" s="149" t="n"/>
      <c r="D14" s="150" t="n"/>
      <c r="E14" s="151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4" customHeight="1" s="182">
      <c r="A15" s="152" t="n"/>
      <c r="B15" s="153" t="n"/>
      <c r="C15" s="154" t="n"/>
      <c r="D15" s="155" t="n"/>
      <c r="E15" s="156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4" customHeight="1" s="182">
      <c r="A16" s="147" t="n"/>
      <c r="B16" s="148" t="n"/>
      <c r="C16" s="149" t="n"/>
      <c r="D16" s="150" t="n"/>
      <c r="E16" s="151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24" customHeight="1" s="182">
      <c r="A17" s="152" t="n"/>
      <c r="B17" s="153" t="n"/>
      <c r="C17" s="154" t="n"/>
      <c r="D17" s="155" t="n"/>
      <c r="E17" s="156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4" customHeight="1" s="182">
      <c r="A18" s="147" t="n"/>
      <c r="B18" s="148" t="n"/>
      <c r="C18" s="149" t="n"/>
      <c r="D18" s="150" t="n"/>
      <c r="E18" s="151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4" customHeight="1" s="182">
      <c r="A19" s="152" t="n"/>
      <c r="B19" s="153" t="n"/>
      <c r="C19" s="154" t="n"/>
      <c r="D19" s="155" t="n"/>
      <c r="E19" s="156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4" customHeight="1" s="182">
      <c r="A20" s="147" t="n"/>
      <c r="B20" s="148" t="n"/>
      <c r="C20" s="149" t="n"/>
      <c r="D20" s="150" t="n"/>
      <c r="E20" s="151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4" customHeight="1" s="182">
      <c r="A21" s="152" t="n"/>
      <c r="B21" s="153" t="n"/>
      <c r="C21" s="154" t="n"/>
      <c r="D21" s="155" t="n"/>
      <c r="E21" s="156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4" customHeight="1" s="182">
      <c r="A22" s="147" t="n"/>
      <c r="B22" s="148" t="n"/>
      <c r="C22" s="149" t="n"/>
      <c r="D22" s="150" t="n"/>
      <c r="E22" s="151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4" customHeight="1" s="182">
      <c r="A23" s="152" t="n"/>
      <c r="B23" s="153" t="n"/>
      <c r="C23" s="154" t="n"/>
      <c r="D23" s="155" t="n"/>
      <c r="E23" s="156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24" customHeight="1" s="182">
      <c r="A24" s="147" t="n"/>
      <c r="B24" s="148" t="n"/>
      <c r="C24" s="149" t="n"/>
      <c r="D24" s="150" t="n"/>
      <c r="E24" s="151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24" customHeight="1" s="182">
      <c r="A25" s="152" t="n"/>
      <c r="B25" s="153" t="n"/>
      <c r="C25" s="154" t="n"/>
      <c r="D25" s="155" t="n"/>
      <c r="E25" s="156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4" customHeight="1" s="182">
      <c r="A26" s="147" t="n"/>
      <c r="B26" s="148" t="n"/>
      <c r="C26" s="149" t="n"/>
      <c r="D26" s="150" t="n"/>
      <c r="E26" s="151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24" customHeight="1" s="182">
      <c r="A27" s="157" t="n"/>
      <c r="B27" s="158" t="n"/>
      <c r="C27" s="159" t="n"/>
      <c r="D27" s="160" t="n"/>
      <c r="E27" s="161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30" customHeight="1" s="182">
      <c r="A28" s="140" t="inlineStr">
        <is>
          <t>SUMME</t>
        </is>
      </c>
      <c r="B28" s="217" t="n"/>
      <c r="C28" s="141">
        <f>SUM(C8:C27)</f>
        <v/>
      </c>
      <c r="D28" s="218" t="inlineStr">
        <is>
          <t>← Summe aller Überweisungen</t>
        </is>
      </c>
      <c r="E28" s="217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9.75" customHeight="1" s="182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21.75" customHeight="1" s="182">
      <c r="A30" s="219" t="inlineStr">
        <is>
          <t xml:space="preserve">  Letzte Aktualisierung:</t>
        </is>
      </c>
      <c r="B30" s="188" t="n"/>
      <c r="C30" s="188" t="n"/>
      <c r="D30" s="188" t="n"/>
      <c r="E30" s="220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21.75" customHeight="1" s="182">
      <c r="A31" s="221" t="n"/>
      <c r="B31" s="188" t="n"/>
      <c r="C31" s="188" t="n"/>
      <c r="D31" s="188" t="n"/>
      <c r="E31" s="220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18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18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182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182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182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182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182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182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182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182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18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182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182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182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182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182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182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182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182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182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18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182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182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182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182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182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182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182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182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182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18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182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182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182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182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18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182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182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182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182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18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182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182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182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182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182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182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182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182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182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1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182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182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182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182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182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182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182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182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182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18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182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182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182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182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182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182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182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182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182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18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182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182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182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182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182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182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182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182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182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18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182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182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182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182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182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182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182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182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182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18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182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182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182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182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182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182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182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182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182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18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182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182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182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182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182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182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182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182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182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18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182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182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182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182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182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182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182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182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182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18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182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182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182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182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182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182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182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182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182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18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182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182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182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182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182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182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182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182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182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18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182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182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182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182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182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182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182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182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182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182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182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182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182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182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182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182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182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182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18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182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182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182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182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182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182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182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182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182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18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182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18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18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18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18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18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18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18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18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18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18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18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18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18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18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18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18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18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182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18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182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182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182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182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182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182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182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182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182">
      <c r="A231" s="4" t="n"/>
      <c r="B231" s="4" t="n"/>
      <c r="C231" s="4" t="n"/>
      <c r="D231" s="4" t="n"/>
      <c r="E231" s="4" t="n"/>
      <c r="F231" s="4" t="n"/>
    </row>
    <row r="232" ht="15.75" customHeight="1" s="182">
      <c r="A232" s="4" t="n"/>
      <c r="B232" s="4" t="n"/>
      <c r="C232" s="4" t="n"/>
      <c r="D232" s="4" t="n"/>
      <c r="E232" s="4" t="n"/>
      <c r="F232" s="4" t="n"/>
    </row>
    <row r="233" ht="15.75" customHeight="1" s="182">
      <c r="A233" s="4" t="n"/>
      <c r="B233" s="4" t="n"/>
      <c r="C233" s="4" t="n"/>
      <c r="D233" s="4" t="n"/>
      <c r="E233" s="4" t="n"/>
      <c r="F233" s="4" t="n"/>
    </row>
    <row r="234" ht="15.75" customHeight="1" s="182">
      <c r="A234" s="4" t="n"/>
      <c r="B234" s="4" t="n"/>
      <c r="C234" s="4" t="n"/>
      <c r="D234" s="4" t="n"/>
      <c r="E234" s="4" t="n"/>
      <c r="F234" s="4" t="n"/>
    </row>
    <row r="235" ht="15.75" customHeight="1" s="182">
      <c r="A235" s="4" t="n"/>
      <c r="B235" s="4" t="n"/>
      <c r="C235" s="4" t="n"/>
      <c r="D235" s="4" t="n"/>
      <c r="E235" s="4" t="n"/>
      <c r="F235" s="4" t="n"/>
    </row>
    <row r="236" ht="15.75" customHeight="1" s="182">
      <c r="A236" s="4" t="n"/>
      <c r="B236" s="4" t="n"/>
      <c r="C236" s="4" t="n"/>
      <c r="D236" s="4" t="n"/>
      <c r="E236" s="4" t="n"/>
      <c r="F236" s="4" t="n"/>
    </row>
    <row r="237" ht="15.75" customHeight="1" s="182">
      <c r="A237" s="4" t="n"/>
      <c r="B237" s="4" t="n"/>
      <c r="C237" s="4" t="n"/>
      <c r="D237" s="4" t="n"/>
      <c r="E237" s="4" t="n"/>
      <c r="F237" s="4" t="n"/>
    </row>
    <row r="238" ht="15.75" customHeight="1" s="182">
      <c r="A238" s="4" t="n"/>
      <c r="B238" s="4" t="n"/>
      <c r="C238" s="4" t="n"/>
      <c r="D238" s="4" t="n"/>
      <c r="E238" s="4" t="n"/>
      <c r="F238" s="4" t="n"/>
    </row>
    <row r="239" ht="15.75" customHeight="1" s="182">
      <c r="A239" s="4" t="n"/>
      <c r="B239" s="4" t="n"/>
      <c r="C239" s="4" t="n"/>
      <c r="D239" s="4" t="n"/>
      <c r="E239" s="4" t="n"/>
      <c r="F239" s="4" t="n"/>
    </row>
    <row r="240" ht="15.75" customHeight="1" s="182">
      <c r="A240" s="4" t="n"/>
      <c r="B240" s="4" t="n"/>
      <c r="C240" s="4" t="n"/>
      <c r="D240" s="4" t="n"/>
      <c r="E240" s="4" t="n"/>
      <c r="F240" s="4" t="n"/>
    </row>
    <row r="241" ht="15.75" customHeight="1" s="182">
      <c r="A241" s="4" t="n"/>
      <c r="B241" s="4" t="n"/>
      <c r="C241" s="4" t="n"/>
      <c r="D241" s="4" t="n"/>
      <c r="E241" s="4" t="n"/>
      <c r="F241" s="4" t="n"/>
    </row>
    <row r="242" ht="15.75" customHeight="1" s="182">
      <c r="A242" s="4" t="n"/>
      <c r="B242" s="4" t="n"/>
      <c r="C242" s="4" t="n"/>
      <c r="D242" s="4" t="n"/>
      <c r="E242" s="4" t="n"/>
      <c r="F242" s="4" t="n"/>
    </row>
    <row r="243" ht="15.75" customHeight="1" s="182">
      <c r="A243" s="4" t="n"/>
      <c r="B243" s="4" t="n"/>
      <c r="C243" s="4" t="n"/>
      <c r="D243" s="4" t="n"/>
      <c r="E243" s="4" t="n"/>
      <c r="F243" s="4" t="n"/>
    </row>
    <row r="244" ht="15.75" customHeight="1" s="182">
      <c r="A244" s="4" t="n"/>
      <c r="B244" s="4" t="n"/>
      <c r="C244" s="4" t="n"/>
      <c r="D244" s="4" t="n"/>
      <c r="E244" s="4" t="n"/>
      <c r="F244" s="4" t="n"/>
    </row>
    <row r="245" ht="15.75" customHeight="1" s="182">
      <c r="A245" s="4" t="n"/>
      <c r="B245" s="4" t="n"/>
      <c r="C245" s="4" t="n"/>
      <c r="D245" s="4" t="n"/>
      <c r="E245" s="4" t="n"/>
      <c r="F245" s="4" t="n"/>
    </row>
    <row r="246" ht="15.75" customHeight="1" s="182">
      <c r="A246" s="4" t="n"/>
      <c r="B246" s="4" t="n"/>
      <c r="C246" s="4" t="n"/>
      <c r="D246" s="4" t="n"/>
      <c r="E246" s="4" t="n"/>
      <c r="F246" s="4" t="n"/>
    </row>
    <row r="247" ht="15.75" customHeight="1" s="182">
      <c r="A247" s="4" t="n"/>
      <c r="B247" s="4" t="n"/>
      <c r="C247" s="4" t="n"/>
      <c r="D247" s="4" t="n"/>
      <c r="E247" s="4" t="n"/>
      <c r="F247" s="4" t="n"/>
    </row>
    <row r="248" ht="15.75" customHeight="1" s="182">
      <c r="A248" s="4" t="n"/>
      <c r="B248" s="4" t="n"/>
      <c r="C248" s="4" t="n"/>
      <c r="D248" s="4" t="n"/>
      <c r="E248" s="4" t="n"/>
      <c r="F248" s="4" t="n"/>
    </row>
    <row r="249" ht="15.75" customHeight="1" s="182">
      <c r="A249" s="4" t="n"/>
      <c r="B249" s="4" t="n"/>
      <c r="C249" s="4" t="n"/>
      <c r="D249" s="4" t="n"/>
      <c r="E249" s="4" t="n"/>
      <c r="F249" s="4" t="n"/>
    </row>
    <row r="250" ht="15.75" customHeight="1" s="182">
      <c r="A250" s="4" t="n"/>
      <c r="B250" s="4" t="n"/>
      <c r="C250" s="4" t="n"/>
      <c r="D250" s="4" t="n"/>
      <c r="E250" s="4" t="n"/>
      <c r="F250" s="4" t="n"/>
    </row>
    <row r="251" ht="15.75" customHeight="1" s="182">
      <c r="A251" s="4" t="n"/>
      <c r="B251" s="4" t="n"/>
      <c r="C251" s="4" t="n"/>
      <c r="D251" s="4" t="n"/>
      <c r="E251" s="4" t="n"/>
      <c r="F251" s="4" t="n"/>
    </row>
    <row r="252" ht="15.75" customHeight="1" s="182">
      <c r="A252" s="4" t="n"/>
      <c r="B252" s="4" t="n"/>
      <c r="C252" s="4" t="n"/>
      <c r="D252" s="4" t="n"/>
      <c r="E252" s="4" t="n"/>
      <c r="F252" s="4" t="n"/>
    </row>
    <row r="253" ht="15.75" customHeight="1" s="182">
      <c r="A253" s="4" t="n"/>
      <c r="B253" s="4" t="n"/>
      <c r="C253" s="4" t="n"/>
      <c r="D253" s="4" t="n"/>
      <c r="E253" s="4" t="n"/>
      <c r="F253" s="4" t="n"/>
    </row>
    <row r="254" ht="15.75" customHeight="1" s="182">
      <c r="A254" s="4" t="n"/>
      <c r="B254" s="4" t="n"/>
      <c r="C254" s="4" t="n"/>
      <c r="D254" s="4" t="n"/>
      <c r="E254" s="4" t="n"/>
      <c r="F254" s="4" t="n"/>
    </row>
    <row r="255" ht="15.75" customHeight="1" s="182">
      <c r="A255" s="4" t="n"/>
      <c r="B255" s="4" t="n"/>
      <c r="C255" s="4" t="n"/>
      <c r="D255" s="4" t="n"/>
      <c r="E255" s="4" t="n"/>
      <c r="F255" s="4" t="n"/>
    </row>
    <row r="256" ht="15.75" customHeight="1" s="182">
      <c r="A256" s="4" t="n"/>
      <c r="B256" s="4" t="n"/>
      <c r="C256" s="4" t="n"/>
      <c r="D256" s="4" t="n"/>
      <c r="E256" s="4" t="n"/>
      <c r="F256" s="4" t="n"/>
    </row>
    <row r="257" ht="15.75" customHeight="1" s="182">
      <c r="A257" s="4" t="n"/>
      <c r="B257" s="4" t="n"/>
      <c r="C257" s="4" t="n"/>
      <c r="D257" s="4" t="n"/>
      <c r="E257" s="4" t="n"/>
      <c r="F257" s="4" t="n"/>
    </row>
    <row r="258" ht="15.75" customHeight="1" s="182">
      <c r="A258" s="4" t="n"/>
      <c r="B258" s="4" t="n"/>
      <c r="C258" s="4" t="n"/>
      <c r="D258" s="4" t="n"/>
      <c r="E258" s="4" t="n"/>
      <c r="F258" s="4" t="n"/>
    </row>
    <row r="259" ht="15.75" customHeight="1" s="182">
      <c r="A259" s="4" t="n"/>
      <c r="B259" s="4" t="n"/>
      <c r="C259" s="4" t="n"/>
      <c r="D259" s="4" t="n"/>
      <c r="E259" s="4" t="n"/>
      <c r="F259" s="4" t="n"/>
    </row>
    <row r="260" ht="15.75" customHeight="1" s="182">
      <c r="A260" s="4" t="n"/>
      <c r="B260" s="4" t="n"/>
      <c r="C260" s="4" t="n"/>
      <c r="D260" s="4" t="n"/>
      <c r="E260" s="4" t="n"/>
      <c r="F260" s="4" t="n"/>
    </row>
    <row r="261" ht="15.75" customHeight="1" s="182">
      <c r="A261" s="4" t="n"/>
      <c r="B261" s="4" t="n"/>
      <c r="C261" s="4" t="n"/>
      <c r="D261" s="4" t="n"/>
      <c r="E261" s="4" t="n"/>
      <c r="F261" s="4" t="n"/>
    </row>
    <row r="262" ht="15.75" customHeight="1" s="182">
      <c r="A262" s="4" t="n"/>
      <c r="B262" s="4" t="n"/>
      <c r="C262" s="4" t="n"/>
      <c r="D262" s="4" t="n"/>
      <c r="E262" s="4" t="n"/>
      <c r="F262" s="4" t="n"/>
    </row>
    <row r="263" ht="15.75" customHeight="1" s="182">
      <c r="A263" s="4" t="n"/>
      <c r="B263" s="4" t="n"/>
      <c r="C263" s="4" t="n"/>
      <c r="D263" s="4" t="n"/>
      <c r="E263" s="4" t="n"/>
      <c r="F263" s="4" t="n"/>
    </row>
    <row r="264" ht="15.75" customHeight="1" s="182">
      <c r="A264" s="4" t="n"/>
      <c r="B264" s="4" t="n"/>
      <c r="C264" s="4" t="n"/>
      <c r="D264" s="4" t="n"/>
      <c r="E264" s="4" t="n"/>
      <c r="F264" s="4" t="n"/>
    </row>
    <row r="265" ht="15.75" customHeight="1" s="182">
      <c r="A265" s="4" t="n"/>
      <c r="B265" s="4" t="n"/>
      <c r="C265" s="4" t="n"/>
      <c r="D265" s="4" t="n"/>
      <c r="E265" s="4" t="n"/>
      <c r="F265" s="4" t="n"/>
    </row>
    <row r="266" ht="15.75" customHeight="1" s="182">
      <c r="A266" s="4" t="n"/>
      <c r="B266" s="4" t="n"/>
      <c r="C266" s="4" t="n"/>
      <c r="D266" s="4" t="n"/>
      <c r="E266" s="4" t="n"/>
      <c r="F266" s="4" t="n"/>
    </row>
    <row r="267" ht="15.75" customHeight="1" s="182">
      <c r="A267" s="4" t="n"/>
      <c r="B267" s="4" t="n"/>
      <c r="C267" s="4" t="n"/>
      <c r="D267" s="4" t="n"/>
      <c r="E267" s="4" t="n"/>
      <c r="F267" s="4" t="n"/>
    </row>
    <row r="268" ht="15.75" customHeight="1" s="182">
      <c r="A268" s="4" t="n"/>
      <c r="B268" s="4" t="n"/>
      <c r="C268" s="4" t="n"/>
      <c r="D268" s="4" t="n"/>
      <c r="E268" s="4" t="n"/>
      <c r="F268" s="4" t="n"/>
    </row>
    <row r="269" ht="15.75" customHeight="1" s="182">
      <c r="A269" s="4" t="n"/>
      <c r="B269" s="4" t="n"/>
      <c r="C269" s="4" t="n"/>
      <c r="D269" s="4" t="n"/>
      <c r="E269" s="4" t="n"/>
      <c r="F269" s="4" t="n"/>
    </row>
    <row r="270" ht="15.75" customHeight="1" s="182">
      <c r="A270" s="4" t="n"/>
      <c r="B270" s="4" t="n"/>
      <c r="C270" s="4" t="n"/>
      <c r="D270" s="4" t="n"/>
      <c r="E270" s="4" t="n"/>
      <c r="F270" s="4" t="n"/>
    </row>
    <row r="271" ht="15.75" customHeight="1" s="182">
      <c r="A271" s="4" t="n"/>
      <c r="B271" s="4" t="n"/>
      <c r="C271" s="4" t="n"/>
      <c r="D271" s="4" t="n"/>
      <c r="E271" s="4" t="n"/>
      <c r="F271" s="4" t="n"/>
    </row>
    <row r="272" ht="15.75" customHeight="1" s="182">
      <c r="A272" s="4" t="n"/>
      <c r="B272" s="4" t="n"/>
      <c r="C272" s="4" t="n"/>
      <c r="D272" s="4" t="n"/>
      <c r="E272" s="4" t="n"/>
      <c r="F272" s="4" t="n"/>
    </row>
    <row r="273" ht="15.75" customHeight="1" s="182">
      <c r="A273" s="4" t="n"/>
      <c r="B273" s="4" t="n"/>
      <c r="C273" s="4" t="n"/>
      <c r="D273" s="4" t="n"/>
      <c r="E273" s="4" t="n"/>
      <c r="F273" s="4" t="n"/>
    </row>
    <row r="274" ht="15.75" customHeight="1" s="182">
      <c r="A274" s="4" t="n"/>
      <c r="B274" s="4" t="n"/>
      <c r="C274" s="4" t="n"/>
      <c r="D274" s="4" t="n"/>
      <c r="E274" s="4" t="n"/>
      <c r="F274" s="4" t="n"/>
    </row>
    <row r="275" ht="15.75" customHeight="1" s="182">
      <c r="A275" s="4" t="n"/>
      <c r="B275" s="4" t="n"/>
      <c r="C275" s="4" t="n"/>
      <c r="D275" s="4" t="n"/>
      <c r="E275" s="4" t="n"/>
      <c r="F275" s="4" t="n"/>
    </row>
    <row r="276" ht="15.75" customHeight="1" s="182">
      <c r="A276" s="4" t="n"/>
      <c r="B276" s="4" t="n"/>
      <c r="C276" s="4" t="n"/>
      <c r="D276" s="4" t="n"/>
      <c r="E276" s="4" t="n"/>
      <c r="F276" s="4" t="n"/>
    </row>
    <row r="277" ht="15.75" customHeight="1" s="182">
      <c r="A277" s="4" t="n"/>
      <c r="B277" s="4" t="n"/>
      <c r="C277" s="4" t="n"/>
      <c r="D277" s="4" t="n"/>
      <c r="E277" s="4" t="n"/>
      <c r="F277" s="4" t="n"/>
    </row>
    <row r="278" ht="15.75" customHeight="1" s="182">
      <c r="A278" s="4" t="n"/>
      <c r="B278" s="4" t="n"/>
      <c r="C278" s="4" t="n"/>
      <c r="D278" s="4" t="n"/>
      <c r="E278" s="4" t="n"/>
      <c r="F278" s="4" t="n"/>
    </row>
    <row r="279" ht="15.75" customHeight="1" s="182">
      <c r="A279" s="4" t="n"/>
      <c r="B279" s="4" t="n"/>
      <c r="C279" s="4" t="n"/>
      <c r="D279" s="4" t="n"/>
      <c r="E279" s="4" t="n"/>
      <c r="F279" s="4" t="n"/>
    </row>
    <row r="280" ht="15.75" customHeight="1" s="182">
      <c r="A280" s="4" t="n"/>
      <c r="B280" s="4" t="n"/>
      <c r="C280" s="4" t="n"/>
      <c r="D280" s="4" t="n"/>
      <c r="E280" s="4" t="n"/>
      <c r="F280" s="4" t="n"/>
    </row>
    <row r="281" ht="15.75" customHeight="1" s="182">
      <c r="A281" s="4" t="n"/>
      <c r="B281" s="4" t="n"/>
      <c r="C281" s="4" t="n"/>
      <c r="D281" s="4" t="n"/>
      <c r="E281" s="4" t="n"/>
      <c r="F281" s="4" t="n"/>
    </row>
    <row r="282" ht="15.75" customHeight="1" s="182">
      <c r="A282" s="4" t="n"/>
      <c r="B282" s="4" t="n"/>
      <c r="C282" s="4" t="n"/>
      <c r="D282" s="4" t="n"/>
      <c r="E282" s="4" t="n"/>
      <c r="F282" s="4" t="n"/>
    </row>
    <row r="283" ht="15.75" customHeight="1" s="182">
      <c r="A283" s="4" t="n"/>
      <c r="B283" s="4" t="n"/>
      <c r="C283" s="4" t="n"/>
      <c r="D283" s="4" t="n"/>
      <c r="E283" s="4" t="n"/>
      <c r="F283" s="4" t="n"/>
    </row>
    <row r="284" ht="15.75" customHeight="1" s="182">
      <c r="A284" s="4" t="n"/>
      <c r="B284" s="4" t="n"/>
      <c r="C284" s="4" t="n"/>
      <c r="D284" s="4" t="n"/>
      <c r="E284" s="4" t="n"/>
      <c r="F284" s="4" t="n"/>
    </row>
    <row r="285" ht="15.75" customHeight="1" s="182">
      <c r="A285" s="4" t="n"/>
      <c r="B285" s="4" t="n"/>
      <c r="C285" s="4" t="n"/>
      <c r="D285" s="4" t="n"/>
      <c r="E285" s="4" t="n"/>
      <c r="F285" s="4" t="n"/>
    </row>
    <row r="286" ht="15.75" customHeight="1" s="182">
      <c r="A286" s="4" t="n"/>
      <c r="B286" s="4" t="n"/>
      <c r="C286" s="4" t="n"/>
      <c r="D286" s="4" t="n"/>
      <c r="E286" s="4" t="n"/>
      <c r="F286" s="4" t="n"/>
    </row>
    <row r="287" ht="15.75" customHeight="1" s="182">
      <c r="A287" s="4" t="n"/>
      <c r="B287" s="4" t="n"/>
      <c r="C287" s="4" t="n"/>
      <c r="D287" s="4" t="n"/>
      <c r="E287" s="4" t="n"/>
      <c r="F287" s="4" t="n"/>
    </row>
    <row r="288" ht="15.75" customHeight="1" s="182">
      <c r="A288" s="4" t="n"/>
      <c r="B288" s="4" t="n"/>
      <c r="C288" s="4" t="n"/>
      <c r="D288" s="4" t="n"/>
      <c r="E288" s="4" t="n"/>
      <c r="F288" s="4" t="n"/>
    </row>
    <row r="289" ht="15.75" customHeight="1" s="182">
      <c r="A289" s="4" t="n"/>
      <c r="B289" s="4" t="n"/>
      <c r="C289" s="4" t="n"/>
      <c r="D289" s="4" t="n"/>
      <c r="E289" s="4" t="n"/>
      <c r="F289" s="4" t="n"/>
    </row>
    <row r="290" ht="15.75" customHeight="1" s="182">
      <c r="A290" s="4" t="n"/>
      <c r="B290" s="4" t="n"/>
      <c r="C290" s="4" t="n"/>
      <c r="D290" s="4" t="n"/>
      <c r="E290" s="4" t="n"/>
      <c r="F290" s="4" t="n"/>
    </row>
    <row r="291" ht="15.75" customHeight="1" s="182">
      <c r="A291" s="4" t="n"/>
      <c r="B291" s="4" t="n"/>
      <c r="C291" s="4" t="n"/>
      <c r="D291" s="4" t="n"/>
      <c r="E291" s="4" t="n"/>
      <c r="F291" s="4" t="n"/>
    </row>
    <row r="292" ht="15.75" customHeight="1" s="182">
      <c r="A292" s="4" t="n"/>
      <c r="B292" s="4" t="n"/>
      <c r="C292" s="4" t="n"/>
      <c r="D292" s="4" t="n"/>
      <c r="E292" s="4" t="n"/>
      <c r="F292" s="4" t="n"/>
    </row>
    <row r="293" ht="15.75" customHeight="1" s="182">
      <c r="A293" s="4" t="n"/>
      <c r="B293" s="4" t="n"/>
      <c r="C293" s="4" t="n"/>
      <c r="D293" s="4" t="n"/>
      <c r="E293" s="4" t="n"/>
      <c r="F293" s="4" t="n"/>
    </row>
    <row r="294" ht="15.75" customHeight="1" s="182">
      <c r="A294" s="4" t="n"/>
      <c r="B294" s="4" t="n"/>
      <c r="C294" s="4" t="n"/>
      <c r="D294" s="4" t="n"/>
      <c r="E294" s="4" t="n"/>
      <c r="F294" s="4" t="n"/>
    </row>
    <row r="295" ht="15.75" customHeight="1" s="182">
      <c r="A295" s="4" t="n"/>
      <c r="B295" s="4" t="n"/>
      <c r="C295" s="4" t="n"/>
      <c r="D295" s="4" t="n"/>
      <c r="E295" s="4" t="n"/>
      <c r="F295" s="4" t="n"/>
    </row>
    <row r="296" ht="15.75" customHeight="1" s="182">
      <c r="A296" s="4" t="n"/>
      <c r="B296" s="4" t="n"/>
      <c r="C296" s="4" t="n"/>
      <c r="D296" s="4" t="n"/>
      <c r="E296" s="4" t="n"/>
      <c r="F296" s="4" t="n"/>
    </row>
    <row r="297" ht="15.75" customHeight="1" s="182">
      <c r="A297" s="4" t="n"/>
      <c r="B297" s="4" t="n"/>
      <c r="C297" s="4" t="n"/>
      <c r="D297" s="4" t="n"/>
      <c r="E297" s="4" t="n"/>
      <c r="F297" s="4" t="n"/>
    </row>
    <row r="298" ht="15.75" customHeight="1" s="182">
      <c r="A298" s="4" t="n"/>
      <c r="B298" s="4" t="n"/>
      <c r="C298" s="4" t="n"/>
      <c r="D298" s="4" t="n"/>
      <c r="E298" s="4" t="n"/>
      <c r="F298" s="4" t="n"/>
    </row>
    <row r="299" ht="15.75" customHeight="1" s="182">
      <c r="A299" s="4" t="n"/>
      <c r="B299" s="4" t="n"/>
      <c r="C299" s="4" t="n"/>
      <c r="D299" s="4" t="n"/>
      <c r="E299" s="4" t="n"/>
      <c r="F299" s="4" t="n"/>
    </row>
    <row r="300" ht="15.75" customHeight="1" s="182">
      <c r="A300" s="4" t="n"/>
      <c r="B300" s="4" t="n"/>
      <c r="C300" s="4" t="n"/>
      <c r="D300" s="4" t="n"/>
      <c r="E300" s="4" t="n"/>
      <c r="F300" s="4" t="n"/>
    </row>
    <row r="301" ht="15.75" customHeight="1" s="182">
      <c r="A301" s="4" t="n"/>
      <c r="B301" s="4" t="n"/>
      <c r="C301" s="4" t="n"/>
      <c r="D301" s="4" t="n"/>
      <c r="E301" s="4" t="n"/>
      <c r="F301" s="4" t="n"/>
    </row>
    <row r="302" ht="15.75" customHeight="1" s="182">
      <c r="A302" s="4" t="n"/>
      <c r="B302" s="4" t="n"/>
      <c r="C302" s="4" t="n"/>
      <c r="D302" s="4" t="n"/>
      <c r="E302" s="4" t="n"/>
      <c r="F302" s="4" t="n"/>
    </row>
    <row r="303" ht="15.75" customHeight="1" s="182">
      <c r="A303" s="4" t="n"/>
      <c r="B303" s="4" t="n"/>
      <c r="C303" s="4" t="n"/>
      <c r="D303" s="4" t="n"/>
      <c r="E303" s="4" t="n"/>
      <c r="F303" s="4" t="n"/>
    </row>
    <row r="304" ht="15.75" customHeight="1" s="182">
      <c r="A304" s="4" t="n"/>
      <c r="B304" s="4" t="n"/>
      <c r="C304" s="4" t="n"/>
      <c r="D304" s="4" t="n"/>
      <c r="E304" s="4" t="n"/>
      <c r="F304" s="4" t="n"/>
    </row>
    <row r="305" ht="15.75" customHeight="1" s="182">
      <c r="A305" s="4" t="n"/>
      <c r="B305" s="4" t="n"/>
      <c r="C305" s="4" t="n"/>
      <c r="D305" s="4" t="n"/>
      <c r="E305" s="4" t="n"/>
      <c r="F305" s="4" t="n"/>
    </row>
    <row r="306" ht="15.75" customHeight="1" s="182">
      <c r="A306" s="4" t="n"/>
      <c r="B306" s="4" t="n"/>
      <c r="C306" s="4" t="n"/>
      <c r="D306" s="4" t="n"/>
      <c r="E306" s="4" t="n"/>
      <c r="F306" s="4" t="n"/>
    </row>
    <row r="307" ht="15.75" customHeight="1" s="182">
      <c r="A307" s="4" t="n"/>
      <c r="B307" s="4" t="n"/>
      <c r="C307" s="4" t="n"/>
      <c r="D307" s="4" t="n"/>
      <c r="E307" s="4" t="n"/>
      <c r="F307" s="4" t="n"/>
    </row>
    <row r="308" ht="15.75" customHeight="1" s="182">
      <c r="A308" s="4" t="n"/>
      <c r="B308" s="4" t="n"/>
      <c r="C308" s="4" t="n"/>
      <c r="D308" s="4" t="n"/>
      <c r="E308" s="4" t="n"/>
      <c r="F308" s="4" t="n"/>
    </row>
    <row r="309" ht="15.75" customHeight="1" s="182">
      <c r="A309" s="4" t="n"/>
      <c r="B309" s="4" t="n"/>
      <c r="C309" s="4" t="n"/>
      <c r="D309" s="4" t="n"/>
      <c r="E309" s="4" t="n"/>
      <c r="F309" s="4" t="n"/>
    </row>
    <row r="310" ht="15.75" customHeight="1" s="182">
      <c r="A310" s="4" t="n"/>
      <c r="B310" s="4" t="n"/>
      <c r="C310" s="4" t="n"/>
      <c r="D310" s="4" t="n"/>
      <c r="E310" s="4" t="n"/>
      <c r="F310" s="4" t="n"/>
    </row>
    <row r="311" ht="15.75" customHeight="1" s="182">
      <c r="A311" s="4" t="n"/>
      <c r="B311" s="4" t="n"/>
      <c r="C311" s="4" t="n"/>
      <c r="D311" s="4" t="n"/>
      <c r="E311" s="4" t="n"/>
      <c r="F311" s="4" t="n"/>
    </row>
    <row r="312" ht="15.75" customHeight="1" s="182">
      <c r="A312" s="4" t="n"/>
      <c r="B312" s="4" t="n"/>
      <c r="C312" s="4" t="n"/>
      <c r="D312" s="4" t="n"/>
      <c r="E312" s="4" t="n"/>
      <c r="F312" s="4" t="n"/>
    </row>
    <row r="313" ht="15.75" customHeight="1" s="182">
      <c r="A313" s="4" t="n"/>
      <c r="B313" s="4" t="n"/>
      <c r="C313" s="4" t="n"/>
      <c r="D313" s="4" t="n"/>
      <c r="E313" s="4" t="n"/>
      <c r="F313" s="4" t="n"/>
    </row>
    <row r="314" ht="15.75" customHeight="1" s="182">
      <c r="A314" s="4" t="n"/>
      <c r="B314" s="4" t="n"/>
      <c r="C314" s="4" t="n"/>
      <c r="D314" s="4" t="n"/>
      <c r="E314" s="4" t="n"/>
      <c r="F314" s="4" t="n"/>
    </row>
    <row r="315" ht="15.75" customHeight="1" s="182">
      <c r="A315" s="4" t="n"/>
      <c r="B315" s="4" t="n"/>
      <c r="C315" s="4" t="n"/>
      <c r="D315" s="4" t="n"/>
      <c r="E315" s="4" t="n"/>
      <c r="F315" s="4" t="n"/>
    </row>
    <row r="316" ht="15.75" customHeight="1" s="182">
      <c r="A316" s="4" t="n"/>
      <c r="B316" s="4" t="n"/>
      <c r="C316" s="4" t="n"/>
      <c r="D316" s="4" t="n"/>
      <c r="E316" s="4" t="n"/>
      <c r="F316" s="4" t="n"/>
    </row>
    <row r="317" ht="15.75" customHeight="1" s="182">
      <c r="A317" s="4" t="n"/>
      <c r="B317" s="4" t="n"/>
      <c r="C317" s="4" t="n"/>
      <c r="D317" s="4" t="n"/>
      <c r="E317" s="4" t="n"/>
      <c r="F317" s="4" t="n"/>
    </row>
    <row r="318" ht="15.75" customHeight="1" s="182">
      <c r="A318" s="4" t="n"/>
      <c r="B318" s="4" t="n"/>
      <c r="C318" s="4" t="n"/>
      <c r="D318" s="4" t="n"/>
      <c r="E318" s="4" t="n"/>
      <c r="F318" s="4" t="n"/>
    </row>
    <row r="319" ht="15.75" customHeight="1" s="182">
      <c r="A319" s="4" t="n"/>
      <c r="B319" s="4" t="n"/>
      <c r="C319" s="4" t="n"/>
      <c r="D319" s="4" t="n"/>
      <c r="E319" s="4" t="n"/>
      <c r="F319" s="4" t="n"/>
    </row>
    <row r="320" ht="15.75" customHeight="1" s="182">
      <c r="A320" s="4" t="n"/>
      <c r="B320" s="4" t="n"/>
      <c r="C320" s="4" t="n"/>
      <c r="D320" s="4" t="n"/>
      <c r="E320" s="4" t="n"/>
      <c r="F320" s="4" t="n"/>
    </row>
    <row r="321" ht="15.75" customHeight="1" s="182">
      <c r="A321" s="4" t="n"/>
      <c r="B321" s="4" t="n"/>
      <c r="C321" s="4" t="n"/>
      <c r="D321" s="4" t="n"/>
      <c r="E321" s="4" t="n"/>
      <c r="F321" s="4" t="n"/>
    </row>
    <row r="322" ht="15.75" customHeight="1" s="182">
      <c r="A322" s="4" t="n"/>
      <c r="B322" s="4" t="n"/>
      <c r="C322" s="4" t="n"/>
      <c r="D322" s="4" t="n"/>
      <c r="E322" s="4" t="n"/>
      <c r="F322" s="4" t="n"/>
    </row>
    <row r="323" ht="15.75" customHeight="1" s="182">
      <c r="A323" s="4" t="n"/>
      <c r="B323" s="4" t="n"/>
      <c r="C323" s="4" t="n"/>
      <c r="D323" s="4" t="n"/>
      <c r="E323" s="4" t="n"/>
      <c r="F323" s="4" t="n"/>
    </row>
    <row r="324" ht="15.75" customHeight="1" s="182">
      <c r="A324" s="4" t="n"/>
      <c r="B324" s="4" t="n"/>
      <c r="C324" s="4" t="n"/>
      <c r="D324" s="4" t="n"/>
      <c r="E324" s="4" t="n"/>
      <c r="F324" s="4" t="n"/>
    </row>
    <row r="325" ht="15.75" customHeight="1" s="182">
      <c r="A325" s="4" t="n"/>
      <c r="B325" s="4" t="n"/>
      <c r="C325" s="4" t="n"/>
      <c r="D325" s="4" t="n"/>
      <c r="E325" s="4" t="n"/>
      <c r="F325" s="4" t="n"/>
    </row>
    <row r="326" ht="15.75" customHeight="1" s="182">
      <c r="A326" s="4" t="n"/>
      <c r="B326" s="4" t="n"/>
      <c r="C326" s="4" t="n"/>
      <c r="D326" s="4" t="n"/>
      <c r="E326" s="4" t="n"/>
      <c r="F326" s="4" t="n"/>
    </row>
    <row r="327" ht="15.75" customHeight="1" s="182">
      <c r="A327" s="4" t="n"/>
      <c r="B327" s="4" t="n"/>
      <c r="C327" s="4" t="n"/>
      <c r="D327" s="4" t="n"/>
      <c r="E327" s="4" t="n"/>
      <c r="F327" s="4" t="n"/>
    </row>
    <row r="328" ht="15.75" customHeight="1" s="182">
      <c r="A328" s="4" t="n"/>
      <c r="B328" s="4" t="n"/>
      <c r="C328" s="4" t="n"/>
      <c r="D328" s="4" t="n"/>
      <c r="E328" s="4" t="n"/>
      <c r="F328" s="4" t="n"/>
    </row>
    <row r="329" ht="15.75" customHeight="1" s="182">
      <c r="A329" s="4" t="n"/>
      <c r="B329" s="4" t="n"/>
      <c r="C329" s="4" t="n"/>
      <c r="D329" s="4" t="n"/>
      <c r="E329" s="4" t="n"/>
      <c r="F329" s="4" t="n"/>
    </row>
    <row r="330" ht="15.75" customHeight="1" s="182">
      <c r="A330" s="4" t="n"/>
      <c r="B330" s="4" t="n"/>
      <c r="C330" s="4" t="n"/>
      <c r="D330" s="4" t="n"/>
      <c r="E330" s="4" t="n"/>
      <c r="F330" s="4" t="n"/>
    </row>
    <row r="331" ht="15.75" customHeight="1" s="182">
      <c r="A331" s="4" t="n"/>
      <c r="B331" s="4" t="n"/>
      <c r="C331" s="4" t="n"/>
      <c r="D331" s="4" t="n"/>
      <c r="E331" s="4" t="n"/>
      <c r="F331" s="4" t="n"/>
    </row>
    <row r="332" ht="15.75" customHeight="1" s="182">
      <c r="A332" s="4" t="n"/>
      <c r="B332" s="4" t="n"/>
      <c r="C332" s="4" t="n"/>
      <c r="D332" s="4" t="n"/>
      <c r="E332" s="4" t="n"/>
      <c r="F332" s="4" t="n"/>
    </row>
    <row r="333" ht="15.75" customHeight="1" s="182">
      <c r="A333" s="4" t="n"/>
      <c r="B333" s="4" t="n"/>
      <c r="C333" s="4" t="n"/>
      <c r="D333" s="4" t="n"/>
      <c r="E333" s="4" t="n"/>
      <c r="F333" s="4" t="n"/>
    </row>
    <row r="334" ht="15.75" customHeight="1" s="182">
      <c r="A334" s="4" t="n"/>
      <c r="B334" s="4" t="n"/>
      <c r="C334" s="4" t="n"/>
      <c r="D334" s="4" t="n"/>
      <c r="E334" s="4" t="n"/>
      <c r="F334" s="4" t="n"/>
    </row>
    <row r="335" ht="15.75" customHeight="1" s="182">
      <c r="A335" s="4" t="n"/>
      <c r="B335" s="4" t="n"/>
      <c r="C335" s="4" t="n"/>
      <c r="D335" s="4" t="n"/>
      <c r="E335" s="4" t="n"/>
      <c r="F335" s="4" t="n"/>
    </row>
    <row r="336" ht="15.75" customHeight="1" s="182">
      <c r="A336" s="4" t="n"/>
      <c r="B336" s="4" t="n"/>
      <c r="C336" s="4" t="n"/>
      <c r="D336" s="4" t="n"/>
      <c r="E336" s="4" t="n"/>
      <c r="F336" s="4" t="n"/>
    </row>
    <row r="337" ht="15.75" customHeight="1" s="182">
      <c r="A337" s="4" t="n"/>
      <c r="B337" s="4" t="n"/>
      <c r="C337" s="4" t="n"/>
      <c r="D337" s="4" t="n"/>
      <c r="E337" s="4" t="n"/>
      <c r="F337" s="4" t="n"/>
    </row>
    <row r="338" ht="15.75" customHeight="1" s="182">
      <c r="A338" s="4" t="n"/>
      <c r="B338" s="4" t="n"/>
      <c r="C338" s="4" t="n"/>
      <c r="D338" s="4" t="n"/>
      <c r="E338" s="4" t="n"/>
      <c r="F338" s="4" t="n"/>
    </row>
    <row r="339" ht="15.75" customHeight="1" s="182">
      <c r="A339" s="4" t="n"/>
      <c r="B339" s="4" t="n"/>
      <c r="C339" s="4" t="n"/>
      <c r="D339" s="4" t="n"/>
      <c r="E339" s="4" t="n"/>
      <c r="F339" s="4" t="n"/>
    </row>
    <row r="340" ht="15.75" customHeight="1" s="182">
      <c r="A340" s="4" t="n"/>
      <c r="B340" s="4" t="n"/>
      <c r="C340" s="4" t="n"/>
      <c r="D340" s="4" t="n"/>
      <c r="E340" s="4" t="n"/>
      <c r="F340" s="4" t="n"/>
    </row>
    <row r="341" ht="15.75" customHeight="1" s="182">
      <c r="A341" s="4" t="n"/>
      <c r="B341" s="4" t="n"/>
      <c r="C341" s="4" t="n"/>
      <c r="D341" s="4" t="n"/>
      <c r="E341" s="4" t="n"/>
      <c r="F341" s="4" t="n"/>
    </row>
    <row r="342" ht="15.75" customHeight="1" s="182">
      <c r="A342" s="4" t="n"/>
      <c r="B342" s="4" t="n"/>
      <c r="C342" s="4" t="n"/>
      <c r="D342" s="4" t="n"/>
      <c r="E342" s="4" t="n"/>
      <c r="F342" s="4" t="n"/>
    </row>
    <row r="343" ht="15.75" customHeight="1" s="182">
      <c r="A343" s="4" t="n"/>
      <c r="B343" s="4" t="n"/>
      <c r="C343" s="4" t="n"/>
      <c r="D343" s="4" t="n"/>
      <c r="E343" s="4" t="n"/>
      <c r="F343" s="4" t="n"/>
    </row>
    <row r="344" ht="15.75" customHeight="1" s="182">
      <c r="A344" s="4" t="n"/>
      <c r="B344" s="4" t="n"/>
      <c r="C344" s="4" t="n"/>
      <c r="D344" s="4" t="n"/>
      <c r="E344" s="4" t="n"/>
      <c r="F344" s="4" t="n"/>
    </row>
    <row r="345" ht="15.75" customHeight="1" s="182">
      <c r="A345" s="4" t="n"/>
      <c r="B345" s="4" t="n"/>
      <c r="C345" s="4" t="n"/>
      <c r="D345" s="4" t="n"/>
      <c r="E345" s="4" t="n"/>
      <c r="F345" s="4" t="n"/>
    </row>
    <row r="346" ht="15.75" customHeight="1" s="182">
      <c r="A346" s="4" t="n"/>
      <c r="B346" s="4" t="n"/>
      <c r="C346" s="4" t="n"/>
      <c r="D346" s="4" t="n"/>
      <c r="E346" s="4" t="n"/>
      <c r="F346" s="4" t="n"/>
    </row>
    <row r="347" ht="15.75" customHeight="1" s="182">
      <c r="A347" s="4" t="n"/>
      <c r="B347" s="4" t="n"/>
      <c r="C347" s="4" t="n"/>
      <c r="D347" s="4" t="n"/>
      <c r="E347" s="4" t="n"/>
      <c r="F347" s="4" t="n"/>
    </row>
    <row r="348" ht="15.75" customHeight="1" s="182">
      <c r="A348" s="4" t="n"/>
      <c r="B348" s="4" t="n"/>
      <c r="C348" s="4" t="n"/>
      <c r="D348" s="4" t="n"/>
      <c r="E348" s="4" t="n"/>
      <c r="F348" s="4" t="n"/>
    </row>
    <row r="349" ht="15.75" customHeight="1" s="182">
      <c r="A349" s="4" t="n"/>
      <c r="B349" s="4" t="n"/>
      <c r="C349" s="4" t="n"/>
      <c r="D349" s="4" t="n"/>
      <c r="E349" s="4" t="n"/>
      <c r="F349" s="4" t="n"/>
    </row>
    <row r="350" ht="15.75" customHeight="1" s="182">
      <c r="A350" s="4" t="n"/>
      <c r="B350" s="4" t="n"/>
      <c r="C350" s="4" t="n"/>
      <c r="D350" s="4" t="n"/>
      <c r="E350" s="4" t="n"/>
      <c r="F350" s="4" t="n"/>
    </row>
    <row r="351" ht="15.75" customHeight="1" s="182">
      <c r="A351" s="4" t="n"/>
      <c r="B351" s="4" t="n"/>
      <c r="C351" s="4" t="n"/>
      <c r="D351" s="4" t="n"/>
      <c r="E351" s="4" t="n"/>
      <c r="F351" s="4" t="n"/>
    </row>
    <row r="352" ht="15.75" customHeight="1" s="182">
      <c r="A352" s="4" t="n"/>
      <c r="B352" s="4" t="n"/>
      <c r="C352" s="4" t="n"/>
      <c r="D352" s="4" t="n"/>
      <c r="E352" s="4" t="n"/>
      <c r="F352" s="4" t="n"/>
    </row>
    <row r="353" ht="15.75" customHeight="1" s="182">
      <c r="A353" s="4" t="n"/>
      <c r="B353" s="4" t="n"/>
      <c r="C353" s="4" t="n"/>
      <c r="D353" s="4" t="n"/>
      <c r="E353" s="4" t="n"/>
      <c r="F353" s="4" t="n"/>
    </row>
    <row r="354" ht="15.75" customHeight="1" s="182">
      <c r="A354" s="4" t="n"/>
      <c r="B354" s="4" t="n"/>
      <c r="C354" s="4" t="n"/>
      <c r="D354" s="4" t="n"/>
      <c r="E354" s="4" t="n"/>
      <c r="F354" s="4" t="n"/>
    </row>
    <row r="355" ht="15.75" customHeight="1" s="182">
      <c r="A355" s="4" t="n"/>
      <c r="B355" s="4" t="n"/>
      <c r="C355" s="4" t="n"/>
      <c r="D355" s="4" t="n"/>
      <c r="E355" s="4" t="n"/>
      <c r="F355" s="4" t="n"/>
    </row>
    <row r="356" ht="15.75" customHeight="1" s="182">
      <c r="A356" s="4" t="n"/>
      <c r="B356" s="4" t="n"/>
      <c r="C356" s="4" t="n"/>
      <c r="D356" s="4" t="n"/>
      <c r="E356" s="4" t="n"/>
      <c r="F356" s="4" t="n"/>
    </row>
    <row r="357" ht="15.75" customHeight="1" s="182">
      <c r="A357" s="4" t="n"/>
      <c r="B357" s="4" t="n"/>
      <c r="C357" s="4" t="n"/>
      <c r="D357" s="4" t="n"/>
      <c r="E357" s="4" t="n"/>
      <c r="F357" s="4" t="n"/>
    </row>
    <row r="358" ht="15.75" customHeight="1" s="182">
      <c r="A358" s="4" t="n"/>
      <c r="B358" s="4" t="n"/>
      <c r="C358" s="4" t="n"/>
      <c r="D358" s="4" t="n"/>
      <c r="E358" s="4" t="n"/>
      <c r="F358" s="4" t="n"/>
    </row>
    <row r="359" ht="15.75" customHeight="1" s="182">
      <c r="A359" s="4" t="n"/>
      <c r="B359" s="4" t="n"/>
      <c r="C359" s="4" t="n"/>
      <c r="D359" s="4" t="n"/>
      <c r="E359" s="4" t="n"/>
      <c r="F359" s="4" t="n"/>
    </row>
    <row r="360" ht="15.75" customHeight="1" s="182">
      <c r="A360" s="4" t="n"/>
      <c r="B360" s="4" t="n"/>
      <c r="C360" s="4" t="n"/>
      <c r="D360" s="4" t="n"/>
      <c r="E360" s="4" t="n"/>
      <c r="F360" s="4" t="n"/>
    </row>
    <row r="361" ht="15.75" customHeight="1" s="182">
      <c r="A361" s="4" t="n"/>
      <c r="B361" s="4" t="n"/>
      <c r="C361" s="4" t="n"/>
      <c r="D361" s="4" t="n"/>
      <c r="E361" s="4" t="n"/>
      <c r="F361" s="4" t="n"/>
    </row>
    <row r="362" ht="15.75" customHeight="1" s="182">
      <c r="A362" s="4" t="n"/>
      <c r="B362" s="4" t="n"/>
      <c r="C362" s="4" t="n"/>
      <c r="D362" s="4" t="n"/>
      <c r="E362" s="4" t="n"/>
      <c r="F362" s="4" t="n"/>
    </row>
    <row r="363" ht="15.75" customHeight="1" s="182">
      <c r="A363" s="4" t="n"/>
      <c r="B363" s="4" t="n"/>
      <c r="C363" s="4" t="n"/>
      <c r="D363" s="4" t="n"/>
      <c r="E363" s="4" t="n"/>
      <c r="F363" s="4" t="n"/>
    </row>
    <row r="364" ht="15.75" customHeight="1" s="182">
      <c r="A364" s="4" t="n"/>
      <c r="B364" s="4" t="n"/>
      <c r="C364" s="4" t="n"/>
      <c r="D364" s="4" t="n"/>
      <c r="E364" s="4" t="n"/>
      <c r="F364" s="4" t="n"/>
    </row>
    <row r="365" ht="15.75" customHeight="1" s="182">
      <c r="A365" s="4" t="n"/>
      <c r="B365" s="4" t="n"/>
      <c r="C365" s="4" t="n"/>
      <c r="D365" s="4" t="n"/>
      <c r="E365" s="4" t="n"/>
      <c r="F365" s="4" t="n"/>
    </row>
    <row r="366" ht="15.75" customHeight="1" s="182">
      <c r="A366" s="4" t="n"/>
      <c r="B366" s="4" t="n"/>
      <c r="C366" s="4" t="n"/>
      <c r="D366" s="4" t="n"/>
      <c r="E366" s="4" t="n"/>
      <c r="F366" s="4" t="n"/>
    </row>
    <row r="367" ht="15.75" customHeight="1" s="182">
      <c r="A367" s="4" t="n"/>
      <c r="B367" s="4" t="n"/>
      <c r="C367" s="4" t="n"/>
      <c r="D367" s="4" t="n"/>
      <c r="E367" s="4" t="n"/>
      <c r="F367" s="4" t="n"/>
    </row>
    <row r="368" ht="15.75" customHeight="1" s="182">
      <c r="A368" s="4" t="n"/>
      <c r="B368" s="4" t="n"/>
      <c r="C368" s="4" t="n"/>
      <c r="D368" s="4" t="n"/>
      <c r="E368" s="4" t="n"/>
      <c r="F368" s="4" t="n"/>
    </row>
    <row r="369" ht="15.75" customHeight="1" s="182">
      <c r="A369" s="4" t="n"/>
      <c r="B369" s="4" t="n"/>
      <c r="C369" s="4" t="n"/>
      <c r="D369" s="4" t="n"/>
      <c r="E369" s="4" t="n"/>
      <c r="F369" s="4" t="n"/>
    </row>
    <row r="370" ht="15.75" customHeight="1" s="182">
      <c r="A370" s="4" t="n"/>
      <c r="B370" s="4" t="n"/>
      <c r="C370" s="4" t="n"/>
      <c r="D370" s="4" t="n"/>
      <c r="E370" s="4" t="n"/>
      <c r="F370" s="4" t="n"/>
    </row>
    <row r="371" ht="15.75" customHeight="1" s="182">
      <c r="A371" s="4" t="n"/>
      <c r="B371" s="4" t="n"/>
      <c r="C371" s="4" t="n"/>
      <c r="D371" s="4" t="n"/>
      <c r="E371" s="4" t="n"/>
      <c r="F371" s="4" t="n"/>
    </row>
    <row r="372" ht="15.75" customHeight="1" s="182">
      <c r="A372" s="4" t="n"/>
      <c r="B372" s="4" t="n"/>
      <c r="C372" s="4" t="n"/>
      <c r="D372" s="4" t="n"/>
      <c r="E372" s="4" t="n"/>
      <c r="F372" s="4" t="n"/>
    </row>
    <row r="373" ht="15.75" customHeight="1" s="182">
      <c r="A373" s="4" t="n"/>
      <c r="B373" s="4" t="n"/>
      <c r="C373" s="4" t="n"/>
      <c r="D373" s="4" t="n"/>
      <c r="E373" s="4" t="n"/>
      <c r="F373" s="4" t="n"/>
    </row>
    <row r="374" ht="15.75" customHeight="1" s="182">
      <c r="A374" s="4" t="n"/>
      <c r="B374" s="4" t="n"/>
      <c r="C374" s="4" t="n"/>
      <c r="D374" s="4" t="n"/>
      <c r="E374" s="4" t="n"/>
      <c r="F374" s="4" t="n"/>
    </row>
    <row r="375" ht="15.75" customHeight="1" s="182">
      <c r="A375" s="4" t="n"/>
      <c r="B375" s="4" t="n"/>
      <c r="C375" s="4" t="n"/>
      <c r="D375" s="4" t="n"/>
      <c r="E375" s="4" t="n"/>
      <c r="F375" s="4" t="n"/>
    </row>
    <row r="376" ht="15.75" customHeight="1" s="182">
      <c r="A376" s="4" t="n"/>
      <c r="B376" s="4" t="n"/>
      <c r="C376" s="4" t="n"/>
      <c r="D376" s="4" t="n"/>
      <c r="E376" s="4" t="n"/>
      <c r="F376" s="4" t="n"/>
    </row>
    <row r="377" ht="15.75" customHeight="1" s="182">
      <c r="A377" s="4" t="n"/>
      <c r="B377" s="4" t="n"/>
      <c r="C377" s="4" t="n"/>
      <c r="D377" s="4" t="n"/>
      <c r="E377" s="4" t="n"/>
      <c r="F377" s="4" t="n"/>
    </row>
    <row r="378" ht="15.75" customHeight="1" s="182">
      <c r="A378" s="4" t="n"/>
      <c r="B378" s="4" t="n"/>
      <c r="C378" s="4" t="n"/>
      <c r="D378" s="4" t="n"/>
      <c r="E378" s="4" t="n"/>
      <c r="F378" s="4" t="n"/>
    </row>
    <row r="379" ht="15.75" customHeight="1" s="182">
      <c r="A379" s="4" t="n"/>
      <c r="B379" s="4" t="n"/>
      <c r="C379" s="4" t="n"/>
      <c r="D379" s="4" t="n"/>
      <c r="E379" s="4" t="n"/>
      <c r="F379" s="4" t="n"/>
    </row>
    <row r="380" ht="15.75" customHeight="1" s="182">
      <c r="A380" s="4" t="n"/>
      <c r="B380" s="4" t="n"/>
      <c r="C380" s="4" t="n"/>
      <c r="D380" s="4" t="n"/>
      <c r="E380" s="4" t="n"/>
      <c r="F380" s="4" t="n"/>
    </row>
    <row r="381" ht="15.75" customHeight="1" s="182">
      <c r="A381" s="4" t="n"/>
      <c r="B381" s="4" t="n"/>
      <c r="C381" s="4" t="n"/>
      <c r="D381" s="4" t="n"/>
      <c r="E381" s="4" t="n"/>
      <c r="F381" s="4" t="n"/>
    </row>
    <row r="382" ht="15.75" customHeight="1" s="182">
      <c r="A382" s="4" t="n"/>
      <c r="B382" s="4" t="n"/>
      <c r="C382" s="4" t="n"/>
      <c r="D382" s="4" t="n"/>
      <c r="E382" s="4" t="n"/>
      <c r="F382" s="4" t="n"/>
    </row>
    <row r="383" ht="15.75" customHeight="1" s="182">
      <c r="A383" s="4" t="n"/>
      <c r="B383" s="4" t="n"/>
      <c r="C383" s="4" t="n"/>
      <c r="D383" s="4" t="n"/>
      <c r="E383" s="4" t="n"/>
      <c r="F383" s="4" t="n"/>
    </row>
    <row r="384" ht="15.75" customHeight="1" s="182">
      <c r="A384" s="4" t="n"/>
      <c r="B384" s="4" t="n"/>
      <c r="C384" s="4" t="n"/>
      <c r="D384" s="4" t="n"/>
      <c r="E384" s="4" t="n"/>
      <c r="F384" s="4" t="n"/>
    </row>
    <row r="385" ht="15.75" customHeight="1" s="182">
      <c r="A385" s="4" t="n"/>
      <c r="B385" s="4" t="n"/>
      <c r="C385" s="4" t="n"/>
      <c r="D385" s="4" t="n"/>
      <c r="E385" s="4" t="n"/>
      <c r="F385" s="4" t="n"/>
    </row>
    <row r="386" ht="15.75" customHeight="1" s="182">
      <c r="A386" s="4" t="n"/>
      <c r="B386" s="4" t="n"/>
      <c r="C386" s="4" t="n"/>
      <c r="D386" s="4" t="n"/>
      <c r="E386" s="4" t="n"/>
      <c r="F386" s="4" t="n"/>
    </row>
    <row r="387" ht="15.75" customHeight="1" s="182">
      <c r="A387" s="4" t="n"/>
      <c r="B387" s="4" t="n"/>
      <c r="C387" s="4" t="n"/>
      <c r="D387" s="4" t="n"/>
      <c r="E387" s="4" t="n"/>
      <c r="F387" s="4" t="n"/>
    </row>
    <row r="388" ht="15.75" customHeight="1" s="182">
      <c r="A388" s="4" t="n"/>
      <c r="B388" s="4" t="n"/>
      <c r="C388" s="4" t="n"/>
      <c r="D388" s="4" t="n"/>
      <c r="E388" s="4" t="n"/>
      <c r="F388" s="4" t="n"/>
    </row>
    <row r="389" ht="15.75" customHeight="1" s="182">
      <c r="A389" s="4" t="n"/>
      <c r="B389" s="4" t="n"/>
      <c r="C389" s="4" t="n"/>
      <c r="D389" s="4" t="n"/>
      <c r="E389" s="4" t="n"/>
      <c r="F389" s="4" t="n"/>
    </row>
    <row r="390" ht="15.75" customHeight="1" s="182">
      <c r="A390" s="4" t="n"/>
      <c r="B390" s="4" t="n"/>
      <c r="C390" s="4" t="n"/>
      <c r="D390" s="4" t="n"/>
      <c r="E390" s="4" t="n"/>
      <c r="F390" s="4" t="n"/>
    </row>
    <row r="391" ht="15.75" customHeight="1" s="182">
      <c r="A391" s="4" t="n"/>
      <c r="B391" s="4" t="n"/>
      <c r="C391" s="4" t="n"/>
      <c r="D391" s="4" t="n"/>
      <c r="E391" s="4" t="n"/>
      <c r="F391" s="4" t="n"/>
    </row>
    <row r="392" ht="15.75" customHeight="1" s="182">
      <c r="A392" s="4" t="n"/>
      <c r="B392" s="4" t="n"/>
      <c r="C392" s="4" t="n"/>
      <c r="D392" s="4" t="n"/>
      <c r="E392" s="4" t="n"/>
      <c r="F392" s="4" t="n"/>
    </row>
    <row r="393" ht="15.75" customHeight="1" s="182">
      <c r="A393" s="4" t="n"/>
      <c r="B393" s="4" t="n"/>
      <c r="C393" s="4" t="n"/>
      <c r="D393" s="4" t="n"/>
      <c r="E393" s="4" t="n"/>
      <c r="F393" s="4" t="n"/>
    </row>
    <row r="394" ht="15.75" customHeight="1" s="182">
      <c r="A394" s="4" t="n"/>
      <c r="B394" s="4" t="n"/>
      <c r="C394" s="4" t="n"/>
      <c r="D394" s="4" t="n"/>
      <c r="E394" s="4" t="n"/>
      <c r="F394" s="4" t="n"/>
    </row>
    <row r="395" ht="15.75" customHeight="1" s="182">
      <c r="A395" s="4" t="n"/>
      <c r="B395" s="4" t="n"/>
      <c r="C395" s="4" t="n"/>
      <c r="D395" s="4" t="n"/>
      <c r="E395" s="4" t="n"/>
      <c r="F395" s="4" t="n"/>
    </row>
    <row r="396" ht="15.75" customHeight="1" s="182">
      <c r="A396" s="4" t="n"/>
      <c r="B396" s="4" t="n"/>
      <c r="C396" s="4" t="n"/>
      <c r="D396" s="4" t="n"/>
      <c r="E396" s="4" t="n"/>
      <c r="F396" s="4" t="n"/>
    </row>
    <row r="397" ht="15.75" customHeight="1" s="182">
      <c r="A397" s="4" t="n"/>
      <c r="B397" s="4" t="n"/>
      <c r="C397" s="4" t="n"/>
      <c r="D397" s="4" t="n"/>
      <c r="E397" s="4" t="n"/>
      <c r="F397" s="4" t="n"/>
    </row>
    <row r="398" ht="15.75" customHeight="1" s="182">
      <c r="A398" s="4" t="n"/>
      <c r="B398" s="4" t="n"/>
      <c r="C398" s="4" t="n"/>
      <c r="D398" s="4" t="n"/>
      <c r="E398" s="4" t="n"/>
      <c r="F398" s="4" t="n"/>
    </row>
    <row r="399" ht="15.75" customHeight="1" s="182">
      <c r="A399" s="4" t="n"/>
      <c r="B399" s="4" t="n"/>
      <c r="C399" s="4" t="n"/>
      <c r="D399" s="4" t="n"/>
      <c r="E399" s="4" t="n"/>
      <c r="F399" s="4" t="n"/>
    </row>
    <row r="400" ht="15.75" customHeight="1" s="182">
      <c r="A400" s="4" t="n"/>
      <c r="B400" s="4" t="n"/>
      <c r="C400" s="4" t="n"/>
      <c r="D400" s="4" t="n"/>
      <c r="E400" s="4" t="n"/>
      <c r="F400" s="4" t="n"/>
    </row>
    <row r="401" ht="15.75" customHeight="1" s="182">
      <c r="A401" s="4" t="n"/>
      <c r="B401" s="4" t="n"/>
      <c r="C401" s="4" t="n"/>
      <c r="D401" s="4" t="n"/>
      <c r="E401" s="4" t="n"/>
      <c r="F401" s="4" t="n"/>
    </row>
    <row r="402" ht="15.75" customHeight="1" s="182">
      <c r="A402" s="4" t="n"/>
      <c r="B402" s="4" t="n"/>
      <c r="C402" s="4" t="n"/>
      <c r="D402" s="4" t="n"/>
      <c r="E402" s="4" t="n"/>
      <c r="F402" s="4" t="n"/>
    </row>
    <row r="403" ht="15.75" customHeight="1" s="182">
      <c r="A403" s="4" t="n"/>
      <c r="B403" s="4" t="n"/>
      <c r="C403" s="4" t="n"/>
      <c r="D403" s="4" t="n"/>
      <c r="E403" s="4" t="n"/>
      <c r="F403" s="4" t="n"/>
    </row>
    <row r="404" ht="15.75" customHeight="1" s="182">
      <c r="A404" s="4" t="n"/>
      <c r="B404" s="4" t="n"/>
      <c r="C404" s="4" t="n"/>
      <c r="D404" s="4" t="n"/>
      <c r="E404" s="4" t="n"/>
      <c r="F404" s="4" t="n"/>
    </row>
    <row r="405" ht="15.75" customHeight="1" s="182">
      <c r="A405" s="4" t="n"/>
      <c r="B405" s="4" t="n"/>
      <c r="C405" s="4" t="n"/>
      <c r="D405" s="4" t="n"/>
      <c r="E405" s="4" t="n"/>
      <c r="F405" s="4" t="n"/>
    </row>
    <row r="406" ht="15.75" customHeight="1" s="182">
      <c r="A406" s="4" t="n"/>
      <c r="B406" s="4" t="n"/>
      <c r="C406" s="4" t="n"/>
      <c r="D406" s="4" t="n"/>
      <c r="E406" s="4" t="n"/>
      <c r="F406" s="4" t="n"/>
    </row>
    <row r="407" ht="15.75" customHeight="1" s="182">
      <c r="A407" s="4" t="n"/>
      <c r="B407" s="4" t="n"/>
      <c r="C407" s="4" t="n"/>
      <c r="D407" s="4" t="n"/>
      <c r="E407" s="4" t="n"/>
      <c r="F407" s="4" t="n"/>
    </row>
    <row r="408" ht="15.75" customHeight="1" s="182">
      <c r="A408" s="4" t="n"/>
      <c r="B408" s="4" t="n"/>
      <c r="C408" s="4" t="n"/>
      <c r="D408" s="4" t="n"/>
      <c r="E408" s="4" t="n"/>
      <c r="F408" s="4" t="n"/>
    </row>
    <row r="409" ht="15.75" customHeight="1" s="182">
      <c r="A409" s="4" t="n"/>
      <c r="B409" s="4" t="n"/>
      <c r="C409" s="4" t="n"/>
      <c r="D409" s="4" t="n"/>
      <c r="E409" s="4" t="n"/>
      <c r="F409" s="4" t="n"/>
    </row>
    <row r="410" ht="15.75" customHeight="1" s="182">
      <c r="A410" s="4" t="n"/>
      <c r="B410" s="4" t="n"/>
      <c r="C410" s="4" t="n"/>
      <c r="D410" s="4" t="n"/>
      <c r="E410" s="4" t="n"/>
      <c r="F410" s="4" t="n"/>
    </row>
    <row r="411" ht="15.75" customHeight="1" s="182">
      <c r="A411" s="4" t="n"/>
      <c r="B411" s="4" t="n"/>
      <c r="C411" s="4" t="n"/>
      <c r="D411" s="4" t="n"/>
      <c r="E411" s="4" t="n"/>
      <c r="F411" s="4" t="n"/>
    </row>
    <row r="412" ht="15.75" customHeight="1" s="182">
      <c r="A412" s="4" t="n"/>
      <c r="B412" s="4" t="n"/>
      <c r="C412" s="4" t="n"/>
      <c r="D412" s="4" t="n"/>
      <c r="E412" s="4" t="n"/>
      <c r="F412" s="4" t="n"/>
    </row>
    <row r="413" ht="15.75" customHeight="1" s="182">
      <c r="A413" s="4" t="n"/>
      <c r="B413" s="4" t="n"/>
      <c r="C413" s="4" t="n"/>
      <c r="D413" s="4" t="n"/>
      <c r="E413" s="4" t="n"/>
      <c r="F413" s="4" t="n"/>
    </row>
    <row r="414" ht="15.75" customHeight="1" s="182">
      <c r="A414" s="4" t="n"/>
      <c r="B414" s="4" t="n"/>
      <c r="C414" s="4" t="n"/>
      <c r="D414" s="4" t="n"/>
      <c r="E414" s="4" t="n"/>
      <c r="F414" s="4" t="n"/>
    </row>
    <row r="415" ht="15.75" customHeight="1" s="182">
      <c r="A415" s="4" t="n"/>
      <c r="B415" s="4" t="n"/>
      <c r="C415" s="4" t="n"/>
      <c r="D415" s="4" t="n"/>
      <c r="E415" s="4" t="n"/>
      <c r="F415" s="4" t="n"/>
    </row>
    <row r="416" ht="15.75" customHeight="1" s="182">
      <c r="A416" s="4" t="n"/>
      <c r="B416" s="4" t="n"/>
      <c r="C416" s="4" t="n"/>
      <c r="D416" s="4" t="n"/>
      <c r="E416" s="4" t="n"/>
      <c r="F416" s="4" t="n"/>
    </row>
    <row r="417" ht="15.75" customHeight="1" s="182">
      <c r="A417" s="4" t="n"/>
      <c r="B417" s="4" t="n"/>
      <c r="C417" s="4" t="n"/>
      <c r="D417" s="4" t="n"/>
      <c r="E417" s="4" t="n"/>
      <c r="F417" s="4" t="n"/>
    </row>
    <row r="418" ht="15.75" customHeight="1" s="182">
      <c r="A418" s="4" t="n"/>
      <c r="B418" s="4" t="n"/>
      <c r="C418" s="4" t="n"/>
      <c r="D418" s="4" t="n"/>
      <c r="E418" s="4" t="n"/>
      <c r="F418" s="4" t="n"/>
    </row>
    <row r="419" ht="15.75" customHeight="1" s="182">
      <c r="A419" s="4" t="n"/>
      <c r="B419" s="4" t="n"/>
      <c r="C419" s="4" t="n"/>
      <c r="D419" s="4" t="n"/>
      <c r="E419" s="4" t="n"/>
      <c r="F419" s="4" t="n"/>
    </row>
    <row r="420" ht="15.75" customHeight="1" s="182">
      <c r="A420" s="4" t="n"/>
      <c r="B420" s="4" t="n"/>
      <c r="C420" s="4" t="n"/>
      <c r="D420" s="4" t="n"/>
      <c r="E420" s="4" t="n"/>
      <c r="F420" s="4" t="n"/>
    </row>
    <row r="421" ht="15.75" customHeight="1" s="182">
      <c r="A421" s="4" t="n"/>
      <c r="B421" s="4" t="n"/>
      <c r="C421" s="4" t="n"/>
      <c r="D421" s="4" t="n"/>
      <c r="E421" s="4" t="n"/>
      <c r="F421" s="4" t="n"/>
    </row>
    <row r="422" ht="15.75" customHeight="1" s="182">
      <c r="A422" s="4" t="n"/>
      <c r="B422" s="4" t="n"/>
      <c r="C422" s="4" t="n"/>
      <c r="D422" s="4" t="n"/>
      <c r="E422" s="4" t="n"/>
      <c r="F422" s="4" t="n"/>
    </row>
    <row r="423" ht="15.75" customHeight="1" s="182">
      <c r="A423" s="4" t="n"/>
      <c r="B423" s="4" t="n"/>
      <c r="C423" s="4" t="n"/>
      <c r="D423" s="4" t="n"/>
      <c r="E423" s="4" t="n"/>
      <c r="F423" s="4" t="n"/>
    </row>
    <row r="424" ht="15.75" customHeight="1" s="182">
      <c r="A424" s="4" t="n"/>
      <c r="B424" s="4" t="n"/>
      <c r="C424" s="4" t="n"/>
      <c r="D424" s="4" t="n"/>
      <c r="E424" s="4" t="n"/>
      <c r="F424" s="4" t="n"/>
    </row>
    <row r="425" ht="15.75" customHeight="1" s="182">
      <c r="A425" s="4" t="n"/>
      <c r="B425" s="4" t="n"/>
      <c r="C425" s="4" t="n"/>
      <c r="D425" s="4" t="n"/>
      <c r="E425" s="4" t="n"/>
      <c r="F425" s="4" t="n"/>
    </row>
    <row r="426" ht="15.75" customHeight="1" s="182">
      <c r="A426" s="4" t="n"/>
      <c r="B426" s="4" t="n"/>
      <c r="C426" s="4" t="n"/>
      <c r="D426" s="4" t="n"/>
      <c r="E426" s="4" t="n"/>
      <c r="F426" s="4" t="n"/>
    </row>
    <row r="427" ht="15.75" customHeight="1" s="182">
      <c r="A427" s="4" t="n"/>
      <c r="B427" s="4" t="n"/>
      <c r="C427" s="4" t="n"/>
      <c r="D427" s="4" t="n"/>
      <c r="E427" s="4" t="n"/>
      <c r="F427" s="4" t="n"/>
    </row>
    <row r="428" ht="15.75" customHeight="1" s="182">
      <c r="A428" s="4" t="n"/>
      <c r="B428" s="4" t="n"/>
      <c r="C428" s="4" t="n"/>
      <c r="D428" s="4" t="n"/>
      <c r="E428" s="4" t="n"/>
      <c r="F428" s="4" t="n"/>
    </row>
    <row r="429" ht="15.75" customHeight="1" s="182">
      <c r="A429" s="4" t="n"/>
      <c r="B429" s="4" t="n"/>
      <c r="C429" s="4" t="n"/>
      <c r="D429" s="4" t="n"/>
      <c r="E429" s="4" t="n"/>
      <c r="F429" s="4" t="n"/>
    </row>
    <row r="430" ht="15.75" customHeight="1" s="182">
      <c r="A430" s="4" t="n"/>
      <c r="B430" s="4" t="n"/>
      <c r="C430" s="4" t="n"/>
      <c r="D430" s="4" t="n"/>
      <c r="E430" s="4" t="n"/>
      <c r="F430" s="4" t="n"/>
    </row>
    <row r="431" ht="15.75" customHeight="1" s="182">
      <c r="A431" s="4" t="n"/>
      <c r="B431" s="4" t="n"/>
      <c r="C431" s="4" t="n"/>
      <c r="D431" s="4" t="n"/>
      <c r="E431" s="4" t="n"/>
      <c r="F431" s="4" t="n"/>
    </row>
    <row r="432" ht="15.75" customHeight="1" s="182">
      <c r="A432" s="4" t="n"/>
      <c r="B432" s="4" t="n"/>
      <c r="C432" s="4" t="n"/>
      <c r="D432" s="4" t="n"/>
      <c r="E432" s="4" t="n"/>
      <c r="F432" s="4" t="n"/>
    </row>
    <row r="433" ht="15.75" customHeight="1" s="182">
      <c r="A433" s="4" t="n"/>
      <c r="B433" s="4" t="n"/>
      <c r="C433" s="4" t="n"/>
      <c r="D433" s="4" t="n"/>
      <c r="E433" s="4" t="n"/>
      <c r="F433" s="4" t="n"/>
    </row>
    <row r="434" ht="15.75" customHeight="1" s="182">
      <c r="A434" s="4" t="n"/>
      <c r="B434" s="4" t="n"/>
      <c r="C434" s="4" t="n"/>
      <c r="D434" s="4" t="n"/>
      <c r="E434" s="4" t="n"/>
      <c r="F434" s="4" t="n"/>
    </row>
    <row r="435" ht="15.75" customHeight="1" s="182">
      <c r="A435" s="4" t="n"/>
      <c r="B435" s="4" t="n"/>
      <c r="C435" s="4" t="n"/>
      <c r="D435" s="4" t="n"/>
      <c r="E435" s="4" t="n"/>
      <c r="F435" s="4" t="n"/>
    </row>
    <row r="436" ht="15.75" customHeight="1" s="182">
      <c r="A436" s="4" t="n"/>
      <c r="B436" s="4" t="n"/>
      <c r="C436" s="4" t="n"/>
      <c r="D436" s="4" t="n"/>
      <c r="E436" s="4" t="n"/>
      <c r="F436" s="4" t="n"/>
    </row>
    <row r="437" ht="15.75" customHeight="1" s="182">
      <c r="A437" s="4" t="n"/>
      <c r="B437" s="4" t="n"/>
      <c r="C437" s="4" t="n"/>
      <c r="D437" s="4" t="n"/>
      <c r="E437" s="4" t="n"/>
      <c r="F437" s="4" t="n"/>
    </row>
    <row r="438" ht="15.75" customHeight="1" s="182">
      <c r="A438" s="4" t="n"/>
      <c r="B438" s="4" t="n"/>
      <c r="C438" s="4" t="n"/>
      <c r="D438" s="4" t="n"/>
      <c r="E438" s="4" t="n"/>
      <c r="F438" s="4" t="n"/>
    </row>
    <row r="439" ht="15.75" customHeight="1" s="182">
      <c r="A439" s="4" t="n"/>
      <c r="B439" s="4" t="n"/>
      <c r="C439" s="4" t="n"/>
      <c r="D439" s="4" t="n"/>
      <c r="E439" s="4" t="n"/>
      <c r="F439" s="4" t="n"/>
    </row>
    <row r="440" ht="15.75" customHeight="1" s="182">
      <c r="A440" s="4" t="n"/>
      <c r="B440" s="4" t="n"/>
      <c r="C440" s="4" t="n"/>
      <c r="D440" s="4" t="n"/>
      <c r="E440" s="4" t="n"/>
      <c r="F440" s="4" t="n"/>
    </row>
    <row r="441" ht="15.75" customHeight="1" s="182">
      <c r="A441" s="4" t="n"/>
      <c r="B441" s="4" t="n"/>
      <c r="C441" s="4" t="n"/>
      <c r="D441" s="4" t="n"/>
      <c r="E441" s="4" t="n"/>
      <c r="F441" s="4" t="n"/>
    </row>
    <row r="442" ht="15.75" customHeight="1" s="182">
      <c r="A442" s="4" t="n"/>
      <c r="B442" s="4" t="n"/>
      <c r="C442" s="4" t="n"/>
      <c r="D442" s="4" t="n"/>
      <c r="E442" s="4" t="n"/>
      <c r="F442" s="4" t="n"/>
    </row>
    <row r="443" ht="15.75" customHeight="1" s="182">
      <c r="A443" s="4" t="n"/>
      <c r="B443" s="4" t="n"/>
      <c r="C443" s="4" t="n"/>
      <c r="D443" s="4" t="n"/>
      <c r="E443" s="4" t="n"/>
      <c r="F443" s="4" t="n"/>
    </row>
    <row r="444" ht="15.75" customHeight="1" s="182">
      <c r="A444" s="4" t="n"/>
      <c r="B444" s="4" t="n"/>
      <c r="C444" s="4" t="n"/>
      <c r="D444" s="4" t="n"/>
      <c r="E444" s="4" t="n"/>
      <c r="F444" s="4" t="n"/>
    </row>
    <row r="445" ht="15.75" customHeight="1" s="182">
      <c r="A445" s="4" t="n"/>
      <c r="B445" s="4" t="n"/>
      <c r="C445" s="4" t="n"/>
      <c r="D445" s="4" t="n"/>
      <c r="E445" s="4" t="n"/>
      <c r="F445" s="4" t="n"/>
    </row>
    <row r="446" ht="15.75" customHeight="1" s="182">
      <c r="A446" s="4" t="n"/>
      <c r="B446" s="4" t="n"/>
      <c r="C446" s="4" t="n"/>
      <c r="D446" s="4" t="n"/>
      <c r="E446" s="4" t="n"/>
      <c r="F446" s="4" t="n"/>
    </row>
    <row r="447" ht="15.75" customHeight="1" s="182">
      <c r="A447" s="4" t="n"/>
      <c r="B447" s="4" t="n"/>
      <c r="C447" s="4" t="n"/>
      <c r="D447" s="4" t="n"/>
      <c r="E447" s="4" t="n"/>
      <c r="F447" s="4" t="n"/>
    </row>
    <row r="448" ht="15.75" customHeight="1" s="182">
      <c r="A448" s="4" t="n"/>
      <c r="B448" s="4" t="n"/>
      <c r="C448" s="4" t="n"/>
      <c r="D448" s="4" t="n"/>
      <c r="E448" s="4" t="n"/>
      <c r="F448" s="4" t="n"/>
    </row>
    <row r="449" ht="15.75" customHeight="1" s="182">
      <c r="A449" s="4" t="n"/>
      <c r="B449" s="4" t="n"/>
      <c r="C449" s="4" t="n"/>
      <c r="D449" s="4" t="n"/>
      <c r="E449" s="4" t="n"/>
      <c r="F449" s="4" t="n"/>
    </row>
    <row r="450" ht="15.75" customHeight="1" s="182">
      <c r="A450" s="4" t="n"/>
      <c r="B450" s="4" t="n"/>
      <c r="C450" s="4" t="n"/>
      <c r="D450" s="4" t="n"/>
      <c r="E450" s="4" t="n"/>
      <c r="F450" s="4" t="n"/>
    </row>
    <row r="451" ht="15.75" customHeight="1" s="182">
      <c r="A451" s="4" t="n"/>
      <c r="B451" s="4" t="n"/>
      <c r="C451" s="4" t="n"/>
      <c r="D451" s="4" t="n"/>
      <c r="E451" s="4" t="n"/>
      <c r="F451" s="4" t="n"/>
    </row>
    <row r="452" ht="15.75" customHeight="1" s="182">
      <c r="A452" s="4" t="n"/>
      <c r="B452" s="4" t="n"/>
      <c r="C452" s="4" t="n"/>
      <c r="D452" s="4" t="n"/>
      <c r="E452" s="4" t="n"/>
      <c r="F452" s="4" t="n"/>
    </row>
    <row r="453" ht="15.75" customHeight="1" s="182">
      <c r="A453" s="4" t="n"/>
      <c r="B453" s="4" t="n"/>
      <c r="C453" s="4" t="n"/>
      <c r="D453" s="4" t="n"/>
      <c r="E453" s="4" t="n"/>
      <c r="F453" s="4" t="n"/>
    </row>
    <row r="454" ht="15.75" customHeight="1" s="182">
      <c r="A454" s="4" t="n"/>
      <c r="B454" s="4" t="n"/>
      <c r="C454" s="4" t="n"/>
      <c r="D454" s="4" t="n"/>
      <c r="E454" s="4" t="n"/>
      <c r="F454" s="4" t="n"/>
    </row>
    <row r="455" ht="15.75" customHeight="1" s="182">
      <c r="A455" s="4" t="n"/>
      <c r="B455" s="4" t="n"/>
      <c r="C455" s="4" t="n"/>
      <c r="D455" s="4" t="n"/>
      <c r="E455" s="4" t="n"/>
      <c r="F455" s="4" t="n"/>
    </row>
    <row r="456" ht="15.75" customHeight="1" s="182">
      <c r="A456" s="4" t="n"/>
      <c r="B456" s="4" t="n"/>
      <c r="C456" s="4" t="n"/>
      <c r="D456" s="4" t="n"/>
      <c r="E456" s="4" t="n"/>
      <c r="F456" s="4" t="n"/>
    </row>
    <row r="457" ht="15.75" customHeight="1" s="182">
      <c r="A457" s="4" t="n"/>
      <c r="B457" s="4" t="n"/>
      <c r="C457" s="4" t="n"/>
      <c r="D457" s="4" t="n"/>
      <c r="E457" s="4" t="n"/>
      <c r="F457" s="4" t="n"/>
    </row>
    <row r="458" ht="15.75" customHeight="1" s="182">
      <c r="A458" s="4" t="n"/>
      <c r="B458" s="4" t="n"/>
      <c r="C458" s="4" t="n"/>
      <c r="D458" s="4" t="n"/>
      <c r="E458" s="4" t="n"/>
      <c r="F458" s="4" t="n"/>
    </row>
    <row r="459" ht="15.75" customHeight="1" s="182">
      <c r="A459" s="4" t="n"/>
      <c r="B459" s="4" t="n"/>
      <c r="C459" s="4" t="n"/>
      <c r="D459" s="4" t="n"/>
      <c r="E459" s="4" t="n"/>
      <c r="F459" s="4" t="n"/>
    </row>
    <row r="460" ht="15.75" customHeight="1" s="182">
      <c r="A460" s="4" t="n"/>
      <c r="B460" s="4" t="n"/>
      <c r="C460" s="4" t="n"/>
      <c r="D460" s="4" t="n"/>
      <c r="E460" s="4" t="n"/>
      <c r="F460" s="4" t="n"/>
    </row>
    <row r="461" ht="15.75" customHeight="1" s="182">
      <c r="A461" s="4" t="n"/>
      <c r="B461" s="4" t="n"/>
      <c r="C461" s="4" t="n"/>
      <c r="D461" s="4" t="n"/>
      <c r="E461" s="4" t="n"/>
      <c r="F461" s="4" t="n"/>
    </row>
    <row r="462" ht="15.75" customHeight="1" s="182">
      <c r="A462" s="4" t="n"/>
      <c r="B462" s="4" t="n"/>
      <c r="C462" s="4" t="n"/>
      <c r="D462" s="4" t="n"/>
      <c r="E462" s="4" t="n"/>
      <c r="F462" s="4" t="n"/>
    </row>
    <row r="463" ht="15.75" customHeight="1" s="182">
      <c r="A463" s="4" t="n"/>
      <c r="B463" s="4" t="n"/>
      <c r="C463" s="4" t="n"/>
      <c r="D463" s="4" t="n"/>
      <c r="E463" s="4" t="n"/>
      <c r="F463" s="4" t="n"/>
    </row>
    <row r="464" ht="15.75" customHeight="1" s="182">
      <c r="A464" s="4" t="n"/>
      <c r="B464" s="4" t="n"/>
      <c r="C464" s="4" t="n"/>
      <c r="D464" s="4" t="n"/>
      <c r="E464" s="4" t="n"/>
      <c r="F464" s="4" t="n"/>
    </row>
    <row r="465" ht="15.75" customHeight="1" s="182">
      <c r="A465" s="4" t="n"/>
      <c r="B465" s="4" t="n"/>
      <c r="C465" s="4" t="n"/>
      <c r="D465" s="4" t="n"/>
      <c r="E465" s="4" t="n"/>
      <c r="F465" s="4" t="n"/>
    </row>
    <row r="466" ht="15.75" customHeight="1" s="182">
      <c r="A466" s="4" t="n"/>
      <c r="B466" s="4" t="n"/>
      <c r="C466" s="4" t="n"/>
      <c r="D466" s="4" t="n"/>
      <c r="E466" s="4" t="n"/>
      <c r="F466" s="4" t="n"/>
    </row>
    <row r="467" ht="15.75" customHeight="1" s="182">
      <c r="A467" s="4" t="n"/>
      <c r="B467" s="4" t="n"/>
      <c r="C467" s="4" t="n"/>
      <c r="D467" s="4" t="n"/>
      <c r="E467" s="4" t="n"/>
      <c r="F467" s="4" t="n"/>
    </row>
    <row r="468" ht="15.75" customHeight="1" s="182">
      <c r="A468" s="4" t="n"/>
      <c r="B468" s="4" t="n"/>
      <c r="C468" s="4" t="n"/>
      <c r="D468" s="4" t="n"/>
      <c r="E468" s="4" t="n"/>
      <c r="F468" s="4" t="n"/>
    </row>
    <row r="469" ht="15.75" customHeight="1" s="182">
      <c r="A469" s="4" t="n"/>
      <c r="B469" s="4" t="n"/>
      <c r="C469" s="4" t="n"/>
      <c r="D469" s="4" t="n"/>
      <c r="E469" s="4" t="n"/>
      <c r="F469" s="4" t="n"/>
    </row>
    <row r="470" ht="15.75" customHeight="1" s="182">
      <c r="A470" s="4" t="n"/>
      <c r="B470" s="4" t="n"/>
      <c r="C470" s="4" t="n"/>
      <c r="D470" s="4" t="n"/>
      <c r="E470" s="4" t="n"/>
      <c r="F470" s="4" t="n"/>
    </row>
    <row r="471" ht="15.75" customHeight="1" s="182">
      <c r="A471" s="4" t="n"/>
      <c r="B471" s="4" t="n"/>
      <c r="C471" s="4" t="n"/>
      <c r="D471" s="4" t="n"/>
      <c r="E471" s="4" t="n"/>
      <c r="F471" s="4" t="n"/>
    </row>
    <row r="472" ht="15.75" customHeight="1" s="182">
      <c r="A472" s="4" t="n"/>
      <c r="B472" s="4" t="n"/>
      <c r="C472" s="4" t="n"/>
      <c r="D472" s="4" t="n"/>
      <c r="E472" s="4" t="n"/>
      <c r="F472" s="4" t="n"/>
    </row>
    <row r="473" ht="15.75" customHeight="1" s="182">
      <c r="A473" s="4" t="n"/>
      <c r="B473" s="4" t="n"/>
      <c r="C473" s="4" t="n"/>
      <c r="D473" s="4" t="n"/>
      <c r="E473" s="4" t="n"/>
      <c r="F473" s="4" t="n"/>
    </row>
    <row r="474" ht="15.75" customHeight="1" s="182">
      <c r="A474" s="4" t="n"/>
      <c r="B474" s="4" t="n"/>
      <c r="C474" s="4" t="n"/>
      <c r="D474" s="4" t="n"/>
      <c r="E474" s="4" t="n"/>
      <c r="F474" s="4" t="n"/>
    </row>
    <row r="475" ht="15.75" customHeight="1" s="182">
      <c r="A475" s="4" t="n"/>
      <c r="B475" s="4" t="n"/>
      <c r="C475" s="4" t="n"/>
      <c r="D475" s="4" t="n"/>
      <c r="E475" s="4" t="n"/>
      <c r="F475" s="4" t="n"/>
    </row>
    <row r="476" ht="15.75" customHeight="1" s="182">
      <c r="A476" s="4" t="n"/>
      <c r="B476" s="4" t="n"/>
      <c r="C476" s="4" t="n"/>
      <c r="D476" s="4" t="n"/>
      <c r="E476" s="4" t="n"/>
      <c r="F476" s="4" t="n"/>
    </row>
    <row r="477" ht="15.75" customHeight="1" s="182">
      <c r="A477" s="4" t="n"/>
      <c r="B477" s="4" t="n"/>
      <c r="C477" s="4" t="n"/>
      <c r="D477" s="4" t="n"/>
      <c r="E477" s="4" t="n"/>
      <c r="F477" s="4" t="n"/>
    </row>
    <row r="478" ht="15.75" customHeight="1" s="182">
      <c r="A478" s="4" t="n"/>
      <c r="B478" s="4" t="n"/>
      <c r="C478" s="4" t="n"/>
      <c r="D478" s="4" t="n"/>
      <c r="E478" s="4" t="n"/>
      <c r="F478" s="4" t="n"/>
    </row>
    <row r="479" ht="15.75" customHeight="1" s="182">
      <c r="A479" s="4" t="n"/>
      <c r="B479" s="4" t="n"/>
      <c r="C479" s="4" t="n"/>
      <c r="D479" s="4" t="n"/>
      <c r="E479" s="4" t="n"/>
      <c r="F479" s="4" t="n"/>
    </row>
    <row r="480" ht="15.75" customHeight="1" s="182">
      <c r="A480" s="4" t="n"/>
      <c r="B480" s="4" t="n"/>
      <c r="C480" s="4" t="n"/>
      <c r="D480" s="4" t="n"/>
      <c r="E480" s="4" t="n"/>
      <c r="F480" s="4" t="n"/>
    </row>
    <row r="481" ht="15.75" customHeight="1" s="182">
      <c r="A481" s="4" t="n"/>
      <c r="B481" s="4" t="n"/>
      <c r="C481" s="4" t="n"/>
      <c r="D481" s="4" t="n"/>
      <c r="E481" s="4" t="n"/>
      <c r="F481" s="4" t="n"/>
    </row>
    <row r="482" ht="15.75" customHeight="1" s="182">
      <c r="A482" s="4" t="n"/>
      <c r="B482" s="4" t="n"/>
      <c r="C482" s="4" t="n"/>
      <c r="D482" s="4" t="n"/>
      <c r="E482" s="4" t="n"/>
      <c r="F482" s="4" t="n"/>
    </row>
    <row r="483" ht="15.75" customHeight="1" s="182">
      <c r="A483" s="4" t="n"/>
      <c r="B483" s="4" t="n"/>
      <c r="C483" s="4" t="n"/>
      <c r="D483" s="4" t="n"/>
      <c r="E483" s="4" t="n"/>
      <c r="F483" s="4" t="n"/>
    </row>
    <row r="484" ht="15.75" customHeight="1" s="182">
      <c r="A484" s="4" t="n"/>
      <c r="B484" s="4" t="n"/>
      <c r="C484" s="4" t="n"/>
      <c r="D484" s="4" t="n"/>
      <c r="E484" s="4" t="n"/>
      <c r="F484" s="4" t="n"/>
    </row>
    <row r="485" ht="15.75" customHeight="1" s="182">
      <c r="A485" s="4" t="n"/>
      <c r="B485" s="4" t="n"/>
      <c r="C485" s="4" t="n"/>
      <c r="D485" s="4" t="n"/>
      <c r="E485" s="4" t="n"/>
      <c r="F485" s="4" t="n"/>
    </row>
    <row r="486" ht="15.75" customHeight="1" s="182">
      <c r="A486" s="4" t="n"/>
      <c r="B486" s="4" t="n"/>
      <c r="C486" s="4" t="n"/>
      <c r="D486" s="4" t="n"/>
      <c r="E486" s="4" t="n"/>
      <c r="F486" s="4" t="n"/>
    </row>
    <row r="487" ht="15.75" customHeight="1" s="182">
      <c r="A487" s="4" t="n"/>
      <c r="B487" s="4" t="n"/>
      <c r="C487" s="4" t="n"/>
      <c r="D487" s="4" t="n"/>
      <c r="E487" s="4" t="n"/>
      <c r="F487" s="4" t="n"/>
    </row>
    <row r="488" ht="15.75" customHeight="1" s="182">
      <c r="A488" s="4" t="n"/>
      <c r="B488" s="4" t="n"/>
      <c r="C488" s="4" t="n"/>
      <c r="D488" s="4" t="n"/>
      <c r="E488" s="4" t="n"/>
      <c r="F488" s="4" t="n"/>
    </row>
    <row r="489" ht="15.75" customHeight="1" s="182">
      <c r="A489" s="4" t="n"/>
      <c r="B489" s="4" t="n"/>
      <c r="C489" s="4" t="n"/>
      <c r="D489" s="4" t="n"/>
      <c r="E489" s="4" t="n"/>
      <c r="F489" s="4" t="n"/>
    </row>
    <row r="490" ht="15.75" customHeight="1" s="182">
      <c r="A490" s="4" t="n"/>
      <c r="B490" s="4" t="n"/>
      <c r="C490" s="4" t="n"/>
      <c r="D490" s="4" t="n"/>
      <c r="E490" s="4" t="n"/>
      <c r="F490" s="4" t="n"/>
    </row>
    <row r="491" ht="15.75" customHeight="1" s="182">
      <c r="A491" s="4" t="n"/>
      <c r="B491" s="4" t="n"/>
      <c r="C491" s="4" t="n"/>
      <c r="D491" s="4" t="n"/>
      <c r="E491" s="4" t="n"/>
      <c r="F491" s="4" t="n"/>
    </row>
    <row r="492" ht="15.75" customHeight="1" s="182">
      <c r="A492" s="4" t="n"/>
      <c r="B492" s="4" t="n"/>
      <c r="C492" s="4" t="n"/>
      <c r="D492" s="4" t="n"/>
      <c r="E492" s="4" t="n"/>
      <c r="F492" s="4" t="n"/>
    </row>
    <row r="493" ht="15.75" customHeight="1" s="182">
      <c r="A493" s="4" t="n"/>
      <c r="B493" s="4" t="n"/>
      <c r="C493" s="4" t="n"/>
      <c r="D493" s="4" t="n"/>
      <c r="E493" s="4" t="n"/>
      <c r="F493" s="4" t="n"/>
    </row>
    <row r="494" ht="15.75" customHeight="1" s="182">
      <c r="A494" s="4" t="n"/>
      <c r="B494" s="4" t="n"/>
      <c r="C494" s="4" t="n"/>
      <c r="D494" s="4" t="n"/>
      <c r="E494" s="4" t="n"/>
      <c r="F494" s="4" t="n"/>
    </row>
    <row r="495" ht="15.75" customHeight="1" s="182">
      <c r="A495" s="4" t="n"/>
      <c r="B495" s="4" t="n"/>
      <c r="C495" s="4" t="n"/>
      <c r="D495" s="4" t="n"/>
      <c r="E495" s="4" t="n"/>
      <c r="F495" s="4" t="n"/>
    </row>
    <row r="496" ht="15.75" customHeight="1" s="182">
      <c r="A496" s="4" t="n"/>
      <c r="B496" s="4" t="n"/>
      <c r="C496" s="4" t="n"/>
      <c r="D496" s="4" t="n"/>
      <c r="E496" s="4" t="n"/>
      <c r="F496" s="4" t="n"/>
    </row>
    <row r="497" ht="15.75" customHeight="1" s="182">
      <c r="A497" s="4" t="n"/>
      <c r="B497" s="4" t="n"/>
      <c r="C497" s="4" t="n"/>
      <c r="D497" s="4" t="n"/>
      <c r="E497" s="4" t="n"/>
      <c r="F497" s="4" t="n"/>
    </row>
    <row r="498" ht="15.75" customHeight="1" s="182">
      <c r="A498" s="4" t="n"/>
      <c r="B498" s="4" t="n"/>
      <c r="C498" s="4" t="n"/>
      <c r="D498" s="4" t="n"/>
      <c r="E498" s="4" t="n"/>
      <c r="F498" s="4" t="n"/>
    </row>
    <row r="499" ht="15.75" customHeight="1" s="182">
      <c r="A499" s="4" t="n"/>
      <c r="B499" s="4" t="n"/>
      <c r="C499" s="4" t="n"/>
      <c r="D499" s="4" t="n"/>
      <c r="E499" s="4" t="n"/>
      <c r="F499" s="4" t="n"/>
    </row>
    <row r="500" ht="15.75" customHeight="1" s="182">
      <c r="A500" s="4" t="n"/>
      <c r="B500" s="4" t="n"/>
      <c r="C500" s="4" t="n"/>
      <c r="D500" s="4" t="n"/>
      <c r="E500" s="4" t="n"/>
      <c r="F500" s="4" t="n"/>
    </row>
    <row r="501" ht="15.75" customHeight="1" s="182">
      <c r="A501" s="4" t="n"/>
      <c r="B501" s="4" t="n"/>
      <c r="C501" s="4" t="n"/>
      <c r="D501" s="4" t="n"/>
      <c r="E501" s="4" t="n"/>
      <c r="F501" s="4" t="n"/>
    </row>
    <row r="502" ht="15.75" customHeight="1" s="182">
      <c r="A502" s="4" t="n"/>
      <c r="B502" s="4" t="n"/>
      <c r="C502" s="4" t="n"/>
      <c r="D502" s="4" t="n"/>
      <c r="E502" s="4" t="n"/>
      <c r="F502" s="4" t="n"/>
    </row>
    <row r="503" ht="15.75" customHeight="1" s="182">
      <c r="A503" s="4" t="n"/>
      <c r="B503" s="4" t="n"/>
      <c r="C503" s="4" t="n"/>
      <c r="D503" s="4" t="n"/>
      <c r="E503" s="4" t="n"/>
      <c r="F503" s="4" t="n"/>
    </row>
    <row r="504" ht="15.75" customHeight="1" s="182">
      <c r="A504" s="4" t="n"/>
      <c r="B504" s="4" t="n"/>
      <c r="C504" s="4" t="n"/>
      <c r="D504" s="4" t="n"/>
      <c r="E504" s="4" t="n"/>
      <c r="F504" s="4" t="n"/>
    </row>
    <row r="505" ht="15.75" customHeight="1" s="182">
      <c r="A505" s="4" t="n"/>
      <c r="B505" s="4" t="n"/>
      <c r="C505" s="4" t="n"/>
      <c r="D505" s="4" t="n"/>
      <c r="E505" s="4" t="n"/>
      <c r="F505" s="4" t="n"/>
    </row>
    <row r="506" ht="15.75" customHeight="1" s="182">
      <c r="A506" s="4" t="n"/>
      <c r="B506" s="4" t="n"/>
      <c r="C506" s="4" t="n"/>
      <c r="D506" s="4" t="n"/>
      <c r="E506" s="4" t="n"/>
      <c r="F506" s="4" t="n"/>
    </row>
    <row r="507" ht="15.75" customHeight="1" s="182">
      <c r="A507" s="4" t="n"/>
      <c r="B507" s="4" t="n"/>
      <c r="C507" s="4" t="n"/>
      <c r="D507" s="4" t="n"/>
      <c r="E507" s="4" t="n"/>
      <c r="F507" s="4" t="n"/>
    </row>
    <row r="508" ht="15.75" customHeight="1" s="182">
      <c r="A508" s="4" t="n"/>
      <c r="B508" s="4" t="n"/>
      <c r="C508" s="4" t="n"/>
      <c r="D508" s="4" t="n"/>
      <c r="E508" s="4" t="n"/>
      <c r="F508" s="4" t="n"/>
    </row>
    <row r="509" ht="15.75" customHeight="1" s="182">
      <c r="A509" s="4" t="n"/>
      <c r="B509" s="4" t="n"/>
      <c r="C509" s="4" t="n"/>
      <c r="D509" s="4" t="n"/>
      <c r="E509" s="4" t="n"/>
      <c r="F509" s="4" t="n"/>
    </row>
    <row r="510" ht="15.75" customHeight="1" s="182">
      <c r="A510" s="4" t="n"/>
      <c r="B510" s="4" t="n"/>
      <c r="C510" s="4" t="n"/>
      <c r="D510" s="4" t="n"/>
      <c r="E510" s="4" t="n"/>
      <c r="F510" s="4" t="n"/>
    </row>
    <row r="511" ht="15.75" customHeight="1" s="182">
      <c r="A511" s="4" t="n"/>
      <c r="B511" s="4" t="n"/>
      <c r="C511" s="4" t="n"/>
      <c r="D511" s="4" t="n"/>
      <c r="E511" s="4" t="n"/>
      <c r="F511" s="4" t="n"/>
    </row>
    <row r="512" ht="15.75" customHeight="1" s="182">
      <c r="A512" s="4" t="n"/>
      <c r="B512" s="4" t="n"/>
      <c r="C512" s="4" t="n"/>
      <c r="D512" s="4" t="n"/>
      <c r="E512" s="4" t="n"/>
      <c r="F512" s="4" t="n"/>
    </row>
    <row r="513" ht="15.75" customHeight="1" s="182">
      <c r="A513" s="4" t="n"/>
      <c r="B513" s="4" t="n"/>
      <c r="C513" s="4" t="n"/>
      <c r="D513" s="4" t="n"/>
      <c r="E513" s="4" t="n"/>
      <c r="F513" s="4" t="n"/>
    </row>
    <row r="514" ht="15.75" customHeight="1" s="182">
      <c r="A514" s="4" t="n"/>
      <c r="B514" s="4" t="n"/>
      <c r="C514" s="4" t="n"/>
      <c r="D514" s="4" t="n"/>
      <c r="E514" s="4" t="n"/>
      <c r="F514" s="4" t="n"/>
    </row>
    <row r="515" ht="15.75" customHeight="1" s="182">
      <c r="A515" s="4" t="n"/>
      <c r="B515" s="4" t="n"/>
      <c r="C515" s="4" t="n"/>
      <c r="D515" s="4" t="n"/>
      <c r="E515" s="4" t="n"/>
      <c r="F515" s="4" t="n"/>
    </row>
    <row r="516" ht="15.75" customHeight="1" s="182">
      <c r="A516" s="4" t="n"/>
      <c r="B516" s="4" t="n"/>
      <c r="C516" s="4" t="n"/>
      <c r="D516" s="4" t="n"/>
      <c r="E516" s="4" t="n"/>
      <c r="F516" s="4" t="n"/>
    </row>
    <row r="517" ht="15.75" customHeight="1" s="182">
      <c r="A517" s="4" t="n"/>
      <c r="B517" s="4" t="n"/>
      <c r="C517" s="4" t="n"/>
      <c r="D517" s="4" t="n"/>
      <c r="E517" s="4" t="n"/>
      <c r="F517" s="4" t="n"/>
    </row>
    <row r="518" ht="15.75" customHeight="1" s="182">
      <c r="A518" s="4" t="n"/>
      <c r="B518" s="4" t="n"/>
      <c r="C518" s="4" t="n"/>
      <c r="D518" s="4" t="n"/>
      <c r="E518" s="4" t="n"/>
      <c r="F518" s="4" t="n"/>
    </row>
    <row r="519" ht="15.75" customHeight="1" s="182">
      <c r="A519" s="4" t="n"/>
      <c r="B519" s="4" t="n"/>
      <c r="C519" s="4" t="n"/>
      <c r="D519" s="4" t="n"/>
      <c r="E519" s="4" t="n"/>
      <c r="F519" s="4" t="n"/>
    </row>
    <row r="520" ht="15.75" customHeight="1" s="182">
      <c r="A520" s="4" t="n"/>
      <c r="B520" s="4" t="n"/>
      <c r="C520" s="4" t="n"/>
      <c r="D520" s="4" t="n"/>
      <c r="E520" s="4" t="n"/>
      <c r="F520" s="4" t="n"/>
    </row>
    <row r="521" ht="15.75" customHeight="1" s="182">
      <c r="A521" s="4" t="n"/>
      <c r="B521" s="4" t="n"/>
      <c r="C521" s="4" t="n"/>
      <c r="D521" s="4" t="n"/>
      <c r="E521" s="4" t="n"/>
      <c r="F521" s="4" t="n"/>
    </row>
    <row r="522" ht="15.75" customHeight="1" s="182">
      <c r="A522" s="4" t="n"/>
      <c r="B522" s="4" t="n"/>
      <c r="C522" s="4" t="n"/>
      <c r="D522" s="4" t="n"/>
      <c r="E522" s="4" t="n"/>
      <c r="F522" s="4" t="n"/>
    </row>
    <row r="523" ht="15.75" customHeight="1" s="182">
      <c r="A523" s="4" t="n"/>
      <c r="B523" s="4" t="n"/>
      <c r="C523" s="4" t="n"/>
      <c r="D523" s="4" t="n"/>
      <c r="E523" s="4" t="n"/>
      <c r="F523" s="4" t="n"/>
    </row>
    <row r="524" ht="15.75" customHeight="1" s="182">
      <c r="A524" s="4" t="n"/>
      <c r="B524" s="4" t="n"/>
      <c r="C524" s="4" t="n"/>
      <c r="D524" s="4" t="n"/>
      <c r="E524" s="4" t="n"/>
      <c r="F524" s="4" t="n"/>
    </row>
    <row r="525" ht="15.75" customHeight="1" s="182">
      <c r="A525" s="4" t="n"/>
      <c r="B525" s="4" t="n"/>
      <c r="C525" s="4" t="n"/>
      <c r="D525" s="4" t="n"/>
      <c r="E525" s="4" t="n"/>
      <c r="F525" s="4" t="n"/>
    </row>
    <row r="526" ht="15.75" customHeight="1" s="182">
      <c r="A526" s="4" t="n"/>
      <c r="B526" s="4" t="n"/>
      <c r="C526" s="4" t="n"/>
      <c r="D526" s="4" t="n"/>
      <c r="E526" s="4" t="n"/>
      <c r="F526" s="4" t="n"/>
    </row>
    <row r="527" ht="15.75" customHeight="1" s="182">
      <c r="A527" s="4" t="n"/>
      <c r="B527" s="4" t="n"/>
      <c r="C527" s="4" t="n"/>
      <c r="D527" s="4" t="n"/>
      <c r="E527" s="4" t="n"/>
      <c r="F527" s="4" t="n"/>
    </row>
    <row r="528" ht="15.75" customHeight="1" s="182">
      <c r="A528" s="4" t="n"/>
      <c r="B528" s="4" t="n"/>
      <c r="C528" s="4" t="n"/>
      <c r="D528" s="4" t="n"/>
      <c r="E528" s="4" t="n"/>
      <c r="F528" s="4" t="n"/>
    </row>
    <row r="529" ht="15.75" customHeight="1" s="182">
      <c r="A529" s="4" t="n"/>
      <c r="B529" s="4" t="n"/>
      <c r="C529" s="4" t="n"/>
      <c r="D529" s="4" t="n"/>
      <c r="E529" s="4" t="n"/>
      <c r="F529" s="4" t="n"/>
    </row>
    <row r="530" ht="15.75" customHeight="1" s="182">
      <c r="A530" s="4" t="n"/>
      <c r="B530" s="4" t="n"/>
      <c r="C530" s="4" t="n"/>
      <c r="D530" s="4" t="n"/>
      <c r="E530" s="4" t="n"/>
      <c r="F530" s="4" t="n"/>
    </row>
    <row r="531" ht="15.75" customHeight="1" s="182">
      <c r="A531" s="4" t="n"/>
      <c r="B531" s="4" t="n"/>
      <c r="C531" s="4" t="n"/>
      <c r="D531" s="4" t="n"/>
      <c r="E531" s="4" t="n"/>
      <c r="F531" s="4" t="n"/>
    </row>
    <row r="532" ht="15.75" customHeight="1" s="182">
      <c r="A532" s="4" t="n"/>
      <c r="B532" s="4" t="n"/>
      <c r="C532" s="4" t="n"/>
      <c r="D532" s="4" t="n"/>
      <c r="E532" s="4" t="n"/>
      <c r="F532" s="4" t="n"/>
    </row>
    <row r="533" ht="15.75" customHeight="1" s="182">
      <c r="A533" s="4" t="n"/>
      <c r="B533" s="4" t="n"/>
      <c r="C533" s="4" t="n"/>
      <c r="D533" s="4" t="n"/>
      <c r="E533" s="4" t="n"/>
      <c r="F533" s="4" t="n"/>
    </row>
    <row r="534" ht="15.75" customHeight="1" s="182">
      <c r="A534" s="4" t="n"/>
      <c r="B534" s="4" t="n"/>
      <c r="C534" s="4" t="n"/>
      <c r="D534" s="4" t="n"/>
      <c r="E534" s="4" t="n"/>
      <c r="F534" s="4" t="n"/>
    </row>
    <row r="535" ht="15.75" customHeight="1" s="182">
      <c r="A535" s="4" t="n"/>
      <c r="B535" s="4" t="n"/>
      <c r="C535" s="4" t="n"/>
      <c r="D535" s="4" t="n"/>
      <c r="E535" s="4" t="n"/>
      <c r="F535" s="4" t="n"/>
    </row>
    <row r="536" ht="15.75" customHeight="1" s="182">
      <c r="A536" s="4" t="n"/>
      <c r="B536" s="4" t="n"/>
      <c r="C536" s="4" t="n"/>
      <c r="D536" s="4" t="n"/>
      <c r="E536" s="4" t="n"/>
      <c r="F536" s="4" t="n"/>
    </row>
    <row r="537" ht="15.75" customHeight="1" s="182">
      <c r="A537" s="4" t="n"/>
      <c r="B537" s="4" t="n"/>
      <c r="C537" s="4" t="n"/>
      <c r="D537" s="4" t="n"/>
      <c r="E537" s="4" t="n"/>
      <c r="F537" s="4" t="n"/>
    </row>
    <row r="538" ht="15.75" customHeight="1" s="182">
      <c r="A538" s="4" t="n"/>
      <c r="B538" s="4" t="n"/>
      <c r="C538" s="4" t="n"/>
      <c r="D538" s="4" t="n"/>
      <c r="E538" s="4" t="n"/>
      <c r="F538" s="4" t="n"/>
    </row>
    <row r="539" ht="15.75" customHeight="1" s="182">
      <c r="A539" s="4" t="n"/>
      <c r="B539" s="4" t="n"/>
      <c r="C539" s="4" t="n"/>
      <c r="D539" s="4" t="n"/>
      <c r="E539" s="4" t="n"/>
      <c r="F539" s="4" t="n"/>
    </row>
    <row r="540" ht="15.75" customHeight="1" s="182">
      <c r="A540" s="4" t="n"/>
      <c r="B540" s="4" t="n"/>
      <c r="C540" s="4" t="n"/>
      <c r="D540" s="4" t="n"/>
      <c r="E540" s="4" t="n"/>
      <c r="F540" s="4" t="n"/>
    </row>
    <row r="541" ht="15.75" customHeight="1" s="182">
      <c r="A541" s="4" t="n"/>
      <c r="B541" s="4" t="n"/>
      <c r="C541" s="4" t="n"/>
      <c r="D541" s="4" t="n"/>
      <c r="E541" s="4" t="n"/>
      <c r="F541" s="4" t="n"/>
    </row>
    <row r="542" ht="15.75" customHeight="1" s="182">
      <c r="A542" s="4" t="n"/>
      <c r="B542" s="4" t="n"/>
      <c r="C542" s="4" t="n"/>
      <c r="D542" s="4" t="n"/>
      <c r="E542" s="4" t="n"/>
      <c r="F542" s="4" t="n"/>
    </row>
    <row r="543" ht="15.75" customHeight="1" s="182">
      <c r="A543" s="4" t="n"/>
      <c r="B543" s="4" t="n"/>
      <c r="C543" s="4" t="n"/>
      <c r="D543" s="4" t="n"/>
      <c r="E543" s="4" t="n"/>
      <c r="F543" s="4" t="n"/>
    </row>
    <row r="544" ht="15.75" customHeight="1" s="182">
      <c r="A544" s="4" t="n"/>
      <c r="B544" s="4" t="n"/>
      <c r="C544" s="4" t="n"/>
      <c r="D544" s="4" t="n"/>
      <c r="E544" s="4" t="n"/>
      <c r="F544" s="4" t="n"/>
    </row>
    <row r="545" ht="15.75" customHeight="1" s="182">
      <c r="A545" s="4" t="n"/>
      <c r="B545" s="4" t="n"/>
      <c r="C545" s="4" t="n"/>
      <c r="D545" s="4" t="n"/>
      <c r="E545" s="4" t="n"/>
      <c r="F545" s="4" t="n"/>
    </row>
    <row r="546" ht="15.75" customHeight="1" s="182">
      <c r="A546" s="4" t="n"/>
      <c r="B546" s="4" t="n"/>
      <c r="C546" s="4" t="n"/>
      <c r="D546" s="4" t="n"/>
      <c r="E546" s="4" t="n"/>
      <c r="F546" s="4" t="n"/>
    </row>
    <row r="547" ht="15.75" customHeight="1" s="182">
      <c r="A547" s="4" t="n"/>
      <c r="B547" s="4" t="n"/>
      <c r="C547" s="4" t="n"/>
      <c r="D547" s="4" t="n"/>
      <c r="E547" s="4" t="n"/>
      <c r="F547" s="4" t="n"/>
    </row>
    <row r="548" ht="15.75" customHeight="1" s="182">
      <c r="A548" s="4" t="n"/>
      <c r="B548" s="4" t="n"/>
      <c r="C548" s="4" t="n"/>
      <c r="D548" s="4" t="n"/>
      <c r="E548" s="4" t="n"/>
      <c r="F548" s="4" t="n"/>
    </row>
    <row r="549" ht="15.75" customHeight="1" s="182">
      <c r="A549" s="4" t="n"/>
      <c r="B549" s="4" t="n"/>
      <c r="C549" s="4" t="n"/>
      <c r="D549" s="4" t="n"/>
      <c r="E549" s="4" t="n"/>
      <c r="F549" s="4" t="n"/>
    </row>
    <row r="550" ht="15.75" customHeight="1" s="182">
      <c r="A550" s="4" t="n"/>
      <c r="B550" s="4" t="n"/>
      <c r="C550" s="4" t="n"/>
      <c r="D550" s="4" t="n"/>
      <c r="E550" s="4" t="n"/>
      <c r="F550" s="4" t="n"/>
    </row>
    <row r="551" ht="15.75" customHeight="1" s="182">
      <c r="A551" s="4" t="n"/>
      <c r="B551" s="4" t="n"/>
      <c r="C551" s="4" t="n"/>
      <c r="D551" s="4" t="n"/>
      <c r="E551" s="4" t="n"/>
      <c r="F551" s="4" t="n"/>
    </row>
    <row r="552" ht="15.75" customHeight="1" s="182">
      <c r="A552" s="4" t="n"/>
      <c r="B552" s="4" t="n"/>
      <c r="C552" s="4" t="n"/>
      <c r="D552" s="4" t="n"/>
      <c r="E552" s="4" t="n"/>
      <c r="F552" s="4" t="n"/>
    </row>
    <row r="553" ht="15.75" customHeight="1" s="182">
      <c r="A553" s="4" t="n"/>
      <c r="B553" s="4" t="n"/>
      <c r="C553" s="4" t="n"/>
      <c r="D553" s="4" t="n"/>
      <c r="E553" s="4" t="n"/>
      <c r="F553" s="4" t="n"/>
    </row>
    <row r="554" ht="15.75" customHeight="1" s="182">
      <c r="A554" s="4" t="n"/>
      <c r="B554" s="4" t="n"/>
      <c r="C554" s="4" t="n"/>
      <c r="D554" s="4" t="n"/>
      <c r="E554" s="4" t="n"/>
      <c r="F554" s="4" t="n"/>
    </row>
    <row r="555" ht="15.75" customHeight="1" s="182">
      <c r="A555" s="4" t="n"/>
      <c r="B555" s="4" t="n"/>
      <c r="C555" s="4" t="n"/>
      <c r="D555" s="4" t="n"/>
      <c r="E555" s="4" t="n"/>
      <c r="F555" s="4" t="n"/>
    </row>
    <row r="556" ht="15.75" customHeight="1" s="182">
      <c r="A556" s="4" t="n"/>
      <c r="B556" s="4" t="n"/>
      <c r="C556" s="4" t="n"/>
      <c r="D556" s="4" t="n"/>
      <c r="E556" s="4" t="n"/>
      <c r="F556" s="4" t="n"/>
    </row>
    <row r="557" ht="15.75" customHeight="1" s="182">
      <c r="A557" s="4" t="n"/>
      <c r="B557" s="4" t="n"/>
      <c r="C557" s="4" t="n"/>
      <c r="D557" s="4" t="n"/>
      <c r="E557" s="4" t="n"/>
      <c r="F557" s="4" t="n"/>
    </row>
    <row r="558" ht="15.75" customHeight="1" s="182">
      <c r="A558" s="4" t="n"/>
      <c r="B558" s="4" t="n"/>
      <c r="C558" s="4" t="n"/>
      <c r="D558" s="4" t="n"/>
      <c r="E558" s="4" t="n"/>
      <c r="F558" s="4" t="n"/>
    </row>
    <row r="559" ht="15.75" customHeight="1" s="182">
      <c r="A559" s="4" t="n"/>
      <c r="B559" s="4" t="n"/>
      <c r="C559" s="4" t="n"/>
      <c r="D559" s="4" t="n"/>
      <c r="E559" s="4" t="n"/>
      <c r="F559" s="4" t="n"/>
    </row>
    <row r="560" ht="15.75" customHeight="1" s="182">
      <c r="A560" s="4" t="n"/>
      <c r="B560" s="4" t="n"/>
      <c r="C560" s="4" t="n"/>
      <c r="D560" s="4" t="n"/>
      <c r="E560" s="4" t="n"/>
      <c r="F560" s="4" t="n"/>
    </row>
    <row r="561" ht="15.75" customHeight="1" s="182">
      <c r="A561" s="4" t="n"/>
      <c r="B561" s="4" t="n"/>
      <c r="C561" s="4" t="n"/>
      <c r="D561" s="4" t="n"/>
      <c r="E561" s="4" t="n"/>
      <c r="F561" s="4" t="n"/>
    </row>
    <row r="562" ht="15.75" customHeight="1" s="182">
      <c r="A562" s="4" t="n"/>
      <c r="B562" s="4" t="n"/>
      <c r="C562" s="4" t="n"/>
      <c r="D562" s="4" t="n"/>
      <c r="E562" s="4" t="n"/>
      <c r="F562" s="4" t="n"/>
    </row>
    <row r="563" ht="15.75" customHeight="1" s="182">
      <c r="A563" s="4" t="n"/>
      <c r="B563" s="4" t="n"/>
      <c r="C563" s="4" t="n"/>
      <c r="D563" s="4" t="n"/>
      <c r="E563" s="4" t="n"/>
      <c r="F563" s="4" t="n"/>
    </row>
    <row r="564" ht="15.75" customHeight="1" s="182">
      <c r="A564" s="4" t="n"/>
      <c r="B564" s="4" t="n"/>
      <c r="C564" s="4" t="n"/>
      <c r="D564" s="4" t="n"/>
      <c r="E564" s="4" t="n"/>
      <c r="F564" s="4" t="n"/>
    </row>
    <row r="565" ht="15.75" customHeight="1" s="182">
      <c r="A565" s="4" t="n"/>
      <c r="B565" s="4" t="n"/>
      <c r="C565" s="4" t="n"/>
      <c r="D565" s="4" t="n"/>
      <c r="E565" s="4" t="n"/>
      <c r="F565" s="4" t="n"/>
    </row>
    <row r="566" ht="15.75" customHeight="1" s="182">
      <c r="A566" s="4" t="n"/>
      <c r="B566" s="4" t="n"/>
      <c r="C566" s="4" t="n"/>
      <c r="D566" s="4" t="n"/>
      <c r="E566" s="4" t="n"/>
      <c r="F566" s="4" t="n"/>
    </row>
    <row r="567" ht="15.75" customHeight="1" s="182">
      <c r="A567" s="4" t="n"/>
      <c r="B567" s="4" t="n"/>
      <c r="C567" s="4" t="n"/>
      <c r="D567" s="4" t="n"/>
      <c r="E567" s="4" t="n"/>
      <c r="F567" s="4" t="n"/>
    </row>
    <row r="568" ht="15.75" customHeight="1" s="182">
      <c r="A568" s="4" t="n"/>
      <c r="B568" s="4" t="n"/>
      <c r="C568" s="4" t="n"/>
      <c r="D568" s="4" t="n"/>
      <c r="E568" s="4" t="n"/>
      <c r="F568" s="4" t="n"/>
    </row>
    <row r="569" ht="15.75" customHeight="1" s="182">
      <c r="A569" s="4" t="n"/>
      <c r="B569" s="4" t="n"/>
      <c r="C569" s="4" t="n"/>
      <c r="D569" s="4" t="n"/>
      <c r="E569" s="4" t="n"/>
      <c r="F569" s="4" t="n"/>
    </row>
    <row r="570" ht="15.75" customHeight="1" s="182">
      <c r="A570" s="4" t="n"/>
      <c r="B570" s="4" t="n"/>
      <c r="C570" s="4" t="n"/>
      <c r="D570" s="4" t="n"/>
      <c r="E570" s="4" t="n"/>
      <c r="F570" s="4" t="n"/>
    </row>
    <row r="571" ht="15.75" customHeight="1" s="182">
      <c r="A571" s="4" t="n"/>
      <c r="B571" s="4" t="n"/>
      <c r="C571" s="4" t="n"/>
      <c r="D571" s="4" t="n"/>
      <c r="E571" s="4" t="n"/>
      <c r="F571" s="4" t="n"/>
    </row>
    <row r="572" ht="15.75" customHeight="1" s="182">
      <c r="A572" s="4" t="n"/>
      <c r="B572" s="4" t="n"/>
      <c r="C572" s="4" t="n"/>
      <c r="D572" s="4" t="n"/>
      <c r="E572" s="4" t="n"/>
      <c r="F572" s="4" t="n"/>
    </row>
    <row r="573" ht="15.75" customHeight="1" s="182">
      <c r="A573" s="4" t="n"/>
      <c r="B573" s="4" t="n"/>
      <c r="C573" s="4" t="n"/>
      <c r="D573" s="4" t="n"/>
      <c r="E573" s="4" t="n"/>
      <c r="F573" s="4" t="n"/>
    </row>
    <row r="574" ht="15.75" customHeight="1" s="182">
      <c r="A574" s="4" t="n"/>
      <c r="B574" s="4" t="n"/>
      <c r="C574" s="4" t="n"/>
      <c r="D574" s="4" t="n"/>
      <c r="E574" s="4" t="n"/>
      <c r="F574" s="4" t="n"/>
    </row>
    <row r="575" ht="15.75" customHeight="1" s="182">
      <c r="A575" s="4" t="n"/>
      <c r="B575" s="4" t="n"/>
      <c r="C575" s="4" t="n"/>
      <c r="D575" s="4" t="n"/>
      <c r="E575" s="4" t="n"/>
      <c r="F575" s="4" t="n"/>
    </row>
    <row r="576" ht="15.75" customHeight="1" s="182">
      <c r="A576" s="4" t="n"/>
      <c r="B576" s="4" t="n"/>
      <c r="C576" s="4" t="n"/>
      <c r="D576" s="4" t="n"/>
      <c r="E576" s="4" t="n"/>
      <c r="F576" s="4" t="n"/>
    </row>
    <row r="577" ht="15.75" customHeight="1" s="182">
      <c r="A577" s="4" t="n"/>
      <c r="B577" s="4" t="n"/>
      <c r="C577" s="4" t="n"/>
      <c r="D577" s="4" t="n"/>
      <c r="E577" s="4" t="n"/>
      <c r="F577" s="4" t="n"/>
    </row>
    <row r="578" ht="15.75" customHeight="1" s="182">
      <c r="A578" s="4" t="n"/>
      <c r="B578" s="4" t="n"/>
      <c r="C578" s="4" t="n"/>
      <c r="D578" s="4" t="n"/>
      <c r="E578" s="4" t="n"/>
      <c r="F578" s="4" t="n"/>
    </row>
    <row r="579" ht="15.75" customHeight="1" s="182">
      <c r="A579" s="4" t="n"/>
      <c r="B579" s="4" t="n"/>
      <c r="C579" s="4" t="n"/>
      <c r="D579" s="4" t="n"/>
      <c r="E579" s="4" t="n"/>
      <c r="F579" s="4" t="n"/>
    </row>
    <row r="580" ht="15.75" customHeight="1" s="182">
      <c r="A580" s="4" t="n"/>
      <c r="B580" s="4" t="n"/>
      <c r="C580" s="4" t="n"/>
      <c r="D580" s="4" t="n"/>
      <c r="E580" s="4" t="n"/>
      <c r="F580" s="4" t="n"/>
    </row>
    <row r="581" ht="15.75" customHeight="1" s="182">
      <c r="A581" s="4" t="n"/>
      <c r="B581" s="4" t="n"/>
      <c r="C581" s="4" t="n"/>
      <c r="D581" s="4" t="n"/>
      <c r="E581" s="4" t="n"/>
      <c r="F581" s="4" t="n"/>
    </row>
    <row r="582" ht="15.75" customHeight="1" s="182">
      <c r="A582" s="4" t="n"/>
      <c r="B582" s="4" t="n"/>
      <c r="C582" s="4" t="n"/>
      <c r="D582" s="4" t="n"/>
      <c r="E582" s="4" t="n"/>
      <c r="F582" s="4" t="n"/>
    </row>
    <row r="583" ht="15.75" customHeight="1" s="182">
      <c r="A583" s="4" t="n"/>
      <c r="B583" s="4" t="n"/>
      <c r="C583" s="4" t="n"/>
      <c r="D583" s="4" t="n"/>
      <c r="E583" s="4" t="n"/>
      <c r="F583" s="4" t="n"/>
    </row>
    <row r="584" ht="15.75" customHeight="1" s="182">
      <c r="A584" s="4" t="n"/>
      <c r="B584" s="4" t="n"/>
      <c r="C584" s="4" t="n"/>
      <c r="D584" s="4" t="n"/>
      <c r="E584" s="4" t="n"/>
      <c r="F584" s="4" t="n"/>
    </row>
    <row r="585" ht="15.75" customHeight="1" s="182">
      <c r="A585" s="4" t="n"/>
      <c r="B585" s="4" t="n"/>
      <c r="C585" s="4" t="n"/>
      <c r="D585" s="4" t="n"/>
      <c r="E585" s="4" t="n"/>
      <c r="F585" s="4" t="n"/>
    </row>
    <row r="586" ht="15.75" customHeight="1" s="182">
      <c r="A586" s="4" t="n"/>
      <c r="B586" s="4" t="n"/>
      <c r="C586" s="4" t="n"/>
      <c r="D586" s="4" t="n"/>
      <c r="E586" s="4" t="n"/>
      <c r="F586" s="4" t="n"/>
    </row>
    <row r="587" ht="15.75" customHeight="1" s="182">
      <c r="A587" s="4" t="n"/>
      <c r="B587" s="4" t="n"/>
      <c r="C587" s="4" t="n"/>
      <c r="D587" s="4" t="n"/>
      <c r="E587" s="4" t="n"/>
      <c r="F587" s="4" t="n"/>
    </row>
    <row r="588" ht="15.75" customHeight="1" s="182">
      <c r="A588" s="4" t="n"/>
      <c r="B588" s="4" t="n"/>
      <c r="C588" s="4" t="n"/>
      <c r="D588" s="4" t="n"/>
      <c r="E588" s="4" t="n"/>
      <c r="F588" s="4" t="n"/>
    </row>
    <row r="589" ht="15.75" customHeight="1" s="182">
      <c r="A589" s="4" t="n"/>
      <c r="B589" s="4" t="n"/>
      <c r="C589" s="4" t="n"/>
      <c r="D589" s="4" t="n"/>
      <c r="E589" s="4" t="n"/>
      <c r="F589" s="4" t="n"/>
    </row>
    <row r="590" ht="15.75" customHeight="1" s="182">
      <c r="A590" s="4" t="n"/>
      <c r="B590" s="4" t="n"/>
      <c r="C590" s="4" t="n"/>
      <c r="D590" s="4" t="n"/>
      <c r="E590" s="4" t="n"/>
      <c r="F590" s="4" t="n"/>
    </row>
    <row r="591" ht="15.75" customHeight="1" s="182">
      <c r="A591" s="4" t="n"/>
      <c r="B591" s="4" t="n"/>
      <c r="C591" s="4" t="n"/>
      <c r="D591" s="4" t="n"/>
      <c r="E591" s="4" t="n"/>
      <c r="F591" s="4" t="n"/>
    </row>
    <row r="592" ht="15.75" customHeight="1" s="182">
      <c r="A592" s="4" t="n"/>
      <c r="B592" s="4" t="n"/>
      <c r="C592" s="4" t="n"/>
      <c r="D592" s="4" t="n"/>
      <c r="E592" s="4" t="n"/>
      <c r="F592" s="4" t="n"/>
    </row>
    <row r="593" ht="15.75" customHeight="1" s="182">
      <c r="A593" s="4" t="n"/>
      <c r="B593" s="4" t="n"/>
      <c r="C593" s="4" t="n"/>
      <c r="D593" s="4" t="n"/>
      <c r="E593" s="4" t="n"/>
      <c r="F593" s="4" t="n"/>
    </row>
    <row r="594" ht="15.75" customHeight="1" s="182">
      <c r="A594" s="4" t="n"/>
      <c r="B594" s="4" t="n"/>
      <c r="C594" s="4" t="n"/>
      <c r="D594" s="4" t="n"/>
      <c r="E594" s="4" t="n"/>
      <c r="F594" s="4" t="n"/>
    </row>
    <row r="595" ht="15.75" customHeight="1" s="182">
      <c r="A595" s="4" t="n"/>
      <c r="B595" s="4" t="n"/>
      <c r="C595" s="4" t="n"/>
      <c r="D595" s="4" t="n"/>
      <c r="E595" s="4" t="n"/>
      <c r="F595" s="4" t="n"/>
    </row>
    <row r="596" ht="15.75" customHeight="1" s="182">
      <c r="A596" s="4" t="n"/>
      <c r="B596" s="4" t="n"/>
      <c r="C596" s="4" t="n"/>
      <c r="D596" s="4" t="n"/>
      <c r="E596" s="4" t="n"/>
      <c r="F596" s="4" t="n"/>
    </row>
    <row r="597" ht="15.75" customHeight="1" s="182">
      <c r="A597" s="4" t="n"/>
      <c r="B597" s="4" t="n"/>
      <c r="C597" s="4" t="n"/>
      <c r="D597" s="4" t="n"/>
      <c r="E597" s="4" t="n"/>
      <c r="F597" s="4" t="n"/>
    </row>
    <row r="598" ht="15.75" customHeight="1" s="182">
      <c r="A598" s="4" t="n"/>
      <c r="B598" s="4" t="n"/>
      <c r="C598" s="4" t="n"/>
      <c r="D598" s="4" t="n"/>
      <c r="E598" s="4" t="n"/>
      <c r="F598" s="4" t="n"/>
    </row>
    <row r="599" ht="15.75" customHeight="1" s="182">
      <c r="A599" s="4" t="n"/>
      <c r="B599" s="4" t="n"/>
      <c r="C599" s="4" t="n"/>
      <c r="D599" s="4" t="n"/>
      <c r="E599" s="4" t="n"/>
      <c r="F599" s="4" t="n"/>
    </row>
    <row r="600" ht="15.75" customHeight="1" s="182">
      <c r="A600" s="4" t="n"/>
      <c r="B600" s="4" t="n"/>
      <c r="C600" s="4" t="n"/>
      <c r="D600" s="4" t="n"/>
      <c r="E600" s="4" t="n"/>
      <c r="F600" s="4" t="n"/>
    </row>
    <row r="601" ht="15.75" customHeight="1" s="182">
      <c r="A601" s="4" t="n"/>
      <c r="B601" s="4" t="n"/>
      <c r="C601" s="4" t="n"/>
      <c r="D601" s="4" t="n"/>
      <c r="E601" s="4" t="n"/>
      <c r="F601" s="4" t="n"/>
    </row>
    <row r="602" ht="15.75" customHeight="1" s="182">
      <c r="A602" s="4" t="n"/>
      <c r="B602" s="4" t="n"/>
      <c r="C602" s="4" t="n"/>
      <c r="D602" s="4" t="n"/>
      <c r="E602" s="4" t="n"/>
      <c r="F602" s="4" t="n"/>
    </row>
    <row r="603" ht="15.75" customHeight="1" s="182">
      <c r="A603" s="4" t="n"/>
      <c r="B603" s="4" t="n"/>
      <c r="C603" s="4" t="n"/>
      <c r="D603" s="4" t="n"/>
      <c r="E603" s="4" t="n"/>
      <c r="F603" s="4" t="n"/>
    </row>
    <row r="604" ht="15.75" customHeight="1" s="182">
      <c r="A604" s="4" t="n"/>
      <c r="B604" s="4" t="n"/>
      <c r="C604" s="4" t="n"/>
      <c r="D604" s="4" t="n"/>
      <c r="E604" s="4" t="n"/>
      <c r="F604" s="4" t="n"/>
    </row>
    <row r="605" ht="15.75" customHeight="1" s="182">
      <c r="A605" s="4" t="n"/>
      <c r="B605" s="4" t="n"/>
      <c r="C605" s="4" t="n"/>
      <c r="D605" s="4" t="n"/>
      <c r="E605" s="4" t="n"/>
      <c r="F605" s="4" t="n"/>
    </row>
    <row r="606" ht="15.75" customHeight="1" s="182">
      <c r="A606" s="4" t="n"/>
      <c r="B606" s="4" t="n"/>
      <c r="C606" s="4" t="n"/>
      <c r="D606" s="4" t="n"/>
      <c r="E606" s="4" t="n"/>
      <c r="F606" s="4" t="n"/>
    </row>
    <row r="607" ht="15.75" customHeight="1" s="182">
      <c r="A607" s="4" t="n"/>
      <c r="B607" s="4" t="n"/>
      <c r="C607" s="4" t="n"/>
      <c r="D607" s="4" t="n"/>
      <c r="E607" s="4" t="n"/>
      <c r="F607" s="4" t="n"/>
    </row>
    <row r="608" ht="15.75" customHeight="1" s="182">
      <c r="A608" s="4" t="n"/>
      <c r="B608" s="4" t="n"/>
      <c r="C608" s="4" t="n"/>
      <c r="D608" s="4" t="n"/>
      <c r="E608" s="4" t="n"/>
      <c r="F608" s="4" t="n"/>
    </row>
    <row r="609" ht="15.75" customHeight="1" s="182">
      <c r="A609" s="4" t="n"/>
      <c r="B609" s="4" t="n"/>
      <c r="C609" s="4" t="n"/>
      <c r="D609" s="4" t="n"/>
      <c r="E609" s="4" t="n"/>
      <c r="F609" s="4" t="n"/>
    </row>
    <row r="610" ht="15.75" customHeight="1" s="182">
      <c r="A610" s="4" t="n"/>
      <c r="B610" s="4" t="n"/>
      <c r="C610" s="4" t="n"/>
      <c r="D610" s="4" t="n"/>
      <c r="E610" s="4" t="n"/>
      <c r="F610" s="4" t="n"/>
    </row>
    <row r="611" ht="15.75" customHeight="1" s="182">
      <c r="A611" s="4" t="n"/>
      <c r="B611" s="4" t="n"/>
      <c r="C611" s="4" t="n"/>
      <c r="D611" s="4" t="n"/>
      <c r="E611" s="4" t="n"/>
      <c r="F611" s="4" t="n"/>
    </row>
    <row r="612" ht="15.75" customHeight="1" s="182">
      <c r="A612" s="4" t="n"/>
      <c r="B612" s="4" t="n"/>
      <c r="C612" s="4" t="n"/>
      <c r="D612" s="4" t="n"/>
      <c r="E612" s="4" t="n"/>
      <c r="F612" s="4" t="n"/>
    </row>
    <row r="613" ht="15.75" customHeight="1" s="182">
      <c r="A613" s="4" t="n"/>
      <c r="B613" s="4" t="n"/>
      <c r="C613" s="4" t="n"/>
      <c r="D613" s="4" t="n"/>
      <c r="E613" s="4" t="n"/>
      <c r="F613" s="4" t="n"/>
    </row>
    <row r="614" ht="15.75" customHeight="1" s="182">
      <c r="A614" s="4" t="n"/>
      <c r="B614" s="4" t="n"/>
      <c r="C614" s="4" t="n"/>
      <c r="D614" s="4" t="n"/>
      <c r="E614" s="4" t="n"/>
      <c r="F614" s="4" t="n"/>
    </row>
    <row r="615" ht="15.75" customHeight="1" s="182">
      <c r="A615" s="4" t="n"/>
      <c r="B615" s="4" t="n"/>
      <c r="C615" s="4" t="n"/>
      <c r="D615" s="4" t="n"/>
      <c r="E615" s="4" t="n"/>
      <c r="F615" s="4" t="n"/>
    </row>
    <row r="616" ht="15.75" customHeight="1" s="182">
      <c r="A616" s="4" t="n"/>
      <c r="B616" s="4" t="n"/>
      <c r="C616" s="4" t="n"/>
      <c r="D616" s="4" t="n"/>
      <c r="E616" s="4" t="n"/>
      <c r="F616" s="4" t="n"/>
    </row>
    <row r="617" ht="15.75" customHeight="1" s="182">
      <c r="A617" s="4" t="n"/>
      <c r="B617" s="4" t="n"/>
      <c r="C617" s="4" t="n"/>
      <c r="D617" s="4" t="n"/>
      <c r="E617" s="4" t="n"/>
      <c r="F617" s="4" t="n"/>
    </row>
    <row r="618" ht="15.75" customHeight="1" s="182">
      <c r="A618" s="4" t="n"/>
      <c r="B618" s="4" t="n"/>
      <c r="C618" s="4" t="n"/>
      <c r="D618" s="4" t="n"/>
      <c r="E618" s="4" t="n"/>
      <c r="F618" s="4" t="n"/>
    </row>
    <row r="619" ht="15.75" customHeight="1" s="182">
      <c r="A619" s="4" t="n"/>
      <c r="B619" s="4" t="n"/>
      <c r="C619" s="4" t="n"/>
      <c r="D619" s="4" t="n"/>
      <c r="E619" s="4" t="n"/>
      <c r="F619" s="4" t="n"/>
    </row>
    <row r="620" ht="15.75" customHeight="1" s="182">
      <c r="A620" s="4" t="n"/>
      <c r="B620" s="4" t="n"/>
      <c r="C620" s="4" t="n"/>
      <c r="D620" s="4" t="n"/>
      <c r="E620" s="4" t="n"/>
      <c r="F620" s="4" t="n"/>
    </row>
    <row r="621" ht="15.75" customHeight="1" s="182">
      <c r="A621" s="4" t="n"/>
      <c r="B621" s="4" t="n"/>
      <c r="C621" s="4" t="n"/>
      <c r="D621" s="4" t="n"/>
      <c r="E621" s="4" t="n"/>
      <c r="F621" s="4" t="n"/>
    </row>
    <row r="622" ht="15.75" customHeight="1" s="182">
      <c r="A622" s="4" t="n"/>
      <c r="B622" s="4" t="n"/>
      <c r="C622" s="4" t="n"/>
      <c r="D622" s="4" t="n"/>
      <c r="E622" s="4" t="n"/>
      <c r="F622" s="4" t="n"/>
    </row>
    <row r="623" ht="15.75" customHeight="1" s="182">
      <c r="A623" s="4" t="n"/>
      <c r="B623" s="4" t="n"/>
      <c r="C623" s="4" t="n"/>
      <c r="D623" s="4" t="n"/>
      <c r="E623" s="4" t="n"/>
      <c r="F623" s="4" t="n"/>
    </row>
    <row r="624" ht="15.75" customHeight="1" s="182">
      <c r="A624" s="4" t="n"/>
      <c r="B624" s="4" t="n"/>
      <c r="C624" s="4" t="n"/>
      <c r="D624" s="4" t="n"/>
      <c r="E624" s="4" t="n"/>
      <c r="F624" s="4" t="n"/>
    </row>
    <row r="625" ht="15.75" customHeight="1" s="182">
      <c r="A625" s="4" t="n"/>
      <c r="B625" s="4" t="n"/>
      <c r="C625" s="4" t="n"/>
      <c r="D625" s="4" t="n"/>
      <c r="E625" s="4" t="n"/>
      <c r="F625" s="4" t="n"/>
    </row>
    <row r="626" ht="15.75" customHeight="1" s="182">
      <c r="A626" s="4" t="n"/>
      <c r="B626" s="4" t="n"/>
      <c r="C626" s="4" t="n"/>
      <c r="D626" s="4" t="n"/>
      <c r="E626" s="4" t="n"/>
      <c r="F626" s="4" t="n"/>
    </row>
    <row r="627" ht="15.75" customHeight="1" s="182">
      <c r="A627" s="4" t="n"/>
      <c r="B627" s="4" t="n"/>
      <c r="C627" s="4" t="n"/>
      <c r="D627" s="4" t="n"/>
      <c r="E627" s="4" t="n"/>
      <c r="F627" s="4" t="n"/>
    </row>
    <row r="628" ht="15.75" customHeight="1" s="182">
      <c r="A628" s="4" t="n"/>
      <c r="B628" s="4" t="n"/>
      <c r="C628" s="4" t="n"/>
      <c r="D628" s="4" t="n"/>
      <c r="E628" s="4" t="n"/>
      <c r="F628" s="4" t="n"/>
    </row>
    <row r="629" ht="15.75" customHeight="1" s="182">
      <c r="A629" s="4" t="n"/>
      <c r="B629" s="4" t="n"/>
      <c r="C629" s="4" t="n"/>
      <c r="D629" s="4" t="n"/>
      <c r="E629" s="4" t="n"/>
      <c r="F629" s="4" t="n"/>
    </row>
    <row r="630" ht="15.75" customHeight="1" s="182">
      <c r="A630" s="4" t="n"/>
      <c r="B630" s="4" t="n"/>
      <c r="C630" s="4" t="n"/>
      <c r="D630" s="4" t="n"/>
      <c r="E630" s="4" t="n"/>
      <c r="F630" s="4" t="n"/>
    </row>
    <row r="631" ht="15.75" customHeight="1" s="182">
      <c r="A631" s="4" t="n"/>
      <c r="B631" s="4" t="n"/>
      <c r="C631" s="4" t="n"/>
      <c r="D631" s="4" t="n"/>
      <c r="E631" s="4" t="n"/>
      <c r="F631" s="4" t="n"/>
    </row>
    <row r="632" ht="15.75" customHeight="1" s="182">
      <c r="A632" s="4" t="n"/>
      <c r="B632" s="4" t="n"/>
      <c r="C632" s="4" t="n"/>
      <c r="D632" s="4" t="n"/>
      <c r="E632" s="4" t="n"/>
      <c r="F632" s="4" t="n"/>
    </row>
    <row r="633" ht="15.75" customHeight="1" s="182">
      <c r="A633" s="4" t="n"/>
      <c r="B633" s="4" t="n"/>
      <c r="C633" s="4" t="n"/>
      <c r="D633" s="4" t="n"/>
      <c r="E633" s="4" t="n"/>
      <c r="F633" s="4" t="n"/>
    </row>
    <row r="634" ht="15.75" customHeight="1" s="182">
      <c r="A634" s="4" t="n"/>
      <c r="B634" s="4" t="n"/>
      <c r="C634" s="4" t="n"/>
      <c r="D634" s="4" t="n"/>
      <c r="E634" s="4" t="n"/>
      <c r="F634" s="4" t="n"/>
    </row>
    <row r="635" ht="15.75" customHeight="1" s="182">
      <c r="A635" s="4" t="n"/>
      <c r="B635" s="4" t="n"/>
      <c r="C635" s="4" t="n"/>
      <c r="D635" s="4" t="n"/>
      <c r="E635" s="4" t="n"/>
      <c r="F635" s="4" t="n"/>
    </row>
    <row r="636" ht="15.75" customHeight="1" s="182">
      <c r="A636" s="4" t="n"/>
      <c r="B636" s="4" t="n"/>
      <c r="C636" s="4" t="n"/>
      <c r="D636" s="4" t="n"/>
      <c r="E636" s="4" t="n"/>
      <c r="F636" s="4" t="n"/>
    </row>
    <row r="637" ht="15.75" customHeight="1" s="182">
      <c r="A637" s="4" t="n"/>
      <c r="B637" s="4" t="n"/>
      <c r="C637" s="4" t="n"/>
      <c r="D637" s="4" t="n"/>
      <c r="E637" s="4" t="n"/>
      <c r="F637" s="4" t="n"/>
    </row>
    <row r="638" ht="15.75" customHeight="1" s="182">
      <c r="A638" s="4" t="n"/>
      <c r="B638" s="4" t="n"/>
      <c r="C638" s="4" t="n"/>
      <c r="D638" s="4" t="n"/>
      <c r="E638" s="4" t="n"/>
      <c r="F638" s="4" t="n"/>
    </row>
    <row r="639" ht="15.75" customHeight="1" s="182">
      <c r="A639" s="4" t="n"/>
      <c r="B639" s="4" t="n"/>
      <c r="C639" s="4" t="n"/>
      <c r="D639" s="4" t="n"/>
      <c r="E639" s="4" t="n"/>
      <c r="F639" s="4" t="n"/>
    </row>
    <row r="640" ht="15.75" customHeight="1" s="182">
      <c r="A640" s="4" t="n"/>
      <c r="B640" s="4" t="n"/>
      <c r="C640" s="4" t="n"/>
      <c r="D640" s="4" t="n"/>
      <c r="E640" s="4" t="n"/>
      <c r="F640" s="4" t="n"/>
    </row>
    <row r="641" ht="15.75" customHeight="1" s="182">
      <c r="A641" s="4" t="n"/>
      <c r="B641" s="4" t="n"/>
      <c r="C641" s="4" t="n"/>
      <c r="D641" s="4" t="n"/>
      <c r="E641" s="4" t="n"/>
      <c r="F641" s="4" t="n"/>
    </row>
    <row r="642" ht="15.75" customHeight="1" s="182">
      <c r="A642" s="4" t="n"/>
      <c r="B642" s="4" t="n"/>
      <c r="C642" s="4" t="n"/>
      <c r="D642" s="4" t="n"/>
      <c r="E642" s="4" t="n"/>
      <c r="F642" s="4" t="n"/>
    </row>
    <row r="643" ht="15.75" customHeight="1" s="182">
      <c r="A643" s="4" t="n"/>
      <c r="B643" s="4" t="n"/>
      <c r="C643" s="4" t="n"/>
      <c r="D643" s="4" t="n"/>
      <c r="E643" s="4" t="n"/>
      <c r="F643" s="4" t="n"/>
    </row>
    <row r="644" ht="15.75" customHeight="1" s="182">
      <c r="A644" s="4" t="n"/>
      <c r="B644" s="4" t="n"/>
      <c r="C644" s="4" t="n"/>
      <c r="D644" s="4" t="n"/>
      <c r="E644" s="4" t="n"/>
      <c r="F644" s="4" t="n"/>
    </row>
    <row r="645" ht="15.75" customHeight="1" s="182">
      <c r="A645" s="4" t="n"/>
      <c r="B645" s="4" t="n"/>
      <c r="C645" s="4" t="n"/>
      <c r="D645" s="4" t="n"/>
      <c r="E645" s="4" t="n"/>
      <c r="F645" s="4" t="n"/>
    </row>
    <row r="646" ht="15.75" customHeight="1" s="182">
      <c r="A646" s="4" t="n"/>
      <c r="B646" s="4" t="n"/>
      <c r="C646" s="4" t="n"/>
      <c r="D646" s="4" t="n"/>
      <c r="E646" s="4" t="n"/>
      <c r="F646" s="4" t="n"/>
    </row>
    <row r="647" ht="15.75" customHeight="1" s="182">
      <c r="A647" s="4" t="n"/>
      <c r="B647" s="4" t="n"/>
      <c r="C647" s="4" t="n"/>
      <c r="D647" s="4" t="n"/>
      <c r="E647" s="4" t="n"/>
      <c r="F647" s="4" t="n"/>
    </row>
    <row r="648" ht="15.75" customHeight="1" s="182">
      <c r="A648" s="4" t="n"/>
      <c r="B648" s="4" t="n"/>
      <c r="C648" s="4" t="n"/>
      <c r="D648" s="4" t="n"/>
      <c r="E648" s="4" t="n"/>
      <c r="F648" s="4" t="n"/>
    </row>
    <row r="649" ht="15.75" customHeight="1" s="182">
      <c r="A649" s="4" t="n"/>
      <c r="B649" s="4" t="n"/>
      <c r="C649" s="4" t="n"/>
      <c r="D649" s="4" t="n"/>
      <c r="E649" s="4" t="n"/>
      <c r="F649" s="4" t="n"/>
    </row>
    <row r="650" ht="15.75" customHeight="1" s="182">
      <c r="A650" s="4" t="n"/>
      <c r="B650" s="4" t="n"/>
      <c r="C650" s="4" t="n"/>
      <c r="D650" s="4" t="n"/>
      <c r="E650" s="4" t="n"/>
      <c r="F650" s="4" t="n"/>
    </row>
    <row r="651" ht="15.75" customHeight="1" s="182">
      <c r="A651" s="4" t="n"/>
      <c r="B651" s="4" t="n"/>
      <c r="C651" s="4" t="n"/>
      <c r="D651" s="4" t="n"/>
      <c r="E651" s="4" t="n"/>
      <c r="F651" s="4" t="n"/>
    </row>
    <row r="652" ht="15.75" customHeight="1" s="182">
      <c r="A652" s="4" t="n"/>
      <c r="B652" s="4" t="n"/>
      <c r="C652" s="4" t="n"/>
      <c r="D652" s="4" t="n"/>
      <c r="E652" s="4" t="n"/>
      <c r="F652" s="4" t="n"/>
    </row>
    <row r="653" ht="15.75" customHeight="1" s="182">
      <c r="A653" s="4" t="n"/>
      <c r="B653" s="4" t="n"/>
      <c r="C653" s="4" t="n"/>
      <c r="D653" s="4" t="n"/>
      <c r="E653" s="4" t="n"/>
      <c r="F653" s="4" t="n"/>
    </row>
    <row r="654" ht="15.75" customHeight="1" s="182">
      <c r="A654" s="4" t="n"/>
      <c r="B654" s="4" t="n"/>
      <c r="C654" s="4" t="n"/>
      <c r="D654" s="4" t="n"/>
      <c r="E654" s="4" t="n"/>
      <c r="F654" s="4" t="n"/>
    </row>
    <row r="655" ht="15.75" customHeight="1" s="182">
      <c r="A655" s="4" t="n"/>
      <c r="B655" s="4" t="n"/>
      <c r="C655" s="4" t="n"/>
      <c r="D655" s="4" t="n"/>
      <c r="E655" s="4" t="n"/>
      <c r="F655" s="4" t="n"/>
    </row>
    <row r="656" ht="15.75" customHeight="1" s="182">
      <c r="A656" s="4" t="n"/>
      <c r="B656" s="4" t="n"/>
      <c r="C656" s="4" t="n"/>
      <c r="D656" s="4" t="n"/>
      <c r="E656" s="4" t="n"/>
      <c r="F656" s="4" t="n"/>
    </row>
    <row r="657" ht="15.75" customHeight="1" s="182">
      <c r="A657" s="4" t="n"/>
      <c r="B657" s="4" t="n"/>
      <c r="C657" s="4" t="n"/>
      <c r="D657" s="4" t="n"/>
      <c r="E657" s="4" t="n"/>
      <c r="F657" s="4" t="n"/>
    </row>
    <row r="658" ht="15.75" customHeight="1" s="182">
      <c r="A658" s="4" t="n"/>
      <c r="B658" s="4" t="n"/>
      <c r="C658" s="4" t="n"/>
      <c r="D658" s="4" t="n"/>
      <c r="E658" s="4" t="n"/>
      <c r="F658" s="4" t="n"/>
    </row>
    <row r="659" ht="15.75" customHeight="1" s="182">
      <c r="A659" s="4" t="n"/>
      <c r="B659" s="4" t="n"/>
      <c r="C659" s="4" t="n"/>
      <c r="D659" s="4" t="n"/>
      <c r="E659" s="4" t="n"/>
      <c r="F659" s="4" t="n"/>
    </row>
    <row r="660" ht="15.75" customHeight="1" s="182">
      <c r="A660" s="4" t="n"/>
      <c r="B660" s="4" t="n"/>
      <c r="C660" s="4" t="n"/>
      <c r="D660" s="4" t="n"/>
      <c r="E660" s="4" t="n"/>
      <c r="F660" s="4" t="n"/>
    </row>
    <row r="661" ht="15.75" customHeight="1" s="182">
      <c r="A661" s="4" t="n"/>
      <c r="B661" s="4" t="n"/>
      <c r="C661" s="4" t="n"/>
      <c r="D661" s="4" t="n"/>
      <c r="E661" s="4" t="n"/>
      <c r="F661" s="4" t="n"/>
    </row>
    <row r="662" ht="15.75" customHeight="1" s="182">
      <c r="A662" s="4" t="n"/>
      <c r="B662" s="4" t="n"/>
      <c r="C662" s="4" t="n"/>
      <c r="D662" s="4" t="n"/>
      <c r="E662" s="4" t="n"/>
      <c r="F662" s="4" t="n"/>
    </row>
    <row r="663" ht="15.75" customHeight="1" s="182">
      <c r="A663" s="4" t="n"/>
      <c r="B663" s="4" t="n"/>
      <c r="C663" s="4" t="n"/>
      <c r="D663" s="4" t="n"/>
      <c r="E663" s="4" t="n"/>
      <c r="F663" s="4" t="n"/>
    </row>
    <row r="664" ht="15.75" customHeight="1" s="182">
      <c r="A664" s="4" t="n"/>
      <c r="B664" s="4" t="n"/>
      <c r="C664" s="4" t="n"/>
      <c r="D664" s="4" t="n"/>
      <c r="E664" s="4" t="n"/>
      <c r="F664" s="4" t="n"/>
    </row>
    <row r="665" ht="15.75" customHeight="1" s="182">
      <c r="A665" s="4" t="n"/>
      <c r="B665" s="4" t="n"/>
      <c r="C665" s="4" t="n"/>
      <c r="D665" s="4" t="n"/>
      <c r="E665" s="4" t="n"/>
      <c r="F665" s="4" t="n"/>
    </row>
    <row r="666" ht="15.75" customHeight="1" s="182">
      <c r="A666" s="4" t="n"/>
      <c r="B666" s="4" t="n"/>
      <c r="C666" s="4" t="n"/>
      <c r="D666" s="4" t="n"/>
      <c r="E666" s="4" t="n"/>
      <c r="F666" s="4" t="n"/>
    </row>
    <row r="667" ht="15.75" customHeight="1" s="182">
      <c r="A667" s="4" t="n"/>
      <c r="B667" s="4" t="n"/>
      <c r="C667" s="4" t="n"/>
      <c r="D667" s="4" t="n"/>
      <c r="E667" s="4" t="n"/>
      <c r="F667" s="4" t="n"/>
    </row>
    <row r="668" ht="15.75" customHeight="1" s="182">
      <c r="A668" s="4" t="n"/>
      <c r="B668" s="4" t="n"/>
      <c r="C668" s="4" t="n"/>
      <c r="D668" s="4" t="n"/>
      <c r="E668" s="4" t="n"/>
      <c r="F668" s="4" t="n"/>
    </row>
    <row r="669" ht="15.75" customHeight="1" s="182">
      <c r="A669" s="4" t="n"/>
      <c r="B669" s="4" t="n"/>
      <c r="C669" s="4" t="n"/>
      <c r="D669" s="4" t="n"/>
      <c r="E669" s="4" t="n"/>
      <c r="F669" s="4" t="n"/>
    </row>
    <row r="670" ht="15.75" customHeight="1" s="182">
      <c r="A670" s="4" t="n"/>
      <c r="B670" s="4" t="n"/>
      <c r="C670" s="4" t="n"/>
      <c r="D670" s="4" t="n"/>
      <c r="E670" s="4" t="n"/>
      <c r="F670" s="4" t="n"/>
    </row>
    <row r="671" ht="15.75" customHeight="1" s="182">
      <c r="A671" s="4" t="n"/>
      <c r="B671" s="4" t="n"/>
      <c r="C671" s="4" t="n"/>
      <c r="D671" s="4" t="n"/>
      <c r="E671" s="4" t="n"/>
      <c r="F671" s="4" t="n"/>
    </row>
    <row r="672" ht="15.75" customHeight="1" s="182">
      <c r="A672" s="4" t="n"/>
      <c r="B672" s="4" t="n"/>
      <c r="C672" s="4" t="n"/>
      <c r="D672" s="4" t="n"/>
      <c r="E672" s="4" t="n"/>
      <c r="F672" s="4" t="n"/>
    </row>
    <row r="673" ht="15.75" customHeight="1" s="182">
      <c r="A673" s="4" t="n"/>
      <c r="B673" s="4" t="n"/>
      <c r="C673" s="4" t="n"/>
      <c r="D673" s="4" t="n"/>
      <c r="E673" s="4" t="n"/>
      <c r="F673" s="4" t="n"/>
    </row>
    <row r="674" ht="15.75" customHeight="1" s="182">
      <c r="A674" s="4" t="n"/>
      <c r="B674" s="4" t="n"/>
      <c r="C674" s="4" t="n"/>
      <c r="D674" s="4" t="n"/>
      <c r="E674" s="4" t="n"/>
      <c r="F674" s="4" t="n"/>
    </row>
    <row r="675" ht="15.75" customHeight="1" s="182">
      <c r="A675" s="4" t="n"/>
      <c r="B675" s="4" t="n"/>
      <c r="C675" s="4" t="n"/>
      <c r="D675" s="4" t="n"/>
      <c r="E675" s="4" t="n"/>
      <c r="F675" s="4" t="n"/>
    </row>
    <row r="676" ht="15.75" customHeight="1" s="182">
      <c r="A676" s="4" t="n"/>
      <c r="B676" s="4" t="n"/>
      <c r="C676" s="4" t="n"/>
      <c r="D676" s="4" t="n"/>
      <c r="E676" s="4" t="n"/>
      <c r="F676" s="4" t="n"/>
    </row>
    <row r="677" ht="15.75" customHeight="1" s="182">
      <c r="A677" s="4" t="n"/>
      <c r="B677" s="4" t="n"/>
      <c r="C677" s="4" t="n"/>
      <c r="D677" s="4" t="n"/>
      <c r="E677" s="4" t="n"/>
      <c r="F677" s="4" t="n"/>
    </row>
    <row r="678" ht="15.75" customHeight="1" s="182">
      <c r="A678" s="4" t="n"/>
      <c r="B678" s="4" t="n"/>
      <c r="C678" s="4" t="n"/>
      <c r="D678" s="4" t="n"/>
      <c r="E678" s="4" t="n"/>
      <c r="F678" s="4" t="n"/>
    </row>
    <row r="679" ht="15.75" customHeight="1" s="182">
      <c r="A679" s="4" t="n"/>
      <c r="B679" s="4" t="n"/>
      <c r="C679" s="4" t="n"/>
      <c r="D679" s="4" t="n"/>
      <c r="E679" s="4" t="n"/>
      <c r="F679" s="4" t="n"/>
    </row>
    <row r="680" ht="15.75" customHeight="1" s="182">
      <c r="A680" s="4" t="n"/>
      <c r="B680" s="4" t="n"/>
      <c r="C680" s="4" t="n"/>
      <c r="D680" s="4" t="n"/>
      <c r="E680" s="4" t="n"/>
      <c r="F680" s="4" t="n"/>
    </row>
    <row r="681" ht="15.75" customHeight="1" s="182">
      <c r="A681" s="4" t="n"/>
      <c r="B681" s="4" t="n"/>
      <c r="C681" s="4" t="n"/>
      <c r="D681" s="4" t="n"/>
      <c r="E681" s="4" t="n"/>
      <c r="F681" s="4" t="n"/>
    </row>
    <row r="682" ht="15.75" customHeight="1" s="182">
      <c r="A682" s="4" t="n"/>
      <c r="B682" s="4" t="n"/>
      <c r="C682" s="4" t="n"/>
      <c r="D682" s="4" t="n"/>
      <c r="E682" s="4" t="n"/>
      <c r="F682" s="4" t="n"/>
    </row>
    <row r="683" ht="15.75" customHeight="1" s="182">
      <c r="A683" s="4" t="n"/>
      <c r="B683" s="4" t="n"/>
      <c r="C683" s="4" t="n"/>
      <c r="D683" s="4" t="n"/>
      <c r="E683" s="4" t="n"/>
      <c r="F683" s="4" t="n"/>
    </row>
    <row r="684" ht="15.75" customHeight="1" s="182">
      <c r="A684" s="4" t="n"/>
      <c r="B684" s="4" t="n"/>
      <c r="C684" s="4" t="n"/>
      <c r="D684" s="4" t="n"/>
      <c r="E684" s="4" t="n"/>
      <c r="F684" s="4" t="n"/>
    </row>
    <row r="685" ht="15.75" customHeight="1" s="182">
      <c r="A685" s="4" t="n"/>
      <c r="B685" s="4" t="n"/>
      <c r="C685" s="4" t="n"/>
      <c r="D685" s="4" t="n"/>
      <c r="E685" s="4" t="n"/>
      <c r="F685" s="4" t="n"/>
    </row>
    <row r="686" ht="15.75" customHeight="1" s="182">
      <c r="A686" s="4" t="n"/>
      <c r="B686" s="4" t="n"/>
      <c r="C686" s="4" t="n"/>
      <c r="D686" s="4" t="n"/>
      <c r="E686" s="4" t="n"/>
      <c r="F686" s="4" t="n"/>
    </row>
    <row r="687" ht="15.75" customHeight="1" s="182">
      <c r="A687" s="4" t="n"/>
      <c r="B687" s="4" t="n"/>
      <c r="C687" s="4" t="n"/>
      <c r="D687" s="4" t="n"/>
      <c r="E687" s="4" t="n"/>
      <c r="F687" s="4" t="n"/>
    </row>
    <row r="688" ht="15.75" customHeight="1" s="182">
      <c r="A688" s="4" t="n"/>
      <c r="B688" s="4" t="n"/>
      <c r="C688" s="4" t="n"/>
      <c r="D688" s="4" t="n"/>
      <c r="E688" s="4" t="n"/>
      <c r="F688" s="4" t="n"/>
    </row>
    <row r="689" ht="15.75" customHeight="1" s="182">
      <c r="A689" s="4" t="n"/>
      <c r="B689" s="4" t="n"/>
      <c r="C689" s="4" t="n"/>
      <c r="D689" s="4" t="n"/>
      <c r="E689" s="4" t="n"/>
      <c r="F689" s="4" t="n"/>
    </row>
    <row r="690" ht="15.75" customHeight="1" s="182">
      <c r="A690" s="4" t="n"/>
      <c r="B690" s="4" t="n"/>
      <c r="C690" s="4" t="n"/>
      <c r="D690" s="4" t="n"/>
      <c r="E690" s="4" t="n"/>
      <c r="F690" s="4" t="n"/>
    </row>
    <row r="691" ht="15.75" customHeight="1" s="182">
      <c r="A691" s="4" t="n"/>
      <c r="B691" s="4" t="n"/>
      <c r="C691" s="4" t="n"/>
      <c r="D691" s="4" t="n"/>
      <c r="E691" s="4" t="n"/>
      <c r="F691" s="4" t="n"/>
    </row>
    <row r="692" ht="15.75" customHeight="1" s="182">
      <c r="A692" s="4" t="n"/>
      <c r="B692" s="4" t="n"/>
      <c r="C692" s="4" t="n"/>
      <c r="D692" s="4" t="n"/>
      <c r="E692" s="4" t="n"/>
      <c r="F692" s="4" t="n"/>
    </row>
    <row r="693" ht="15.75" customHeight="1" s="182">
      <c r="A693" s="4" t="n"/>
      <c r="B693" s="4" t="n"/>
      <c r="C693" s="4" t="n"/>
      <c r="D693" s="4" t="n"/>
      <c r="E693" s="4" t="n"/>
      <c r="F693" s="4" t="n"/>
    </row>
    <row r="694" ht="15.75" customHeight="1" s="182">
      <c r="A694" s="4" t="n"/>
      <c r="B694" s="4" t="n"/>
      <c r="C694" s="4" t="n"/>
      <c r="D694" s="4" t="n"/>
      <c r="E694" s="4" t="n"/>
      <c r="F694" s="4" t="n"/>
    </row>
    <row r="695" ht="15.75" customHeight="1" s="182">
      <c r="A695" s="4" t="n"/>
      <c r="B695" s="4" t="n"/>
      <c r="C695" s="4" t="n"/>
      <c r="D695" s="4" t="n"/>
      <c r="E695" s="4" t="n"/>
      <c r="F695" s="4" t="n"/>
    </row>
    <row r="696" ht="15.75" customHeight="1" s="182">
      <c r="A696" s="4" t="n"/>
      <c r="B696" s="4" t="n"/>
      <c r="C696" s="4" t="n"/>
      <c r="D696" s="4" t="n"/>
      <c r="E696" s="4" t="n"/>
      <c r="F696" s="4" t="n"/>
    </row>
    <row r="697" ht="15.75" customHeight="1" s="182">
      <c r="A697" s="4" t="n"/>
      <c r="B697" s="4" t="n"/>
      <c r="C697" s="4" t="n"/>
      <c r="D697" s="4" t="n"/>
      <c r="E697" s="4" t="n"/>
      <c r="F697" s="4" t="n"/>
    </row>
    <row r="698" ht="15.75" customHeight="1" s="182">
      <c r="A698" s="4" t="n"/>
      <c r="B698" s="4" t="n"/>
      <c r="C698" s="4" t="n"/>
      <c r="D698" s="4" t="n"/>
      <c r="E698" s="4" t="n"/>
      <c r="F698" s="4" t="n"/>
    </row>
    <row r="699" ht="15.75" customHeight="1" s="182">
      <c r="A699" s="4" t="n"/>
      <c r="B699" s="4" t="n"/>
      <c r="C699" s="4" t="n"/>
      <c r="D699" s="4" t="n"/>
      <c r="E699" s="4" t="n"/>
      <c r="F699" s="4" t="n"/>
    </row>
    <row r="700" ht="15.75" customHeight="1" s="182">
      <c r="A700" s="4" t="n"/>
      <c r="B700" s="4" t="n"/>
      <c r="C700" s="4" t="n"/>
      <c r="D700" s="4" t="n"/>
      <c r="E700" s="4" t="n"/>
      <c r="F700" s="4" t="n"/>
    </row>
    <row r="701" ht="15.75" customHeight="1" s="182">
      <c r="A701" s="4" t="n"/>
      <c r="B701" s="4" t="n"/>
      <c r="C701" s="4" t="n"/>
      <c r="D701" s="4" t="n"/>
      <c r="E701" s="4" t="n"/>
      <c r="F701" s="4" t="n"/>
    </row>
    <row r="702" ht="15.75" customHeight="1" s="182">
      <c r="A702" s="4" t="n"/>
      <c r="B702" s="4" t="n"/>
      <c r="C702" s="4" t="n"/>
      <c r="D702" s="4" t="n"/>
      <c r="E702" s="4" t="n"/>
      <c r="F702" s="4" t="n"/>
    </row>
    <row r="703" ht="15.75" customHeight="1" s="182">
      <c r="A703" s="4" t="n"/>
      <c r="B703" s="4" t="n"/>
      <c r="C703" s="4" t="n"/>
      <c r="D703" s="4" t="n"/>
      <c r="E703" s="4" t="n"/>
      <c r="F703" s="4" t="n"/>
    </row>
    <row r="704" ht="15.75" customHeight="1" s="182">
      <c r="A704" s="4" t="n"/>
      <c r="B704" s="4" t="n"/>
      <c r="C704" s="4" t="n"/>
      <c r="D704" s="4" t="n"/>
      <c r="E704" s="4" t="n"/>
      <c r="F704" s="4" t="n"/>
    </row>
    <row r="705" ht="15.75" customHeight="1" s="182">
      <c r="A705" s="4" t="n"/>
      <c r="B705" s="4" t="n"/>
      <c r="C705" s="4" t="n"/>
      <c r="D705" s="4" t="n"/>
      <c r="E705" s="4" t="n"/>
      <c r="F705" s="4" t="n"/>
    </row>
    <row r="706" ht="15.75" customHeight="1" s="182">
      <c r="A706" s="4" t="n"/>
      <c r="B706" s="4" t="n"/>
      <c r="C706" s="4" t="n"/>
      <c r="D706" s="4" t="n"/>
      <c r="E706" s="4" t="n"/>
      <c r="F706" s="4" t="n"/>
    </row>
    <row r="707" ht="15.75" customHeight="1" s="182">
      <c r="A707" s="4" t="n"/>
      <c r="B707" s="4" t="n"/>
      <c r="C707" s="4" t="n"/>
      <c r="D707" s="4" t="n"/>
      <c r="E707" s="4" t="n"/>
      <c r="F707" s="4" t="n"/>
    </row>
    <row r="708" ht="15.75" customHeight="1" s="182">
      <c r="A708" s="4" t="n"/>
      <c r="B708" s="4" t="n"/>
      <c r="C708" s="4" t="n"/>
      <c r="D708" s="4" t="n"/>
      <c r="E708" s="4" t="n"/>
      <c r="F708" s="4" t="n"/>
    </row>
    <row r="709" ht="15.75" customHeight="1" s="182">
      <c r="A709" s="4" t="n"/>
      <c r="B709" s="4" t="n"/>
      <c r="C709" s="4" t="n"/>
      <c r="D709" s="4" t="n"/>
      <c r="E709" s="4" t="n"/>
      <c r="F709" s="4" t="n"/>
    </row>
    <row r="710" ht="15.75" customHeight="1" s="182">
      <c r="A710" s="4" t="n"/>
      <c r="B710" s="4" t="n"/>
      <c r="C710" s="4" t="n"/>
      <c r="D710" s="4" t="n"/>
      <c r="E710" s="4" t="n"/>
      <c r="F710" s="4" t="n"/>
    </row>
    <row r="711" ht="15.75" customHeight="1" s="182">
      <c r="A711" s="4" t="n"/>
      <c r="B711" s="4" t="n"/>
      <c r="C711" s="4" t="n"/>
      <c r="D711" s="4" t="n"/>
      <c r="E711" s="4" t="n"/>
      <c r="F711" s="4" t="n"/>
    </row>
    <row r="712" ht="15.75" customHeight="1" s="182">
      <c r="A712" s="4" t="n"/>
      <c r="B712" s="4" t="n"/>
      <c r="C712" s="4" t="n"/>
      <c r="D712" s="4" t="n"/>
      <c r="E712" s="4" t="n"/>
      <c r="F712" s="4" t="n"/>
    </row>
    <row r="713" ht="15.75" customHeight="1" s="182">
      <c r="A713" s="4" t="n"/>
      <c r="B713" s="4" t="n"/>
      <c r="C713" s="4" t="n"/>
      <c r="D713" s="4" t="n"/>
      <c r="E713" s="4" t="n"/>
      <c r="F713" s="4" t="n"/>
    </row>
    <row r="714" ht="15.75" customHeight="1" s="182">
      <c r="A714" s="4" t="n"/>
      <c r="B714" s="4" t="n"/>
      <c r="C714" s="4" t="n"/>
      <c r="D714" s="4" t="n"/>
      <c r="E714" s="4" t="n"/>
      <c r="F714" s="4" t="n"/>
    </row>
    <row r="715" ht="15.75" customHeight="1" s="182">
      <c r="A715" s="4" t="n"/>
      <c r="B715" s="4" t="n"/>
      <c r="C715" s="4" t="n"/>
      <c r="D715" s="4" t="n"/>
      <c r="E715" s="4" t="n"/>
      <c r="F715" s="4" t="n"/>
    </row>
    <row r="716" ht="15.75" customHeight="1" s="182">
      <c r="A716" s="4" t="n"/>
      <c r="B716" s="4" t="n"/>
      <c r="C716" s="4" t="n"/>
      <c r="D716" s="4" t="n"/>
      <c r="E716" s="4" t="n"/>
      <c r="F716" s="4" t="n"/>
    </row>
    <row r="717" ht="15.75" customHeight="1" s="182">
      <c r="A717" s="4" t="n"/>
      <c r="B717" s="4" t="n"/>
      <c r="C717" s="4" t="n"/>
      <c r="D717" s="4" t="n"/>
      <c r="E717" s="4" t="n"/>
      <c r="F717" s="4" t="n"/>
    </row>
    <row r="718" ht="15.75" customHeight="1" s="182">
      <c r="A718" s="4" t="n"/>
      <c r="B718" s="4" t="n"/>
      <c r="C718" s="4" t="n"/>
      <c r="D718" s="4" t="n"/>
      <c r="E718" s="4" t="n"/>
      <c r="F718" s="4" t="n"/>
    </row>
    <row r="719" ht="15.75" customHeight="1" s="182">
      <c r="A719" s="4" t="n"/>
      <c r="B719" s="4" t="n"/>
      <c r="C719" s="4" t="n"/>
      <c r="D719" s="4" t="n"/>
      <c r="E719" s="4" t="n"/>
      <c r="F719" s="4" t="n"/>
    </row>
    <row r="720" ht="15.75" customHeight="1" s="182">
      <c r="A720" s="4" t="n"/>
      <c r="B720" s="4" t="n"/>
      <c r="C720" s="4" t="n"/>
      <c r="D720" s="4" t="n"/>
      <c r="E720" s="4" t="n"/>
      <c r="F720" s="4" t="n"/>
    </row>
    <row r="721" ht="15.75" customHeight="1" s="182">
      <c r="A721" s="4" t="n"/>
      <c r="B721" s="4" t="n"/>
      <c r="C721" s="4" t="n"/>
      <c r="D721" s="4" t="n"/>
      <c r="E721" s="4" t="n"/>
      <c r="F721" s="4" t="n"/>
    </row>
    <row r="722" ht="15.75" customHeight="1" s="182">
      <c r="A722" s="4" t="n"/>
      <c r="B722" s="4" t="n"/>
      <c r="C722" s="4" t="n"/>
      <c r="D722" s="4" t="n"/>
      <c r="E722" s="4" t="n"/>
      <c r="F722" s="4" t="n"/>
    </row>
    <row r="723" ht="15.75" customHeight="1" s="182">
      <c r="A723" s="4" t="n"/>
      <c r="B723" s="4" t="n"/>
      <c r="C723" s="4" t="n"/>
      <c r="D723" s="4" t="n"/>
      <c r="E723" s="4" t="n"/>
      <c r="F723" s="4" t="n"/>
    </row>
    <row r="724" ht="15.75" customHeight="1" s="182">
      <c r="A724" s="4" t="n"/>
      <c r="B724" s="4" t="n"/>
      <c r="C724" s="4" t="n"/>
      <c r="D724" s="4" t="n"/>
      <c r="E724" s="4" t="n"/>
      <c r="F724" s="4" t="n"/>
    </row>
    <row r="725" ht="15.75" customHeight="1" s="182">
      <c r="A725" s="4" t="n"/>
      <c r="B725" s="4" t="n"/>
      <c r="C725" s="4" t="n"/>
      <c r="D725" s="4" t="n"/>
      <c r="E725" s="4" t="n"/>
      <c r="F725" s="4" t="n"/>
    </row>
    <row r="726" ht="15.75" customHeight="1" s="182">
      <c r="A726" s="4" t="n"/>
      <c r="B726" s="4" t="n"/>
      <c r="C726" s="4" t="n"/>
      <c r="D726" s="4" t="n"/>
      <c r="E726" s="4" t="n"/>
      <c r="F726" s="4" t="n"/>
    </row>
    <row r="727" ht="15.75" customHeight="1" s="182">
      <c r="A727" s="4" t="n"/>
      <c r="B727" s="4" t="n"/>
      <c r="C727" s="4" t="n"/>
      <c r="D727" s="4" t="n"/>
      <c r="E727" s="4" t="n"/>
      <c r="F727" s="4" t="n"/>
    </row>
    <row r="728" ht="15.75" customHeight="1" s="182">
      <c r="A728" s="4" t="n"/>
      <c r="B728" s="4" t="n"/>
      <c r="C728" s="4" t="n"/>
      <c r="D728" s="4" t="n"/>
      <c r="E728" s="4" t="n"/>
      <c r="F728" s="4" t="n"/>
    </row>
    <row r="729" ht="15.75" customHeight="1" s="182">
      <c r="A729" s="4" t="n"/>
      <c r="B729" s="4" t="n"/>
      <c r="C729" s="4" t="n"/>
      <c r="D729" s="4" t="n"/>
      <c r="E729" s="4" t="n"/>
      <c r="F729" s="4" t="n"/>
    </row>
    <row r="730" ht="15.75" customHeight="1" s="182">
      <c r="A730" s="4" t="n"/>
      <c r="B730" s="4" t="n"/>
      <c r="C730" s="4" t="n"/>
      <c r="D730" s="4" t="n"/>
      <c r="E730" s="4" t="n"/>
      <c r="F730" s="4" t="n"/>
    </row>
    <row r="731" ht="15.75" customHeight="1" s="182">
      <c r="A731" s="4" t="n"/>
      <c r="B731" s="4" t="n"/>
      <c r="C731" s="4" t="n"/>
      <c r="D731" s="4" t="n"/>
      <c r="E731" s="4" t="n"/>
      <c r="F731" s="4" t="n"/>
    </row>
    <row r="732" ht="15.75" customHeight="1" s="182">
      <c r="A732" s="4" t="n"/>
      <c r="B732" s="4" t="n"/>
      <c r="C732" s="4" t="n"/>
      <c r="D732" s="4" t="n"/>
      <c r="E732" s="4" t="n"/>
      <c r="F732" s="4" t="n"/>
    </row>
    <row r="733" ht="15.75" customHeight="1" s="182">
      <c r="A733" s="4" t="n"/>
      <c r="B733" s="4" t="n"/>
      <c r="C733" s="4" t="n"/>
      <c r="D733" s="4" t="n"/>
      <c r="E733" s="4" t="n"/>
      <c r="F733" s="4" t="n"/>
    </row>
    <row r="734" ht="15.75" customHeight="1" s="182">
      <c r="A734" s="4" t="n"/>
      <c r="B734" s="4" t="n"/>
      <c r="C734" s="4" t="n"/>
      <c r="D734" s="4" t="n"/>
      <c r="E734" s="4" t="n"/>
      <c r="F734" s="4" t="n"/>
    </row>
    <row r="735" ht="15.75" customHeight="1" s="182">
      <c r="A735" s="4" t="n"/>
      <c r="B735" s="4" t="n"/>
      <c r="C735" s="4" t="n"/>
      <c r="D735" s="4" t="n"/>
      <c r="E735" s="4" t="n"/>
      <c r="F735" s="4" t="n"/>
    </row>
    <row r="736" ht="15.75" customHeight="1" s="182">
      <c r="A736" s="4" t="n"/>
      <c r="B736" s="4" t="n"/>
      <c r="C736" s="4" t="n"/>
      <c r="D736" s="4" t="n"/>
      <c r="E736" s="4" t="n"/>
      <c r="F736" s="4" t="n"/>
    </row>
    <row r="737" ht="15.75" customHeight="1" s="182">
      <c r="A737" s="4" t="n"/>
      <c r="B737" s="4" t="n"/>
      <c r="C737" s="4" t="n"/>
      <c r="D737" s="4" t="n"/>
      <c r="E737" s="4" t="n"/>
      <c r="F737" s="4" t="n"/>
    </row>
    <row r="738" ht="15.75" customHeight="1" s="182">
      <c r="A738" s="4" t="n"/>
      <c r="B738" s="4" t="n"/>
      <c r="C738" s="4" t="n"/>
      <c r="D738" s="4" t="n"/>
      <c r="E738" s="4" t="n"/>
      <c r="F738" s="4" t="n"/>
    </row>
    <row r="739" ht="15.75" customHeight="1" s="182">
      <c r="A739" s="4" t="n"/>
      <c r="B739" s="4" t="n"/>
      <c r="C739" s="4" t="n"/>
      <c r="D739" s="4" t="n"/>
      <c r="E739" s="4" t="n"/>
      <c r="F739" s="4" t="n"/>
    </row>
    <row r="740" ht="15.75" customHeight="1" s="182">
      <c r="A740" s="4" t="n"/>
      <c r="B740" s="4" t="n"/>
      <c r="C740" s="4" t="n"/>
      <c r="D740" s="4" t="n"/>
      <c r="E740" s="4" t="n"/>
      <c r="F740" s="4" t="n"/>
    </row>
    <row r="741" ht="15.75" customHeight="1" s="182">
      <c r="A741" s="4" t="n"/>
      <c r="B741" s="4" t="n"/>
      <c r="C741" s="4" t="n"/>
      <c r="D741" s="4" t="n"/>
      <c r="E741" s="4" t="n"/>
      <c r="F741" s="4" t="n"/>
    </row>
    <row r="742" ht="15.75" customHeight="1" s="182">
      <c r="A742" s="4" t="n"/>
      <c r="B742" s="4" t="n"/>
      <c r="C742" s="4" t="n"/>
      <c r="D742" s="4" t="n"/>
      <c r="E742" s="4" t="n"/>
      <c r="F742" s="4" t="n"/>
    </row>
    <row r="743" ht="15.75" customHeight="1" s="182">
      <c r="A743" s="4" t="n"/>
      <c r="B743" s="4" t="n"/>
      <c r="C743" s="4" t="n"/>
      <c r="D743" s="4" t="n"/>
      <c r="E743" s="4" t="n"/>
      <c r="F743" s="4" t="n"/>
    </row>
    <row r="744" ht="15.75" customHeight="1" s="182">
      <c r="A744" s="4" t="n"/>
      <c r="B744" s="4" t="n"/>
      <c r="C744" s="4" t="n"/>
      <c r="D744" s="4" t="n"/>
      <c r="E744" s="4" t="n"/>
      <c r="F744" s="4" t="n"/>
    </row>
    <row r="745" ht="15.75" customHeight="1" s="182">
      <c r="A745" s="4" t="n"/>
      <c r="B745" s="4" t="n"/>
      <c r="C745" s="4" t="n"/>
      <c r="D745" s="4" t="n"/>
      <c r="E745" s="4" t="n"/>
      <c r="F745" s="4" t="n"/>
    </row>
    <row r="746" ht="15.75" customHeight="1" s="182">
      <c r="A746" s="4" t="n"/>
      <c r="B746" s="4" t="n"/>
      <c r="C746" s="4" t="n"/>
      <c r="D746" s="4" t="n"/>
      <c r="E746" s="4" t="n"/>
      <c r="F746" s="4" t="n"/>
    </row>
    <row r="747" ht="15.75" customHeight="1" s="182">
      <c r="A747" s="4" t="n"/>
      <c r="B747" s="4" t="n"/>
      <c r="C747" s="4" t="n"/>
      <c r="D747" s="4" t="n"/>
      <c r="E747" s="4" t="n"/>
      <c r="F747" s="4" t="n"/>
    </row>
    <row r="748" ht="15.75" customHeight="1" s="182">
      <c r="A748" s="4" t="n"/>
      <c r="B748" s="4" t="n"/>
      <c r="C748" s="4" t="n"/>
      <c r="D748" s="4" t="n"/>
      <c r="E748" s="4" t="n"/>
      <c r="F748" s="4" t="n"/>
    </row>
    <row r="749" ht="15.75" customHeight="1" s="182">
      <c r="A749" s="4" t="n"/>
      <c r="B749" s="4" t="n"/>
      <c r="C749" s="4" t="n"/>
      <c r="D749" s="4" t="n"/>
      <c r="E749" s="4" t="n"/>
      <c r="F749" s="4" t="n"/>
    </row>
    <row r="750" ht="15.75" customHeight="1" s="182">
      <c r="A750" s="4" t="n"/>
      <c r="B750" s="4" t="n"/>
      <c r="C750" s="4" t="n"/>
      <c r="D750" s="4" t="n"/>
      <c r="E750" s="4" t="n"/>
      <c r="F750" s="4" t="n"/>
    </row>
    <row r="751" ht="15.75" customHeight="1" s="182">
      <c r="A751" s="4" t="n"/>
      <c r="B751" s="4" t="n"/>
      <c r="C751" s="4" t="n"/>
      <c r="D751" s="4" t="n"/>
      <c r="E751" s="4" t="n"/>
      <c r="F751" s="4" t="n"/>
    </row>
    <row r="752" ht="15.75" customHeight="1" s="182">
      <c r="A752" s="4" t="n"/>
      <c r="B752" s="4" t="n"/>
      <c r="C752" s="4" t="n"/>
      <c r="D752" s="4" t="n"/>
      <c r="E752" s="4" t="n"/>
      <c r="F752" s="4" t="n"/>
    </row>
    <row r="753" ht="15.75" customHeight="1" s="182">
      <c r="A753" s="4" t="n"/>
      <c r="B753" s="4" t="n"/>
      <c r="C753" s="4" t="n"/>
      <c r="D753" s="4" t="n"/>
      <c r="E753" s="4" t="n"/>
      <c r="F753" s="4" t="n"/>
    </row>
    <row r="754" ht="15.75" customHeight="1" s="182">
      <c r="A754" s="4" t="n"/>
      <c r="B754" s="4" t="n"/>
      <c r="C754" s="4" t="n"/>
      <c r="D754" s="4" t="n"/>
      <c r="E754" s="4" t="n"/>
      <c r="F754" s="4" t="n"/>
    </row>
    <row r="755" ht="15.75" customHeight="1" s="182">
      <c r="A755" s="4" t="n"/>
      <c r="B755" s="4" t="n"/>
      <c r="C755" s="4" t="n"/>
      <c r="D755" s="4" t="n"/>
      <c r="E755" s="4" t="n"/>
      <c r="F755" s="4" t="n"/>
    </row>
    <row r="756" ht="15.75" customHeight="1" s="182">
      <c r="A756" s="4" t="n"/>
      <c r="B756" s="4" t="n"/>
      <c r="C756" s="4" t="n"/>
      <c r="D756" s="4" t="n"/>
      <c r="E756" s="4" t="n"/>
      <c r="F756" s="4" t="n"/>
    </row>
    <row r="757" ht="15.75" customHeight="1" s="182">
      <c r="A757" s="4" t="n"/>
      <c r="B757" s="4" t="n"/>
      <c r="C757" s="4" t="n"/>
      <c r="D757" s="4" t="n"/>
      <c r="E757" s="4" t="n"/>
      <c r="F757" s="4" t="n"/>
    </row>
    <row r="758" ht="15.75" customHeight="1" s="182">
      <c r="A758" s="4" t="n"/>
      <c r="B758" s="4" t="n"/>
      <c r="C758" s="4" t="n"/>
      <c r="D758" s="4" t="n"/>
      <c r="E758" s="4" t="n"/>
      <c r="F758" s="4" t="n"/>
    </row>
    <row r="759" ht="15.75" customHeight="1" s="182">
      <c r="A759" s="4" t="n"/>
      <c r="B759" s="4" t="n"/>
      <c r="C759" s="4" t="n"/>
      <c r="D759" s="4" t="n"/>
      <c r="E759" s="4" t="n"/>
      <c r="F759" s="4" t="n"/>
    </row>
    <row r="760" ht="15.75" customHeight="1" s="182">
      <c r="A760" s="4" t="n"/>
      <c r="B760" s="4" t="n"/>
      <c r="C760" s="4" t="n"/>
      <c r="D760" s="4" t="n"/>
      <c r="E760" s="4" t="n"/>
      <c r="F760" s="4" t="n"/>
    </row>
    <row r="761" ht="15.75" customHeight="1" s="182">
      <c r="A761" s="4" t="n"/>
      <c r="B761" s="4" t="n"/>
      <c r="C761" s="4" t="n"/>
      <c r="D761" s="4" t="n"/>
      <c r="E761" s="4" t="n"/>
      <c r="F761" s="4" t="n"/>
    </row>
    <row r="762" ht="15.75" customHeight="1" s="182">
      <c r="A762" s="4" t="n"/>
      <c r="B762" s="4" t="n"/>
      <c r="C762" s="4" t="n"/>
      <c r="D762" s="4" t="n"/>
      <c r="E762" s="4" t="n"/>
      <c r="F762" s="4" t="n"/>
    </row>
    <row r="763" ht="15.75" customHeight="1" s="182">
      <c r="A763" s="4" t="n"/>
      <c r="B763" s="4" t="n"/>
      <c r="C763" s="4" t="n"/>
      <c r="D763" s="4" t="n"/>
      <c r="E763" s="4" t="n"/>
      <c r="F763" s="4" t="n"/>
    </row>
    <row r="764" ht="15.75" customHeight="1" s="182">
      <c r="A764" s="4" t="n"/>
      <c r="B764" s="4" t="n"/>
      <c r="C764" s="4" t="n"/>
      <c r="D764" s="4" t="n"/>
      <c r="E764" s="4" t="n"/>
      <c r="F764" s="4" t="n"/>
    </row>
    <row r="765" ht="15.75" customHeight="1" s="182">
      <c r="A765" s="4" t="n"/>
      <c r="B765" s="4" t="n"/>
      <c r="C765" s="4" t="n"/>
      <c r="D765" s="4" t="n"/>
      <c r="E765" s="4" t="n"/>
      <c r="F765" s="4" t="n"/>
    </row>
    <row r="766" ht="15.75" customHeight="1" s="182">
      <c r="A766" s="4" t="n"/>
      <c r="B766" s="4" t="n"/>
      <c r="C766" s="4" t="n"/>
      <c r="D766" s="4" t="n"/>
      <c r="E766" s="4" t="n"/>
      <c r="F766" s="4" t="n"/>
    </row>
    <row r="767" ht="15.75" customHeight="1" s="182">
      <c r="A767" s="4" t="n"/>
      <c r="B767" s="4" t="n"/>
      <c r="C767" s="4" t="n"/>
      <c r="D767" s="4" t="n"/>
      <c r="E767" s="4" t="n"/>
      <c r="F767" s="4" t="n"/>
    </row>
    <row r="768" ht="15.75" customHeight="1" s="182">
      <c r="A768" s="4" t="n"/>
      <c r="B768" s="4" t="n"/>
      <c r="C768" s="4" t="n"/>
      <c r="D768" s="4" t="n"/>
      <c r="E768" s="4" t="n"/>
      <c r="F768" s="4" t="n"/>
    </row>
    <row r="769" ht="15.75" customHeight="1" s="182">
      <c r="A769" s="4" t="n"/>
      <c r="B769" s="4" t="n"/>
      <c r="C769" s="4" t="n"/>
      <c r="D769" s="4" t="n"/>
      <c r="E769" s="4" t="n"/>
      <c r="F769" s="4" t="n"/>
    </row>
    <row r="770" ht="15.75" customHeight="1" s="182">
      <c r="A770" s="4" t="n"/>
      <c r="B770" s="4" t="n"/>
      <c r="C770" s="4" t="n"/>
      <c r="D770" s="4" t="n"/>
      <c r="E770" s="4" t="n"/>
      <c r="F770" s="4" t="n"/>
    </row>
    <row r="771" ht="15.75" customHeight="1" s="182">
      <c r="A771" s="4" t="n"/>
      <c r="B771" s="4" t="n"/>
      <c r="C771" s="4" t="n"/>
      <c r="D771" s="4" t="n"/>
      <c r="E771" s="4" t="n"/>
      <c r="F771" s="4" t="n"/>
    </row>
    <row r="772" ht="15.75" customHeight="1" s="182">
      <c r="A772" s="4" t="n"/>
      <c r="B772" s="4" t="n"/>
      <c r="C772" s="4" t="n"/>
      <c r="D772" s="4" t="n"/>
      <c r="E772" s="4" t="n"/>
      <c r="F772" s="4" t="n"/>
    </row>
    <row r="773" ht="15.75" customHeight="1" s="182">
      <c r="A773" s="4" t="n"/>
      <c r="B773" s="4" t="n"/>
      <c r="C773" s="4" t="n"/>
      <c r="D773" s="4" t="n"/>
      <c r="E773" s="4" t="n"/>
      <c r="F773" s="4" t="n"/>
    </row>
    <row r="774" ht="15.75" customHeight="1" s="182">
      <c r="A774" s="4" t="n"/>
      <c r="B774" s="4" t="n"/>
      <c r="C774" s="4" t="n"/>
      <c r="D774" s="4" t="n"/>
      <c r="E774" s="4" t="n"/>
      <c r="F774" s="4" t="n"/>
    </row>
    <row r="775" ht="15.75" customHeight="1" s="182">
      <c r="A775" s="4" t="n"/>
      <c r="B775" s="4" t="n"/>
      <c r="C775" s="4" t="n"/>
      <c r="D775" s="4" t="n"/>
      <c r="E775" s="4" t="n"/>
      <c r="F775" s="4" t="n"/>
    </row>
    <row r="776" ht="15.75" customHeight="1" s="182">
      <c r="A776" s="4" t="n"/>
      <c r="B776" s="4" t="n"/>
      <c r="C776" s="4" t="n"/>
      <c r="D776" s="4" t="n"/>
      <c r="E776" s="4" t="n"/>
      <c r="F776" s="4" t="n"/>
    </row>
    <row r="777" ht="15.75" customHeight="1" s="182">
      <c r="A777" s="4" t="n"/>
      <c r="B777" s="4" t="n"/>
      <c r="C777" s="4" t="n"/>
      <c r="D777" s="4" t="n"/>
      <c r="E777" s="4" t="n"/>
      <c r="F777" s="4" t="n"/>
    </row>
    <row r="778" ht="15.75" customHeight="1" s="182">
      <c r="A778" s="4" t="n"/>
      <c r="B778" s="4" t="n"/>
      <c r="C778" s="4" t="n"/>
      <c r="D778" s="4" t="n"/>
      <c r="E778" s="4" t="n"/>
      <c r="F778" s="4" t="n"/>
    </row>
    <row r="779" ht="15.75" customHeight="1" s="182">
      <c r="A779" s="4" t="n"/>
      <c r="B779" s="4" t="n"/>
      <c r="C779" s="4" t="n"/>
      <c r="D779" s="4" t="n"/>
      <c r="E779" s="4" t="n"/>
      <c r="F779" s="4" t="n"/>
    </row>
    <row r="780" ht="15.75" customHeight="1" s="182">
      <c r="A780" s="4" t="n"/>
      <c r="B780" s="4" t="n"/>
      <c r="C780" s="4" t="n"/>
      <c r="D780" s="4" t="n"/>
      <c r="E780" s="4" t="n"/>
      <c r="F780" s="4" t="n"/>
    </row>
    <row r="781" ht="15.75" customHeight="1" s="182">
      <c r="A781" s="4" t="n"/>
      <c r="B781" s="4" t="n"/>
      <c r="C781" s="4" t="n"/>
      <c r="D781" s="4" t="n"/>
      <c r="E781" s="4" t="n"/>
      <c r="F781" s="4" t="n"/>
    </row>
    <row r="782" ht="15.75" customHeight="1" s="182">
      <c r="A782" s="4" t="n"/>
      <c r="B782" s="4" t="n"/>
      <c r="C782" s="4" t="n"/>
      <c r="D782" s="4" t="n"/>
      <c r="E782" s="4" t="n"/>
      <c r="F782" s="4" t="n"/>
    </row>
    <row r="783" ht="15.75" customHeight="1" s="182">
      <c r="A783" s="4" t="n"/>
      <c r="B783" s="4" t="n"/>
      <c r="C783" s="4" t="n"/>
      <c r="D783" s="4" t="n"/>
      <c r="E783" s="4" t="n"/>
      <c r="F783" s="4" t="n"/>
    </row>
    <row r="784" ht="15.75" customHeight="1" s="182">
      <c r="A784" s="4" t="n"/>
      <c r="B784" s="4" t="n"/>
      <c r="C784" s="4" t="n"/>
      <c r="D784" s="4" t="n"/>
      <c r="E784" s="4" t="n"/>
      <c r="F784" s="4" t="n"/>
    </row>
    <row r="785" ht="15.75" customHeight="1" s="182">
      <c r="A785" s="4" t="n"/>
      <c r="B785" s="4" t="n"/>
      <c r="C785" s="4" t="n"/>
      <c r="D785" s="4" t="n"/>
      <c r="E785" s="4" t="n"/>
      <c r="F785" s="4" t="n"/>
    </row>
    <row r="786" ht="15.75" customHeight="1" s="182">
      <c r="A786" s="4" t="n"/>
      <c r="B786" s="4" t="n"/>
      <c r="C786" s="4" t="n"/>
      <c r="D786" s="4" t="n"/>
      <c r="E786" s="4" t="n"/>
      <c r="F786" s="4" t="n"/>
    </row>
    <row r="787" ht="15.75" customHeight="1" s="182">
      <c r="A787" s="4" t="n"/>
      <c r="B787" s="4" t="n"/>
      <c r="C787" s="4" t="n"/>
      <c r="D787" s="4" t="n"/>
      <c r="E787" s="4" t="n"/>
      <c r="F787" s="4" t="n"/>
    </row>
    <row r="788" ht="15.75" customHeight="1" s="182">
      <c r="A788" s="4" t="n"/>
      <c r="B788" s="4" t="n"/>
      <c r="C788" s="4" t="n"/>
      <c r="D788" s="4" t="n"/>
      <c r="E788" s="4" t="n"/>
      <c r="F788" s="4" t="n"/>
    </row>
    <row r="789" ht="15.75" customHeight="1" s="182">
      <c r="A789" s="4" t="n"/>
      <c r="B789" s="4" t="n"/>
      <c r="C789" s="4" t="n"/>
      <c r="D789" s="4" t="n"/>
      <c r="E789" s="4" t="n"/>
      <c r="F789" s="4" t="n"/>
    </row>
    <row r="790" ht="15.75" customHeight="1" s="182">
      <c r="A790" s="4" t="n"/>
      <c r="B790" s="4" t="n"/>
      <c r="C790" s="4" t="n"/>
      <c r="D790" s="4" t="n"/>
      <c r="E790" s="4" t="n"/>
      <c r="F790" s="4" t="n"/>
    </row>
    <row r="791" ht="15.75" customHeight="1" s="182">
      <c r="A791" s="4" t="n"/>
      <c r="B791" s="4" t="n"/>
      <c r="C791" s="4" t="n"/>
      <c r="D791" s="4" t="n"/>
      <c r="E791" s="4" t="n"/>
      <c r="F791" s="4" t="n"/>
    </row>
    <row r="792" ht="15.75" customHeight="1" s="182">
      <c r="A792" s="4" t="n"/>
      <c r="B792" s="4" t="n"/>
      <c r="C792" s="4" t="n"/>
      <c r="D792" s="4" t="n"/>
      <c r="E792" s="4" t="n"/>
      <c r="F792" s="4" t="n"/>
    </row>
    <row r="793" ht="15.75" customHeight="1" s="182">
      <c r="A793" s="4" t="n"/>
      <c r="B793" s="4" t="n"/>
      <c r="C793" s="4" t="n"/>
      <c r="D793" s="4" t="n"/>
      <c r="E793" s="4" t="n"/>
      <c r="F793" s="4" t="n"/>
    </row>
    <row r="794" ht="15.75" customHeight="1" s="182">
      <c r="A794" s="4" t="n"/>
      <c r="B794" s="4" t="n"/>
      <c r="C794" s="4" t="n"/>
      <c r="D794" s="4" t="n"/>
      <c r="E794" s="4" t="n"/>
      <c r="F794" s="4" t="n"/>
    </row>
    <row r="795" ht="15.75" customHeight="1" s="182">
      <c r="A795" s="4" t="n"/>
      <c r="B795" s="4" t="n"/>
      <c r="C795" s="4" t="n"/>
      <c r="D795" s="4" t="n"/>
      <c r="E795" s="4" t="n"/>
      <c r="F795" s="4" t="n"/>
    </row>
    <row r="796" ht="15.75" customHeight="1" s="182">
      <c r="A796" s="4" t="n"/>
      <c r="B796" s="4" t="n"/>
      <c r="C796" s="4" t="n"/>
      <c r="D796" s="4" t="n"/>
      <c r="E796" s="4" t="n"/>
      <c r="F796" s="4" t="n"/>
    </row>
    <row r="797" ht="15.75" customHeight="1" s="182">
      <c r="A797" s="4" t="n"/>
      <c r="B797" s="4" t="n"/>
      <c r="C797" s="4" t="n"/>
      <c r="D797" s="4" t="n"/>
      <c r="E797" s="4" t="n"/>
      <c r="F797" s="4" t="n"/>
    </row>
    <row r="798" ht="15.75" customHeight="1" s="182">
      <c r="A798" s="4" t="n"/>
      <c r="B798" s="4" t="n"/>
      <c r="C798" s="4" t="n"/>
      <c r="D798" s="4" t="n"/>
      <c r="E798" s="4" t="n"/>
      <c r="F798" s="4" t="n"/>
    </row>
    <row r="799" ht="15.75" customHeight="1" s="182">
      <c r="A799" s="4" t="n"/>
      <c r="B799" s="4" t="n"/>
      <c r="C799" s="4" t="n"/>
      <c r="D799" s="4" t="n"/>
      <c r="E799" s="4" t="n"/>
      <c r="F799" s="4" t="n"/>
    </row>
    <row r="800" ht="15.75" customHeight="1" s="182">
      <c r="A800" s="4" t="n"/>
      <c r="B800" s="4" t="n"/>
      <c r="C800" s="4" t="n"/>
      <c r="D800" s="4" t="n"/>
      <c r="E800" s="4" t="n"/>
      <c r="F800" s="4" t="n"/>
    </row>
    <row r="801" ht="15.75" customHeight="1" s="182">
      <c r="A801" s="4" t="n"/>
      <c r="B801" s="4" t="n"/>
      <c r="C801" s="4" t="n"/>
      <c r="D801" s="4" t="n"/>
      <c r="E801" s="4" t="n"/>
      <c r="F801" s="4" t="n"/>
    </row>
    <row r="802" ht="15.75" customHeight="1" s="182">
      <c r="A802" s="4" t="n"/>
      <c r="B802" s="4" t="n"/>
      <c r="C802" s="4" t="n"/>
      <c r="D802" s="4" t="n"/>
      <c r="E802" s="4" t="n"/>
      <c r="F802" s="4" t="n"/>
    </row>
    <row r="803" ht="15.75" customHeight="1" s="182">
      <c r="A803" s="4" t="n"/>
      <c r="B803" s="4" t="n"/>
      <c r="C803" s="4" t="n"/>
      <c r="D803" s="4" t="n"/>
      <c r="E803" s="4" t="n"/>
      <c r="F803" s="4" t="n"/>
    </row>
    <row r="804" ht="15.75" customHeight="1" s="182">
      <c r="A804" s="4" t="n"/>
      <c r="B804" s="4" t="n"/>
      <c r="C804" s="4" t="n"/>
      <c r="D804" s="4" t="n"/>
      <c r="E804" s="4" t="n"/>
      <c r="F804" s="4" t="n"/>
    </row>
    <row r="805" ht="15.75" customHeight="1" s="182">
      <c r="A805" s="4" t="n"/>
      <c r="B805" s="4" t="n"/>
      <c r="C805" s="4" t="n"/>
      <c r="D805" s="4" t="n"/>
      <c r="E805" s="4" t="n"/>
      <c r="F805" s="4" t="n"/>
    </row>
    <row r="806" ht="15.75" customHeight="1" s="182">
      <c r="A806" s="4" t="n"/>
      <c r="B806" s="4" t="n"/>
      <c r="C806" s="4" t="n"/>
      <c r="D806" s="4" t="n"/>
      <c r="E806" s="4" t="n"/>
      <c r="F806" s="4" t="n"/>
    </row>
    <row r="807" ht="15.75" customHeight="1" s="182">
      <c r="A807" s="4" t="n"/>
      <c r="B807" s="4" t="n"/>
      <c r="C807" s="4" t="n"/>
      <c r="D807" s="4" t="n"/>
      <c r="E807" s="4" t="n"/>
      <c r="F807" s="4" t="n"/>
    </row>
    <row r="808" ht="15.75" customHeight="1" s="182">
      <c r="A808" s="4" t="n"/>
      <c r="B808" s="4" t="n"/>
      <c r="C808" s="4" t="n"/>
      <c r="D808" s="4" t="n"/>
      <c r="E808" s="4" t="n"/>
      <c r="F808" s="4" t="n"/>
    </row>
    <row r="809" ht="15.75" customHeight="1" s="182">
      <c r="A809" s="4" t="n"/>
      <c r="B809" s="4" t="n"/>
      <c r="C809" s="4" t="n"/>
      <c r="D809" s="4" t="n"/>
      <c r="E809" s="4" t="n"/>
      <c r="F809" s="4" t="n"/>
    </row>
    <row r="810" ht="15.75" customHeight="1" s="182">
      <c r="A810" s="4" t="n"/>
      <c r="B810" s="4" t="n"/>
      <c r="C810" s="4" t="n"/>
      <c r="D810" s="4" t="n"/>
      <c r="E810" s="4" t="n"/>
      <c r="F810" s="4" t="n"/>
    </row>
    <row r="811" ht="15.75" customHeight="1" s="182">
      <c r="A811" s="4" t="n"/>
      <c r="B811" s="4" t="n"/>
      <c r="C811" s="4" t="n"/>
      <c r="D811" s="4" t="n"/>
      <c r="E811" s="4" t="n"/>
      <c r="F811" s="4" t="n"/>
    </row>
    <row r="812" ht="15.75" customHeight="1" s="182">
      <c r="A812" s="4" t="n"/>
      <c r="B812" s="4" t="n"/>
      <c r="C812" s="4" t="n"/>
      <c r="D812" s="4" t="n"/>
      <c r="E812" s="4" t="n"/>
      <c r="F812" s="4" t="n"/>
    </row>
    <row r="813" ht="15.75" customHeight="1" s="182">
      <c r="A813" s="4" t="n"/>
      <c r="B813" s="4" t="n"/>
      <c r="C813" s="4" t="n"/>
      <c r="D813" s="4" t="n"/>
      <c r="E813" s="4" t="n"/>
      <c r="F813" s="4" t="n"/>
    </row>
    <row r="814" ht="15.75" customHeight="1" s="182">
      <c r="A814" s="4" t="n"/>
      <c r="B814" s="4" t="n"/>
      <c r="C814" s="4" t="n"/>
      <c r="D814" s="4" t="n"/>
      <c r="E814" s="4" t="n"/>
      <c r="F814" s="4" t="n"/>
    </row>
    <row r="815" ht="15.75" customHeight="1" s="182">
      <c r="A815" s="4" t="n"/>
      <c r="B815" s="4" t="n"/>
      <c r="C815" s="4" t="n"/>
      <c r="D815" s="4" t="n"/>
      <c r="E815" s="4" t="n"/>
      <c r="F815" s="4" t="n"/>
    </row>
    <row r="816" ht="15.75" customHeight="1" s="182">
      <c r="A816" s="4" t="n"/>
      <c r="B816" s="4" t="n"/>
      <c r="C816" s="4" t="n"/>
      <c r="D816" s="4" t="n"/>
      <c r="E816" s="4" t="n"/>
      <c r="F816" s="4" t="n"/>
    </row>
    <row r="817" ht="15.75" customHeight="1" s="182">
      <c r="A817" s="4" t="n"/>
      <c r="B817" s="4" t="n"/>
      <c r="C817" s="4" t="n"/>
      <c r="D817" s="4" t="n"/>
      <c r="E817" s="4" t="n"/>
      <c r="F817" s="4" t="n"/>
    </row>
    <row r="818" ht="15.75" customHeight="1" s="182">
      <c r="A818" s="4" t="n"/>
      <c r="B818" s="4" t="n"/>
      <c r="C818" s="4" t="n"/>
      <c r="D818" s="4" t="n"/>
      <c r="E818" s="4" t="n"/>
      <c r="F818" s="4" t="n"/>
    </row>
    <row r="819" ht="15.75" customHeight="1" s="182">
      <c r="A819" s="4" t="n"/>
      <c r="B819" s="4" t="n"/>
      <c r="C819" s="4" t="n"/>
      <c r="D819" s="4" t="n"/>
      <c r="E819" s="4" t="n"/>
      <c r="F819" s="4" t="n"/>
    </row>
    <row r="820" ht="15.75" customHeight="1" s="182">
      <c r="A820" s="4" t="n"/>
      <c r="B820" s="4" t="n"/>
      <c r="C820" s="4" t="n"/>
      <c r="D820" s="4" t="n"/>
      <c r="E820" s="4" t="n"/>
      <c r="F820" s="4" t="n"/>
    </row>
    <row r="821" ht="15.75" customHeight="1" s="182">
      <c r="A821" s="4" t="n"/>
      <c r="B821" s="4" t="n"/>
      <c r="C821" s="4" t="n"/>
      <c r="D821" s="4" t="n"/>
      <c r="E821" s="4" t="n"/>
      <c r="F821" s="4" t="n"/>
    </row>
    <row r="822" ht="15.75" customHeight="1" s="182">
      <c r="A822" s="4" t="n"/>
      <c r="B822" s="4" t="n"/>
      <c r="C822" s="4" t="n"/>
      <c r="D822" s="4" t="n"/>
      <c r="E822" s="4" t="n"/>
      <c r="F822" s="4" t="n"/>
    </row>
    <row r="823" ht="15.75" customHeight="1" s="182">
      <c r="A823" s="4" t="n"/>
      <c r="B823" s="4" t="n"/>
      <c r="C823" s="4" t="n"/>
      <c r="D823" s="4" t="n"/>
      <c r="E823" s="4" t="n"/>
      <c r="F823" s="4" t="n"/>
    </row>
    <row r="824" ht="15.75" customHeight="1" s="182">
      <c r="A824" s="4" t="n"/>
      <c r="B824" s="4" t="n"/>
      <c r="C824" s="4" t="n"/>
      <c r="D824" s="4" t="n"/>
      <c r="E824" s="4" t="n"/>
      <c r="F824" s="4" t="n"/>
    </row>
    <row r="825" ht="15.75" customHeight="1" s="182">
      <c r="A825" s="4" t="n"/>
      <c r="B825" s="4" t="n"/>
      <c r="C825" s="4" t="n"/>
      <c r="D825" s="4" t="n"/>
      <c r="E825" s="4" t="n"/>
      <c r="F825" s="4" t="n"/>
    </row>
    <row r="826" ht="15.75" customHeight="1" s="182">
      <c r="A826" s="4" t="n"/>
      <c r="B826" s="4" t="n"/>
      <c r="C826" s="4" t="n"/>
      <c r="D826" s="4" t="n"/>
      <c r="E826" s="4" t="n"/>
      <c r="F826" s="4" t="n"/>
    </row>
    <row r="827" ht="15.75" customHeight="1" s="182">
      <c r="A827" s="4" t="n"/>
      <c r="B827" s="4" t="n"/>
      <c r="C827" s="4" t="n"/>
      <c r="D827" s="4" t="n"/>
      <c r="E827" s="4" t="n"/>
      <c r="F827" s="4" t="n"/>
    </row>
    <row r="828" ht="15.75" customHeight="1" s="182">
      <c r="A828" s="4" t="n"/>
      <c r="B828" s="4" t="n"/>
      <c r="C828" s="4" t="n"/>
      <c r="D828" s="4" t="n"/>
      <c r="E828" s="4" t="n"/>
      <c r="F828" s="4" t="n"/>
    </row>
    <row r="829" ht="15.75" customHeight="1" s="182">
      <c r="A829" s="4" t="n"/>
      <c r="B829" s="4" t="n"/>
      <c r="C829" s="4" t="n"/>
      <c r="D829" s="4" t="n"/>
      <c r="E829" s="4" t="n"/>
      <c r="F829" s="4" t="n"/>
    </row>
    <row r="830" ht="15.75" customHeight="1" s="182">
      <c r="A830" s="4" t="n"/>
      <c r="B830" s="4" t="n"/>
      <c r="C830" s="4" t="n"/>
      <c r="D830" s="4" t="n"/>
      <c r="E830" s="4" t="n"/>
      <c r="F830" s="4" t="n"/>
    </row>
    <row r="831" ht="15.75" customHeight="1" s="182">
      <c r="A831" s="4" t="n"/>
      <c r="B831" s="4" t="n"/>
      <c r="C831" s="4" t="n"/>
      <c r="D831" s="4" t="n"/>
      <c r="E831" s="4" t="n"/>
      <c r="F831" s="4" t="n"/>
    </row>
    <row r="832" ht="15.75" customHeight="1" s="182">
      <c r="A832" s="4" t="n"/>
      <c r="B832" s="4" t="n"/>
      <c r="C832" s="4" t="n"/>
      <c r="D832" s="4" t="n"/>
      <c r="E832" s="4" t="n"/>
      <c r="F832" s="4" t="n"/>
    </row>
    <row r="833" ht="15.75" customHeight="1" s="182">
      <c r="A833" s="4" t="n"/>
      <c r="B833" s="4" t="n"/>
      <c r="C833" s="4" t="n"/>
      <c r="D833" s="4" t="n"/>
      <c r="E833" s="4" t="n"/>
      <c r="F833" s="4" t="n"/>
    </row>
    <row r="834" ht="15.75" customHeight="1" s="182">
      <c r="A834" s="4" t="n"/>
      <c r="B834" s="4" t="n"/>
      <c r="C834" s="4" t="n"/>
      <c r="D834" s="4" t="n"/>
      <c r="E834" s="4" t="n"/>
      <c r="F834" s="4" t="n"/>
    </row>
    <row r="835" ht="15.75" customHeight="1" s="182">
      <c r="A835" s="4" t="n"/>
      <c r="B835" s="4" t="n"/>
      <c r="C835" s="4" t="n"/>
      <c r="D835" s="4" t="n"/>
      <c r="E835" s="4" t="n"/>
      <c r="F835" s="4" t="n"/>
    </row>
    <row r="836" ht="15.75" customHeight="1" s="182">
      <c r="A836" s="4" t="n"/>
      <c r="B836" s="4" t="n"/>
      <c r="C836" s="4" t="n"/>
      <c r="D836" s="4" t="n"/>
      <c r="E836" s="4" t="n"/>
      <c r="F836" s="4" t="n"/>
    </row>
    <row r="837" ht="15.75" customHeight="1" s="182">
      <c r="A837" s="4" t="n"/>
      <c r="B837" s="4" t="n"/>
      <c r="C837" s="4" t="n"/>
      <c r="D837" s="4" t="n"/>
      <c r="E837" s="4" t="n"/>
      <c r="F837" s="4" t="n"/>
    </row>
    <row r="838" ht="15.75" customHeight="1" s="182">
      <c r="A838" s="4" t="n"/>
      <c r="B838" s="4" t="n"/>
      <c r="C838" s="4" t="n"/>
      <c r="D838" s="4" t="n"/>
      <c r="E838" s="4" t="n"/>
      <c r="F838" s="4" t="n"/>
    </row>
    <row r="839" ht="15.75" customHeight="1" s="182">
      <c r="A839" s="4" t="n"/>
      <c r="B839" s="4" t="n"/>
      <c r="C839" s="4" t="n"/>
      <c r="D839" s="4" t="n"/>
      <c r="E839" s="4" t="n"/>
      <c r="F839" s="4" t="n"/>
    </row>
    <row r="840" ht="15.75" customHeight="1" s="182">
      <c r="A840" s="4" t="n"/>
      <c r="B840" s="4" t="n"/>
      <c r="C840" s="4" t="n"/>
      <c r="D840" s="4" t="n"/>
      <c r="E840" s="4" t="n"/>
      <c r="F840" s="4" t="n"/>
    </row>
    <row r="841" ht="15.75" customHeight="1" s="182">
      <c r="A841" s="4" t="n"/>
      <c r="B841" s="4" t="n"/>
      <c r="C841" s="4" t="n"/>
      <c r="D841" s="4" t="n"/>
      <c r="E841" s="4" t="n"/>
      <c r="F841" s="4" t="n"/>
    </row>
    <row r="842" ht="15.75" customHeight="1" s="182">
      <c r="A842" s="4" t="n"/>
      <c r="B842" s="4" t="n"/>
      <c r="C842" s="4" t="n"/>
      <c r="D842" s="4" t="n"/>
      <c r="E842" s="4" t="n"/>
      <c r="F842" s="4" t="n"/>
    </row>
    <row r="843" ht="15.75" customHeight="1" s="182">
      <c r="A843" s="4" t="n"/>
      <c r="B843" s="4" t="n"/>
      <c r="C843" s="4" t="n"/>
      <c r="D843" s="4" t="n"/>
      <c r="E843" s="4" t="n"/>
      <c r="F843" s="4" t="n"/>
    </row>
    <row r="844" ht="15.75" customHeight="1" s="182">
      <c r="A844" s="4" t="n"/>
      <c r="B844" s="4" t="n"/>
      <c r="C844" s="4" t="n"/>
      <c r="D844" s="4" t="n"/>
      <c r="E844" s="4" t="n"/>
      <c r="F844" s="4" t="n"/>
    </row>
    <row r="845" ht="15.75" customHeight="1" s="182">
      <c r="A845" s="4" t="n"/>
      <c r="B845" s="4" t="n"/>
      <c r="C845" s="4" t="n"/>
      <c r="D845" s="4" t="n"/>
      <c r="E845" s="4" t="n"/>
      <c r="F845" s="4" t="n"/>
    </row>
    <row r="846" ht="15.75" customHeight="1" s="182">
      <c r="A846" s="4" t="n"/>
      <c r="B846" s="4" t="n"/>
      <c r="C846" s="4" t="n"/>
      <c r="D846" s="4" t="n"/>
      <c r="E846" s="4" t="n"/>
      <c r="F846" s="4" t="n"/>
    </row>
    <row r="847" ht="15.75" customHeight="1" s="182">
      <c r="A847" s="4" t="n"/>
      <c r="B847" s="4" t="n"/>
      <c r="C847" s="4" t="n"/>
      <c r="D847" s="4" t="n"/>
      <c r="E847" s="4" t="n"/>
      <c r="F847" s="4" t="n"/>
    </row>
    <row r="848" ht="15.75" customHeight="1" s="182">
      <c r="A848" s="4" t="n"/>
      <c r="B848" s="4" t="n"/>
      <c r="C848" s="4" t="n"/>
      <c r="D848" s="4" t="n"/>
      <c r="E848" s="4" t="n"/>
      <c r="F848" s="4" t="n"/>
    </row>
    <row r="849" ht="15.75" customHeight="1" s="182">
      <c r="A849" s="4" t="n"/>
      <c r="B849" s="4" t="n"/>
      <c r="C849" s="4" t="n"/>
      <c r="D849" s="4" t="n"/>
      <c r="E849" s="4" t="n"/>
      <c r="F849" s="4" t="n"/>
    </row>
    <row r="850" ht="15.75" customHeight="1" s="182">
      <c r="A850" s="4" t="n"/>
      <c r="B850" s="4" t="n"/>
      <c r="C850" s="4" t="n"/>
      <c r="D850" s="4" t="n"/>
      <c r="E850" s="4" t="n"/>
      <c r="F850" s="4" t="n"/>
    </row>
    <row r="851" ht="15.75" customHeight="1" s="182">
      <c r="A851" s="4" t="n"/>
      <c r="B851" s="4" t="n"/>
      <c r="C851" s="4" t="n"/>
      <c r="D851" s="4" t="n"/>
      <c r="E851" s="4" t="n"/>
      <c r="F851" s="4" t="n"/>
    </row>
    <row r="852" ht="15.75" customHeight="1" s="182">
      <c r="A852" s="4" t="n"/>
      <c r="B852" s="4" t="n"/>
      <c r="C852" s="4" t="n"/>
      <c r="D852" s="4" t="n"/>
      <c r="E852" s="4" t="n"/>
      <c r="F852" s="4" t="n"/>
    </row>
    <row r="853" ht="15.75" customHeight="1" s="182">
      <c r="A853" s="4" t="n"/>
      <c r="B853" s="4" t="n"/>
      <c r="C853" s="4" t="n"/>
      <c r="D853" s="4" t="n"/>
      <c r="E853" s="4" t="n"/>
      <c r="F853" s="4" t="n"/>
    </row>
    <row r="854" ht="15.75" customHeight="1" s="182">
      <c r="A854" s="4" t="n"/>
      <c r="B854" s="4" t="n"/>
      <c r="C854" s="4" t="n"/>
      <c r="D854" s="4" t="n"/>
      <c r="E854" s="4" t="n"/>
      <c r="F854" s="4" t="n"/>
    </row>
    <row r="855" ht="15.75" customHeight="1" s="182">
      <c r="A855" s="4" t="n"/>
      <c r="B855" s="4" t="n"/>
      <c r="C855" s="4" t="n"/>
      <c r="D855" s="4" t="n"/>
      <c r="E855" s="4" t="n"/>
      <c r="F855" s="4" t="n"/>
    </row>
    <row r="856" ht="15.75" customHeight="1" s="182">
      <c r="A856" s="4" t="n"/>
      <c r="B856" s="4" t="n"/>
      <c r="C856" s="4" t="n"/>
      <c r="D856" s="4" t="n"/>
      <c r="E856" s="4" t="n"/>
      <c r="F856" s="4" t="n"/>
    </row>
    <row r="857" ht="15.75" customHeight="1" s="182">
      <c r="A857" s="4" t="n"/>
      <c r="B857" s="4" t="n"/>
      <c r="C857" s="4" t="n"/>
      <c r="D857" s="4" t="n"/>
      <c r="E857" s="4" t="n"/>
      <c r="F857" s="4" t="n"/>
    </row>
    <row r="858" ht="15.75" customHeight="1" s="182">
      <c r="A858" s="4" t="n"/>
      <c r="B858" s="4" t="n"/>
      <c r="C858" s="4" t="n"/>
      <c r="D858" s="4" t="n"/>
      <c r="E858" s="4" t="n"/>
      <c r="F858" s="4" t="n"/>
    </row>
    <row r="859" ht="15.75" customHeight="1" s="182">
      <c r="A859" s="4" t="n"/>
      <c r="B859" s="4" t="n"/>
      <c r="C859" s="4" t="n"/>
      <c r="D859" s="4" t="n"/>
      <c r="E859" s="4" t="n"/>
      <c r="F859" s="4" t="n"/>
    </row>
    <row r="860" ht="15.75" customHeight="1" s="182">
      <c r="A860" s="4" t="n"/>
      <c r="B860" s="4" t="n"/>
      <c r="C860" s="4" t="n"/>
      <c r="D860" s="4" t="n"/>
      <c r="E860" s="4" t="n"/>
      <c r="F860" s="4" t="n"/>
    </row>
    <row r="861" ht="15.75" customHeight="1" s="182">
      <c r="A861" s="4" t="n"/>
      <c r="B861" s="4" t="n"/>
      <c r="C861" s="4" t="n"/>
      <c r="D861" s="4" t="n"/>
      <c r="E861" s="4" t="n"/>
      <c r="F861" s="4" t="n"/>
    </row>
    <row r="862" ht="15.75" customHeight="1" s="182">
      <c r="A862" s="4" t="n"/>
      <c r="B862" s="4" t="n"/>
      <c r="C862" s="4" t="n"/>
      <c r="D862" s="4" t="n"/>
      <c r="E862" s="4" t="n"/>
      <c r="F862" s="4" t="n"/>
    </row>
    <row r="863" ht="15.75" customHeight="1" s="182">
      <c r="A863" s="4" t="n"/>
      <c r="B863" s="4" t="n"/>
      <c r="C863" s="4" t="n"/>
      <c r="D863" s="4" t="n"/>
      <c r="E863" s="4" t="n"/>
      <c r="F863" s="4" t="n"/>
    </row>
    <row r="864" ht="15.75" customHeight="1" s="182">
      <c r="A864" s="4" t="n"/>
      <c r="B864" s="4" t="n"/>
      <c r="C864" s="4" t="n"/>
      <c r="D864" s="4" t="n"/>
      <c r="E864" s="4" t="n"/>
      <c r="F864" s="4" t="n"/>
    </row>
    <row r="865" ht="15.75" customHeight="1" s="182">
      <c r="A865" s="4" t="n"/>
      <c r="B865" s="4" t="n"/>
      <c r="C865" s="4" t="n"/>
      <c r="D865" s="4" t="n"/>
      <c r="E865" s="4" t="n"/>
      <c r="F865" s="4" t="n"/>
    </row>
    <row r="866" ht="15.75" customHeight="1" s="182">
      <c r="A866" s="4" t="n"/>
      <c r="B866" s="4" t="n"/>
      <c r="C866" s="4" t="n"/>
      <c r="D866" s="4" t="n"/>
      <c r="E866" s="4" t="n"/>
      <c r="F866" s="4" t="n"/>
    </row>
    <row r="867" ht="15.75" customHeight="1" s="182">
      <c r="A867" s="4" t="n"/>
      <c r="B867" s="4" t="n"/>
      <c r="C867" s="4" t="n"/>
      <c r="D867" s="4" t="n"/>
      <c r="E867" s="4" t="n"/>
      <c r="F867" s="4" t="n"/>
    </row>
    <row r="868" ht="15.75" customHeight="1" s="182">
      <c r="A868" s="4" t="n"/>
      <c r="B868" s="4" t="n"/>
      <c r="C868" s="4" t="n"/>
      <c r="D868" s="4" t="n"/>
      <c r="E868" s="4" t="n"/>
      <c r="F868" s="4" t="n"/>
    </row>
    <row r="869" ht="15.75" customHeight="1" s="182">
      <c r="A869" s="4" t="n"/>
      <c r="B869" s="4" t="n"/>
      <c r="C869" s="4" t="n"/>
      <c r="D869" s="4" t="n"/>
      <c r="E869" s="4" t="n"/>
      <c r="F869" s="4" t="n"/>
    </row>
    <row r="870" ht="15.75" customHeight="1" s="182">
      <c r="A870" s="4" t="n"/>
      <c r="B870" s="4" t="n"/>
      <c r="C870" s="4" t="n"/>
      <c r="D870" s="4" t="n"/>
      <c r="E870" s="4" t="n"/>
      <c r="F870" s="4" t="n"/>
    </row>
    <row r="871" ht="15.75" customHeight="1" s="182">
      <c r="A871" s="4" t="n"/>
      <c r="B871" s="4" t="n"/>
      <c r="C871" s="4" t="n"/>
      <c r="D871" s="4" t="n"/>
      <c r="E871" s="4" t="n"/>
      <c r="F871" s="4" t="n"/>
    </row>
    <row r="872" ht="15.75" customHeight="1" s="182">
      <c r="A872" s="4" t="n"/>
      <c r="B872" s="4" t="n"/>
      <c r="C872" s="4" t="n"/>
      <c r="D872" s="4" t="n"/>
      <c r="E872" s="4" t="n"/>
      <c r="F872" s="4" t="n"/>
    </row>
    <row r="873" ht="15.75" customHeight="1" s="182">
      <c r="A873" s="4" t="n"/>
      <c r="B873" s="4" t="n"/>
      <c r="C873" s="4" t="n"/>
      <c r="D873" s="4" t="n"/>
      <c r="E873" s="4" t="n"/>
      <c r="F873" s="4" t="n"/>
    </row>
    <row r="874" ht="15.75" customHeight="1" s="182">
      <c r="A874" s="4" t="n"/>
      <c r="B874" s="4" t="n"/>
      <c r="C874" s="4" t="n"/>
      <c r="D874" s="4" t="n"/>
      <c r="E874" s="4" t="n"/>
      <c r="F874" s="4" t="n"/>
    </row>
    <row r="875" ht="15.75" customHeight="1" s="182">
      <c r="A875" s="4" t="n"/>
      <c r="B875" s="4" t="n"/>
      <c r="C875" s="4" t="n"/>
      <c r="D875" s="4" t="n"/>
      <c r="E875" s="4" t="n"/>
      <c r="F875" s="4" t="n"/>
    </row>
    <row r="876" ht="15.75" customHeight="1" s="182">
      <c r="A876" s="4" t="n"/>
      <c r="B876" s="4" t="n"/>
      <c r="C876" s="4" t="n"/>
      <c r="D876" s="4" t="n"/>
      <c r="E876" s="4" t="n"/>
      <c r="F876" s="4" t="n"/>
    </row>
    <row r="877" ht="15.75" customHeight="1" s="182">
      <c r="A877" s="4" t="n"/>
      <c r="B877" s="4" t="n"/>
      <c r="C877" s="4" t="n"/>
      <c r="D877" s="4" t="n"/>
      <c r="E877" s="4" t="n"/>
      <c r="F877" s="4" t="n"/>
    </row>
    <row r="878" ht="15.75" customHeight="1" s="182">
      <c r="A878" s="4" t="n"/>
      <c r="B878" s="4" t="n"/>
      <c r="C878" s="4" t="n"/>
      <c r="D878" s="4" t="n"/>
      <c r="E878" s="4" t="n"/>
      <c r="F878" s="4" t="n"/>
    </row>
    <row r="879" ht="15.75" customHeight="1" s="182">
      <c r="A879" s="4" t="n"/>
      <c r="B879" s="4" t="n"/>
      <c r="C879" s="4" t="n"/>
      <c r="D879" s="4" t="n"/>
      <c r="E879" s="4" t="n"/>
      <c r="F879" s="4" t="n"/>
    </row>
    <row r="880" ht="15.75" customHeight="1" s="182">
      <c r="A880" s="4" t="n"/>
      <c r="B880" s="4" t="n"/>
      <c r="C880" s="4" t="n"/>
      <c r="D880" s="4" t="n"/>
      <c r="E880" s="4" t="n"/>
      <c r="F880" s="4" t="n"/>
    </row>
    <row r="881" ht="15.75" customHeight="1" s="182">
      <c r="A881" s="4" t="n"/>
      <c r="B881" s="4" t="n"/>
      <c r="C881" s="4" t="n"/>
      <c r="D881" s="4" t="n"/>
      <c r="E881" s="4" t="n"/>
      <c r="F881" s="4" t="n"/>
    </row>
    <row r="882" ht="15.75" customHeight="1" s="182">
      <c r="A882" s="4" t="n"/>
      <c r="B882" s="4" t="n"/>
      <c r="C882" s="4" t="n"/>
      <c r="D882" s="4" t="n"/>
      <c r="E882" s="4" t="n"/>
      <c r="F882" s="4" t="n"/>
    </row>
    <row r="883" ht="15.75" customHeight="1" s="182">
      <c r="A883" s="4" t="n"/>
      <c r="B883" s="4" t="n"/>
      <c r="C883" s="4" t="n"/>
      <c r="D883" s="4" t="n"/>
      <c r="E883" s="4" t="n"/>
      <c r="F883" s="4" t="n"/>
    </row>
    <row r="884" ht="15.75" customHeight="1" s="182">
      <c r="A884" s="4" t="n"/>
      <c r="B884" s="4" t="n"/>
      <c r="C884" s="4" t="n"/>
      <c r="D884" s="4" t="n"/>
      <c r="E884" s="4" t="n"/>
      <c r="F884" s="4" t="n"/>
    </row>
    <row r="885" ht="15.75" customHeight="1" s="182">
      <c r="A885" s="4" t="n"/>
      <c r="B885" s="4" t="n"/>
      <c r="C885" s="4" t="n"/>
      <c r="D885" s="4" t="n"/>
      <c r="E885" s="4" t="n"/>
      <c r="F885" s="4" t="n"/>
    </row>
    <row r="886" ht="15.75" customHeight="1" s="182">
      <c r="A886" s="4" t="n"/>
      <c r="B886" s="4" t="n"/>
      <c r="C886" s="4" t="n"/>
      <c r="D886" s="4" t="n"/>
      <c r="E886" s="4" t="n"/>
      <c r="F886" s="4" t="n"/>
    </row>
    <row r="887" ht="15.75" customHeight="1" s="182">
      <c r="A887" s="4" t="n"/>
      <c r="B887" s="4" t="n"/>
      <c r="C887" s="4" t="n"/>
      <c r="D887" s="4" t="n"/>
      <c r="E887" s="4" t="n"/>
      <c r="F887" s="4" t="n"/>
    </row>
    <row r="888" ht="15.75" customHeight="1" s="182">
      <c r="A888" s="4" t="n"/>
      <c r="B888" s="4" t="n"/>
      <c r="C888" s="4" t="n"/>
      <c r="D888" s="4" t="n"/>
      <c r="E888" s="4" t="n"/>
      <c r="F888" s="4" t="n"/>
    </row>
    <row r="889" ht="15.75" customHeight="1" s="182">
      <c r="A889" s="4" t="n"/>
      <c r="B889" s="4" t="n"/>
      <c r="C889" s="4" t="n"/>
      <c r="D889" s="4" t="n"/>
      <c r="E889" s="4" t="n"/>
      <c r="F889" s="4" t="n"/>
    </row>
    <row r="890" ht="15.75" customHeight="1" s="182">
      <c r="A890" s="4" t="n"/>
      <c r="B890" s="4" t="n"/>
      <c r="C890" s="4" t="n"/>
      <c r="D890" s="4" t="n"/>
      <c r="E890" s="4" t="n"/>
      <c r="F890" s="4" t="n"/>
    </row>
    <row r="891" ht="15.75" customHeight="1" s="182">
      <c r="A891" s="4" t="n"/>
      <c r="B891" s="4" t="n"/>
      <c r="C891" s="4" t="n"/>
      <c r="D891" s="4" t="n"/>
      <c r="E891" s="4" t="n"/>
      <c r="F891" s="4" t="n"/>
    </row>
    <row r="892" ht="15.75" customHeight="1" s="182">
      <c r="A892" s="4" t="n"/>
      <c r="B892" s="4" t="n"/>
      <c r="C892" s="4" t="n"/>
      <c r="D892" s="4" t="n"/>
      <c r="E892" s="4" t="n"/>
      <c r="F892" s="4" t="n"/>
    </row>
    <row r="893" ht="15.75" customHeight="1" s="182">
      <c r="A893" s="4" t="n"/>
      <c r="B893" s="4" t="n"/>
      <c r="C893" s="4" t="n"/>
      <c r="D893" s="4" t="n"/>
      <c r="E893" s="4" t="n"/>
      <c r="F893" s="4" t="n"/>
    </row>
    <row r="894" ht="15.75" customHeight="1" s="182">
      <c r="A894" s="4" t="n"/>
      <c r="B894" s="4" t="n"/>
      <c r="C894" s="4" t="n"/>
      <c r="D894" s="4" t="n"/>
      <c r="E894" s="4" t="n"/>
      <c r="F894" s="4" t="n"/>
    </row>
    <row r="895" ht="15.75" customHeight="1" s="182">
      <c r="A895" s="4" t="n"/>
      <c r="B895" s="4" t="n"/>
      <c r="C895" s="4" t="n"/>
      <c r="D895" s="4" t="n"/>
      <c r="E895" s="4" t="n"/>
      <c r="F895" s="4" t="n"/>
    </row>
    <row r="896" ht="15.75" customHeight="1" s="182">
      <c r="A896" s="4" t="n"/>
      <c r="B896" s="4" t="n"/>
      <c r="C896" s="4" t="n"/>
      <c r="D896" s="4" t="n"/>
      <c r="E896" s="4" t="n"/>
      <c r="F896" s="4" t="n"/>
    </row>
    <row r="897" ht="15.75" customHeight="1" s="182">
      <c r="A897" s="4" t="n"/>
      <c r="B897" s="4" t="n"/>
      <c r="C897" s="4" t="n"/>
      <c r="D897" s="4" t="n"/>
      <c r="E897" s="4" t="n"/>
      <c r="F897" s="4" t="n"/>
    </row>
    <row r="898" ht="15.75" customHeight="1" s="182">
      <c r="A898" s="4" t="n"/>
      <c r="B898" s="4" t="n"/>
      <c r="C898" s="4" t="n"/>
      <c r="D898" s="4" t="n"/>
      <c r="E898" s="4" t="n"/>
      <c r="F898" s="4" t="n"/>
    </row>
    <row r="899" ht="15.75" customHeight="1" s="182">
      <c r="A899" s="4" t="n"/>
      <c r="B899" s="4" t="n"/>
      <c r="C899" s="4" t="n"/>
      <c r="D899" s="4" t="n"/>
      <c r="E899" s="4" t="n"/>
      <c r="F899" s="4" t="n"/>
    </row>
    <row r="900" ht="15.75" customHeight="1" s="182">
      <c r="A900" s="4" t="n"/>
      <c r="B900" s="4" t="n"/>
      <c r="C900" s="4" t="n"/>
      <c r="D900" s="4" t="n"/>
      <c r="E900" s="4" t="n"/>
      <c r="F900" s="4" t="n"/>
    </row>
    <row r="901" ht="15.75" customHeight="1" s="182">
      <c r="A901" s="4" t="n"/>
      <c r="B901" s="4" t="n"/>
      <c r="C901" s="4" t="n"/>
      <c r="D901" s="4" t="n"/>
      <c r="E901" s="4" t="n"/>
      <c r="F901" s="4" t="n"/>
    </row>
    <row r="902" ht="15.75" customHeight="1" s="182">
      <c r="A902" s="4" t="n"/>
      <c r="B902" s="4" t="n"/>
      <c r="C902" s="4" t="n"/>
      <c r="D902" s="4" t="n"/>
      <c r="E902" s="4" t="n"/>
      <c r="F902" s="4" t="n"/>
    </row>
    <row r="903" ht="15.75" customHeight="1" s="182">
      <c r="A903" s="4" t="n"/>
      <c r="B903" s="4" t="n"/>
      <c r="C903" s="4" t="n"/>
      <c r="D903" s="4" t="n"/>
      <c r="E903" s="4" t="n"/>
      <c r="F903" s="4" t="n"/>
    </row>
    <row r="904" ht="15.75" customHeight="1" s="182">
      <c r="A904" s="4" t="n"/>
      <c r="B904" s="4" t="n"/>
      <c r="C904" s="4" t="n"/>
      <c r="D904" s="4" t="n"/>
      <c r="E904" s="4" t="n"/>
      <c r="F904" s="4" t="n"/>
    </row>
    <row r="905" ht="15.75" customHeight="1" s="182">
      <c r="A905" s="4" t="n"/>
      <c r="B905" s="4" t="n"/>
      <c r="C905" s="4" t="n"/>
      <c r="D905" s="4" t="n"/>
      <c r="E905" s="4" t="n"/>
      <c r="F905" s="4" t="n"/>
    </row>
    <row r="906" ht="15.75" customHeight="1" s="182">
      <c r="A906" s="4" t="n"/>
      <c r="B906" s="4" t="n"/>
      <c r="C906" s="4" t="n"/>
      <c r="D906" s="4" t="n"/>
      <c r="E906" s="4" t="n"/>
      <c r="F906" s="4" t="n"/>
    </row>
    <row r="907" ht="15.75" customHeight="1" s="182">
      <c r="A907" s="4" t="n"/>
      <c r="B907" s="4" t="n"/>
      <c r="C907" s="4" t="n"/>
      <c r="D907" s="4" t="n"/>
      <c r="E907" s="4" t="n"/>
      <c r="F907" s="4" t="n"/>
    </row>
    <row r="908" ht="15.75" customHeight="1" s="182">
      <c r="A908" s="4" t="n"/>
      <c r="B908" s="4" t="n"/>
      <c r="C908" s="4" t="n"/>
      <c r="D908" s="4" t="n"/>
      <c r="E908" s="4" t="n"/>
      <c r="F908" s="4" t="n"/>
    </row>
    <row r="909" ht="15.75" customHeight="1" s="182">
      <c r="A909" s="4" t="n"/>
      <c r="B909" s="4" t="n"/>
      <c r="C909" s="4" t="n"/>
      <c r="D909" s="4" t="n"/>
      <c r="E909" s="4" t="n"/>
      <c r="F909" s="4" t="n"/>
    </row>
    <row r="910" ht="15.75" customHeight="1" s="182">
      <c r="A910" s="4" t="n"/>
      <c r="B910" s="4" t="n"/>
      <c r="C910" s="4" t="n"/>
      <c r="D910" s="4" t="n"/>
      <c r="E910" s="4" t="n"/>
      <c r="F910" s="4" t="n"/>
    </row>
    <row r="911" ht="15.75" customHeight="1" s="182">
      <c r="A911" s="4" t="n"/>
      <c r="B911" s="4" t="n"/>
      <c r="C911" s="4" t="n"/>
      <c r="D911" s="4" t="n"/>
      <c r="E911" s="4" t="n"/>
      <c r="F911" s="4" t="n"/>
    </row>
    <row r="912" ht="15.75" customHeight="1" s="182">
      <c r="A912" s="4" t="n"/>
      <c r="B912" s="4" t="n"/>
      <c r="C912" s="4" t="n"/>
      <c r="D912" s="4" t="n"/>
      <c r="E912" s="4" t="n"/>
      <c r="F912" s="4" t="n"/>
    </row>
    <row r="913" ht="15.75" customHeight="1" s="182">
      <c r="A913" s="4" t="n"/>
      <c r="B913" s="4" t="n"/>
      <c r="C913" s="4" t="n"/>
      <c r="D913" s="4" t="n"/>
      <c r="E913" s="4" t="n"/>
      <c r="F913" s="4" t="n"/>
    </row>
    <row r="914" ht="15.75" customHeight="1" s="182">
      <c r="A914" s="4" t="n"/>
      <c r="B914" s="4" t="n"/>
      <c r="C914" s="4" t="n"/>
      <c r="D914" s="4" t="n"/>
      <c r="E914" s="4" t="n"/>
      <c r="F914" s="4" t="n"/>
    </row>
    <row r="915" ht="15.75" customHeight="1" s="182">
      <c r="A915" s="4" t="n"/>
      <c r="B915" s="4" t="n"/>
      <c r="C915" s="4" t="n"/>
      <c r="D915" s="4" t="n"/>
      <c r="E915" s="4" t="n"/>
      <c r="F915" s="4" t="n"/>
    </row>
    <row r="916" ht="15.75" customHeight="1" s="182">
      <c r="A916" s="4" t="n"/>
      <c r="B916" s="4" t="n"/>
      <c r="C916" s="4" t="n"/>
      <c r="D916" s="4" t="n"/>
      <c r="E916" s="4" t="n"/>
      <c r="F916" s="4" t="n"/>
    </row>
    <row r="917" ht="15.75" customHeight="1" s="182">
      <c r="A917" s="4" t="n"/>
      <c r="B917" s="4" t="n"/>
      <c r="C917" s="4" t="n"/>
      <c r="D917" s="4" t="n"/>
      <c r="E917" s="4" t="n"/>
      <c r="F917" s="4" t="n"/>
    </row>
    <row r="918" ht="15.75" customHeight="1" s="182">
      <c r="A918" s="4" t="n"/>
      <c r="B918" s="4" t="n"/>
      <c r="C918" s="4" t="n"/>
      <c r="D918" s="4" t="n"/>
      <c r="E918" s="4" t="n"/>
      <c r="F918" s="4" t="n"/>
    </row>
    <row r="919" ht="15.75" customHeight="1" s="182">
      <c r="A919" s="4" t="n"/>
      <c r="B919" s="4" t="n"/>
      <c r="C919" s="4" t="n"/>
      <c r="D919" s="4" t="n"/>
      <c r="E919" s="4" t="n"/>
      <c r="F919" s="4" t="n"/>
    </row>
    <row r="920" ht="15.75" customHeight="1" s="182">
      <c r="A920" s="4" t="n"/>
      <c r="B920" s="4" t="n"/>
      <c r="C920" s="4" t="n"/>
      <c r="D920" s="4" t="n"/>
      <c r="E920" s="4" t="n"/>
      <c r="F920" s="4" t="n"/>
    </row>
    <row r="921" ht="15.75" customHeight="1" s="182">
      <c r="A921" s="4" t="n"/>
      <c r="B921" s="4" t="n"/>
      <c r="C921" s="4" t="n"/>
      <c r="D921" s="4" t="n"/>
      <c r="E921" s="4" t="n"/>
      <c r="F921" s="4" t="n"/>
    </row>
    <row r="922" ht="15.75" customHeight="1" s="182">
      <c r="A922" s="4" t="n"/>
      <c r="B922" s="4" t="n"/>
      <c r="C922" s="4" t="n"/>
      <c r="D922" s="4" t="n"/>
      <c r="E922" s="4" t="n"/>
      <c r="F922" s="4" t="n"/>
    </row>
    <row r="923" ht="15.75" customHeight="1" s="182">
      <c r="A923" s="4" t="n"/>
      <c r="B923" s="4" t="n"/>
      <c r="C923" s="4" t="n"/>
      <c r="D923" s="4" t="n"/>
      <c r="E923" s="4" t="n"/>
      <c r="F923" s="4" t="n"/>
    </row>
    <row r="924" ht="15.75" customHeight="1" s="182">
      <c r="A924" s="4" t="n"/>
      <c r="B924" s="4" t="n"/>
      <c r="C924" s="4" t="n"/>
      <c r="D924" s="4" t="n"/>
      <c r="E924" s="4" t="n"/>
      <c r="F924" s="4" t="n"/>
    </row>
    <row r="925" ht="15.75" customHeight="1" s="182">
      <c r="A925" s="4" t="n"/>
      <c r="B925" s="4" t="n"/>
      <c r="C925" s="4" t="n"/>
      <c r="D925" s="4" t="n"/>
      <c r="E925" s="4" t="n"/>
      <c r="F925" s="4" t="n"/>
    </row>
    <row r="926" ht="15.75" customHeight="1" s="182">
      <c r="A926" s="4" t="n"/>
      <c r="B926" s="4" t="n"/>
      <c r="C926" s="4" t="n"/>
      <c r="D926" s="4" t="n"/>
      <c r="E926" s="4" t="n"/>
      <c r="F926" s="4" t="n"/>
    </row>
    <row r="927" ht="15.75" customHeight="1" s="182">
      <c r="A927" s="4" t="n"/>
      <c r="B927" s="4" t="n"/>
      <c r="C927" s="4" t="n"/>
      <c r="D927" s="4" t="n"/>
      <c r="E927" s="4" t="n"/>
      <c r="F927" s="4" t="n"/>
    </row>
    <row r="928" ht="15.75" customHeight="1" s="182">
      <c r="A928" s="4" t="n"/>
      <c r="B928" s="4" t="n"/>
      <c r="C928" s="4" t="n"/>
      <c r="D928" s="4" t="n"/>
      <c r="E928" s="4" t="n"/>
      <c r="F928" s="4" t="n"/>
    </row>
    <row r="929" ht="15.75" customHeight="1" s="182">
      <c r="A929" s="4" t="n"/>
      <c r="B929" s="4" t="n"/>
      <c r="C929" s="4" t="n"/>
      <c r="D929" s="4" t="n"/>
      <c r="E929" s="4" t="n"/>
      <c r="F929" s="4" t="n"/>
    </row>
    <row r="930" ht="15.75" customHeight="1" s="182">
      <c r="A930" s="4" t="n"/>
      <c r="B930" s="4" t="n"/>
      <c r="C930" s="4" t="n"/>
      <c r="D930" s="4" t="n"/>
      <c r="E930" s="4" t="n"/>
      <c r="F930" s="4" t="n"/>
    </row>
    <row r="931" ht="15.75" customHeight="1" s="182">
      <c r="A931" s="4" t="n"/>
      <c r="B931" s="4" t="n"/>
      <c r="C931" s="4" t="n"/>
      <c r="D931" s="4" t="n"/>
      <c r="E931" s="4" t="n"/>
      <c r="F931" s="4" t="n"/>
    </row>
    <row r="932" ht="15.75" customHeight="1" s="182">
      <c r="A932" s="4" t="n"/>
      <c r="B932" s="4" t="n"/>
      <c r="C932" s="4" t="n"/>
      <c r="D932" s="4" t="n"/>
      <c r="E932" s="4" t="n"/>
      <c r="F932" s="4" t="n"/>
    </row>
    <row r="933" ht="15.75" customHeight="1" s="182">
      <c r="A933" s="4" t="n"/>
      <c r="B933" s="4" t="n"/>
      <c r="C933" s="4" t="n"/>
      <c r="D933" s="4" t="n"/>
      <c r="E933" s="4" t="n"/>
      <c r="F933" s="4" t="n"/>
    </row>
    <row r="934" ht="15.75" customHeight="1" s="182">
      <c r="A934" s="4" t="n"/>
      <c r="B934" s="4" t="n"/>
      <c r="C934" s="4" t="n"/>
      <c r="D934" s="4" t="n"/>
      <c r="E934" s="4" t="n"/>
      <c r="F934" s="4" t="n"/>
    </row>
    <row r="935" ht="15.75" customHeight="1" s="182">
      <c r="A935" s="4" t="n"/>
      <c r="B935" s="4" t="n"/>
      <c r="C935" s="4" t="n"/>
      <c r="D935" s="4" t="n"/>
      <c r="E935" s="4" t="n"/>
      <c r="F935" s="4" t="n"/>
    </row>
    <row r="936" ht="15.75" customHeight="1" s="182">
      <c r="A936" s="4" t="n"/>
      <c r="B936" s="4" t="n"/>
      <c r="C936" s="4" t="n"/>
      <c r="D936" s="4" t="n"/>
      <c r="E936" s="4" t="n"/>
      <c r="F936" s="4" t="n"/>
    </row>
    <row r="937" ht="15.75" customHeight="1" s="182">
      <c r="A937" s="4" t="n"/>
      <c r="B937" s="4" t="n"/>
      <c r="C937" s="4" t="n"/>
      <c r="D937" s="4" t="n"/>
      <c r="E937" s="4" t="n"/>
      <c r="F937" s="4" t="n"/>
    </row>
    <row r="938" ht="15.75" customHeight="1" s="182">
      <c r="A938" s="4" t="n"/>
      <c r="B938" s="4" t="n"/>
      <c r="C938" s="4" t="n"/>
      <c r="D938" s="4" t="n"/>
      <c r="E938" s="4" t="n"/>
      <c r="F938" s="4" t="n"/>
    </row>
    <row r="939" ht="15.75" customHeight="1" s="182">
      <c r="A939" s="4" t="n"/>
      <c r="B939" s="4" t="n"/>
      <c r="C939" s="4" t="n"/>
      <c r="D939" s="4" t="n"/>
      <c r="E939" s="4" t="n"/>
      <c r="F939" s="4" t="n"/>
    </row>
    <row r="940" ht="15.75" customHeight="1" s="182">
      <c r="A940" s="4" t="n"/>
      <c r="B940" s="4" t="n"/>
      <c r="C940" s="4" t="n"/>
      <c r="D940" s="4" t="n"/>
      <c r="E940" s="4" t="n"/>
      <c r="F940" s="4" t="n"/>
    </row>
    <row r="941" ht="15.75" customHeight="1" s="182">
      <c r="A941" s="4" t="n"/>
      <c r="B941" s="4" t="n"/>
      <c r="C941" s="4" t="n"/>
      <c r="D941" s="4" t="n"/>
      <c r="E941" s="4" t="n"/>
      <c r="F941" s="4" t="n"/>
    </row>
    <row r="942" ht="15.75" customHeight="1" s="182">
      <c r="A942" s="4" t="n"/>
      <c r="B942" s="4" t="n"/>
      <c r="C942" s="4" t="n"/>
      <c r="D942" s="4" t="n"/>
      <c r="E942" s="4" t="n"/>
      <c r="F942" s="4" t="n"/>
    </row>
    <row r="943" ht="15.75" customHeight="1" s="182">
      <c r="A943" s="4" t="n"/>
      <c r="B943" s="4" t="n"/>
      <c r="C943" s="4" t="n"/>
      <c r="D943" s="4" t="n"/>
      <c r="E943" s="4" t="n"/>
      <c r="F943" s="4" t="n"/>
    </row>
    <row r="944" ht="15.75" customHeight="1" s="182">
      <c r="A944" s="4" t="n"/>
      <c r="B944" s="4" t="n"/>
      <c r="C944" s="4" t="n"/>
      <c r="D944" s="4" t="n"/>
      <c r="E944" s="4" t="n"/>
      <c r="F944" s="4" t="n"/>
    </row>
    <row r="945" ht="15.75" customHeight="1" s="182">
      <c r="A945" s="4" t="n"/>
      <c r="B945" s="4" t="n"/>
      <c r="C945" s="4" t="n"/>
      <c r="D945" s="4" t="n"/>
      <c r="E945" s="4" t="n"/>
      <c r="F945" s="4" t="n"/>
    </row>
    <row r="946" ht="15.75" customHeight="1" s="182">
      <c r="A946" s="4" t="n"/>
      <c r="B946" s="4" t="n"/>
      <c r="C946" s="4" t="n"/>
      <c r="D946" s="4" t="n"/>
      <c r="E946" s="4" t="n"/>
      <c r="F946" s="4" t="n"/>
    </row>
    <row r="947" ht="15.75" customHeight="1" s="182">
      <c r="A947" s="4" t="n"/>
      <c r="B947" s="4" t="n"/>
      <c r="C947" s="4" t="n"/>
      <c r="D947" s="4" t="n"/>
      <c r="E947" s="4" t="n"/>
      <c r="F947" s="4" t="n"/>
    </row>
    <row r="948" ht="15.75" customHeight="1" s="182">
      <c r="A948" s="4" t="n"/>
      <c r="B948" s="4" t="n"/>
      <c r="C948" s="4" t="n"/>
      <c r="D948" s="4" t="n"/>
      <c r="E948" s="4" t="n"/>
      <c r="F948" s="4" t="n"/>
    </row>
    <row r="949" ht="15.75" customHeight="1" s="182">
      <c r="A949" s="4" t="n"/>
      <c r="B949" s="4" t="n"/>
      <c r="C949" s="4" t="n"/>
      <c r="D949" s="4" t="n"/>
      <c r="E949" s="4" t="n"/>
      <c r="F949" s="4" t="n"/>
    </row>
    <row r="950" ht="15.75" customHeight="1" s="182">
      <c r="A950" s="4" t="n"/>
      <c r="B950" s="4" t="n"/>
      <c r="C950" s="4" t="n"/>
      <c r="D950" s="4" t="n"/>
      <c r="E950" s="4" t="n"/>
      <c r="F950" s="4" t="n"/>
    </row>
    <row r="951" ht="15.75" customHeight="1" s="182">
      <c r="A951" s="4" t="n"/>
      <c r="B951" s="4" t="n"/>
      <c r="C951" s="4" t="n"/>
      <c r="D951" s="4" t="n"/>
      <c r="E951" s="4" t="n"/>
      <c r="F951" s="4" t="n"/>
    </row>
    <row r="952" ht="15.75" customHeight="1" s="182">
      <c r="A952" s="4" t="n"/>
      <c r="B952" s="4" t="n"/>
      <c r="C952" s="4" t="n"/>
      <c r="D952" s="4" t="n"/>
      <c r="E952" s="4" t="n"/>
      <c r="F952" s="4" t="n"/>
    </row>
    <row r="953" ht="15.75" customHeight="1" s="182">
      <c r="A953" s="4" t="n"/>
      <c r="B953" s="4" t="n"/>
      <c r="C953" s="4" t="n"/>
      <c r="D953" s="4" t="n"/>
      <c r="E953" s="4" t="n"/>
      <c r="F953" s="4" t="n"/>
    </row>
    <row r="954" ht="15.75" customHeight="1" s="182">
      <c r="A954" s="4" t="n"/>
      <c r="B954" s="4" t="n"/>
      <c r="C954" s="4" t="n"/>
      <c r="D954" s="4" t="n"/>
      <c r="E954" s="4" t="n"/>
      <c r="F954" s="4" t="n"/>
    </row>
    <row r="955" ht="15.75" customHeight="1" s="182">
      <c r="A955" s="4" t="n"/>
      <c r="B955" s="4" t="n"/>
      <c r="C955" s="4" t="n"/>
      <c r="D955" s="4" t="n"/>
      <c r="E955" s="4" t="n"/>
      <c r="F955" s="4" t="n"/>
    </row>
    <row r="956" ht="15.75" customHeight="1" s="182">
      <c r="A956" s="4" t="n"/>
      <c r="B956" s="4" t="n"/>
      <c r="C956" s="4" t="n"/>
      <c r="D956" s="4" t="n"/>
      <c r="E956" s="4" t="n"/>
      <c r="F956" s="4" t="n"/>
    </row>
    <row r="957" ht="15.75" customHeight="1" s="182">
      <c r="A957" s="4" t="n"/>
      <c r="B957" s="4" t="n"/>
      <c r="C957" s="4" t="n"/>
      <c r="D957" s="4" t="n"/>
      <c r="E957" s="4" t="n"/>
      <c r="F957" s="4" t="n"/>
    </row>
    <row r="958" ht="15.75" customHeight="1" s="182">
      <c r="A958" s="4" t="n"/>
      <c r="B958" s="4" t="n"/>
      <c r="C958" s="4" t="n"/>
      <c r="D958" s="4" t="n"/>
      <c r="E958" s="4" t="n"/>
      <c r="F958" s="4" t="n"/>
    </row>
    <row r="959" ht="15.75" customHeight="1" s="182">
      <c r="A959" s="4" t="n"/>
      <c r="B959" s="4" t="n"/>
      <c r="C959" s="4" t="n"/>
      <c r="D959" s="4" t="n"/>
      <c r="E959" s="4" t="n"/>
      <c r="F959" s="4" t="n"/>
    </row>
    <row r="960" ht="15.75" customHeight="1" s="182">
      <c r="A960" s="4" t="n"/>
      <c r="B960" s="4" t="n"/>
      <c r="C960" s="4" t="n"/>
      <c r="D960" s="4" t="n"/>
      <c r="E960" s="4" t="n"/>
      <c r="F960" s="4" t="n"/>
    </row>
    <row r="961" ht="15.75" customHeight="1" s="182">
      <c r="A961" s="4" t="n"/>
      <c r="B961" s="4" t="n"/>
      <c r="C961" s="4" t="n"/>
      <c r="D961" s="4" t="n"/>
      <c r="E961" s="4" t="n"/>
      <c r="F961" s="4" t="n"/>
    </row>
    <row r="962" ht="15.75" customHeight="1" s="182">
      <c r="A962" s="4" t="n"/>
      <c r="B962" s="4" t="n"/>
      <c r="C962" s="4" t="n"/>
      <c r="D962" s="4" t="n"/>
      <c r="E962" s="4" t="n"/>
      <c r="F962" s="4" t="n"/>
    </row>
    <row r="963" ht="15.75" customHeight="1" s="182">
      <c r="A963" s="4" t="n"/>
      <c r="B963" s="4" t="n"/>
      <c r="C963" s="4" t="n"/>
      <c r="D963" s="4" t="n"/>
      <c r="E963" s="4" t="n"/>
      <c r="F963" s="4" t="n"/>
    </row>
    <row r="964" ht="15.75" customHeight="1" s="182">
      <c r="A964" s="4" t="n"/>
      <c r="B964" s="4" t="n"/>
      <c r="C964" s="4" t="n"/>
      <c r="D964" s="4" t="n"/>
      <c r="E964" s="4" t="n"/>
      <c r="F964" s="4" t="n"/>
    </row>
    <row r="965" ht="15.75" customHeight="1" s="182">
      <c r="A965" s="4" t="n"/>
      <c r="B965" s="4" t="n"/>
      <c r="C965" s="4" t="n"/>
      <c r="D965" s="4" t="n"/>
      <c r="E965" s="4" t="n"/>
      <c r="F965" s="4" t="n"/>
    </row>
    <row r="966" ht="15.75" customHeight="1" s="182">
      <c r="A966" s="4" t="n"/>
      <c r="B966" s="4" t="n"/>
      <c r="C966" s="4" t="n"/>
      <c r="D966" s="4" t="n"/>
      <c r="E966" s="4" t="n"/>
      <c r="F966" s="4" t="n"/>
    </row>
    <row r="967" ht="15.75" customHeight="1" s="182">
      <c r="A967" s="4" t="n"/>
      <c r="B967" s="4" t="n"/>
      <c r="C967" s="4" t="n"/>
      <c r="D967" s="4" t="n"/>
      <c r="E967" s="4" t="n"/>
      <c r="F967" s="4" t="n"/>
    </row>
    <row r="968" ht="15.75" customHeight="1" s="182">
      <c r="A968" s="4" t="n"/>
      <c r="B968" s="4" t="n"/>
      <c r="C968" s="4" t="n"/>
      <c r="D968" s="4" t="n"/>
      <c r="E968" s="4" t="n"/>
      <c r="F968" s="4" t="n"/>
    </row>
    <row r="969" ht="15.75" customHeight="1" s="182">
      <c r="A969" s="4" t="n"/>
      <c r="B969" s="4" t="n"/>
      <c r="C969" s="4" t="n"/>
      <c r="D969" s="4" t="n"/>
      <c r="E969" s="4" t="n"/>
      <c r="F969" s="4" t="n"/>
    </row>
    <row r="970" ht="15.75" customHeight="1" s="182">
      <c r="A970" s="4" t="n"/>
      <c r="B970" s="4" t="n"/>
      <c r="C970" s="4" t="n"/>
      <c r="D970" s="4" t="n"/>
      <c r="E970" s="4" t="n"/>
      <c r="F970" s="4" t="n"/>
    </row>
    <row r="971" ht="15.75" customHeight="1" s="182">
      <c r="A971" s="4" t="n"/>
      <c r="B971" s="4" t="n"/>
      <c r="C971" s="4" t="n"/>
      <c r="D971" s="4" t="n"/>
      <c r="E971" s="4" t="n"/>
      <c r="F971" s="4" t="n"/>
    </row>
    <row r="972" ht="15.75" customHeight="1" s="182">
      <c r="A972" s="4" t="n"/>
      <c r="B972" s="4" t="n"/>
      <c r="C972" s="4" t="n"/>
      <c r="D972" s="4" t="n"/>
      <c r="E972" s="4" t="n"/>
      <c r="F972" s="4" t="n"/>
    </row>
    <row r="973" ht="15.75" customHeight="1" s="182">
      <c r="A973" s="4" t="n"/>
      <c r="B973" s="4" t="n"/>
      <c r="C973" s="4" t="n"/>
      <c r="D973" s="4" t="n"/>
      <c r="E973" s="4" t="n"/>
      <c r="F973" s="4" t="n"/>
    </row>
    <row r="974" ht="15.75" customHeight="1" s="182">
      <c r="A974" s="4" t="n"/>
      <c r="B974" s="4" t="n"/>
      <c r="C974" s="4" t="n"/>
      <c r="D974" s="4" t="n"/>
      <c r="E974" s="4" t="n"/>
      <c r="F974" s="4" t="n"/>
    </row>
    <row r="975" ht="15.75" customHeight="1" s="182">
      <c r="A975" s="4" t="n"/>
      <c r="B975" s="4" t="n"/>
      <c r="C975" s="4" t="n"/>
      <c r="D975" s="4" t="n"/>
      <c r="E975" s="4" t="n"/>
      <c r="F975" s="4" t="n"/>
    </row>
    <row r="976" ht="15.75" customHeight="1" s="182">
      <c r="A976" s="4" t="n"/>
      <c r="B976" s="4" t="n"/>
      <c r="C976" s="4" t="n"/>
      <c r="D976" s="4" t="n"/>
      <c r="E976" s="4" t="n"/>
      <c r="F976" s="4" t="n"/>
    </row>
    <row r="977" ht="15.75" customHeight="1" s="182">
      <c r="A977" s="4" t="n"/>
      <c r="B977" s="4" t="n"/>
      <c r="C977" s="4" t="n"/>
      <c r="D977" s="4" t="n"/>
      <c r="E977" s="4" t="n"/>
      <c r="F977" s="4" t="n"/>
    </row>
    <row r="978" ht="15.75" customHeight="1" s="182">
      <c r="A978" s="4" t="n"/>
      <c r="B978" s="4" t="n"/>
      <c r="C978" s="4" t="n"/>
      <c r="D978" s="4" t="n"/>
      <c r="E978" s="4" t="n"/>
      <c r="F978" s="4" t="n"/>
    </row>
    <row r="979" ht="15.75" customHeight="1" s="182">
      <c r="A979" s="4" t="n"/>
      <c r="B979" s="4" t="n"/>
      <c r="C979" s="4" t="n"/>
      <c r="D979" s="4" t="n"/>
      <c r="E979" s="4" t="n"/>
      <c r="F979" s="4" t="n"/>
    </row>
    <row r="980" ht="15.75" customHeight="1" s="182">
      <c r="A980" s="4" t="n"/>
      <c r="B980" s="4" t="n"/>
      <c r="C980" s="4" t="n"/>
      <c r="D980" s="4" t="n"/>
      <c r="E980" s="4" t="n"/>
      <c r="F980" s="4" t="n"/>
    </row>
    <row r="981" ht="15.75" customHeight="1" s="182">
      <c r="A981" s="4" t="n"/>
      <c r="B981" s="4" t="n"/>
      <c r="C981" s="4" t="n"/>
      <c r="D981" s="4" t="n"/>
      <c r="E981" s="4" t="n"/>
      <c r="F981" s="4" t="n"/>
    </row>
    <row r="982" ht="15.75" customHeight="1" s="182">
      <c r="A982" s="4" t="n"/>
      <c r="B982" s="4" t="n"/>
      <c r="C982" s="4" t="n"/>
      <c r="D982" s="4" t="n"/>
      <c r="E982" s="4" t="n"/>
      <c r="F982" s="4" t="n"/>
    </row>
    <row r="983" ht="15.75" customHeight="1" s="182">
      <c r="A983" s="4" t="n"/>
      <c r="B983" s="4" t="n"/>
      <c r="C983" s="4" t="n"/>
      <c r="D983" s="4" t="n"/>
      <c r="E983" s="4" t="n"/>
      <c r="F983" s="4" t="n"/>
    </row>
    <row r="984" ht="15.75" customHeight="1" s="182">
      <c r="A984" s="4" t="n"/>
      <c r="B984" s="4" t="n"/>
      <c r="C984" s="4" t="n"/>
      <c r="D984" s="4" t="n"/>
      <c r="E984" s="4" t="n"/>
      <c r="F984" s="4" t="n"/>
    </row>
    <row r="985" ht="15.75" customHeight="1" s="182">
      <c r="A985" s="4" t="n"/>
      <c r="B985" s="4" t="n"/>
      <c r="C985" s="4" t="n"/>
      <c r="D985" s="4" t="n"/>
      <c r="E985" s="4" t="n"/>
      <c r="F985" s="4" t="n"/>
    </row>
    <row r="986" ht="15.75" customHeight="1" s="182">
      <c r="A986" s="4" t="n"/>
      <c r="B986" s="4" t="n"/>
      <c r="C986" s="4" t="n"/>
      <c r="D986" s="4" t="n"/>
      <c r="E986" s="4" t="n"/>
      <c r="F986" s="4" t="n"/>
    </row>
    <row r="987" ht="15.75" customHeight="1" s="182">
      <c r="A987" s="4" t="n"/>
      <c r="B987" s="4" t="n"/>
      <c r="C987" s="4" t="n"/>
      <c r="D987" s="4" t="n"/>
      <c r="E987" s="4" t="n"/>
      <c r="F987" s="4" t="n"/>
    </row>
    <row r="988" ht="15.75" customHeight="1" s="182">
      <c r="A988" s="4" t="n"/>
      <c r="B988" s="4" t="n"/>
      <c r="C988" s="4" t="n"/>
      <c r="D988" s="4" t="n"/>
      <c r="E988" s="4" t="n"/>
      <c r="F988" s="4" t="n"/>
    </row>
    <row r="989" ht="15.75" customHeight="1" s="182">
      <c r="A989" s="4" t="n"/>
      <c r="B989" s="4" t="n"/>
      <c r="C989" s="4" t="n"/>
      <c r="D989" s="4" t="n"/>
      <c r="E989" s="4" t="n"/>
      <c r="F989" s="4" t="n"/>
    </row>
    <row r="990" ht="15.75" customHeight="1" s="182">
      <c r="A990" s="4" t="n"/>
      <c r="B990" s="4" t="n"/>
      <c r="C990" s="4" t="n"/>
      <c r="D990" s="4" t="n"/>
      <c r="E990" s="4" t="n"/>
      <c r="F990" s="4" t="n"/>
    </row>
    <row r="991" ht="15.75" customHeight="1" s="182">
      <c r="A991" s="4" t="n"/>
      <c r="B991" s="4" t="n"/>
      <c r="C991" s="4" t="n"/>
      <c r="D991" s="4" t="n"/>
      <c r="E991" s="4" t="n"/>
      <c r="F991" s="4" t="n"/>
    </row>
    <row r="992" ht="15.75" customHeight="1" s="182">
      <c r="A992" s="4" t="n"/>
      <c r="B992" s="4" t="n"/>
      <c r="C992" s="4" t="n"/>
      <c r="D992" s="4" t="n"/>
      <c r="E992" s="4" t="n"/>
      <c r="F992" s="4" t="n"/>
    </row>
    <row r="993" ht="15.75" customHeight="1" s="182">
      <c r="A993" s="4" t="n"/>
      <c r="B993" s="4" t="n"/>
      <c r="C993" s="4" t="n"/>
      <c r="D993" s="4" t="n"/>
      <c r="E993" s="4" t="n"/>
      <c r="F993" s="4" t="n"/>
    </row>
    <row r="994" ht="15.75" customHeight="1" s="182">
      <c r="A994" s="4" t="n"/>
      <c r="B994" s="4" t="n"/>
      <c r="C994" s="4" t="n"/>
      <c r="D994" s="4" t="n"/>
      <c r="E994" s="4" t="n"/>
      <c r="F994" s="4" t="n"/>
    </row>
    <row r="995" ht="15.75" customHeight="1" s="182">
      <c r="A995" s="4" t="n"/>
      <c r="B995" s="4" t="n"/>
      <c r="C995" s="4" t="n"/>
      <c r="D995" s="4" t="n"/>
      <c r="E995" s="4" t="n"/>
      <c r="F995" s="4" t="n"/>
    </row>
    <row r="996" ht="15.75" customHeight="1" s="182">
      <c r="A996" s="4" t="n"/>
      <c r="B996" s="4" t="n"/>
      <c r="C996" s="4" t="n"/>
      <c r="D996" s="4" t="n"/>
      <c r="E996" s="4" t="n"/>
      <c r="F996" s="4" t="n"/>
    </row>
    <row r="997" ht="15.75" customHeight="1" s="182">
      <c r="A997" s="4" t="n"/>
      <c r="B997" s="4" t="n"/>
      <c r="C997" s="4" t="n"/>
      <c r="D997" s="4" t="n"/>
      <c r="E997" s="4" t="n"/>
      <c r="F997" s="4" t="n"/>
    </row>
    <row r="998" ht="15.75" customHeight="1" s="182">
      <c r="A998" s="4" t="n"/>
      <c r="B998" s="4" t="n"/>
      <c r="C998" s="4" t="n"/>
      <c r="D998" s="4" t="n"/>
      <c r="E998" s="4" t="n"/>
      <c r="F998" s="4" t="n"/>
    </row>
    <row r="999" ht="15.75" customHeight="1" s="182">
      <c r="A999" s="4" t="n"/>
      <c r="B999" s="4" t="n"/>
      <c r="C999" s="4" t="n"/>
      <c r="D999" s="4" t="n"/>
      <c r="E999" s="4" t="n"/>
      <c r="F999" s="4" t="n"/>
    </row>
    <row r="1000" ht="15.75" customHeight="1" s="182">
      <c r="A1000" s="4" t="n"/>
      <c r="B1000" s="4" t="n"/>
      <c r="C1000" s="4" t="n"/>
      <c r="D1000" s="4" t="n"/>
      <c r="E1000" s="4" t="n"/>
      <c r="F1000" s="4" t="n"/>
    </row>
  </sheetData>
  <mergeCells count="7">
    <mergeCell ref="A30:E30"/>
    <mergeCell ref="A3:E5"/>
    <mergeCell ref="A2:E2"/>
    <mergeCell ref="A28:B28"/>
    <mergeCell ref="D28:E28"/>
    <mergeCell ref="A1:E1"/>
    <mergeCell ref="A31:E31"/>
  </mergeCell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tabColor rgb="FF114884"/>
    <outlinePr summaryBelow="1" summaryRight="1"/>
    <pageSetUpPr/>
  </sheetPr>
  <dimension ref="A1:Y1000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4.43" defaultRowHeight="15" customHeight="1"/>
  <cols>
    <col width="28" customWidth="1" style="182" min="1" max="1"/>
    <col width="14" customWidth="1" style="182" min="2" max="2"/>
    <col width="11" customWidth="1" style="182" min="3" max="3"/>
    <col width="12" customWidth="1" style="182" min="4" max="14"/>
  </cols>
  <sheetData>
    <row r="1" ht="48" customHeight="1" s="182">
      <c r="A1" s="213" t="inlineStr">
        <is>
          <t>⚓  Auswertung  —  Ausgaben nach Kategorien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  <c r="J1" s="194" t="n"/>
      <c r="K1" s="194" t="n"/>
      <c r="L1" s="194" t="n"/>
      <c r="M1" s="194" t="n"/>
      <c r="N1" s="19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</row>
    <row r="2" ht="21.75" customHeight="1" s="182">
      <c r="A2" s="210">
        <f>IFERROR("Törnkasse: "&amp;Besatzung!C4&amp;"  ·  Gesamt: "&amp;TEXT(SUMIF(Transaktionen!C4:C203,"Ausgabe",Transaktionen!G4:G203),"#,##0.00 €"),"")</f>
        <v/>
      </c>
      <c r="B2" s="211" t="n"/>
      <c r="C2" s="211" t="n"/>
      <c r="D2" s="211" t="n"/>
      <c r="E2" s="211" t="n"/>
      <c r="F2" s="211" t="n"/>
      <c r="G2" s="211" t="n"/>
      <c r="H2" s="211" t="n"/>
      <c r="I2" s="211" t="n"/>
      <c r="J2" s="211" t="n"/>
      <c r="K2" s="211" t="n"/>
      <c r="L2" s="211" t="n"/>
      <c r="M2" s="211" t="n"/>
      <c r="N2" s="211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27.75" customHeight="1" s="182">
      <c r="A3" s="51" t="inlineStr">
        <is>
          <t>Kategorie</t>
        </is>
      </c>
      <c r="B3" s="51" t="inlineStr">
        <is>
          <t>Gesamt €</t>
        </is>
      </c>
      <c r="C3" s="51" t="inlineStr">
        <is>
          <t>Anteil %</t>
        </is>
      </c>
      <c r="D3" s="168">
        <f>IFERROR(LEFT(Besatzung!B11,10),"P1")</f>
        <v/>
      </c>
      <c r="E3" s="168">
        <f>IFERROR(LEFT(Besatzung!B12,10),"P2")</f>
        <v/>
      </c>
      <c r="F3" s="168">
        <f>IFERROR(LEFT(Besatzung!B14,10),"P4")</f>
        <v/>
      </c>
      <c r="G3" s="168">
        <f>IFERROR(LEFT(Besatzung!B13,10),"P5")</f>
        <v/>
      </c>
      <c r="H3" s="168">
        <f>IFERROR(LEFT(Besatzung!B15,10),"P6")</f>
        <v/>
      </c>
      <c r="I3" s="168">
        <f>IFERROR(LEFT(Besatzung!B17,10),"P7")</f>
        <v/>
      </c>
      <c r="J3" s="168">
        <f>IFERROR(LEFT(Besatzung!B18,10),"P8")</f>
        <v/>
      </c>
      <c r="K3" s="168">
        <f>IFERROR(LEFT(Besatzung!B19,10),"P9")</f>
        <v/>
      </c>
      <c r="L3" s="168">
        <f>IFERROR(LEFT(Besatzung!B20,10),"P10")</f>
        <v/>
      </c>
      <c r="M3" s="168">
        <f>IFERROR(LEFT(Besatzung!B21,10),"P11")</f>
        <v/>
      </c>
      <c r="N3" s="168">
        <f>IFERROR(LEFT(Besatzung!B22,10),"P12")</f>
        <v/>
      </c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  <row r="4" ht="24" customHeight="1" s="182">
      <c r="A4" s="169">
        <f>Kategorien!$B$4</f>
        <v/>
      </c>
      <c r="B4" s="149">
        <f>IFERROR(IF(A4="","",SUMPRODUCT((Transaktionen!$C$4:$C$203="Ausgabe")*(Transaktionen!$E$4:$E$203=A4)*Transaktionen!$G$4:$G$203)),"")</f>
        <v/>
      </c>
      <c r="C4" s="170">
        <f>IFERROR(IF(A4="","",B4/B24),"")</f>
        <v/>
      </c>
      <c r="D4" s="171">
        <f>IFERROR(IF(A4="","",SUMPRODUCT((Transaktionen!$C$4:$C$203="Ausgabe")*(Transaktionen!$E$4:$E$203=A4)*Transaktionen!$V$4:$V$203)),"")</f>
        <v/>
      </c>
      <c r="E4" s="171">
        <f>IFERROR(IF(A4="","",SUMPRODUCT((Transaktionen!$C$4:$C$203="Ausgabe")*(Transaktionen!$E$4:$E$203=A4)*Transaktionen!$W$4:$W$203)),"")</f>
        <v/>
      </c>
      <c r="F4" s="171">
        <f>IFERROR(IF(A4="","",SUMPRODUCT((Transaktionen!$C$4:$C$203="Ausgabe")*(Transaktionen!$E$4:$E$203=A4)*Transaktionen!$Y$4:$Y$203)),"")</f>
        <v/>
      </c>
      <c r="G4" s="171">
        <f>IFERROR(IF(A4="","",SUMPRODUCT((Transaktionen!$C$4:$C$203="Ausgabe")*(Transaktionen!$E$4:$E$203=A4)*Transaktionen!$Z$4:$Z$203)),"")</f>
        <v/>
      </c>
      <c r="H4" s="171">
        <f>IFERROR(IF(A4="","",SUMPRODUCT((Transaktionen!$C$4:$C$203="Ausgabe")*(Transaktionen!$E$4:$E$203=A4)*Transaktionen!$AA$4:$AA$203)),"")</f>
        <v/>
      </c>
      <c r="I4" s="171">
        <f>IFERROR(IF(A4="","",SUMPRODUCT((Transaktionen!$C$4:$C$203="Ausgabe")*(Transaktionen!$E$4:$E$203=A4)*Transaktionen!$AB$4:$AB$203)),"")</f>
        <v/>
      </c>
      <c r="J4" s="171">
        <f>IFERROR(IF(A4="","",SUMPRODUCT((Transaktionen!$C$4:$C$203="Ausgabe")*(Transaktionen!$E$4:$E$203=A4)*Transaktionen!$AC$4:$AC$203)),"")</f>
        <v/>
      </c>
      <c r="K4" s="171">
        <f>IFERROR(IF(A4="","",SUMPRODUCT((Transaktionen!$C$4:$C$203="Ausgabe")*(Transaktionen!$E$4:$E$203=A4)*Transaktionen!$AD$4:$AD$203)),"")</f>
        <v/>
      </c>
      <c r="L4" s="171">
        <f>IFERROR(IF(A4="","",SUMPRODUCT((Transaktionen!$C$4:$C$203="Ausgabe")*(Transaktionen!$E$4:$E$203=A4)*Transaktionen!$AE$4:$AE$203)),"")</f>
        <v/>
      </c>
      <c r="M4" s="171">
        <f>IFERROR(IF(A4="","",SUMPRODUCT((Transaktionen!$C$4:$C$203="Ausgabe")*(Transaktionen!$E$4:$E$203=A4)*Transaktionen!$AF$4:$AF$203)),"")</f>
        <v/>
      </c>
      <c r="N4" s="172">
        <f>IFERROR(IF(A4="","",SUMPRODUCT((Transaktionen!$C$4:$C$203="Ausgabe")*(Transaktionen!$E$4:$E$203=A4)*Transaktionen!$AG$4:$AG$203)),"")</f>
        <v/>
      </c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 ht="24" customHeight="1" s="182">
      <c r="A5" s="173">
        <f>Kategorien!$B$5</f>
        <v/>
      </c>
      <c r="B5" s="154">
        <f>IFERROR(IF(A5="","",SUMPRODUCT((Transaktionen!$C$4:$C$203="Ausgabe")*(Transaktionen!$E$4:$E$203=A5)*Transaktionen!$G$4:$G$203)),"")</f>
        <v/>
      </c>
      <c r="C5" s="174">
        <f>IFERROR(IF(A5="","",B5/B24),"")</f>
        <v/>
      </c>
      <c r="D5" s="175">
        <f>IFERROR(IF(A5="","",SUMPRODUCT((Transaktionen!$C$4:$C$203="Ausgabe")*(Transaktionen!$E$4:$E$203=A5)*Transaktionen!$V$4:$V$203)),"")</f>
        <v/>
      </c>
      <c r="E5" s="175">
        <f>IFERROR(IF(A5="","",SUMPRODUCT((Transaktionen!$C$4:$C$203="Ausgabe")*(Transaktionen!$E$4:$E$203=A5)*Transaktionen!$W$4:$W$203)),"")</f>
        <v/>
      </c>
      <c r="F5" s="175">
        <f>IFERROR(IF(A5="","",SUMPRODUCT((Transaktionen!$C$4:$C$203="Ausgabe")*(Transaktionen!$E$4:$E$203=A5)*Transaktionen!$Y$4:$Y$203)),"")</f>
        <v/>
      </c>
      <c r="G5" s="175">
        <f>IFERROR(IF(A5="","",SUMPRODUCT((Transaktionen!$C$4:$C$203="Ausgabe")*(Transaktionen!$E$4:$E$203=A5)*Transaktionen!$Z$4:$Z$203)),"")</f>
        <v/>
      </c>
      <c r="H5" s="175">
        <f>IFERROR(IF(A5="","",SUMPRODUCT((Transaktionen!$C$4:$C$203="Ausgabe")*(Transaktionen!$E$4:$E$203=A5)*Transaktionen!$AA$4:$AA$203)),"")</f>
        <v/>
      </c>
      <c r="I5" s="175">
        <f>IFERROR(IF(A5="","",SUMPRODUCT((Transaktionen!$C$4:$C$203="Ausgabe")*(Transaktionen!$E$4:$E$203=A5)*Transaktionen!$AB$4:$AB$203)),"")</f>
        <v/>
      </c>
      <c r="J5" s="175">
        <f>IFERROR(IF(A5="","",SUMPRODUCT((Transaktionen!$C$4:$C$203="Ausgabe")*(Transaktionen!$E$4:$E$203=A5)*Transaktionen!$AC$4:$AC$203)),"")</f>
        <v/>
      </c>
      <c r="K5" s="175">
        <f>IFERROR(IF(A5="","",SUMPRODUCT((Transaktionen!$C$4:$C$203="Ausgabe")*(Transaktionen!$E$4:$E$203=A5)*Transaktionen!$AD$4:$AD$203)),"")</f>
        <v/>
      </c>
      <c r="L5" s="175">
        <f>IFERROR(IF(A5="","",SUMPRODUCT((Transaktionen!$C$4:$C$203="Ausgabe")*(Transaktionen!$E$4:$E$203=A5)*Transaktionen!$AE$4:$AE$203)),"")</f>
        <v/>
      </c>
      <c r="M5" s="175">
        <f>IFERROR(IF(A5="","",SUMPRODUCT((Transaktionen!$C$4:$C$203="Ausgabe")*(Transaktionen!$E$4:$E$203=A5)*Transaktionen!$AF$4:$AF$203)),"")</f>
        <v/>
      </c>
      <c r="N5" s="176">
        <f>IFERROR(IF(A5="","",SUMPRODUCT((Transaktionen!$C$4:$C$203="Ausgabe")*(Transaktionen!$E$4:$E$203=A5)*Transaktionen!$AG$4:$AG$203)),"")</f>
        <v/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 ht="24" customHeight="1" s="182">
      <c r="A6" s="169">
        <f>Kategorien!$B$6</f>
        <v/>
      </c>
      <c r="B6" s="149">
        <f>IFERROR(IF(A6="","",SUMPRODUCT((Transaktionen!$C$4:$C$203="Ausgabe")*(Transaktionen!$E$4:$E$203=A6)*Transaktionen!$G$4:$G$203)),"")</f>
        <v/>
      </c>
      <c r="C6" s="170">
        <f>IFERROR(IF(A6="","",B6/B24),"")</f>
        <v/>
      </c>
      <c r="D6" s="171">
        <f>IFERROR(IF(A6="","",SUMPRODUCT((Transaktionen!$C$4:$C$203="Ausgabe")*(Transaktionen!$E$4:$E$203=A6)*Transaktionen!$V$4:$V$203)),"")</f>
        <v/>
      </c>
      <c r="E6" s="171">
        <f>IFERROR(IF(A6="","",SUMPRODUCT((Transaktionen!$C$4:$C$203="Ausgabe")*(Transaktionen!$E$4:$E$203=A6)*Transaktionen!$W$4:$W$203)),"")</f>
        <v/>
      </c>
      <c r="F6" s="171">
        <f>IFERROR(IF(A6="","",SUMPRODUCT((Transaktionen!$C$4:$C$203="Ausgabe")*(Transaktionen!$E$4:$E$203=A6)*Transaktionen!$Y$4:$Y$203)),"")</f>
        <v/>
      </c>
      <c r="G6" s="171">
        <f>IFERROR(IF(A6="","",SUMPRODUCT((Transaktionen!$C$4:$C$203="Ausgabe")*(Transaktionen!$E$4:$E$203=A6)*Transaktionen!$Z$4:$Z$203)),"")</f>
        <v/>
      </c>
      <c r="H6" s="171">
        <f>IFERROR(IF(A6="","",SUMPRODUCT((Transaktionen!$C$4:$C$203="Ausgabe")*(Transaktionen!$E$4:$E$203=A6)*Transaktionen!$AA$4:$AA$203)),"")</f>
        <v/>
      </c>
      <c r="I6" s="171">
        <f>IFERROR(IF(A6="","",SUMPRODUCT((Transaktionen!$C$4:$C$203="Ausgabe")*(Transaktionen!$E$4:$E$203=A6)*Transaktionen!$AB$4:$AB$203)),"")</f>
        <v/>
      </c>
      <c r="J6" s="171">
        <f>IFERROR(IF(A6="","",SUMPRODUCT((Transaktionen!$C$4:$C$203="Ausgabe")*(Transaktionen!$E$4:$E$203=A6)*Transaktionen!$AC$4:$AC$203)),"")</f>
        <v/>
      </c>
      <c r="K6" s="171">
        <f>IFERROR(IF(A6="","",SUMPRODUCT((Transaktionen!$C$4:$C$203="Ausgabe")*(Transaktionen!$E$4:$E$203=A6)*Transaktionen!$AD$4:$AD$203)),"")</f>
        <v/>
      </c>
      <c r="L6" s="171">
        <f>IFERROR(IF(A6="","",SUMPRODUCT((Transaktionen!$C$4:$C$203="Ausgabe")*(Transaktionen!$E$4:$E$203=A6)*Transaktionen!$AE$4:$AE$203)),"")</f>
        <v/>
      </c>
      <c r="M6" s="171">
        <f>IFERROR(IF(A6="","",SUMPRODUCT((Transaktionen!$C$4:$C$203="Ausgabe")*(Transaktionen!$E$4:$E$203=A6)*Transaktionen!$AF$4:$AF$203)),"")</f>
        <v/>
      </c>
      <c r="N6" s="172">
        <f>IFERROR(IF(A6="","",SUMPRODUCT((Transaktionen!$C$4:$C$203="Ausgabe")*(Transaktionen!$E$4:$E$203=A6)*Transaktionen!$AG$4:$AG$203)),"")</f>
        <v/>
      </c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 ht="24" customHeight="1" s="182">
      <c r="A7" s="173">
        <f>Kategorien!$B$7</f>
        <v/>
      </c>
      <c r="B7" s="154">
        <f>IFERROR(IF(A7="","",SUMPRODUCT((Transaktionen!$C$4:$C$203="Ausgabe")*(Transaktionen!$E$4:$E$203=A7)*Transaktionen!$G$4:$G$203)),"")</f>
        <v/>
      </c>
      <c r="C7" s="174">
        <f>IFERROR(IF(A7="","",B7/B24),"")</f>
        <v/>
      </c>
      <c r="D7" s="175">
        <f>IFERROR(IF(A7="","",SUMPRODUCT((Transaktionen!$C$4:$C$203="Ausgabe")*(Transaktionen!$E$4:$E$203=A7)*Transaktionen!$V$4:$V$203)),"")</f>
        <v/>
      </c>
      <c r="E7" s="175">
        <f>IFERROR(IF(A7="","",SUMPRODUCT((Transaktionen!$C$4:$C$203="Ausgabe")*(Transaktionen!$E$4:$E$203=A7)*Transaktionen!$W$4:$W$203)),"")</f>
        <v/>
      </c>
      <c r="F7" s="175">
        <f>IFERROR(IF(A7="","",SUMPRODUCT((Transaktionen!$C$4:$C$203="Ausgabe")*(Transaktionen!$E$4:$E$203=A7)*Transaktionen!$Y$4:$Y$203)),"")</f>
        <v/>
      </c>
      <c r="G7" s="175">
        <f>IFERROR(IF(A7="","",SUMPRODUCT((Transaktionen!$C$4:$C$203="Ausgabe")*(Transaktionen!$E$4:$E$203=A7)*Transaktionen!$Z$4:$Z$203)),"")</f>
        <v/>
      </c>
      <c r="H7" s="175">
        <f>IFERROR(IF(A7="","",SUMPRODUCT((Transaktionen!$C$4:$C$203="Ausgabe")*(Transaktionen!$E$4:$E$203=A7)*Transaktionen!$AA$4:$AA$203)),"")</f>
        <v/>
      </c>
      <c r="I7" s="175">
        <f>IFERROR(IF(A7="","",SUMPRODUCT((Transaktionen!$C$4:$C$203="Ausgabe")*(Transaktionen!$E$4:$E$203=A7)*Transaktionen!$AB$4:$AB$203)),"")</f>
        <v/>
      </c>
      <c r="J7" s="175">
        <f>IFERROR(IF(A7="","",SUMPRODUCT((Transaktionen!$C$4:$C$203="Ausgabe")*(Transaktionen!$E$4:$E$203=A7)*Transaktionen!$AC$4:$AC$203)),"")</f>
        <v/>
      </c>
      <c r="K7" s="175">
        <f>IFERROR(IF(A7="","",SUMPRODUCT((Transaktionen!$C$4:$C$203="Ausgabe")*(Transaktionen!$E$4:$E$203=A7)*Transaktionen!$AD$4:$AD$203)),"")</f>
        <v/>
      </c>
      <c r="L7" s="175">
        <f>IFERROR(IF(A7="","",SUMPRODUCT((Transaktionen!$C$4:$C$203="Ausgabe")*(Transaktionen!$E$4:$E$203=A7)*Transaktionen!$AE$4:$AE$203)),"")</f>
        <v/>
      </c>
      <c r="M7" s="175">
        <f>IFERROR(IF(A7="","",SUMPRODUCT((Transaktionen!$C$4:$C$203="Ausgabe")*(Transaktionen!$E$4:$E$203=A7)*Transaktionen!$AF$4:$AF$203)),"")</f>
        <v/>
      </c>
      <c r="N7" s="176">
        <f>IFERROR(IF(A7="","",SUMPRODUCT((Transaktionen!$C$4:$C$203="Ausgabe")*(Transaktionen!$E$4:$E$203=A7)*Transaktionen!$AG$4:$AG$203)),"")</f>
        <v/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</row>
    <row r="8" ht="24" customHeight="1" s="182">
      <c r="A8" s="169">
        <f>Kategorien!$B$8</f>
        <v/>
      </c>
      <c r="B8" s="149">
        <f>IFERROR(IF(A8="","",SUMPRODUCT((Transaktionen!$C$4:$C$203="Ausgabe")*(Transaktionen!$E$4:$E$203=A8)*Transaktionen!$G$4:$G$203)),"")</f>
        <v/>
      </c>
      <c r="C8" s="170">
        <f>IFERROR(IF(A8="","",B8/B24),"")</f>
        <v/>
      </c>
      <c r="D8" s="171">
        <f>IFERROR(IF(A8="","",SUMPRODUCT((Transaktionen!$C$4:$C$203="Ausgabe")*(Transaktionen!$E$4:$E$203=A8)*Transaktionen!$V$4:$V$203)),"")</f>
        <v/>
      </c>
      <c r="E8" s="171">
        <f>IFERROR(IF(A8="","",SUMPRODUCT((Transaktionen!$C$4:$C$203="Ausgabe")*(Transaktionen!$E$4:$E$203=A8)*Transaktionen!$W$4:$W$203)),"")</f>
        <v/>
      </c>
      <c r="F8" s="171">
        <f>IFERROR(IF(A8="","",SUMPRODUCT((Transaktionen!$C$4:$C$203="Ausgabe")*(Transaktionen!$E$4:$E$203=A8)*Transaktionen!$Y$4:$Y$203)),"")</f>
        <v/>
      </c>
      <c r="G8" s="171">
        <f>IFERROR(IF(A8="","",SUMPRODUCT((Transaktionen!$C$4:$C$203="Ausgabe")*(Transaktionen!$E$4:$E$203=A8)*Transaktionen!$Z$4:$Z$203)),"")</f>
        <v/>
      </c>
      <c r="H8" s="171">
        <f>IFERROR(IF(A8="","",SUMPRODUCT((Transaktionen!$C$4:$C$203="Ausgabe")*(Transaktionen!$E$4:$E$203=A8)*Transaktionen!$AA$4:$AA$203)),"")</f>
        <v/>
      </c>
      <c r="I8" s="171">
        <f>IFERROR(IF(A8="","",SUMPRODUCT((Transaktionen!$C$4:$C$203="Ausgabe")*(Transaktionen!$E$4:$E$203=A8)*Transaktionen!$AB$4:$AB$203)),"")</f>
        <v/>
      </c>
      <c r="J8" s="171">
        <f>IFERROR(IF(A8="","",SUMPRODUCT((Transaktionen!$C$4:$C$203="Ausgabe")*(Transaktionen!$E$4:$E$203=A8)*Transaktionen!$AC$4:$AC$203)),"")</f>
        <v/>
      </c>
      <c r="K8" s="171">
        <f>IFERROR(IF(A8="","",SUMPRODUCT((Transaktionen!$C$4:$C$203="Ausgabe")*(Transaktionen!$E$4:$E$203=A8)*Transaktionen!$AD$4:$AD$203)),"")</f>
        <v/>
      </c>
      <c r="L8" s="171">
        <f>IFERROR(IF(A8="","",SUMPRODUCT((Transaktionen!$C$4:$C$203="Ausgabe")*(Transaktionen!$E$4:$E$203=A8)*Transaktionen!$AE$4:$AE$203)),"")</f>
        <v/>
      </c>
      <c r="M8" s="171">
        <f>IFERROR(IF(A8="","",SUMPRODUCT((Transaktionen!$C$4:$C$203="Ausgabe")*(Transaktionen!$E$4:$E$203=A8)*Transaktionen!$AF$4:$AF$203)),"")</f>
        <v/>
      </c>
      <c r="N8" s="172">
        <f>IFERROR(IF(A8="","",SUMPRODUCT((Transaktionen!$C$4:$C$203="Ausgabe")*(Transaktionen!$E$4:$E$203=A8)*Transaktionen!$AG$4:$AG$203)),"")</f>
        <v/>
      </c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 ht="24" customHeight="1" s="182">
      <c r="A9" s="173">
        <f>Kategorien!$B$9</f>
        <v/>
      </c>
      <c r="B9" s="154">
        <f>IFERROR(IF(A9="","",SUMPRODUCT((Transaktionen!$C$4:$C$203="Ausgabe")*(Transaktionen!$E$4:$E$203=A9)*Transaktionen!$G$4:$G$203)),"")</f>
        <v/>
      </c>
      <c r="C9" s="174">
        <f>IFERROR(IF(A9="","",B9/B24),"")</f>
        <v/>
      </c>
      <c r="D9" s="175">
        <f>IFERROR(IF(A9="","",SUMPRODUCT((Transaktionen!$C$4:$C$203="Ausgabe")*(Transaktionen!$E$4:$E$203=A9)*Transaktionen!$V$4:$V$203)),"")</f>
        <v/>
      </c>
      <c r="E9" s="175">
        <f>IFERROR(IF(A9="","",SUMPRODUCT((Transaktionen!$C$4:$C$203="Ausgabe")*(Transaktionen!$E$4:$E$203=A9)*Transaktionen!$W$4:$W$203)),"")</f>
        <v/>
      </c>
      <c r="F9" s="175">
        <f>IFERROR(IF(A9="","",SUMPRODUCT((Transaktionen!$C$4:$C$203="Ausgabe")*(Transaktionen!$E$4:$E$203=A9)*Transaktionen!$Y$4:$Y$203)),"")</f>
        <v/>
      </c>
      <c r="G9" s="175">
        <f>IFERROR(IF(A9="","",SUMPRODUCT((Transaktionen!$C$4:$C$203="Ausgabe")*(Transaktionen!$E$4:$E$203=A9)*Transaktionen!$Z$4:$Z$203)),"")</f>
        <v/>
      </c>
      <c r="H9" s="175">
        <f>IFERROR(IF(A9="","",SUMPRODUCT((Transaktionen!$C$4:$C$203="Ausgabe")*(Transaktionen!$E$4:$E$203=A9)*Transaktionen!$AA$4:$AA$203)),"")</f>
        <v/>
      </c>
      <c r="I9" s="175">
        <f>IFERROR(IF(A9="","",SUMPRODUCT((Transaktionen!$C$4:$C$203="Ausgabe")*(Transaktionen!$E$4:$E$203=A9)*Transaktionen!$AB$4:$AB$203)),"")</f>
        <v/>
      </c>
      <c r="J9" s="175">
        <f>IFERROR(IF(A9="","",SUMPRODUCT((Transaktionen!$C$4:$C$203="Ausgabe")*(Transaktionen!$E$4:$E$203=A9)*Transaktionen!$AC$4:$AC$203)),"")</f>
        <v/>
      </c>
      <c r="K9" s="175">
        <f>IFERROR(IF(A9="","",SUMPRODUCT((Transaktionen!$C$4:$C$203="Ausgabe")*(Transaktionen!$E$4:$E$203=A9)*Transaktionen!$AD$4:$AD$203)),"")</f>
        <v/>
      </c>
      <c r="L9" s="175">
        <f>IFERROR(IF(A9="","",SUMPRODUCT((Transaktionen!$C$4:$C$203="Ausgabe")*(Transaktionen!$E$4:$E$203=A9)*Transaktionen!$AE$4:$AE$203)),"")</f>
        <v/>
      </c>
      <c r="M9" s="175">
        <f>IFERROR(IF(A9="","",SUMPRODUCT((Transaktionen!$C$4:$C$203="Ausgabe")*(Transaktionen!$E$4:$E$203=A9)*Transaktionen!$AF$4:$AF$203)),"")</f>
        <v/>
      </c>
      <c r="N9" s="176">
        <f>IFERROR(IF(A9="","",SUMPRODUCT((Transaktionen!$C$4:$C$203="Ausgabe")*(Transaktionen!$E$4:$E$203=A9)*Transaktionen!$AG$4:$AG$203)),"")</f>
        <v/>
      </c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</row>
    <row r="10" ht="24" customHeight="1" s="182">
      <c r="A10" s="169">
        <f>Kategorien!$B$10</f>
        <v/>
      </c>
      <c r="B10" s="149">
        <f>IFERROR(IF(A10="","",SUMPRODUCT((Transaktionen!$C$4:$C$203="Ausgabe")*(Transaktionen!$E$4:$E$203=A10)*Transaktionen!$G$4:$G$203)),"")</f>
        <v/>
      </c>
      <c r="C10" s="170">
        <f>IFERROR(IF(A10="","",B10/B24),"")</f>
        <v/>
      </c>
      <c r="D10" s="171">
        <f>IFERROR(IF(A10="","",SUMPRODUCT((Transaktionen!$C$4:$C$203="Ausgabe")*(Transaktionen!$E$4:$E$203=A10)*Transaktionen!$V$4:$V$203)),"")</f>
        <v/>
      </c>
      <c r="E10" s="171">
        <f>IFERROR(IF(A10="","",SUMPRODUCT((Transaktionen!$C$4:$C$203="Ausgabe")*(Transaktionen!$E$4:$E$203=A10)*Transaktionen!$W$4:$W$203)),"")</f>
        <v/>
      </c>
      <c r="F10" s="171">
        <f>IFERROR(IF(A10="","",SUMPRODUCT((Transaktionen!$C$4:$C$203="Ausgabe")*(Transaktionen!$E$4:$E$203=A10)*Transaktionen!$Y$4:$Y$203)),"")</f>
        <v/>
      </c>
      <c r="G10" s="171">
        <f>IFERROR(IF(A10="","",SUMPRODUCT((Transaktionen!$C$4:$C$203="Ausgabe")*(Transaktionen!$E$4:$E$203=A10)*Transaktionen!$Z$4:$Z$203)),"")</f>
        <v/>
      </c>
      <c r="H10" s="171">
        <f>IFERROR(IF(A10="","",SUMPRODUCT((Transaktionen!$C$4:$C$203="Ausgabe")*(Transaktionen!$E$4:$E$203=A10)*Transaktionen!$AA$4:$AA$203)),"")</f>
        <v/>
      </c>
      <c r="I10" s="171">
        <f>IFERROR(IF(A10="","",SUMPRODUCT((Transaktionen!$C$4:$C$203="Ausgabe")*(Transaktionen!$E$4:$E$203=A10)*Transaktionen!$AB$4:$AB$203)),"")</f>
        <v/>
      </c>
      <c r="J10" s="171">
        <f>IFERROR(IF(A10="","",SUMPRODUCT((Transaktionen!$C$4:$C$203="Ausgabe")*(Transaktionen!$E$4:$E$203=A10)*Transaktionen!$AC$4:$AC$203)),"")</f>
        <v/>
      </c>
      <c r="K10" s="171">
        <f>IFERROR(IF(A10="","",SUMPRODUCT((Transaktionen!$C$4:$C$203="Ausgabe")*(Transaktionen!$E$4:$E$203=A10)*Transaktionen!$AD$4:$AD$203)),"")</f>
        <v/>
      </c>
      <c r="L10" s="171">
        <f>IFERROR(IF(A10="","",SUMPRODUCT((Transaktionen!$C$4:$C$203="Ausgabe")*(Transaktionen!$E$4:$E$203=A10)*Transaktionen!$AE$4:$AE$203)),"")</f>
        <v/>
      </c>
      <c r="M10" s="171">
        <f>IFERROR(IF(A10="","",SUMPRODUCT((Transaktionen!$C$4:$C$203="Ausgabe")*(Transaktionen!$E$4:$E$203=A10)*Transaktionen!$AF$4:$AF$203)),"")</f>
        <v/>
      </c>
      <c r="N10" s="172">
        <f>IFERROR(IF(A10="","",SUMPRODUCT((Transaktionen!$C$4:$C$203="Ausgabe")*(Transaktionen!$E$4:$E$203=A10)*Transaktionen!$AG$4:$AG$203)),"")</f>
        <v/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 ht="24" customHeight="1" s="182">
      <c r="A11" s="173">
        <f>Kategorien!$B$11</f>
        <v/>
      </c>
      <c r="B11" s="154">
        <f>IFERROR(IF(A11="","",SUMPRODUCT((Transaktionen!$C$4:$C$203="Ausgabe")*(Transaktionen!$E$4:$E$203=A11)*Transaktionen!$G$4:$G$203)),"")</f>
        <v/>
      </c>
      <c r="C11" s="174">
        <f>IFERROR(IF(A11="","",B11/B24),"")</f>
        <v/>
      </c>
      <c r="D11" s="175">
        <f>IFERROR(IF(A11="","",SUMPRODUCT((Transaktionen!$C$4:$C$203="Ausgabe")*(Transaktionen!$E$4:$E$203=A11)*Transaktionen!$V$4:$V$203)),"")</f>
        <v/>
      </c>
      <c r="E11" s="175">
        <f>IFERROR(IF(A11="","",SUMPRODUCT((Transaktionen!$C$4:$C$203="Ausgabe")*(Transaktionen!$E$4:$E$203=A11)*Transaktionen!$W$4:$W$203)),"")</f>
        <v/>
      </c>
      <c r="F11" s="175">
        <f>IFERROR(IF(A11="","",SUMPRODUCT((Transaktionen!$C$4:$C$203="Ausgabe")*(Transaktionen!$E$4:$E$203=A11)*Transaktionen!$Y$4:$Y$203)),"")</f>
        <v/>
      </c>
      <c r="G11" s="175">
        <f>IFERROR(IF(A11="","",SUMPRODUCT((Transaktionen!$C$4:$C$203="Ausgabe")*(Transaktionen!$E$4:$E$203=A11)*Transaktionen!$Z$4:$Z$203)),"")</f>
        <v/>
      </c>
      <c r="H11" s="175">
        <f>IFERROR(IF(A11="","",SUMPRODUCT((Transaktionen!$C$4:$C$203="Ausgabe")*(Transaktionen!$E$4:$E$203=A11)*Transaktionen!$AA$4:$AA$203)),"")</f>
        <v/>
      </c>
      <c r="I11" s="175">
        <f>IFERROR(IF(A11="","",SUMPRODUCT((Transaktionen!$C$4:$C$203="Ausgabe")*(Transaktionen!$E$4:$E$203=A11)*Transaktionen!$AB$4:$AB$203)),"")</f>
        <v/>
      </c>
      <c r="J11" s="175">
        <f>IFERROR(IF(A11="","",SUMPRODUCT((Transaktionen!$C$4:$C$203="Ausgabe")*(Transaktionen!$E$4:$E$203=A11)*Transaktionen!$AC$4:$AC$203)),"")</f>
        <v/>
      </c>
      <c r="K11" s="175">
        <f>IFERROR(IF(A11="","",SUMPRODUCT((Transaktionen!$C$4:$C$203="Ausgabe")*(Transaktionen!$E$4:$E$203=A11)*Transaktionen!$AD$4:$AD$203)),"")</f>
        <v/>
      </c>
      <c r="L11" s="175">
        <f>IFERROR(IF(A11="","",SUMPRODUCT((Transaktionen!$C$4:$C$203="Ausgabe")*(Transaktionen!$E$4:$E$203=A11)*Transaktionen!$AE$4:$AE$203)),"")</f>
        <v/>
      </c>
      <c r="M11" s="175">
        <f>IFERROR(IF(A11="","",SUMPRODUCT((Transaktionen!$C$4:$C$203="Ausgabe")*(Transaktionen!$E$4:$E$203=A11)*Transaktionen!$AF$4:$AF$203)),"")</f>
        <v/>
      </c>
      <c r="N11" s="176">
        <f>IFERROR(IF(A11="","",SUMPRODUCT((Transaktionen!$C$4:$C$203="Ausgabe")*(Transaktionen!$E$4:$E$203=A11)*Transaktionen!$AG$4:$AG$203)),"")</f>
        <v/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</row>
    <row r="12" ht="24" customHeight="1" s="182">
      <c r="A12" s="169">
        <f>Kategorien!$B$12</f>
        <v/>
      </c>
      <c r="B12" s="149">
        <f>IFERROR(IF(A12="","",SUMPRODUCT((Transaktionen!$C$4:$C$203="Ausgabe")*(Transaktionen!$E$4:$E$203=A12)*Transaktionen!$G$4:$G$203)),"")</f>
        <v/>
      </c>
      <c r="C12" s="170">
        <f>IFERROR(IF(A12="","",B12/B24),"")</f>
        <v/>
      </c>
      <c r="D12" s="171">
        <f>IFERROR(IF(A12="","",SUMPRODUCT((Transaktionen!$C$4:$C$203="Ausgabe")*(Transaktionen!$E$4:$E$203=A12)*Transaktionen!$V$4:$V$203)),"")</f>
        <v/>
      </c>
      <c r="E12" s="171">
        <f>IFERROR(IF(A12="","",SUMPRODUCT((Transaktionen!$C$4:$C$203="Ausgabe")*(Transaktionen!$E$4:$E$203=A12)*Transaktionen!$W$4:$W$203)),"")</f>
        <v/>
      </c>
      <c r="F12" s="171">
        <f>IFERROR(IF(A12="","",SUMPRODUCT((Transaktionen!$C$4:$C$203="Ausgabe")*(Transaktionen!$E$4:$E$203=A12)*Transaktionen!$Y$4:$Y$203)),"")</f>
        <v/>
      </c>
      <c r="G12" s="171">
        <f>IFERROR(IF(A12="","",SUMPRODUCT((Transaktionen!$C$4:$C$203="Ausgabe")*(Transaktionen!$E$4:$E$203=A12)*Transaktionen!$Z$4:$Z$203)),"")</f>
        <v/>
      </c>
      <c r="H12" s="171">
        <f>IFERROR(IF(A12="","",SUMPRODUCT((Transaktionen!$C$4:$C$203="Ausgabe")*(Transaktionen!$E$4:$E$203=A12)*Transaktionen!$AA$4:$AA$203)),"")</f>
        <v/>
      </c>
      <c r="I12" s="171">
        <f>IFERROR(IF(A12="","",SUMPRODUCT((Transaktionen!$C$4:$C$203="Ausgabe")*(Transaktionen!$E$4:$E$203=A12)*Transaktionen!$AB$4:$AB$203)),"")</f>
        <v/>
      </c>
      <c r="J12" s="171">
        <f>IFERROR(IF(A12="","",SUMPRODUCT((Transaktionen!$C$4:$C$203="Ausgabe")*(Transaktionen!$E$4:$E$203=A12)*Transaktionen!$AC$4:$AC$203)),"")</f>
        <v/>
      </c>
      <c r="K12" s="171">
        <f>IFERROR(IF(A12="","",SUMPRODUCT((Transaktionen!$C$4:$C$203="Ausgabe")*(Transaktionen!$E$4:$E$203=A12)*Transaktionen!$AD$4:$AD$203)),"")</f>
        <v/>
      </c>
      <c r="L12" s="171">
        <f>IFERROR(IF(A12="","",SUMPRODUCT((Transaktionen!$C$4:$C$203="Ausgabe")*(Transaktionen!$E$4:$E$203=A12)*Transaktionen!$AE$4:$AE$203)),"")</f>
        <v/>
      </c>
      <c r="M12" s="171">
        <f>IFERROR(IF(A12="","",SUMPRODUCT((Transaktionen!$C$4:$C$203="Ausgabe")*(Transaktionen!$E$4:$E$203=A12)*Transaktionen!$AF$4:$AF$203)),"")</f>
        <v/>
      </c>
      <c r="N12" s="172">
        <f>IFERROR(IF(A12="","",SUMPRODUCT((Transaktionen!$C$4:$C$203="Ausgabe")*(Transaktionen!$E$4:$E$203=A12)*Transaktionen!$AG$4:$AG$203)),"")</f>
        <v/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 ht="24" customHeight="1" s="182">
      <c r="A13" s="173">
        <f>Kategorien!$B$13</f>
        <v/>
      </c>
      <c r="B13" s="154">
        <f>IFERROR(IF(A13="","",SUMPRODUCT((Transaktionen!$C$4:$C$203="Ausgabe")*(Transaktionen!$E$4:$E$203=A13)*Transaktionen!$G$4:$G$203)),"")</f>
        <v/>
      </c>
      <c r="C13" s="174">
        <f>IFERROR(IF(A13="","",B13/B24),"")</f>
        <v/>
      </c>
      <c r="D13" s="175">
        <f>IFERROR(IF(A13="","",SUMPRODUCT((Transaktionen!$C$4:$C$203="Ausgabe")*(Transaktionen!$E$4:$E$203=A13)*Transaktionen!$V$4:$V$203)),"")</f>
        <v/>
      </c>
      <c r="E13" s="175">
        <f>IFERROR(IF(A13="","",SUMPRODUCT((Transaktionen!$C$4:$C$203="Ausgabe")*(Transaktionen!$E$4:$E$203=A13)*Transaktionen!$W$4:$W$203)),"")</f>
        <v/>
      </c>
      <c r="F13" s="175">
        <f>IFERROR(IF(A13="","",SUMPRODUCT((Transaktionen!$C$4:$C$203="Ausgabe")*(Transaktionen!$E$4:$E$203=A13)*Transaktionen!$Y$4:$Y$203)),"")</f>
        <v/>
      </c>
      <c r="G13" s="175">
        <f>IFERROR(IF(A13="","",SUMPRODUCT((Transaktionen!$C$4:$C$203="Ausgabe")*(Transaktionen!$E$4:$E$203=A13)*Transaktionen!$Z$4:$Z$203)),"")</f>
        <v/>
      </c>
      <c r="H13" s="175">
        <f>IFERROR(IF(A13="","",SUMPRODUCT((Transaktionen!$C$4:$C$203="Ausgabe")*(Transaktionen!$E$4:$E$203=A13)*Transaktionen!$AA$4:$AA$203)),"")</f>
        <v/>
      </c>
      <c r="I13" s="175">
        <f>IFERROR(IF(A13="","",SUMPRODUCT((Transaktionen!$C$4:$C$203="Ausgabe")*(Transaktionen!$E$4:$E$203=A13)*Transaktionen!$AB$4:$AB$203)),"")</f>
        <v/>
      </c>
      <c r="J13" s="175">
        <f>IFERROR(IF(A13="","",SUMPRODUCT((Transaktionen!$C$4:$C$203="Ausgabe")*(Transaktionen!$E$4:$E$203=A13)*Transaktionen!$AC$4:$AC$203)),"")</f>
        <v/>
      </c>
      <c r="K13" s="175">
        <f>IFERROR(IF(A13="","",SUMPRODUCT((Transaktionen!$C$4:$C$203="Ausgabe")*(Transaktionen!$E$4:$E$203=A13)*Transaktionen!$AD$4:$AD$203)),"")</f>
        <v/>
      </c>
      <c r="L13" s="175">
        <f>IFERROR(IF(A13="","",SUMPRODUCT((Transaktionen!$C$4:$C$203="Ausgabe")*(Transaktionen!$E$4:$E$203=A13)*Transaktionen!$AE$4:$AE$203)),"")</f>
        <v/>
      </c>
      <c r="M13" s="175">
        <f>IFERROR(IF(A13="","",SUMPRODUCT((Transaktionen!$C$4:$C$203="Ausgabe")*(Transaktionen!$E$4:$E$203=A13)*Transaktionen!$AF$4:$AF$203)),"")</f>
        <v/>
      </c>
      <c r="N13" s="176">
        <f>IFERROR(IF(A13="","",SUMPRODUCT((Transaktionen!$C$4:$C$203="Ausgabe")*(Transaktionen!$E$4:$E$203=A13)*Transaktionen!$AG$4:$AG$203)),"")</f>
        <v/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</row>
    <row r="14" ht="24" customHeight="1" s="182">
      <c r="A14" s="169">
        <f>Kategorien!$B$14</f>
        <v/>
      </c>
      <c r="B14" s="149">
        <f>IFERROR(IF(A14="","",SUMPRODUCT((Transaktionen!$C$4:$C$203="Ausgabe")*(Transaktionen!$E$4:$E$203=A14)*Transaktionen!$G$4:$G$203)),"")</f>
        <v/>
      </c>
      <c r="C14" s="170">
        <f>IFERROR(IF(A14="","",B14/B24),"")</f>
        <v/>
      </c>
      <c r="D14" s="171">
        <f>IFERROR(IF(A14="","",SUMPRODUCT((Transaktionen!$C$4:$C$203="Ausgabe")*(Transaktionen!$E$4:$E$203=A14)*Transaktionen!$V$4:$V$203)),"")</f>
        <v/>
      </c>
      <c r="E14" s="171">
        <f>IFERROR(IF(A14="","",SUMPRODUCT((Transaktionen!$C$4:$C$203="Ausgabe")*(Transaktionen!$E$4:$E$203=A14)*Transaktionen!$W$4:$W$203)),"")</f>
        <v/>
      </c>
      <c r="F14" s="171">
        <f>IFERROR(IF(A14="","",SUMPRODUCT((Transaktionen!$C$4:$C$203="Ausgabe")*(Transaktionen!$E$4:$E$203=A14)*Transaktionen!$Y$4:$Y$203)),"")</f>
        <v/>
      </c>
      <c r="G14" s="171">
        <f>IFERROR(IF(A14="","",SUMPRODUCT((Transaktionen!$C$4:$C$203="Ausgabe")*(Transaktionen!$E$4:$E$203=A14)*Transaktionen!$Z$4:$Z$203)),"")</f>
        <v/>
      </c>
      <c r="H14" s="171">
        <f>IFERROR(IF(A14="","",SUMPRODUCT((Transaktionen!$C$4:$C$203="Ausgabe")*(Transaktionen!$E$4:$E$203=A14)*Transaktionen!$AA$4:$AA$203)),"")</f>
        <v/>
      </c>
      <c r="I14" s="171">
        <f>IFERROR(IF(A14="","",SUMPRODUCT((Transaktionen!$C$4:$C$203="Ausgabe")*(Transaktionen!$E$4:$E$203=A14)*Transaktionen!$AB$4:$AB$203)),"")</f>
        <v/>
      </c>
      <c r="J14" s="171">
        <f>IFERROR(IF(A14="","",SUMPRODUCT((Transaktionen!$C$4:$C$203="Ausgabe")*(Transaktionen!$E$4:$E$203=A14)*Transaktionen!$AC$4:$AC$203)),"")</f>
        <v/>
      </c>
      <c r="K14" s="171">
        <f>IFERROR(IF(A14="","",SUMPRODUCT((Transaktionen!$C$4:$C$203="Ausgabe")*(Transaktionen!$E$4:$E$203=A14)*Transaktionen!$AD$4:$AD$203)),"")</f>
        <v/>
      </c>
      <c r="L14" s="171">
        <f>IFERROR(IF(A14="","",SUMPRODUCT((Transaktionen!$C$4:$C$203="Ausgabe")*(Transaktionen!$E$4:$E$203=A14)*Transaktionen!$AE$4:$AE$203)),"")</f>
        <v/>
      </c>
      <c r="M14" s="171">
        <f>IFERROR(IF(A14="","",SUMPRODUCT((Transaktionen!$C$4:$C$203="Ausgabe")*(Transaktionen!$E$4:$E$203=A14)*Transaktionen!$AF$4:$AF$203)),"")</f>
        <v/>
      </c>
      <c r="N14" s="172">
        <f>IFERROR(IF(A14="","",SUMPRODUCT((Transaktionen!$C$4:$C$203="Ausgabe")*(Transaktionen!$E$4:$E$203=A14)*Transaktionen!$AG$4:$AG$203)),"")</f>
        <v/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</row>
    <row r="15" ht="24" customHeight="1" s="182">
      <c r="A15" s="173">
        <f>Kategorien!$B$15</f>
        <v/>
      </c>
      <c r="B15" s="154">
        <f>IFERROR(IF(A15="","",SUMPRODUCT((Transaktionen!$C$4:$C$203="Ausgabe")*(Transaktionen!$E$4:$E$203=A15)*Transaktionen!$G$4:$G$203)),"")</f>
        <v/>
      </c>
      <c r="C15" s="174">
        <f>IFERROR(IF(A15="","",B15/B24),"")</f>
        <v/>
      </c>
      <c r="D15" s="175">
        <f>IFERROR(IF(A15="","",SUMPRODUCT((Transaktionen!$C$4:$C$203="Ausgabe")*(Transaktionen!$E$4:$E$203=A15)*Transaktionen!$V$4:$V$203)),"")</f>
        <v/>
      </c>
      <c r="E15" s="175">
        <f>IFERROR(IF(A15="","",SUMPRODUCT((Transaktionen!$C$4:$C$203="Ausgabe")*(Transaktionen!$E$4:$E$203=A15)*Transaktionen!$W$4:$W$203)),"")</f>
        <v/>
      </c>
      <c r="F15" s="175">
        <f>IFERROR(IF(A15="","",SUMPRODUCT((Transaktionen!$C$4:$C$203="Ausgabe")*(Transaktionen!$E$4:$E$203=A15)*Transaktionen!$Y$4:$Y$203)),"")</f>
        <v/>
      </c>
      <c r="G15" s="175">
        <f>IFERROR(IF(A15="","",SUMPRODUCT((Transaktionen!$C$4:$C$203="Ausgabe")*(Transaktionen!$E$4:$E$203=A15)*Transaktionen!$Z$4:$Z$203)),"")</f>
        <v/>
      </c>
      <c r="H15" s="175">
        <f>IFERROR(IF(A15="","",SUMPRODUCT((Transaktionen!$C$4:$C$203="Ausgabe")*(Transaktionen!$E$4:$E$203=A15)*Transaktionen!$AA$4:$AA$203)),"")</f>
        <v/>
      </c>
      <c r="I15" s="175">
        <f>IFERROR(IF(A15="","",SUMPRODUCT((Transaktionen!$C$4:$C$203="Ausgabe")*(Transaktionen!$E$4:$E$203=A15)*Transaktionen!$AB$4:$AB$203)),"")</f>
        <v/>
      </c>
      <c r="J15" s="175">
        <f>IFERROR(IF(A15="","",SUMPRODUCT((Transaktionen!$C$4:$C$203="Ausgabe")*(Transaktionen!$E$4:$E$203=A15)*Transaktionen!$AC$4:$AC$203)),"")</f>
        <v/>
      </c>
      <c r="K15" s="175">
        <f>IFERROR(IF(A15="","",SUMPRODUCT((Transaktionen!$C$4:$C$203="Ausgabe")*(Transaktionen!$E$4:$E$203=A15)*Transaktionen!$AD$4:$AD$203)),"")</f>
        <v/>
      </c>
      <c r="L15" s="175">
        <f>IFERROR(IF(A15="","",SUMPRODUCT((Transaktionen!$C$4:$C$203="Ausgabe")*(Transaktionen!$E$4:$E$203=A15)*Transaktionen!$AE$4:$AE$203)),"")</f>
        <v/>
      </c>
      <c r="M15" s="175">
        <f>IFERROR(IF(A15="","",SUMPRODUCT((Transaktionen!$C$4:$C$203="Ausgabe")*(Transaktionen!$E$4:$E$203=A15)*Transaktionen!$AF$4:$AF$203)),"")</f>
        <v/>
      </c>
      <c r="N15" s="176">
        <f>IFERROR(IF(A15="","",SUMPRODUCT((Transaktionen!$C$4:$C$203="Ausgabe")*(Transaktionen!$E$4:$E$203=A15)*Transaktionen!$AG$4:$AG$203)),"")</f>
        <v/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</row>
    <row r="16" ht="24" customHeight="1" s="182">
      <c r="A16" s="169">
        <f>Kategorien!$B$16</f>
        <v/>
      </c>
      <c r="B16" s="149">
        <f>IFERROR(IF(A16="","",SUMPRODUCT((Transaktionen!$C$4:$C$203="Ausgabe")*(Transaktionen!$E$4:$E$203=A16)*Transaktionen!$G$4:$G$203)),"")</f>
        <v/>
      </c>
      <c r="C16" s="170">
        <f>IFERROR(IF(A16="","",B16/B24),"")</f>
        <v/>
      </c>
      <c r="D16" s="171">
        <f>IFERROR(IF(A16="","",SUMPRODUCT((Transaktionen!$C$4:$C$203="Ausgabe")*(Transaktionen!$E$4:$E$203=A16)*Transaktionen!$V$4:$V$203)),"")</f>
        <v/>
      </c>
      <c r="E16" s="171">
        <f>IFERROR(IF(A16="","",SUMPRODUCT((Transaktionen!$C$4:$C$203="Ausgabe")*(Transaktionen!$E$4:$E$203=A16)*Transaktionen!$W$4:$W$203)),"")</f>
        <v/>
      </c>
      <c r="F16" s="171">
        <f>IFERROR(IF(A16="","",SUMPRODUCT((Transaktionen!$C$4:$C$203="Ausgabe")*(Transaktionen!$E$4:$E$203=A16)*Transaktionen!$Y$4:$Y$203)),"")</f>
        <v/>
      </c>
      <c r="G16" s="171">
        <f>IFERROR(IF(A16="","",SUMPRODUCT((Transaktionen!$C$4:$C$203="Ausgabe")*(Transaktionen!$E$4:$E$203=A16)*Transaktionen!$Z$4:$Z$203)),"")</f>
        <v/>
      </c>
      <c r="H16" s="171">
        <f>IFERROR(IF(A16="","",SUMPRODUCT((Transaktionen!$C$4:$C$203="Ausgabe")*(Transaktionen!$E$4:$E$203=A16)*Transaktionen!$AA$4:$AA$203)),"")</f>
        <v/>
      </c>
      <c r="I16" s="171">
        <f>IFERROR(IF(A16="","",SUMPRODUCT((Transaktionen!$C$4:$C$203="Ausgabe")*(Transaktionen!$E$4:$E$203=A16)*Transaktionen!$AB$4:$AB$203)),"")</f>
        <v/>
      </c>
      <c r="J16" s="171">
        <f>IFERROR(IF(A16="","",SUMPRODUCT((Transaktionen!$C$4:$C$203="Ausgabe")*(Transaktionen!$E$4:$E$203=A16)*Transaktionen!$AC$4:$AC$203)),"")</f>
        <v/>
      </c>
      <c r="K16" s="171">
        <f>IFERROR(IF(A16="","",SUMPRODUCT((Transaktionen!$C$4:$C$203="Ausgabe")*(Transaktionen!$E$4:$E$203=A16)*Transaktionen!$AD$4:$AD$203)),"")</f>
        <v/>
      </c>
      <c r="L16" s="171">
        <f>IFERROR(IF(A16="","",SUMPRODUCT((Transaktionen!$C$4:$C$203="Ausgabe")*(Transaktionen!$E$4:$E$203=A16)*Transaktionen!$AE$4:$AE$203)),"")</f>
        <v/>
      </c>
      <c r="M16" s="171">
        <f>IFERROR(IF(A16="","",SUMPRODUCT((Transaktionen!$C$4:$C$203="Ausgabe")*(Transaktionen!$E$4:$E$203=A16)*Transaktionen!$AF$4:$AF$203)),"")</f>
        <v/>
      </c>
      <c r="N16" s="172">
        <f>IFERROR(IF(A16="","",SUMPRODUCT((Transaktionen!$C$4:$C$203="Ausgabe")*(Transaktionen!$E$4:$E$203=A16)*Transaktionen!$AG$4:$AG$203)),"")</f>
        <v/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</row>
    <row r="17" ht="24" customHeight="1" s="182">
      <c r="A17" s="173">
        <f>Kategorien!$B$17</f>
        <v/>
      </c>
      <c r="B17" s="154">
        <f>IFERROR(IF(A17="","",SUMPRODUCT((Transaktionen!$C$4:$C$203="Ausgabe")*(Transaktionen!$E$4:$E$203=A17)*Transaktionen!$G$4:$G$203)),"")</f>
        <v/>
      </c>
      <c r="C17" s="174">
        <f>IFERROR(IF(A17="","",B17/B24),"")</f>
        <v/>
      </c>
      <c r="D17" s="175">
        <f>IFERROR(IF(A17="","",SUMPRODUCT((Transaktionen!$C$4:$C$203="Ausgabe")*(Transaktionen!$E$4:$E$203=A17)*Transaktionen!$V$4:$V$203)),"")</f>
        <v/>
      </c>
      <c r="E17" s="175">
        <f>IFERROR(IF(A17="","",SUMPRODUCT((Transaktionen!$C$4:$C$203="Ausgabe")*(Transaktionen!$E$4:$E$203=A17)*Transaktionen!$W$4:$W$203)),"")</f>
        <v/>
      </c>
      <c r="F17" s="175">
        <f>IFERROR(IF(A17="","",SUMPRODUCT((Transaktionen!$C$4:$C$203="Ausgabe")*(Transaktionen!$E$4:$E$203=A17)*Transaktionen!$Y$4:$Y$203)),"")</f>
        <v/>
      </c>
      <c r="G17" s="175">
        <f>IFERROR(IF(A17="","",SUMPRODUCT((Transaktionen!$C$4:$C$203="Ausgabe")*(Transaktionen!$E$4:$E$203=A17)*Transaktionen!$Z$4:$Z$203)),"")</f>
        <v/>
      </c>
      <c r="H17" s="175">
        <f>IFERROR(IF(A17="","",SUMPRODUCT((Transaktionen!$C$4:$C$203="Ausgabe")*(Transaktionen!$E$4:$E$203=A17)*Transaktionen!$AA$4:$AA$203)),"")</f>
        <v/>
      </c>
      <c r="I17" s="175">
        <f>IFERROR(IF(A17="","",SUMPRODUCT((Transaktionen!$C$4:$C$203="Ausgabe")*(Transaktionen!$E$4:$E$203=A17)*Transaktionen!$AB$4:$AB$203)),"")</f>
        <v/>
      </c>
      <c r="J17" s="175">
        <f>IFERROR(IF(A17="","",SUMPRODUCT((Transaktionen!$C$4:$C$203="Ausgabe")*(Transaktionen!$E$4:$E$203=A17)*Transaktionen!$AC$4:$AC$203)),"")</f>
        <v/>
      </c>
      <c r="K17" s="175">
        <f>IFERROR(IF(A17="","",SUMPRODUCT((Transaktionen!$C$4:$C$203="Ausgabe")*(Transaktionen!$E$4:$E$203=A17)*Transaktionen!$AD$4:$AD$203)),"")</f>
        <v/>
      </c>
      <c r="L17" s="175">
        <f>IFERROR(IF(A17="","",SUMPRODUCT((Transaktionen!$C$4:$C$203="Ausgabe")*(Transaktionen!$E$4:$E$203=A17)*Transaktionen!$AE$4:$AE$203)),"")</f>
        <v/>
      </c>
      <c r="M17" s="175">
        <f>IFERROR(IF(A17="","",SUMPRODUCT((Transaktionen!$C$4:$C$203="Ausgabe")*(Transaktionen!$E$4:$E$203=A17)*Transaktionen!$AF$4:$AF$203)),"")</f>
        <v/>
      </c>
      <c r="N17" s="176">
        <f>IFERROR(IF(A17="","",SUMPRODUCT((Transaktionen!$C$4:$C$203="Ausgabe")*(Transaktionen!$E$4:$E$203=A17)*Transaktionen!$AG$4:$AG$203)),"")</f>
        <v/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</row>
    <row r="18" ht="24" customHeight="1" s="182">
      <c r="A18" s="169">
        <f>Kategorien!$B$18</f>
        <v/>
      </c>
      <c r="B18" s="149">
        <f>IFERROR(IF(A18="","",SUMPRODUCT((Transaktionen!$C$4:$C$203="Ausgabe")*(Transaktionen!$E$4:$E$203=A18)*Transaktionen!$G$4:$G$203)),"")</f>
        <v/>
      </c>
      <c r="C18" s="170">
        <f>IFERROR(IF(A18="","",B18/B24),"")</f>
        <v/>
      </c>
      <c r="D18" s="171">
        <f>IFERROR(IF(A18="","",SUMPRODUCT((Transaktionen!$C$4:$C$203="Ausgabe")*(Transaktionen!$E$4:$E$203=A18)*Transaktionen!$V$4:$V$203)),"")</f>
        <v/>
      </c>
      <c r="E18" s="171">
        <f>IFERROR(IF(A18="","",SUMPRODUCT((Transaktionen!$C$4:$C$203="Ausgabe")*(Transaktionen!$E$4:$E$203=A18)*Transaktionen!$W$4:$W$203)),"")</f>
        <v/>
      </c>
      <c r="F18" s="171">
        <f>IFERROR(IF(A18="","",SUMPRODUCT((Transaktionen!$C$4:$C$203="Ausgabe")*(Transaktionen!$E$4:$E$203=A18)*Transaktionen!$Y$4:$Y$203)),"")</f>
        <v/>
      </c>
      <c r="G18" s="171">
        <f>IFERROR(IF(A18="","",SUMPRODUCT((Transaktionen!$C$4:$C$203="Ausgabe")*(Transaktionen!$E$4:$E$203=A18)*Transaktionen!$Z$4:$Z$203)),"")</f>
        <v/>
      </c>
      <c r="H18" s="171">
        <f>IFERROR(IF(A18="","",SUMPRODUCT((Transaktionen!$C$4:$C$203="Ausgabe")*(Transaktionen!$E$4:$E$203=A18)*Transaktionen!$AA$4:$AA$203)),"")</f>
        <v/>
      </c>
      <c r="I18" s="171">
        <f>IFERROR(IF(A18="","",SUMPRODUCT((Transaktionen!$C$4:$C$203="Ausgabe")*(Transaktionen!$E$4:$E$203=A18)*Transaktionen!$AB$4:$AB$203)),"")</f>
        <v/>
      </c>
      <c r="J18" s="171">
        <f>IFERROR(IF(A18="","",SUMPRODUCT((Transaktionen!$C$4:$C$203="Ausgabe")*(Transaktionen!$E$4:$E$203=A18)*Transaktionen!$AC$4:$AC$203)),"")</f>
        <v/>
      </c>
      <c r="K18" s="171">
        <f>IFERROR(IF(A18="","",SUMPRODUCT((Transaktionen!$C$4:$C$203="Ausgabe")*(Transaktionen!$E$4:$E$203=A18)*Transaktionen!$AD$4:$AD$203)),"")</f>
        <v/>
      </c>
      <c r="L18" s="171">
        <f>IFERROR(IF(A18="","",SUMPRODUCT((Transaktionen!$C$4:$C$203="Ausgabe")*(Transaktionen!$E$4:$E$203=A18)*Transaktionen!$AE$4:$AE$203)),"")</f>
        <v/>
      </c>
      <c r="M18" s="171">
        <f>IFERROR(IF(A18="","",SUMPRODUCT((Transaktionen!$C$4:$C$203="Ausgabe")*(Transaktionen!$E$4:$E$203=A18)*Transaktionen!$AF$4:$AF$203)),"")</f>
        <v/>
      </c>
      <c r="N18" s="172">
        <f>IFERROR(IF(A18="","",SUMPRODUCT((Transaktionen!$C$4:$C$203="Ausgabe")*(Transaktionen!$E$4:$E$203=A18)*Transaktionen!$AG$4:$AG$203)),"")</f>
        <v/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</row>
    <row r="19" ht="24" customHeight="1" s="182">
      <c r="A19" s="173">
        <f>Kategorien!$B$19</f>
        <v/>
      </c>
      <c r="B19" s="154">
        <f>IFERROR(IF(A19="","",SUMPRODUCT((Transaktionen!$C$4:$C$203="Ausgabe")*(Transaktionen!$E$4:$E$203=A19)*Transaktionen!$G$4:$G$203)),"")</f>
        <v/>
      </c>
      <c r="C19" s="174">
        <f>IFERROR(IF(A19="","",B19/B24),"")</f>
        <v/>
      </c>
      <c r="D19" s="175">
        <f>IFERROR(IF(A19="","",SUMPRODUCT((Transaktionen!$C$4:$C$203="Ausgabe")*(Transaktionen!$E$4:$E$203=A19)*Transaktionen!$V$4:$V$203)),"")</f>
        <v/>
      </c>
      <c r="E19" s="175">
        <f>IFERROR(IF(A19="","",SUMPRODUCT((Transaktionen!$C$4:$C$203="Ausgabe")*(Transaktionen!$E$4:$E$203=A19)*Transaktionen!$W$4:$W$203)),"")</f>
        <v/>
      </c>
      <c r="F19" s="175">
        <f>IFERROR(IF(A19="","",SUMPRODUCT((Transaktionen!$C$4:$C$203="Ausgabe")*(Transaktionen!$E$4:$E$203=A19)*Transaktionen!$Y$4:$Y$203)),"")</f>
        <v/>
      </c>
      <c r="G19" s="175">
        <f>IFERROR(IF(A19="","",SUMPRODUCT((Transaktionen!$C$4:$C$203="Ausgabe")*(Transaktionen!$E$4:$E$203=A19)*Transaktionen!$Z$4:$Z$203)),"")</f>
        <v/>
      </c>
      <c r="H19" s="175">
        <f>IFERROR(IF(A19="","",SUMPRODUCT((Transaktionen!$C$4:$C$203="Ausgabe")*(Transaktionen!$E$4:$E$203=A19)*Transaktionen!$AA$4:$AA$203)),"")</f>
        <v/>
      </c>
      <c r="I19" s="175">
        <f>IFERROR(IF(A19="","",SUMPRODUCT((Transaktionen!$C$4:$C$203="Ausgabe")*(Transaktionen!$E$4:$E$203=A19)*Transaktionen!$AB$4:$AB$203)),"")</f>
        <v/>
      </c>
      <c r="J19" s="175">
        <f>IFERROR(IF(A19="","",SUMPRODUCT((Transaktionen!$C$4:$C$203="Ausgabe")*(Transaktionen!$E$4:$E$203=A19)*Transaktionen!$AC$4:$AC$203)),"")</f>
        <v/>
      </c>
      <c r="K19" s="175">
        <f>IFERROR(IF(A19="","",SUMPRODUCT((Transaktionen!$C$4:$C$203="Ausgabe")*(Transaktionen!$E$4:$E$203=A19)*Transaktionen!$AD$4:$AD$203)),"")</f>
        <v/>
      </c>
      <c r="L19" s="175">
        <f>IFERROR(IF(A19="","",SUMPRODUCT((Transaktionen!$C$4:$C$203="Ausgabe")*(Transaktionen!$E$4:$E$203=A19)*Transaktionen!$AE$4:$AE$203)),"")</f>
        <v/>
      </c>
      <c r="M19" s="175">
        <f>IFERROR(IF(A19="","",SUMPRODUCT((Transaktionen!$C$4:$C$203="Ausgabe")*(Transaktionen!$E$4:$E$203=A19)*Transaktionen!$AF$4:$AF$203)),"")</f>
        <v/>
      </c>
      <c r="N19" s="176">
        <f>IFERROR(IF(A19="","",SUMPRODUCT((Transaktionen!$C$4:$C$203="Ausgabe")*(Transaktionen!$E$4:$E$203=A19)*Transaktionen!$AG$4:$AG$203)),"")</f>
        <v/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</row>
    <row r="20" ht="24" customHeight="1" s="182">
      <c r="A20" s="169">
        <f>Kategorien!$B$20</f>
        <v/>
      </c>
      <c r="B20" s="149">
        <f>IFERROR(IF(A20="","",SUMPRODUCT((Transaktionen!$C$4:$C$203="Ausgabe")*(Transaktionen!$E$4:$E$203=A20)*Transaktionen!$G$4:$G$203)),"")</f>
        <v/>
      </c>
      <c r="C20" s="170">
        <f>IFERROR(IF(A20="","",B20/B24),"")</f>
        <v/>
      </c>
      <c r="D20" s="171">
        <f>IFERROR(IF(A20="","",SUMPRODUCT((Transaktionen!$C$4:$C$203="Ausgabe")*(Transaktionen!$E$4:$E$203=A20)*Transaktionen!$V$4:$V$203)),"")</f>
        <v/>
      </c>
      <c r="E20" s="171">
        <f>IFERROR(IF(A20="","",SUMPRODUCT((Transaktionen!$C$4:$C$203="Ausgabe")*(Transaktionen!$E$4:$E$203=A20)*Transaktionen!$W$4:$W$203)),"")</f>
        <v/>
      </c>
      <c r="F20" s="171">
        <f>IFERROR(IF(A20="","",SUMPRODUCT((Transaktionen!$C$4:$C$203="Ausgabe")*(Transaktionen!$E$4:$E$203=A20)*Transaktionen!$Y$4:$Y$203)),"")</f>
        <v/>
      </c>
      <c r="G20" s="171">
        <f>IFERROR(IF(A20="","",SUMPRODUCT((Transaktionen!$C$4:$C$203="Ausgabe")*(Transaktionen!$E$4:$E$203=A20)*Transaktionen!$Z$4:$Z$203)),"")</f>
        <v/>
      </c>
      <c r="H20" s="171">
        <f>IFERROR(IF(A20="","",SUMPRODUCT((Transaktionen!$C$4:$C$203="Ausgabe")*(Transaktionen!$E$4:$E$203=A20)*Transaktionen!$AA$4:$AA$203)),"")</f>
        <v/>
      </c>
      <c r="I20" s="171">
        <f>IFERROR(IF(A20="","",SUMPRODUCT((Transaktionen!$C$4:$C$203="Ausgabe")*(Transaktionen!$E$4:$E$203=A20)*Transaktionen!$AB$4:$AB$203)),"")</f>
        <v/>
      </c>
      <c r="J20" s="171">
        <f>IFERROR(IF(A20="","",SUMPRODUCT((Transaktionen!$C$4:$C$203="Ausgabe")*(Transaktionen!$E$4:$E$203=A20)*Transaktionen!$AC$4:$AC$203)),"")</f>
        <v/>
      </c>
      <c r="K20" s="171">
        <f>IFERROR(IF(A20="","",SUMPRODUCT((Transaktionen!$C$4:$C$203="Ausgabe")*(Transaktionen!$E$4:$E$203=A20)*Transaktionen!$AD$4:$AD$203)),"")</f>
        <v/>
      </c>
      <c r="L20" s="171">
        <f>IFERROR(IF(A20="","",SUMPRODUCT((Transaktionen!$C$4:$C$203="Ausgabe")*(Transaktionen!$E$4:$E$203=A20)*Transaktionen!$AE$4:$AE$203)),"")</f>
        <v/>
      </c>
      <c r="M20" s="171">
        <f>IFERROR(IF(A20="","",SUMPRODUCT((Transaktionen!$C$4:$C$203="Ausgabe")*(Transaktionen!$E$4:$E$203=A20)*Transaktionen!$AF$4:$AF$203)),"")</f>
        <v/>
      </c>
      <c r="N20" s="172">
        <f>IFERROR(IF(A20="","",SUMPRODUCT((Transaktionen!$C$4:$C$203="Ausgabe")*(Transaktionen!$E$4:$E$203=A20)*Transaktionen!$AG$4:$AG$203)),"")</f>
        <v/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</row>
    <row r="21" ht="24" customHeight="1" s="182">
      <c r="A21" s="173">
        <f>Kategorien!$B$21</f>
        <v/>
      </c>
      <c r="B21" s="154">
        <f>IFERROR(IF(A21="","",SUMPRODUCT((Transaktionen!$C$4:$C$203="Ausgabe")*(Transaktionen!$E$4:$E$203=A21)*Transaktionen!$G$4:$G$203)),"")</f>
        <v/>
      </c>
      <c r="C21" s="174">
        <f>IFERROR(IF(A21="","",B21/B24),"")</f>
        <v/>
      </c>
      <c r="D21" s="175">
        <f>IFERROR(IF(A21="","",SUMPRODUCT((Transaktionen!$C$4:$C$203="Ausgabe")*(Transaktionen!$E$4:$E$203=A21)*Transaktionen!$V$4:$V$203)),"")</f>
        <v/>
      </c>
      <c r="E21" s="175">
        <f>IFERROR(IF(A21="","",SUMPRODUCT((Transaktionen!$C$4:$C$203="Ausgabe")*(Transaktionen!$E$4:$E$203=A21)*Transaktionen!$W$4:$W$203)),"")</f>
        <v/>
      </c>
      <c r="F21" s="175">
        <f>IFERROR(IF(A21="","",SUMPRODUCT((Transaktionen!$C$4:$C$203="Ausgabe")*(Transaktionen!$E$4:$E$203=A21)*Transaktionen!$Y$4:$Y$203)),"")</f>
        <v/>
      </c>
      <c r="G21" s="175">
        <f>IFERROR(IF(A21="","",SUMPRODUCT((Transaktionen!$C$4:$C$203="Ausgabe")*(Transaktionen!$E$4:$E$203=A21)*Transaktionen!$Z$4:$Z$203)),"")</f>
        <v/>
      </c>
      <c r="H21" s="175">
        <f>IFERROR(IF(A21="","",SUMPRODUCT((Transaktionen!$C$4:$C$203="Ausgabe")*(Transaktionen!$E$4:$E$203=A21)*Transaktionen!$AA$4:$AA$203)),"")</f>
        <v/>
      </c>
      <c r="I21" s="175">
        <f>IFERROR(IF(A21="","",SUMPRODUCT((Transaktionen!$C$4:$C$203="Ausgabe")*(Transaktionen!$E$4:$E$203=A21)*Transaktionen!$AB$4:$AB$203)),"")</f>
        <v/>
      </c>
      <c r="J21" s="175">
        <f>IFERROR(IF(A21="","",SUMPRODUCT((Transaktionen!$C$4:$C$203="Ausgabe")*(Transaktionen!$E$4:$E$203=A21)*Transaktionen!$AC$4:$AC$203)),"")</f>
        <v/>
      </c>
      <c r="K21" s="175">
        <f>IFERROR(IF(A21="","",SUMPRODUCT((Transaktionen!$C$4:$C$203="Ausgabe")*(Transaktionen!$E$4:$E$203=A21)*Transaktionen!$AD$4:$AD$203)),"")</f>
        <v/>
      </c>
      <c r="L21" s="175">
        <f>IFERROR(IF(A21="","",SUMPRODUCT((Transaktionen!$C$4:$C$203="Ausgabe")*(Transaktionen!$E$4:$E$203=A21)*Transaktionen!$AE$4:$AE$203)),"")</f>
        <v/>
      </c>
      <c r="M21" s="175">
        <f>IFERROR(IF(A21="","",SUMPRODUCT((Transaktionen!$C$4:$C$203="Ausgabe")*(Transaktionen!$E$4:$E$203=A21)*Transaktionen!$AF$4:$AF$203)),"")</f>
        <v/>
      </c>
      <c r="N21" s="176">
        <f>IFERROR(IF(A21="","",SUMPRODUCT((Transaktionen!$C$4:$C$203="Ausgabe")*(Transaktionen!$E$4:$E$203=A21)*Transaktionen!$AG$4:$AG$203)),"")</f>
        <v/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</row>
    <row r="22" ht="24" customHeight="1" s="182">
      <c r="A22" s="169">
        <f>Kategorien!$B$22</f>
        <v/>
      </c>
      <c r="B22" s="149">
        <f>IFERROR(IF(A22="","",SUMPRODUCT((Transaktionen!$C$4:$C$203="Ausgabe")*(Transaktionen!$E$4:$E$203=A22)*Transaktionen!$G$4:$G$203)),"")</f>
        <v/>
      </c>
      <c r="C22" s="170">
        <f>IFERROR(IF(A22="","",B22/B24),"")</f>
        <v/>
      </c>
      <c r="D22" s="171">
        <f>IFERROR(IF(A22="","",SUMPRODUCT((Transaktionen!$C$4:$C$203="Ausgabe")*(Transaktionen!$E$4:$E$203=A22)*Transaktionen!$V$4:$V$203)),"")</f>
        <v/>
      </c>
      <c r="E22" s="171">
        <f>IFERROR(IF(A22="","",SUMPRODUCT((Transaktionen!$C$4:$C$203="Ausgabe")*(Transaktionen!$E$4:$E$203=A22)*Transaktionen!$W$4:$W$203)),"")</f>
        <v/>
      </c>
      <c r="F22" s="171">
        <f>IFERROR(IF(A22="","",SUMPRODUCT((Transaktionen!$C$4:$C$203="Ausgabe")*(Transaktionen!$E$4:$E$203=A22)*Transaktionen!$Y$4:$Y$203)),"")</f>
        <v/>
      </c>
      <c r="G22" s="171">
        <f>IFERROR(IF(A22="","",SUMPRODUCT((Transaktionen!$C$4:$C$203="Ausgabe")*(Transaktionen!$E$4:$E$203=A22)*Transaktionen!$Z$4:$Z$203)),"")</f>
        <v/>
      </c>
      <c r="H22" s="171">
        <f>IFERROR(IF(A22="","",SUMPRODUCT((Transaktionen!$C$4:$C$203="Ausgabe")*(Transaktionen!$E$4:$E$203=A22)*Transaktionen!$AA$4:$AA$203)),"")</f>
        <v/>
      </c>
      <c r="I22" s="171">
        <f>IFERROR(IF(A22="","",SUMPRODUCT((Transaktionen!$C$4:$C$203="Ausgabe")*(Transaktionen!$E$4:$E$203=A22)*Transaktionen!$AB$4:$AB$203)),"")</f>
        <v/>
      </c>
      <c r="J22" s="171">
        <f>IFERROR(IF(A22="","",SUMPRODUCT((Transaktionen!$C$4:$C$203="Ausgabe")*(Transaktionen!$E$4:$E$203=A22)*Transaktionen!$AC$4:$AC$203)),"")</f>
        <v/>
      </c>
      <c r="K22" s="171">
        <f>IFERROR(IF(A22="","",SUMPRODUCT((Transaktionen!$C$4:$C$203="Ausgabe")*(Transaktionen!$E$4:$E$203=A22)*Transaktionen!$AD$4:$AD$203)),"")</f>
        <v/>
      </c>
      <c r="L22" s="171">
        <f>IFERROR(IF(A22="","",SUMPRODUCT((Transaktionen!$C$4:$C$203="Ausgabe")*(Transaktionen!$E$4:$E$203=A22)*Transaktionen!$AE$4:$AE$203)),"")</f>
        <v/>
      </c>
      <c r="M22" s="171">
        <f>IFERROR(IF(A22="","",SUMPRODUCT((Transaktionen!$C$4:$C$203="Ausgabe")*(Transaktionen!$E$4:$E$203=A22)*Transaktionen!$AF$4:$AF$203)),"")</f>
        <v/>
      </c>
      <c r="N22" s="172">
        <f>IFERROR(IF(A22="","",SUMPRODUCT((Transaktionen!$C$4:$C$203="Ausgabe")*(Transaktionen!$E$4:$E$203=A22)*Transaktionen!$AG$4:$AG$203)),"")</f>
        <v/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r="23" ht="24" customHeight="1" s="182">
      <c r="A23" s="177">
        <f>Kategorien!$B$23</f>
        <v/>
      </c>
      <c r="B23" s="159">
        <f>IFERROR(IF(A23="","",SUMPRODUCT((Transaktionen!$C$4:$C$203="Ausgabe")*(Transaktionen!$E$4:$E$203=A23)*Transaktionen!$G$4:$G$203)),"")</f>
        <v/>
      </c>
      <c r="C23" s="178">
        <f>IFERROR(IF(A23="","",B23/B24),"")</f>
        <v/>
      </c>
      <c r="D23" s="179">
        <f>IFERROR(IF(A23="","",SUMPRODUCT((Transaktionen!$C$4:$C$203="Ausgabe")*(Transaktionen!$E$4:$E$203=A23)*Transaktionen!$V$4:$V$203)),"")</f>
        <v/>
      </c>
      <c r="E23" s="179">
        <f>IFERROR(IF(A23="","",SUMPRODUCT((Transaktionen!$C$4:$C$203="Ausgabe")*(Transaktionen!$E$4:$E$203=A23)*Transaktionen!$W$4:$W$203)),"")</f>
        <v/>
      </c>
      <c r="F23" s="179">
        <f>IFERROR(IF(A23="","",SUMPRODUCT((Transaktionen!$C$4:$C$203="Ausgabe")*(Transaktionen!$E$4:$E$203=A23)*Transaktionen!$Y$4:$Y$203)),"")</f>
        <v/>
      </c>
      <c r="G23" s="179">
        <f>IFERROR(IF(A23="","",SUMPRODUCT((Transaktionen!$C$4:$C$203="Ausgabe")*(Transaktionen!$E$4:$E$203=A23)*Transaktionen!$Z$4:$Z$203)),"")</f>
        <v/>
      </c>
      <c r="H23" s="179">
        <f>IFERROR(IF(A23="","",SUMPRODUCT((Transaktionen!$C$4:$C$203="Ausgabe")*(Transaktionen!$E$4:$E$203=A23)*Transaktionen!$AA$4:$AA$203)),"")</f>
        <v/>
      </c>
      <c r="I23" s="179">
        <f>IFERROR(IF(A23="","",SUMPRODUCT((Transaktionen!$C$4:$C$203="Ausgabe")*(Transaktionen!$E$4:$E$203=A23)*Transaktionen!$AB$4:$AB$203)),"")</f>
        <v/>
      </c>
      <c r="J23" s="179">
        <f>IFERROR(IF(A23="","",SUMPRODUCT((Transaktionen!$C$4:$C$203="Ausgabe")*(Transaktionen!$E$4:$E$203=A23)*Transaktionen!$AC$4:$AC$203)),"")</f>
        <v/>
      </c>
      <c r="K23" s="179">
        <f>IFERROR(IF(A23="","",SUMPRODUCT((Transaktionen!$C$4:$C$203="Ausgabe")*(Transaktionen!$E$4:$E$203=A23)*Transaktionen!$AD$4:$AD$203)),"")</f>
        <v/>
      </c>
      <c r="L23" s="179">
        <f>IFERROR(IF(A23="","",SUMPRODUCT((Transaktionen!$C$4:$C$203="Ausgabe")*(Transaktionen!$E$4:$E$203=A23)*Transaktionen!$AE$4:$AE$203)),"")</f>
        <v/>
      </c>
      <c r="M23" s="179">
        <f>IFERROR(IF(A23="","",SUMPRODUCT((Transaktionen!$C$4:$C$203="Ausgabe")*(Transaktionen!$E$4:$E$203=A23)*Transaktionen!$AF$4:$AF$203)),"")</f>
        <v/>
      </c>
      <c r="N23" s="180">
        <f>IFERROR(IF(A23="","",SUMPRODUCT((Transaktionen!$C$4:$C$203="Ausgabe")*(Transaktionen!$E$4:$E$203=A23)*Transaktionen!$AG$4:$AG$203)),"")</f>
        <v/>
      </c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</row>
    <row r="24" ht="30" customHeight="1" s="182">
      <c r="A24" s="140" t="inlineStr">
        <is>
          <t>GESAMT</t>
        </is>
      </c>
      <c r="B24" s="141">
        <f>SUM(B4:B23)</f>
        <v/>
      </c>
      <c r="C24" s="181" t="inlineStr">
        <is>
          <t>100%</t>
        </is>
      </c>
      <c r="D24" s="141">
        <f>IFERROR(SUM(Transaktionen!$V$4:$V$203),0)</f>
        <v/>
      </c>
      <c r="E24" s="141">
        <f>IFERROR(SUM(Transaktionen!$W$4:$W$203),0)</f>
        <v/>
      </c>
      <c r="F24" s="141">
        <f>IFERROR(SUM(Transaktionen!$Y$4:$Y$203),0)</f>
        <v/>
      </c>
      <c r="G24" s="141">
        <f>IFERROR(SUM(Transaktionen!$Z$4:$Z$203),0)</f>
        <v/>
      </c>
      <c r="H24" s="141">
        <f>IFERROR(SUM(Transaktionen!$AA$4:$AA$203),0)</f>
        <v/>
      </c>
      <c r="I24" s="141">
        <f>IFERROR(SUM(Transaktionen!$AB$4:$AB$203),0)</f>
        <v/>
      </c>
      <c r="J24" s="141">
        <f>IFERROR(SUM(Transaktionen!$AC$4:$AC$203),0)</f>
        <v/>
      </c>
      <c r="K24" s="141">
        <f>IFERROR(SUM(Transaktionen!$AD$4:$AD$203),0)</f>
        <v/>
      </c>
      <c r="L24" s="141">
        <f>IFERROR(SUM(Transaktionen!$AE$4:$AE$203),0)</f>
        <v/>
      </c>
      <c r="M24" s="141">
        <f>IFERROR(SUM(Transaktionen!$AF$4:$AF$203),0)</f>
        <v/>
      </c>
      <c r="N24" s="141">
        <f>IFERROR(SUM(Transaktionen!$AG$4:$AG$203),0)</f>
        <v/>
      </c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 ht="15.75" customHeight="1" s="182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</row>
    <row r="26" ht="15.75" customHeight="1" s="182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r="27" ht="15.75" customHeight="1" s="182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</row>
    <row r="28" ht="15.75" customHeight="1" s="182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 ht="15.75" customHeight="1" s="182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</row>
    <row r="30" ht="15.75" customHeight="1" s="182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</row>
    <row r="31" ht="15.75" customHeight="1" s="182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</row>
    <row r="32" ht="15.75" customHeight="1" s="18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</row>
    <row r="33" ht="15.75" customHeight="1" s="18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</row>
    <row r="34" ht="15.75" customHeight="1" s="182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</row>
    <row r="35" ht="15.75" customHeight="1" s="182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</row>
    <row r="36" ht="15.75" customHeight="1" s="182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</row>
    <row r="37" ht="15.75" customHeight="1" s="182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</row>
    <row r="38" ht="15.75" customHeight="1" s="182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</row>
    <row r="39" ht="15.75" customHeight="1" s="182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</row>
    <row r="40" ht="15.75" customHeight="1" s="182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 ht="15.75" customHeight="1" s="182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</row>
    <row r="42" ht="15.75" customHeight="1" s="18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</row>
    <row r="43" ht="15.75" customHeight="1" s="182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</row>
    <row r="44" ht="15.75" customHeight="1" s="182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</row>
    <row r="45" ht="15.75" customHeight="1" s="182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</row>
    <row r="46" ht="15.75" customHeight="1" s="182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 ht="15.75" customHeight="1" s="182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</row>
    <row r="48" ht="15.75" customHeight="1" s="182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</row>
    <row r="49" ht="15.75" customHeight="1" s="182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</row>
    <row r="50" ht="15.75" customHeight="1" s="182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</row>
    <row r="51" ht="15.75" customHeight="1" s="182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</row>
    <row r="52" ht="15.75" customHeight="1" s="18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</row>
    <row r="53" ht="15.75" customHeight="1" s="182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</row>
    <row r="54" ht="15.75" customHeight="1" s="182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</row>
    <row r="55" ht="15.75" customHeight="1" s="182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</row>
    <row r="56" ht="15.75" customHeight="1" s="182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</row>
    <row r="57" ht="15.75" customHeight="1" s="182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</row>
    <row r="58" ht="15.75" customHeight="1" s="182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</row>
    <row r="59" ht="15.75" customHeight="1" s="182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</row>
    <row r="60" ht="15.75" customHeight="1" s="182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</row>
    <row r="61" ht="15.75" customHeight="1" s="182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</row>
    <row r="62" ht="15.75" customHeight="1" s="18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</row>
    <row r="63" ht="15.75" customHeight="1" s="182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</row>
    <row r="64" ht="15.75" customHeight="1" s="182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</row>
    <row r="65" ht="15.75" customHeight="1" s="182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</row>
    <row r="66" ht="15.75" customHeight="1" s="182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</row>
    <row r="67" ht="15.75" customHeight="1" s="18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</row>
    <row r="68" ht="15.75" customHeight="1" s="182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</row>
    <row r="69" ht="15.75" customHeight="1" s="182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</row>
    <row r="70" ht="15.75" customHeight="1" s="182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</row>
    <row r="71" ht="15.75" customHeight="1" s="182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</row>
    <row r="72" ht="15.75" customHeight="1" s="18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</row>
    <row r="73" ht="15.75" customHeight="1" s="182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</row>
    <row r="74" ht="15.75" customHeight="1" s="182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</row>
    <row r="75" ht="15.75" customHeight="1" s="182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</row>
    <row r="76" ht="15.75" customHeight="1" s="182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</row>
    <row r="77" ht="15.75" customHeight="1" s="182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</row>
    <row r="78" ht="15.75" customHeight="1" s="182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</row>
    <row r="79" ht="15.75" customHeight="1" s="182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</row>
    <row r="80" ht="15.75" customHeight="1" s="182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</row>
    <row r="81" ht="15.75" customHeight="1" s="182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</row>
    <row r="82" ht="15.75" customHeight="1" s="1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</row>
    <row r="83" ht="15.75" customHeight="1" s="182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</row>
    <row r="84" ht="15.75" customHeight="1" s="182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</row>
    <row r="85" ht="15.75" customHeight="1" s="182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</row>
    <row r="86" ht="15.75" customHeight="1" s="182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</row>
    <row r="87" ht="15.75" customHeight="1" s="182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</row>
    <row r="88" ht="15.75" customHeight="1" s="182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</row>
    <row r="89" ht="15.75" customHeight="1" s="182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</row>
    <row r="90" ht="15.75" customHeight="1" s="182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</row>
    <row r="91" ht="15.75" customHeight="1" s="182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</row>
    <row r="92" ht="15.75" customHeight="1" s="18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</row>
    <row r="93" ht="15.75" customHeight="1" s="182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</row>
    <row r="94" ht="15.75" customHeight="1" s="182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</row>
    <row r="95" ht="15.75" customHeight="1" s="182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</row>
    <row r="96" ht="15.75" customHeight="1" s="182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</row>
    <row r="97" ht="15.75" customHeight="1" s="182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</row>
    <row r="98" ht="15.75" customHeight="1" s="182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</row>
    <row r="99" ht="15.75" customHeight="1" s="182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</row>
    <row r="100" ht="15.75" customHeight="1" s="182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</row>
    <row r="101" ht="15.75" customHeight="1" s="182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</row>
    <row r="102" ht="15.75" customHeight="1" s="18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</row>
    <row r="103" ht="15.75" customHeight="1" s="182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</row>
    <row r="104" ht="15.75" customHeight="1" s="182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</row>
    <row r="105" ht="15.75" customHeight="1" s="182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</row>
    <row r="106" ht="15.75" customHeight="1" s="182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</row>
    <row r="107" ht="15.75" customHeight="1" s="182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</row>
    <row r="108" ht="15.75" customHeight="1" s="182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</row>
    <row r="109" ht="15.75" customHeight="1" s="182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</row>
    <row r="110" ht="15.75" customHeight="1" s="182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</row>
    <row r="111" ht="15.75" customHeight="1" s="182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</row>
    <row r="112" ht="15.75" customHeight="1" s="18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</row>
    <row r="113" ht="15.75" customHeight="1" s="182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</row>
    <row r="114" ht="15.75" customHeight="1" s="182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</row>
    <row r="115" ht="15.75" customHeight="1" s="182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</row>
    <row r="116" ht="15.75" customHeight="1" s="182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</row>
    <row r="117" ht="15.75" customHeight="1" s="182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</row>
    <row r="118" ht="15.75" customHeight="1" s="182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</row>
    <row r="119" ht="15.75" customHeight="1" s="182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</row>
    <row r="120" ht="15.75" customHeight="1" s="182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</row>
    <row r="121" ht="15.75" customHeight="1" s="182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</row>
    <row r="122" ht="15.75" customHeight="1" s="18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</row>
    <row r="123" ht="15.75" customHeight="1" s="182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</row>
    <row r="124" ht="15.75" customHeight="1" s="182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</row>
    <row r="125" ht="15.75" customHeight="1" s="182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</row>
    <row r="126" ht="15.75" customHeight="1" s="182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</row>
    <row r="127" ht="15.75" customHeight="1" s="182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</row>
    <row r="128" ht="15.75" customHeight="1" s="182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</row>
    <row r="129" ht="15.75" customHeight="1" s="182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</row>
    <row r="130" ht="15.75" customHeight="1" s="182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</row>
    <row r="131" ht="15.75" customHeight="1" s="182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</row>
    <row r="132" ht="15.75" customHeight="1" s="18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</row>
    <row r="133" ht="15.75" customHeight="1" s="182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</row>
    <row r="134" ht="15.75" customHeight="1" s="182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</row>
    <row r="135" ht="15.75" customHeight="1" s="182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</row>
    <row r="136" ht="15.75" customHeight="1" s="182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</row>
    <row r="137" ht="15.75" customHeight="1" s="182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</row>
    <row r="138" ht="15.75" customHeight="1" s="182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</row>
    <row r="139" ht="15.75" customHeight="1" s="182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</row>
    <row r="140" ht="15.75" customHeight="1" s="182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</row>
    <row r="141" ht="15.75" customHeight="1" s="182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</row>
    <row r="142" ht="15.75" customHeight="1" s="18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</row>
    <row r="143" ht="15.75" customHeight="1" s="182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</row>
    <row r="144" ht="15.75" customHeight="1" s="182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</row>
    <row r="145" ht="15.75" customHeight="1" s="182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</row>
    <row r="146" ht="15.75" customHeight="1" s="182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</row>
    <row r="147" ht="15.75" customHeight="1" s="182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</row>
    <row r="148" ht="15.75" customHeight="1" s="182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</row>
    <row r="149" ht="15.75" customHeight="1" s="182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</row>
    <row r="150" ht="15.75" customHeight="1" s="182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</row>
    <row r="151" ht="15.75" customHeight="1" s="182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</row>
    <row r="152" ht="15.75" customHeight="1" s="18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</row>
    <row r="153" ht="15.75" customHeight="1" s="182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</row>
    <row r="154" ht="15.75" customHeight="1" s="182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</row>
    <row r="155" ht="15.75" customHeight="1" s="182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</row>
    <row r="156" ht="15.75" customHeight="1" s="182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</row>
    <row r="157" ht="15.75" customHeight="1" s="182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</row>
    <row r="158" ht="15.75" customHeight="1" s="182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</row>
    <row r="159" ht="15.75" customHeight="1" s="182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</row>
    <row r="160" ht="15.75" customHeight="1" s="182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</row>
    <row r="161" ht="15.75" customHeight="1" s="182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</row>
    <row r="162" ht="15.75" customHeight="1" s="18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</row>
    <row r="163" ht="15.75" customHeight="1" s="182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</row>
    <row r="164" ht="15.75" customHeight="1" s="182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</row>
    <row r="165" ht="15.75" customHeight="1" s="182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</row>
    <row r="166" ht="15.75" customHeight="1" s="182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</row>
    <row r="167" ht="15.75" customHeight="1" s="182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</row>
    <row r="168" ht="15.75" customHeight="1" s="182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</row>
    <row r="169" ht="15.75" customHeight="1" s="182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</row>
    <row r="170" ht="15.75" customHeight="1" s="182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</row>
    <row r="171" ht="15.75" customHeight="1" s="182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</row>
    <row r="172" ht="15.75" customHeight="1" s="18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</row>
    <row r="173" ht="15.75" customHeight="1" s="182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</row>
    <row r="174" ht="15.75" customHeight="1" s="182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</row>
    <row r="175" ht="15.75" customHeight="1" s="182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</row>
    <row r="176" ht="15.75" customHeight="1" s="182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</row>
    <row r="177" ht="15.75" customHeight="1" s="182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</row>
    <row r="178" ht="15.75" customHeight="1" s="182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</row>
    <row r="179" ht="15.75" customHeight="1" s="182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</row>
    <row r="180" ht="15.75" customHeight="1" s="182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</row>
    <row r="181" ht="15.75" customHeight="1" s="182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</row>
    <row r="182" ht="15.75" customHeight="1" s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</row>
    <row r="183" ht="15.75" customHeight="1" s="182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</row>
    <row r="184" ht="15.75" customHeight="1" s="182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</row>
    <row r="185" ht="15.75" customHeight="1" s="182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</row>
    <row r="186" ht="15.75" customHeight="1" s="182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</row>
    <row r="187" ht="15.75" customHeight="1" s="182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</row>
    <row r="188" ht="15.75" customHeight="1" s="182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</row>
    <row r="189" ht="15.75" customHeight="1" s="182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</row>
    <row r="190" ht="15.75" customHeight="1" s="182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</row>
    <row r="191" ht="15.75" customHeight="1" s="182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</row>
    <row r="192" ht="15.75" customHeight="1" s="18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</row>
    <row r="193" ht="15.75" customHeight="1" s="182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</row>
    <row r="194" ht="15.75" customHeight="1" s="182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</row>
    <row r="195" ht="15.75" customHeight="1" s="182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</row>
    <row r="196" ht="15.75" customHeight="1" s="182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</row>
    <row r="197" ht="15.75" customHeight="1" s="182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</row>
    <row r="198" ht="15.75" customHeight="1" s="182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</row>
    <row r="199" ht="15.75" customHeight="1" s="182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</row>
    <row r="200" ht="15.75" customHeight="1" s="182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</row>
    <row r="201" ht="15.75" customHeight="1" s="182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</row>
    <row r="202" ht="15.75" customHeight="1" s="18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</row>
    <row r="203" ht="15.75" customHeight="1" s="182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</row>
    <row r="204" ht="15.75" customHeight="1" s="18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</row>
    <row r="205" ht="15.75" customHeight="1" s="18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</row>
    <row r="206" ht="15.75" customHeight="1" s="18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</row>
    <row r="207" ht="15.75" customHeight="1" s="18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</row>
    <row r="208" ht="15.75" customHeight="1" s="18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</row>
    <row r="209" ht="15.75" customHeight="1" s="18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</row>
    <row r="210" ht="15.75" customHeight="1" s="18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</row>
    <row r="211" ht="15.75" customHeight="1" s="18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</row>
    <row r="212" ht="15.75" customHeight="1" s="18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</row>
    <row r="213" ht="15.75" customHeight="1" s="18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</row>
    <row r="214" ht="15.75" customHeight="1" s="18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</row>
    <row r="215" ht="15.75" customHeight="1" s="18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</row>
    <row r="216" ht="15.75" customHeight="1" s="18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</row>
    <row r="217" ht="15.75" customHeight="1" s="18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</row>
    <row r="218" ht="15.75" customHeight="1" s="18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</row>
    <row r="219" ht="15.75" customHeight="1" s="18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</row>
    <row r="220" ht="15.75" customHeight="1" s="18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</row>
    <row r="221" ht="15.75" customHeight="1" s="182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</row>
    <row r="222" ht="15.75" customHeight="1" s="18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</row>
    <row r="223" ht="15.75" customHeight="1" s="182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</row>
    <row r="224" ht="15.75" customHeight="1" s="182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</row>
    <row r="225" ht="15.75" customHeight="1" s="182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 ht="15.75" customHeight="1" s="182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 ht="15.75" customHeight="1" s="182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 ht="15.75" customHeight="1" s="182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 ht="15.75" customHeight="1" s="182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 ht="15.75" customHeight="1" s="182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 ht="15.75" customHeight="1" s="182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 ht="15.75" customHeight="1" s="18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 ht="15.75" customHeight="1" s="182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 ht="15.75" customHeight="1" s="182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 ht="15.75" customHeight="1" s="182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 ht="15.75" customHeight="1" s="182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 ht="15.75" customHeight="1" s="182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 ht="15.75" customHeight="1" s="182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 ht="15.75" customHeight="1" s="182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 ht="15.75" customHeight="1" s="182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 ht="15.75" customHeight="1" s="182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 ht="15.75" customHeight="1" s="18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 ht="15.75" customHeight="1" s="182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 ht="15.75" customHeight="1" s="182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 ht="15.75" customHeight="1" s="182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 ht="15.75" customHeight="1" s="182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 ht="15.75" customHeight="1" s="182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 ht="15.75" customHeight="1" s="182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 ht="15.75" customHeight="1" s="182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 ht="15.75" customHeight="1" s="182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 ht="15.75" customHeight="1" s="182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 ht="15.75" customHeight="1" s="18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 ht="15.75" customHeight="1" s="182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 ht="15.75" customHeight="1" s="182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 ht="15.75" customHeight="1" s="182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 ht="15.75" customHeight="1" s="182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 ht="15.75" customHeight="1" s="182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 ht="15.75" customHeight="1" s="182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 ht="15.75" customHeight="1" s="182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 ht="15.75" customHeight="1" s="182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 ht="15.75" customHeight="1" s="182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 ht="15.75" customHeight="1" s="18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 ht="15.75" customHeight="1" s="182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 ht="15.75" customHeight="1" s="182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 ht="15.75" customHeight="1" s="182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 ht="15.75" customHeight="1" s="182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 ht="15.75" customHeight="1" s="182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 ht="15.75" customHeight="1" s="182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 ht="15.75" customHeight="1" s="182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 ht="15.75" customHeight="1" s="182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 ht="15.75" customHeight="1" s="182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 ht="15.75" customHeight="1" s="18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 ht="15.75" customHeight="1" s="182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 ht="15.75" customHeight="1" s="182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 ht="15.75" customHeight="1" s="182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 ht="15.75" customHeight="1" s="182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 ht="15.75" customHeight="1" s="182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 ht="15.75" customHeight="1" s="182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 ht="15.75" customHeight="1" s="182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 ht="15.75" customHeight="1" s="182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 ht="15.75" customHeight="1" s="182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 ht="15.75" customHeight="1" s="1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 ht="15.75" customHeight="1" s="182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 ht="15.75" customHeight="1" s="182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 ht="15.75" customHeight="1" s="182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 ht="15.75" customHeight="1" s="182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 ht="15.75" customHeight="1" s="182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 ht="15.75" customHeight="1" s="182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 ht="15.75" customHeight="1" s="182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 ht="15.75" customHeight="1" s="182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 ht="15.75" customHeight="1" s="182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 ht="15.75" customHeight="1" s="18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 ht="15.75" customHeight="1" s="182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 ht="15.75" customHeight="1" s="182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 ht="15.75" customHeight="1" s="182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 ht="15.75" customHeight="1" s="182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 ht="15.75" customHeight="1" s="182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 ht="15.75" customHeight="1" s="182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 ht="15.75" customHeight="1" s="182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 ht="15.75" customHeight="1" s="182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 ht="15.75" customHeight="1" s="182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 ht="15.75" customHeight="1" s="18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 ht="15.75" customHeight="1" s="182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 ht="15.75" customHeight="1" s="182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 ht="15.75" customHeight="1" s="182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 ht="15.75" customHeight="1" s="182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 ht="15.75" customHeight="1" s="182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 ht="15.75" customHeight="1" s="182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 ht="15.75" customHeight="1" s="182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 ht="15.75" customHeight="1" s="182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 ht="15.75" customHeight="1" s="182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 ht="15.75" customHeight="1" s="18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 ht="15.75" customHeight="1" s="182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 ht="15.75" customHeight="1" s="182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 ht="15.75" customHeight="1" s="182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 ht="15.75" customHeight="1" s="182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 ht="15.75" customHeight="1" s="182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 ht="15.75" customHeight="1" s="182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 ht="15.75" customHeight="1" s="182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 ht="15.75" customHeight="1" s="182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 ht="15.75" customHeight="1" s="182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 ht="15.75" customHeight="1" s="18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 ht="15.75" customHeight="1" s="182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 ht="15.75" customHeight="1" s="182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 ht="15.75" customHeight="1" s="182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 ht="15.75" customHeight="1" s="182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 ht="15.75" customHeight="1" s="182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 ht="15.75" customHeight="1" s="182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 ht="15.75" customHeight="1" s="182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 ht="15.75" customHeight="1" s="182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 ht="15.75" customHeight="1" s="182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 ht="15.75" customHeight="1" s="18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 ht="15.75" customHeight="1" s="182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 ht="15.75" customHeight="1" s="182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 ht="15.75" customHeight="1" s="182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 ht="15.75" customHeight="1" s="182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 ht="15.75" customHeight="1" s="182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 ht="15.75" customHeight="1" s="182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 ht="15.75" customHeight="1" s="182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 ht="15.75" customHeight="1" s="182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 ht="15.75" customHeight="1" s="182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 ht="15.75" customHeight="1" s="18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 ht="15.75" customHeight="1" s="182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 ht="15.75" customHeight="1" s="182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 ht="15.75" customHeight="1" s="182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 ht="15.75" customHeight="1" s="182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 ht="15.75" customHeight="1" s="182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 ht="15.75" customHeight="1" s="182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 ht="15.75" customHeight="1" s="182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 ht="15.75" customHeight="1" s="182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 ht="15.75" customHeight="1" s="182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 ht="15.75" customHeight="1" s="18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 ht="15.75" customHeight="1" s="182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 ht="15.75" customHeight="1" s="182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 ht="15.75" customHeight="1" s="182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 ht="15.75" customHeight="1" s="182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 ht="15.75" customHeight="1" s="182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 ht="15.75" customHeight="1" s="182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 ht="15.75" customHeight="1" s="182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 ht="15.75" customHeight="1" s="182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 ht="15.75" customHeight="1" s="182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 ht="15.75" customHeight="1" s="18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 ht="15.75" customHeight="1" s="182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 ht="15.75" customHeight="1" s="182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 ht="15.75" customHeight="1" s="182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 ht="15.75" customHeight="1" s="182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 ht="15.75" customHeight="1" s="182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 ht="15.75" customHeight="1" s="182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 ht="15.75" customHeight="1" s="182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 ht="15.75" customHeight="1" s="182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 ht="15.75" customHeight="1" s="182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 ht="15.75" customHeight="1" s="18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 ht="15.75" customHeight="1" s="182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 ht="15.75" customHeight="1" s="182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 ht="15.75" customHeight="1" s="182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 ht="15.75" customHeight="1" s="182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 ht="15.75" customHeight="1" s="182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 ht="15.75" customHeight="1" s="182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 ht="15.75" customHeight="1" s="182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 ht="15.75" customHeight="1" s="182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 ht="15.75" customHeight="1" s="182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 ht="15.75" customHeight="1" s="1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 ht="15.75" customHeight="1" s="182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 ht="15.75" customHeight="1" s="182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 ht="15.75" customHeight="1" s="182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 ht="15.75" customHeight="1" s="182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 ht="15.75" customHeight="1" s="182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 ht="15.75" customHeight="1" s="182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 ht="15.75" customHeight="1" s="182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 ht="15.75" customHeight="1" s="182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 ht="15.75" customHeight="1" s="182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 ht="15.75" customHeight="1" s="18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 ht="15.75" customHeight="1" s="182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 ht="15.75" customHeight="1" s="182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 ht="15.75" customHeight="1" s="182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 ht="15.75" customHeight="1" s="182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 ht="15.75" customHeight="1" s="182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 ht="15.75" customHeight="1" s="182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 ht="15.75" customHeight="1" s="182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 ht="15.75" customHeight="1" s="182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 ht="15.75" customHeight="1" s="182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 ht="15.75" customHeight="1" s="18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 ht="15.75" customHeight="1" s="182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 ht="15.75" customHeight="1" s="182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 ht="15.75" customHeight="1" s="182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 ht="15.75" customHeight="1" s="182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 ht="15.75" customHeight="1" s="182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 ht="15.75" customHeight="1" s="182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 ht="15.75" customHeight="1" s="182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 ht="15.75" customHeight="1" s="182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 ht="15.75" customHeight="1" s="182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 ht="15.75" customHeight="1" s="18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 ht="15.75" customHeight="1" s="182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 ht="15.75" customHeight="1" s="182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 ht="15.75" customHeight="1" s="182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 ht="15.75" customHeight="1" s="182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 ht="15.75" customHeight="1" s="182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 ht="15.75" customHeight="1" s="182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 ht="15.75" customHeight="1" s="182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 ht="15.75" customHeight="1" s="182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 ht="15.75" customHeight="1" s="182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 ht="15.75" customHeight="1" s="18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 ht="15.75" customHeight="1" s="182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 ht="15.75" customHeight="1" s="182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 ht="15.75" customHeight="1" s="182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 ht="15.75" customHeight="1" s="182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 ht="15.75" customHeight="1" s="182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 ht="15.75" customHeight="1" s="182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 ht="15.75" customHeight="1" s="182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 ht="15.75" customHeight="1" s="182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 ht="15.75" customHeight="1" s="182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 ht="15.75" customHeight="1" s="18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 ht="15.75" customHeight="1" s="182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 ht="15.75" customHeight="1" s="182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 ht="15.75" customHeight="1" s="182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 ht="15.75" customHeight="1" s="182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 ht="15.75" customHeight="1" s="182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 ht="15.75" customHeight="1" s="182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 ht="15.75" customHeight="1" s="182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 ht="15.75" customHeight="1" s="182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 ht="15.75" customHeight="1" s="182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 ht="15.75" customHeight="1" s="18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 ht="15.75" customHeight="1" s="182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 ht="15.75" customHeight="1" s="182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 ht="15.75" customHeight="1" s="182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 ht="15.75" customHeight="1" s="182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 ht="15.75" customHeight="1" s="182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 ht="15.75" customHeight="1" s="182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 ht="15.75" customHeight="1" s="182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 ht="15.75" customHeight="1" s="182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 ht="15.75" customHeight="1" s="182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 ht="15.75" customHeight="1" s="18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 ht="15.75" customHeight="1" s="182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 ht="15.75" customHeight="1" s="182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 ht="15.75" customHeight="1" s="182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 ht="15.75" customHeight="1" s="182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 ht="15.75" customHeight="1" s="182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 ht="15.75" customHeight="1" s="182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 ht="15.75" customHeight="1" s="182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 ht="15.75" customHeight="1" s="182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 ht="15.75" customHeight="1" s="182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 ht="15.75" customHeight="1" s="18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 ht="15.75" customHeight="1" s="182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 ht="15.75" customHeight="1" s="182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 ht="15.75" customHeight="1" s="182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 ht="15.75" customHeight="1" s="182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 ht="15.75" customHeight="1" s="182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 ht="15.75" customHeight="1" s="182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 ht="15.75" customHeight="1" s="182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 ht="15.75" customHeight="1" s="182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 ht="15.75" customHeight="1" s="182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 ht="15.75" customHeight="1" s="18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 ht="15.75" customHeight="1" s="182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 ht="15.75" customHeight="1" s="182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 ht="15.75" customHeight="1" s="182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 ht="15.75" customHeight="1" s="182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 ht="15.75" customHeight="1" s="182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 ht="15.75" customHeight="1" s="182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 ht="15.75" customHeight="1" s="182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 ht="15.75" customHeight="1" s="182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 ht="15.75" customHeight="1" s="182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 ht="15.75" customHeight="1" s="1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 ht="15.75" customHeight="1" s="182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 ht="15.75" customHeight="1" s="182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 ht="15.75" customHeight="1" s="182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 ht="15.75" customHeight="1" s="182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 ht="15.75" customHeight="1" s="182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 ht="15.75" customHeight="1" s="182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 ht="15.75" customHeight="1" s="182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 ht="15.75" customHeight="1" s="182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 ht="15.75" customHeight="1" s="182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 ht="15.75" customHeight="1" s="18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 ht="15.75" customHeight="1" s="182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 ht="15.75" customHeight="1" s="182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 ht="15.75" customHeight="1" s="182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 ht="15.75" customHeight="1" s="182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 ht="15.75" customHeight="1" s="182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 ht="15.75" customHeight="1" s="182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 ht="15.75" customHeight="1" s="182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 ht="15.75" customHeight="1" s="182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 ht="15.75" customHeight="1" s="182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 ht="15.75" customHeight="1" s="18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 ht="15.75" customHeight="1" s="182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 ht="15.75" customHeight="1" s="182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 ht="15.75" customHeight="1" s="182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 ht="15.75" customHeight="1" s="182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 ht="15.75" customHeight="1" s="182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 ht="15.75" customHeight="1" s="182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 ht="15.75" customHeight="1" s="182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 ht="15.75" customHeight="1" s="182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 ht="15.75" customHeight="1" s="182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 ht="15.75" customHeight="1" s="18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 ht="15.75" customHeight="1" s="182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 ht="15.75" customHeight="1" s="182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 ht="15.75" customHeight="1" s="182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 ht="15.75" customHeight="1" s="182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 ht="15.75" customHeight="1" s="182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 ht="15.75" customHeight="1" s="182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 ht="15.75" customHeight="1" s="182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 ht="15.75" customHeight="1" s="182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 ht="15.75" customHeight="1" s="182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 ht="15.75" customHeight="1" s="18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 ht="15.75" customHeight="1" s="182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 ht="15.75" customHeight="1" s="182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 ht="15.75" customHeight="1" s="182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 ht="15.75" customHeight="1" s="182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 ht="15.75" customHeight="1" s="182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 ht="15.75" customHeight="1" s="182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 ht="15.75" customHeight="1" s="182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 ht="15.75" customHeight="1" s="182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 ht="15.75" customHeight="1" s="182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 ht="15.75" customHeight="1" s="18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 ht="15.75" customHeight="1" s="182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 ht="15.75" customHeight="1" s="182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 ht="15.75" customHeight="1" s="182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 ht="15.75" customHeight="1" s="182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 ht="15.75" customHeight="1" s="182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 ht="15.75" customHeight="1" s="182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 ht="15.75" customHeight="1" s="182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 ht="15.75" customHeight="1" s="182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 ht="15.75" customHeight="1" s="182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 ht="15.75" customHeight="1" s="18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 ht="15.75" customHeight="1" s="182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 ht="15.75" customHeight="1" s="182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 ht="15.75" customHeight="1" s="182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 ht="15.75" customHeight="1" s="182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 ht="15.75" customHeight="1" s="182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 ht="15.75" customHeight="1" s="182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 ht="15.75" customHeight="1" s="182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 ht="15.75" customHeight="1" s="182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 ht="15.75" customHeight="1" s="182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 ht="15.75" customHeight="1" s="18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 ht="15.75" customHeight="1" s="182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 ht="15.75" customHeight="1" s="182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 ht="15.75" customHeight="1" s="182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 ht="15.75" customHeight="1" s="182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 ht="15.75" customHeight="1" s="182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 ht="15.75" customHeight="1" s="182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 ht="15.75" customHeight="1" s="182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 ht="15.75" customHeight="1" s="182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 ht="15.75" customHeight="1" s="182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 ht="15.75" customHeight="1" s="18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 ht="15.75" customHeight="1" s="182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 ht="15.75" customHeight="1" s="182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 ht="15.75" customHeight="1" s="182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 ht="15.75" customHeight="1" s="182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 ht="15.75" customHeight="1" s="182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 ht="15.75" customHeight="1" s="182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 ht="15.75" customHeight="1" s="182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 ht="15.75" customHeight="1" s="182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 ht="15.75" customHeight="1" s="182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 ht="15.75" customHeight="1" s="18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 ht="15.75" customHeight="1" s="182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 ht="15.75" customHeight="1" s="182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 ht="15.75" customHeight="1" s="182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 ht="15.75" customHeight="1" s="182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 ht="15.75" customHeight="1" s="182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 ht="15.75" customHeight="1" s="182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 ht="15.75" customHeight="1" s="182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 ht="15.75" customHeight="1" s="182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 ht="15.75" customHeight="1" s="182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 ht="15.75" customHeight="1" s="1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 ht="15.75" customHeight="1" s="182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 ht="15.75" customHeight="1" s="182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 ht="15.75" customHeight="1" s="182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 ht="15.75" customHeight="1" s="182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 ht="15.75" customHeight="1" s="182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 ht="15.75" customHeight="1" s="182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 ht="15.75" customHeight="1" s="182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 ht="15.75" customHeight="1" s="182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 ht="15.75" customHeight="1" s="182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 ht="15.75" customHeight="1" s="18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 ht="15.75" customHeight="1" s="182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 ht="15.75" customHeight="1" s="182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 ht="15.75" customHeight="1" s="182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 ht="15.75" customHeight="1" s="182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 ht="15.75" customHeight="1" s="182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 ht="15.75" customHeight="1" s="182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 ht="15.75" customHeight="1" s="182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 ht="15.75" customHeight="1" s="182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 ht="15.75" customHeight="1" s="182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 ht="15.75" customHeight="1" s="18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 ht="15.75" customHeight="1" s="182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 ht="15.75" customHeight="1" s="182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 ht="15.75" customHeight="1" s="182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 ht="15.75" customHeight="1" s="182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 ht="15.75" customHeight="1" s="182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 ht="15.75" customHeight="1" s="182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 ht="15.75" customHeight="1" s="182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 ht="15.75" customHeight="1" s="182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 ht="15.75" customHeight="1" s="182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 ht="15.75" customHeight="1" s="18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 ht="15.75" customHeight="1" s="182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 ht="15.75" customHeight="1" s="182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 ht="15.75" customHeight="1" s="182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 ht="15.75" customHeight="1" s="182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 ht="15.75" customHeight="1" s="182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 ht="15.75" customHeight="1" s="182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 ht="15.75" customHeight="1" s="182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 ht="15.75" customHeight="1" s="182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 ht="15.75" customHeight="1" s="182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 ht="15.75" customHeight="1" s="18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 ht="15.75" customHeight="1" s="182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 ht="15.75" customHeight="1" s="182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 ht="15.75" customHeight="1" s="182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 ht="15.75" customHeight="1" s="182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 ht="15.75" customHeight="1" s="182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 ht="15.75" customHeight="1" s="182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 ht="15.75" customHeight="1" s="182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 ht="15.75" customHeight="1" s="182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 ht="15.75" customHeight="1" s="182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 ht="15.75" customHeight="1" s="18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 ht="15.75" customHeight="1" s="182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 ht="15.75" customHeight="1" s="182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 ht="15.75" customHeight="1" s="182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 ht="15.75" customHeight="1" s="182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 ht="15.75" customHeight="1" s="182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 ht="15.75" customHeight="1" s="182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 ht="15.75" customHeight="1" s="182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 ht="15.75" customHeight="1" s="182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 ht="15.75" customHeight="1" s="182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 ht="15.75" customHeight="1" s="18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 ht="15.75" customHeight="1" s="182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 ht="15.75" customHeight="1" s="182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 ht="15.75" customHeight="1" s="182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 ht="15.75" customHeight="1" s="182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 ht="15.75" customHeight="1" s="182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 ht="15.75" customHeight="1" s="182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 ht="15.75" customHeight="1" s="182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 ht="15.75" customHeight="1" s="182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 ht="15.75" customHeight="1" s="182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 ht="15.75" customHeight="1" s="18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 ht="15.75" customHeight="1" s="182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 ht="15.75" customHeight="1" s="182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 ht="15.75" customHeight="1" s="182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 ht="15.75" customHeight="1" s="182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 ht="15.75" customHeight="1" s="182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 ht="15.75" customHeight="1" s="182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 ht="15.75" customHeight="1" s="182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 ht="15.75" customHeight="1" s="182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 ht="15.75" customHeight="1" s="182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 ht="15.75" customHeight="1" s="18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 ht="15.75" customHeight="1" s="182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 ht="15.75" customHeight="1" s="182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 ht="15.75" customHeight="1" s="182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 ht="15.75" customHeight="1" s="182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 ht="15.75" customHeight="1" s="182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 ht="15.75" customHeight="1" s="182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 ht="15.75" customHeight="1" s="182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 ht="15.75" customHeight="1" s="182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 ht="15.75" customHeight="1" s="182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 ht="15.75" customHeight="1" s="18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 ht="15.75" customHeight="1" s="182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 ht="15.75" customHeight="1" s="182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 ht="15.75" customHeight="1" s="182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 ht="15.75" customHeight="1" s="182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 ht="15.75" customHeight="1" s="182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 ht="15.75" customHeight="1" s="182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 ht="15.75" customHeight="1" s="182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 ht="15.75" customHeight="1" s="182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 ht="15.75" customHeight="1" s="182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 ht="15.75" customHeight="1" s="1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 ht="15.75" customHeight="1" s="182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 ht="15.75" customHeight="1" s="182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 ht="15.75" customHeight="1" s="182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 ht="15.75" customHeight="1" s="182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 ht="15.75" customHeight="1" s="182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 ht="15.75" customHeight="1" s="182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 ht="15.75" customHeight="1" s="182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 ht="15.75" customHeight="1" s="182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 ht="15.75" customHeight="1" s="182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 ht="15.75" customHeight="1" s="18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 ht="15.75" customHeight="1" s="182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 ht="15.75" customHeight="1" s="182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 ht="15.75" customHeight="1" s="182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 ht="15.75" customHeight="1" s="182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 ht="15.75" customHeight="1" s="182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 ht="15.75" customHeight="1" s="182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 ht="15.75" customHeight="1" s="182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 ht="15.75" customHeight="1" s="182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 ht="15.75" customHeight="1" s="182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 ht="15.75" customHeight="1" s="18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 ht="15.75" customHeight="1" s="182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 ht="15.75" customHeight="1" s="182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 ht="15.75" customHeight="1" s="182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 ht="15.75" customHeight="1" s="182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 ht="15.75" customHeight="1" s="182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 ht="15.75" customHeight="1" s="182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 ht="15.75" customHeight="1" s="182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 ht="15.75" customHeight="1" s="182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 ht="15.75" customHeight="1" s="182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 ht="15.75" customHeight="1" s="18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 ht="15.75" customHeight="1" s="182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 ht="15.75" customHeight="1" s="182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 ht="15.75" customHeight="1" s="182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 ht="15.75" customHeight="1" s="182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 ht="15.75" customHeight="1" s="182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 ht="15.75" customHeight="1" s="182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 ht="15.75" customHeight="1" s="182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 ht="15.75" customHeight="1" s="182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 ht="15.75" customHeight="1" s="182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 ht="15.75" customHeight="1" s="18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 ht="15.75" customHeight="1" s="182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 ht="15.75" customHeight="1" s="182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 ht="15.75" customHeight="1" s="182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 ht="15.75" customHeight="1" s="182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 ht="15.75" customHeight="1" s="182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 ht="15.75" customHeight="1" s="182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 ht="15.75" customHeight="1" s="182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 ht="15.75" customHeight="1" s="182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 ht="15.75" customHeight="1" s="182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 ht="15.75" customHeight="1" s="18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 ht="15.75" customHeight="1" s="182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 ht="15.75" customHeight="1" s="182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 ht="15.75" customHeight="1" s="182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 ht="15.75" customHeight="1" s="182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 ht="15.75" customHeight="1" s="182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 ht="15.75" customHeight="1" s="182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 ht="15.75" customHeight="1" s="182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 ht="15.75" customHeight="1" s="182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 ht="15.75" customHeight="1" s="182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 ht="15.75" customHeight="1" s="18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 ht="15.75" customHeight="1" s="182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 ht="15.75" customHeight="1" s="182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 ht="15.75" customHeight="1" s="182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 ht="15.75" customHeight="1" s="182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 ht="15.75" customHeight="1" s="182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 ht="15.75" customHeight="1" s="182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 ht="15.75" customHeight="1" s="182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 ht="15.75" customHeight="1" s="182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 ht="15.75" customHeight="1" s="182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 ht="15.75" customHeight="1" s="18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 ht="15.75" customHeight="1" s="182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 ht="15.75" customHeight="1" s="182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 ht="15.75" customHeight="1" s="182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 ht="15.75" customHeight="1" s="182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 ht="15.75" customHeight="1" s="182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 ht="15.75" customHeight="1" s="182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 ht="15.75" customHeight="1" s="182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 ht="15.75" customHeight="1" s="182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 ht="15.75" customHeight="1" s="182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 ht="15.75" customHeight="1" s="18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 ht="15.75" customHeight="1" s="182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 ht="15.75" customHeight="1" s="182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 ht="15.75" customHeight="1" s="182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 ht="15.75" customHeight="1" s="182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 ht="15.75" customHeight="1" s="182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 ht="15.75" customHeight="1" s="182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 ht="15.75" customHeight="1" s="182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 ht="15.75" customHeight="1" s="182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 ht="15.75" customHeight="1" s="182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 ht="15.75" customHeight="1" s="18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 ht="15.75" customHeight="1" s="182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 ht="15.75" customHeight="1" s="182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 ht="15.75" customHeight="1" s="182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 ht="15.75" customHeight="1" s="182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 ht="15.75" customHeight="1" s="182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 ht="15.75" customHeight="1" s="182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 ht="15.75" customHeight="1" s="182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 ht="15.75" customHeight="1" s="182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 ht="15.75" customHeight="1" s="182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 ht="15.75" customHeight="1" s="1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 ht="15.75" customHeight="1" s="182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 ht="15.75" customHeight="1" s="182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 ht="15.75" customHeight="1" s="182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 ht="15.75" customHeight="1" s="182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 ht="15.75" customHeight="1" s="182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 ht="15.75" customHeight="1" s="182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 ht="15.75" customHeight="1" s="182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 ht="15.75" customHeight="1" s="182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 ht="15.75" customHeight="1" s="182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 ht="15.75" customHeight="1" s="18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 ht="15.75" customHeight="1" s="182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 ht="15.75" customHeight="1" s="182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 ht="15.75" customHeight="1" s="182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 ht="15.75" customHeight="1" s="182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 ht="15.75" customHeight="1" s="182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 ht="15.75" customHeight="1" s="182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 ht="15.75" customHeight="1" s="182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 ht="15.75" customHeight="1" s="182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 ht="15.75" customHeight="1" s="182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 ht="15.75" customHeight="1" s="18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 ht="15.75" customHeight="1" s="182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 ht="15.75" customHeight="1" s="182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 ht="15.75" customHeight="1" s="182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 ht="15.75" customHeight="1" s="182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 ht="15.75" customHeight="1" s="182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 ht="15.75" customHeight="1" s="182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 ht="15.75" customHeight="1" s="182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 ht="15.75" customHeight="1" s="182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 ht="15.75" customHeight="1" s="182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 ht="15.75" customHeight="1" s="18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 ht="15.75" customHeight="1" s="182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 ht="15.75" customHeight="1" s="182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 ht="15.75" customHeight="1" s="182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 ht="15.75" customHeight="1" s="182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 ht="15.75" customHeight="1" s="182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 ht="15.75" customHeight="1" s="182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 ht="15.75" customHeight="1" s="182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 ht="15.75" customHeight="1" s="182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 ht="15.75" customHeight="1" s="182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 ht="15.75" customHeight="1" s="18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 ht="15.75" customHeight="1" s="182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 ht="15.75" customHeight="1" s="182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 ht="15.75" customHeight="1" s="182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 ht="15.75" customHeight="1" s="182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 ht="15.75" customHeight="1" s="182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 ht="15.75" customHeight="1" s="182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 ht="15.75" customHeight="1" s="182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 ht="15.75" customHeight="1" s="182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 ht="15.75" customHeight="1" s="182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 ht="15.75" customHeight="1" s="18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 ht="15.75" customHeight="1" s="182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 ht="15.75" customHeight="1" s="182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 ht="15.75" customHeight="1" s="182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 ht="15.75" customHeight="1" s="182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 ht="15.75" customHeight="1" s="182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 ht="15.75" customHeight="1" s="182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 ht="15.75" customHeight="1" s="182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 ht="15.75" customHeight="1" s="182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 ht="15.75" customHeight="1" s="182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 ht="15.75" customHeight="1" s="18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 ht="15.75" customHeight="1" s="182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 ht="15.75" customHeight="1" s="182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 ht="15.75" customHeight="1" s="182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 ht="15.75" customHeight="1" s="182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 ht="15.75" customHeight="1" s="182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 ht="15.75" customHeight="1" s="182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 ht="15.75" customHeight="1" s="182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 ht="15.75" customHeight="1" s="182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 ht="15.75" customHeight="1" s="182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 ht="15.75" customHeight="1" s="18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 ht="15.75" customHeight="1" s="182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 ht="15.75" customHeight="1" s="182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 ht="15.75" customHeight="1" s="182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 ht="15.75" customHeight="1" s="182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 ht="15.75" customHeight="1" s="182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 ht="15.75" customHeight="1" s="182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 ht="15.75" customHeight="1" s="182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 ht="15.75" customHeight="1" s="182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 ht="15.75" customHeight="1" s="182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 ht="15.75" customHeight="1" s="18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 ht="15.75" customHeight="1" s="182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 ht="15.75" customHeight="1" s="182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 ht="15.75" customHeight="1" s="182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 ht="15.75" customHeight="1" s="182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 ht="15.75" customHeight="1" s="182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 ht="15.75" customHeight="1" s="182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 ht="15.75" customHeight="1" s="182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 ht="15.75" customHeight="1" s="182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 ht="15.75" customHeight="1" s="182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 ht="15.75" customHeight="1" s="18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 ht="15.75" customHeight="1" s="182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 ht="15.75" customHeight="1" s="182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 ht="15.75" customHeight="1" s="182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 ht="15.75" customHeight="1" s="182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 ht="15.75" customHeight="1" s="182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 ht="15.75" customHeight="1" s="182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 ht="15.75" customHeight="1" s="182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 ht="15.75" customHeight="1" s="182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 ht="15.75" customHeight="1" s="182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 ht="15.75" customHeight="1" s="1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 ht="15.75" customHeight="1" s="182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 ht="15.75" customHeight="1" s="182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 ht="15.75" customHeight="1" s="182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 ht="15.75" customHeight="1" s="182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 ht="15.75" customHeight="1" s="182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 ht="15.75" customHeight="1" s="182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 ht="15.75" customHeight="1" s="182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 ht="15.75" customHeight="1" s="182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 ht="15.75" customHeight="1" s="182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 ht="15.75" customHeight="1" s="18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 ht="15.75" customHeight="1" s="182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 ht="15.75" customHeight="1" s="182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 ht="15.75" customHeight="1" s="182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 ht="15.75" customHeight="1" s="182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 ht="15.75" customHeight="1" s="182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 ht="15.75" customHeight="1" s="182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 ht="15.75" customHeight="1" s="182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 ht="15.75" customHeight="1" s="182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 ht="15.75" customHeight="1" s="182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 ht="15.75" customHeight="1" s="18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 ht="15.75" customHeight="1" s="182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 ht="15.75" customHeight="1" s="182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 ht="15.75" customHeight="1" s="182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 ht="15.75" customHeight="1" s="182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 ht="15.75" customHeight="1" s="182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 ht="15.75" customHeight="1" s="182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 ht="15.75" customHeight="1" s="182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 ht="15.75" customHeight="1" s="182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 ht="15.75" customHeight="1" s="182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 ht="15.75" customHeight="1" s="18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 ht="15.75" customHeight="1" s="182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 ht="15.75" customHeight="1" s="182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 ht="15.75" customHeight="1" s="182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 ht="15.75" customHeight="1" s="182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 ht="15.75" customHeight="1" s="182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 ht="15.75" customHeight="1" s="182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 ht="15.75" customHeight="1" s="182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 ht="15.75" customHeight="1" s="182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 ht="15.75" customHeight="1" s="182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 ht="15.75" customHeight="1" s="18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 ht="15.75" customHeight="1" s="182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 ht="15.75" customHeight="1" s="182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 ht="15.75" customHeight="1" s="182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 ht="15.75" customHeight="1" s="182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 ht="15.75" customHeight="1" s="182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 ht="15.75" customHeight="1" s="182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 ht="15.75" customHeight="1" s="182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 ht="15.75" customHeight="1" s="182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 ht="15.75" customHeight="1" s="182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 ht="15.75" customHeight="1" s="18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 ht="15.75" customHeight="1" s="182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 ht="15.75" customHeight="1" s="182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 ht="15.75" customHeight="1" s="182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 ht="15.75" customHeight="1" s="182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 ht="15.75" customHeight="1" s="182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 ht="15.75" customHeight="1" s="182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 ht="15.75" customHeight="1" s="182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 ht="15.75" customHeight="1" s="182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 ht="15.75" customHeight="1" s="182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 ht="15.75" customHeight="1" s="18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 ht="15.75" customHeight="1" s="182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 ht="15.75" customHeight="1" s="182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 ht="15.75" customHeight="1" s="182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 ht="15.75" customHeight="1" s="182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 ht="15.75" customHeight="1" s="182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 ht="15.75" customHeight="1" s="182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 ht="15.75" customHeight="1" s="182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 ht="15.75" customHeight="1" s="182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 ht="15.75" customHeight="1" s="182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 ht="15.75" customHeight="1" s="18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 ht="15.75" customHeight="1" s="182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 ht="15.75" customHeight="1" s="182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 ht="15.75" customHeight="1" s="182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 ht="15.75" customHeight="1" s="182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 ht="15.75" customHeight="1" s="182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 ht="15.75" customHeight="1" s="182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 ht="15.75" customHeight="1" s="182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 ht="15.75" customHeight="1" s="182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 ht="15.75" customHeight="1" s="182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 ht="15.75" customHeight="1" s="18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 ht="15.75" customHeight="1" s="182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 ht="15.75" customHeight="1" s="182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 ht="15.75" customHeight="1" s="182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 ht="15.75" customHeight="1" s="182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 ht="15.75" customHeight="1" s="182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 ht="15.75" customHeight="1" s="182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 ht="15.75" customHeight="1" s="182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 ht="15.75" customHeight="1" s="182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 ht="15.75" customHeight="1" s="182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 ht="15.75" customHeight="1" s="18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 ht="15.75" customHeight="1" s="182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 ht="15.75" customHeight="1" s="182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 ht="15.75" customHeight="1" s="182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 ht="15.75" customHeight="1" s="182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 ht="15.75" customHeight="1" s="182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 ht="15.75" customHeight="1" s="182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 ht="15.75" customHeight="1" s="182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 ht="15.75" customHeight="1" s="182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 ht="15.75" customHeight="1" s="182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 ht="15.75" customHeight="1" s="1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 ht="15.75" customHeight="1" s="182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 ht="15.75" customHeight="1" s="182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 ht="15.75" customHeight="1" s="182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 ht="15.75" customHeight="1" s="182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 ht="15.75" customHeight="1" s="182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 ht="15.75" customHeight="1" s="182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 ht="15.75" customHeight="1" s="182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 ht="15.75" customHeight="1" s="182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 ht="15.75" customHeight="1" s="182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 ht="15.75" customHeight="1" s="18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 ht="15.75" customHeight="1" s="182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 ht="15.75" customHeight="1" s="182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 ht="15.75" customHeight="1" s="182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 ht="15.75" customHeight="1" s="182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 ht="15.75" customHeight="1" s="182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 ht="15.75" customHeight="1" s="182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 ht="15.75" customHeight="1" s="182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 ht="15.75" customHeight="1" s="182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</sheetData>
  <mergeCells count="2">
    <mergeCell ref="A2:N2"/>
    <mergeCell ref="A1:N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2026-04-19T21:46:09Z</dcterms:created>
  <dcterms:modified xsi:type="dcterms:W3CDTF">2026-05-09T22:29:07Z</dcterms:modified>
</cp:coreProperties>
</file>